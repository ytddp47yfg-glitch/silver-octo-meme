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" sheetId="2" state="visible" r:id="rId4"/>
    <sheet name="ORCAMENTO" sheetId="3" state="visible" r:id="rId5"/>
    <sheet name="INCORRIDO" sheetId="4" state="visible" r:id="rId6"/>
    <sheet name="DE_PARA" sheetId="5" state="visible" r:id="rId7"/>
    <sheet name="CURVA" sheetId="6" state="visible" r:id="rId8"/>
    <sheet name="INCC" sheetId="7" state="visible" r:id="rId9"/>
    <sheet name="CONFERENCIA" sheetId="8" state="visible" r:id="rId10"/>
    <sheet name="FLUXO_MENSAL" sheetId="9" state="visible" r:id="rId11"/>
    <sheet name="FLUXO_ANUAL" sheetId="10" state="visible" r:id="rId12"/>
    <sheet name="RETRATO" sheetId="11" state="visible" r:id="rId13"/>
  </sheets>
  <definedNames>
    <definedName function="false" hidden="true" localSheetId="3" name="_xlnm._FilterDatabase" vbProcedure="false">INCORRIDO!$A$5:$E$5005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Informado pelo usuário.</t>
        </r>
      </text>
    </comment>
    <comment ref="C5" authorId="0">
      <text>
        <r>
          <rPr>
            <sz val="10"/>
            <rFont val="Arial"/>
            <family val="2"/>
          </rPr>
          <t xml:space="preserve">1º mês do horizonte (72 meses). Todo realizado anterior é somado neste mês.</t>
        </r>
      </text>
    </comment>
    <comment ref="C6" authorId="0">
      <text>
        <r>
          <rPr>
            <sz val="10"/>
            <rFont val="Arial"/>
            <family val="2"/>
          </rPr>
          <t xml:space="preserve">Meses até aqui = realizado (INCORRIDO). Depois = compromissos + saldo distribuído pela CURVA. Arquivo original: 'INCORRIDO ATÉ -&gt; AGO/2026'.</t>
        </r>
      </text>
    </comment>
    <comment ref="C7" authorId="0">
      <text>
        <r>
          <rPr>
            <sz val="10"/>
            <rFont val="Arial"/>
            <family val="2"/>
          </rPr>
          <t xml:space="preserve">Ano mostrado na aba RETRATO.</t>
        </r>
      </text>
    </comment>
    <comment ref="C8" authorId="0">
      <text>
        <r>
          <rPr>
            <sz val="10"/>
            <rFont val="Arial"/>
            <family val="2"/>
          </rPr>
          <t xml:space="preserve">0% = meses futuros a preços da projeção. Premissa do usuário.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Arquivo original: VALOR POR PL, coluna F (orçamento base).</t>
        </r>
      </text>
    </comment>
    <comment ref="E5" authorId="0">
      <text>
        <r>
          <rPr>
            <sz val="10"/>
            <rFont val="Arial"/>
            <family val="2"/>
          </rPr>
          <t xml:space="preserve">Arquivo original: VALOR POR PL, coluna L (projeção IEC). Taxa de adm.: TAX. ADM!J9.</t>
        </r>
      </text>
    </comment>
  </commentList>
</comments>
</file>

<file path=xl/sharedStrings.xml><?xml version="1.0" encoding="utf-8"?>
<sst xmlns="http://schemas.openxmlformats.org/spreadsheetml/2006/main" count="696" uniqueCount="240">
  <si>
    <t xml:space="preserve">Ferramenta de Fluxo de Caixa Anual da Obra</t>
  </si>
  <si>
    <t xml:space="preserve">O que ela faz</t>
  </si>
  <si>
    <t xml:space="preserve">Você atualiza as abas de ENTRADA; as abas de RESULTADO se recalculam sozinhas, sem ajuste manual.</t>
  </si>
  <si>
    <t xml:space="preserve">O saldo de cada disciplina (Projeção − Realizado − Compromissos) é distribuído automaticamente nos meses futuros</t>
  </si>
  <si>
    <t xml:space="preserve">conforme os pesos da aba CURVA. Por isso o fluxo SEMPRE fecha com a projeção — não existe mais 'último mês de ajuste'.</t>
  </si>
  <si>
    <t xml:space="preserve">Atualização mensal (passo a passo)</t>
  </si>
  <si>
    <t xml:space="preserve">1. INCC — acrescente o índice do novo mês (mês no formato 01/mm/aaaa).</t>
  </si>
  <si>
    <t xml:space="preserve">2. PARAMETROS — mude a 'Data de corte' para o último mês com realizado fechado. Se quiser, mude o 'Ano do retrato'.</t>
  </si>
  <si>
    <t xml:space="preserve">3. INCORRIDO — cole os lançamentos do ERP: Data | Grupo no ERP | Valor (R$). Pode colar linha a linha ou já somado por mês.</t>
  </si>
  <si>
    <t xml:space="preserve">     Lançamentos com data DEPOIS da data de corte são tratados como COMPROMISSOS: ficam no mês deles e abatem o saldo.</t>
  </si>
  <si>
    <t xml:space="preserve">4. DE_PARA — se a CONFERENCIA apontar 'SEM DE-PARA', cadastre o nome do ERP e a disciplina correspondente.</t>
  </si>
  <si>
    <t xml:space="preserve">5. ORCAMENTO — atualize a coluna 'Projeção atual (R$)' de cada disciplina (IEC).</t>
  </si>
  <si>
    <t xml:space="preserve">6. CURVA — atualize os pesos dos meses futuros (% do Prevision, R$ previstos, dias de serviço... qualquer escala).</t>
  </si>
  <si>
    <t xml:space="preserve">     Só a proporção entre os meses importa: a ferramenta reescala para fechar o saldo.</t>
  </si>
  <si>
    <t xml:space="preserve">7. CONFERENCIA — confira se todas as linhas estão 'OK'. Depois use FLUXO_ANUAL e RETRATO.</t>
  </si>
  <si>
    <t xml:space="preserve">Abas</t>
  </si>
  <si>
    <t xml:space="preserve">Entrada:   PARAMETROS · ORCAMENTO · INCORRIDO · DE_PARA · CURVA · INCC</t>
  </si>
  <si>
    <t xml:space="preserve">Resultado: FLUXO_MENSAL · FLUXO_ANUAL · RETRATO (ano escolhido) · CONFERENCIA</t>
  </si>
  <si>
    <t xml:space="preserve">Convenção de cores</t>
  </si>
  <si>
    <t xml:space="preserve">Texto azul = dado de entrada (editar)</t>
  </si>
  <si>
    <t xml:space="preserve">Texto preto = fórmula (não editar)</t>
  </si>
  <si>
    <t xml:space="preserve">Texto verde = puxa de outra aba (não editar)</t>
  </si>
  <si>
    <t xml:space="preserve">Fundo amarelo = parâmetro principal</t>
  </si>
  <si>
    <t xml:space="preserve">Reajuste</t>
  </si>
  <si>
    <t xml:space="preserve">Com 'Reajuste INCC projetado' = 0%, os meses futuros ficam a preços da projeção (como no modelo atual).</t>
  </si>
  <si>
    <t xml:space="preserve">Com valor &gt; 0, cada mês futuro é multiplicado por (1 + taxa)^(meses após o corte / 12) — o fluxo passa a ser nominal.</t>
  </si>
  <si>
    <t xml:space="preserve">Dados pré-carregados</t>
  </si>
  <si>
    <t xml:space="preserve">Os dados vieram de 'FLUXO DE CAIXA - BOTANICO - MODELO 05_2026.09.09.xlsx': projeção = VALOR POR PL!L; realizado = coluna</t>
  </si>
  <si>
    <t xml:space="preserve">'INCORRIDO' de cada aba de disciplina (acumulado até dez/24 lançado em 01/12/2024); pesos da CURVA = coluna 'PREVISÃO (R$)'</t>
  </si>
  <si>
    <t xml:space="preserve">dos meses após ago/26; INCC = aba INCC-FGV. SEGUROS e LIGAÇÕES PROVISÓRIAS não têm aba de distribuição no arquivo original,</t>
  </si>
  <si>
    <t xml:space="preserve">por isso aparecem na CONFERENCIA como 'saldo sem curva' — preencha os pesos delas na aba CURVA.</t>
  </si>
  <si>
    <t xml:space="preserve">Parâmetros</t>
  </si>
  <si>
    <t xml:space="preserve">Células amarelas: altere a cada atualização.</t>
  </si>
  <si>
    <t xml:space="preserve">Grupos (para subtotais)</t>
  </si>
  <si>
    <t xml:space="preserve">Obra</t>
  </si>
  <si>
    <t xml:space="preserve">BOTÂNICO</t>
  </si>
  <si>
    <t xml:space="preserve">INDIRETOS</t>
  </si>
  <si>
    <t xml:space="preserve">Mês inicial do fluxo</t>
  </si>
  <si>
    <t xml:space="preserve">INFRAESTRUTURA</t>
  </si>
  <si>
    <t xml:space="preserve">Data de corte (último mês realizado)</t>
  </si>
  <si>
    <t xml:space="preserve">ESTRUTURA</t>
  </si>
  <si>
    <t xml:space="preserve">Ano do retrato</t>
  </si>
  <si>
    <t xml:space="preserve">SISTEMAS E VEDAÇÕES</t>
  </si>
  <si>
    <t xml:space="preserve">Reajuste INCC projetado (% a.a.)</t>
  </si>
  <si>
    <t xml:space="preserve">ACABAMENTOS</t>
  </si>
  <si>
    <t xml:space="preserve">TAXA DE ADMINISTRAÇÃO</t>
  </si>
  <si>
    <t xml:space="preserve">Calculados</t>
  </si>
  <si>
    <t xml:space="preserve">Mês inicial (1º dia)</t>
  </si>
  <si>
    <t xml:space="preserve">Mês de corte (1º dia)</t>
  </si>
  <si>
    <t xml:space="preserve">Último mês do horizonte</t>
  </si>
  <si>
    <t xml:space="preserve">INCC no mês de corte</t>
  </si>
  <si>
    <t xml:space="preserve">Até 12 grupos (E4:E15).</t>
  </si>
  <si>
    <t xml:space="preserve">Orçamento e projeção por disciplina</t>
  </si>
  <si>
    <t xml:space="preserve">Valores em R$. Até 50 disciplinas (linhas 6 a 55). O nome da disciplina é a chave usada em todas as abas.</t>
  </si>
  <si>
    <t xml:space="preserve">Código</t>
  </si>
  <si>
    <t xml:space="preserve">Disciplina</t>
  </si>
  <si>
    <t xml:space="preserve">Grupo</t>
  </si>
  <si>
    <t xml:space="preserve">Orçamento base (R$)</t>
  </si>
  <si>
    <t xml:space="preserve">Projeção atual (R$)</t>
  </si>
  <si>
    <t xml:space="preserve">Variação (R$)</t>
  </si>
  <si>
    <t xml:space="preserve">CPU / observação</t>
  </si>
  <si>
    <t xml:space="preserve">01</t>
  </si>
  <si>
    <t xml:space="preserve">PROJETOS</t>
  </si>
  <si>
    <t xml:space="preserve">PL001.001</t>
  </si>
  <si>
    <t xml:space="preserve">02</t>
  </si>
  <si>
    <t xml:space="preserve">SEGUROS</t>
  </si>
  <si>
    <t xml:space="preserve">PL350.001</t>
  </si>
  <si>
    <t xml:space="preserve">03</t>
  </si>
  <si>
    <t xml:space="preserve">TAXAS DIVERSAS</t>
  </si>
  <si>
    <t xml:space="preserve">PL001.016</t>
  </si>
  <si>
    <t xml:space="preserve">04</t>
  </si>
  <si>
    <t xml:space="preserve">BARRACAO DE OBRA</t>
  </si>
  <si>
    <t xml:space="preserve">PL010.005</t>
  </si>
  <si>
    <t xml:space="preserve">05</t>
  </si>
  <si>
    <t xml:space="preserve">LIGAÇÕES PROVISÓRIAS AGUA, ENERGIA,TELEFONIA, ESGOTO</t>
  </si>
  <si>
    <t xml:space="preserve">PL020.004</t>
  </si>
  <si>
    <t xml:space="preserve">06</t>
  </si>
  <si>
    <t xml:space="preserve">CONSUMO DE ÁGUA, ENERGIA, ETC.</t>
  </si>
  <si>
    <t xml:space="preserve">PL020.005</t>
  </si>
  <si>
    <t xml:space="preserve">07</t>
  </si>
  <si>
    <t xml:space="preserve">DIVERSOS</t>
  </si>
  <si>
    <t xml:space="preserve">PL310.007</t>
  </si>
  <si>
    <t xml:space="preserve">08</t>
  </si>
  <si>
    <t xml:space="preserve">TRANSPORTES</t>
  </si>
  <si>
    <t xml:space="preserve">PL570.001</t>
  </si>
  <si>
    <t xml:space="preserve">09</t>
  </si>
  <si>
    <t xml:space="preserve">CONSULTORIAS (OBRAS)</t>
  </si>
  <si>
    <t xml:space="preserve">PL001.051</t>
  </si>
  <si>
    <t xml:space="preserve">10</t>
  </si>
  <si>
    <t xml:space="preserve">MÃO DE OBRA PRÓPRIA</t>
  </si>
  <si>
    <t xml:space="preserve">PL700.001</t>
  </si>
  <si>
    <t xml:space="preserve">11</t>
  </si>
  <si>
    <t xml:space="preserve">EQUIPAMENTOS E FERRAMENTAS</t>
  </si>
  <si>
    <t xml:space="preserve">PL530.001</t>
  </si>
  <si>
    <t xml:space="preserve">12</t>
  </si>
  <si>
    <t xml:space="preserve">SERVIÇOS INICIAIS</t>
  </si>
  <si>
    <t xml:space="preserve">PL010.022</t>
  </si>
  <si>
    <t xml:space="preserve">13</t>
  </si>
  <si>
    <t xml:space="preserve">CONTENÇÃO</t>
  </si>
  <si>
    <t xml:space="preserve">PL001.023</t>
  </si>
  <si>
    <t xml:space="preserve">14</t>
  </si>
  <si>
    <t xml:space="preserve">TERRAPLENAGEM</t>
  </si>
  <si>
    <t xml:space="preserve">PL040.001</t>
  </si>
  <si>
    <t xml:space="preserve">15</t>
  </si>
  <si>
    <t xml:space="preserve">FUNDAÇÃO PROFUNDA</t>
  </si>
  <si>
    <t xml:space="preserve">PL050.004</t>
  </si>
  <si>
    <t xml:space="preserve">16</t>
  </si>
  <si>
    <t xml:space="preserve">FUNDAÇÃO SUPERFICIAL</t>
  </si>
  <si>
    <t xml:space="preserve">PL060.004</t>
  </si>
  <si>
    <t xml:space="preserve">17</t>
  </si>
  <si>
    <t xml:space="preserve">ESTRUTURA EM CONCRETO ARMADO</t>
  </si>
  <si>
    <t xml:space="preserve">PL100.011</t>
  </si>
  <si>
    <t xml:space="preserve">18</t>
  </si>
  <si>
    <t xml:space="preserve">ALVENARIA</t>
  </si>
  <si>
    <t xml:space="preserve">PL120.001</t>
  </si>
  <si>
    <t xml:space="preserve">19</t>
  </si>
  <si>
    <t xml:space="preserve">IMPERMEABILIZAÇÃO</t>
  </si>
  <si>
    <t xml:space="preserve">PL140.004</t>
  </si>
  <si>
    <t xml:space="preserve">20</t>
  </si>
  <si>
    <t xml:space="preserve">INSTALAÇÕES ELÉTRICAS</t>
  </si>
  <si>
    <t xml:space="preserve">PL110.018</t>
  </si>
  <si>
    <t xml:space="preserve">21</t>
  </si>
  <si>
    <t xml:space="preserve">INSTALAÇÕES HIDROSANITÁRIAS</t>
  </si>
  <si>
    <t xml:space="preserve">PL110.007</t>
  </si>
  <si>
    <t xml:space="preserve">22</t>
  </si>
  <si>
    <t xml:space="preserve">INSTALAÇÕES COMBATE INCÊNDIO</t>
  </si>
  <si>
    <t xml:space="preserve">PL110.017</t>
  </si>
  <si>
    <t xml:space="preserve">23</t>
  </si>
  <si>
    <t xml:space="preserve">INSTALAÇÕES ESPECIAIS</t>
  </si>
  <si>
    <t xml:space="preserve">PL110.027</t>
  </si>
  <si>
    <t xml:space="preserve">24</t>
  </si>
  <si>
    <t xml:space="preserve">ELEVADORES</t>
  </si>
  <si>
    <t xml:space="preserve">PL220.002</t>
  </si>
  <si>
    <t xml:space="preserve">25</t>
  </si>
  <si>
    <t xml:space="preserve">ESQUADRIAS</t>
  </si>
  <si>
    <t xml:space="preserve">PL250.001</t>
  </si>
  <si>
    <t xml:space="preserve">26</t>
  </si>
  <si>
    <t xml:space="preserve">SERRALHERIA</t>
  </si>
  <si>
    <t xml:space="preserve">PL240.000</t>
  </si>
  <si>
    <t xml:space="preserve">27</t>
  </si>
  <si>
    <t xml:space="preserve">MARCENARIA</t>
  </si>
  <si>
    <t xml:space="preserve">PL240.020</t>
  </si>
  <si>
    <t xml:space="preserve">28</t>
  </si>
  <si>
    <t xml:space="preserve">REVESTIMENTOS DE MASSA EM PISOS</t>
  </si>
  <si>
    <t xml:space="preserve">PL160.001</t>
  </si>
  <si>
    <t xml:space="preserve">29</t>
  </si>
  <si>
    <t xml:space="preserve">REVESTIMENTOS DE MASSA EM PAREDES</t>
  </si>
  <si>
    <t xml:space="preserve">PL150.001</t>
  </si>
  <si>
    <t xml:space="preserve">30</t>
  </si>
  <si>
    <t xml:space="preserve">REVESTIMENTOS DE ACABAMENTO</t>
  </si>
  <si>
    <t xml:space="preserve">PL170.004</t>
  </si>
  <si>
    <t xml:space="preserve">31</t>
  </si>
  <si>
    <t xml:space="preserve">PAVIMENTAÇÃO</t>
  </si>
  <si>
    <t xml:space="preserve">PL320.001</t>
  </si>
  <si>
    <t xml:space="preserve">32</t>
  </si>
  <si>
    <t xml:space="preserve">REVESTIMENTO DIVERSOS - FACHADA</t>
  </si>
  <si>
    <t xml:space="preserve">PL190.003</t>
  </si>
  <si>
    <t xml:space="preserve">33</t>
  </si>
  <si>
    <t xml:space="preserve">FORRO</t>
  </si>
  <si>
    <t xml:space="preserve">PL180.001</t>
  </si>
  <si>
    <t xml:space="preserve">34</t>
  </si>
  <si>
    <t xml:space="preserve">LOUÇAS SANITÁRIAS</t>
  </si>
  <si>
    <t xml:space="preserve">PL290.002</t>
  </si>
  <si>
    <t xml:space="preserve">35</t>
  </si>
  <si>
    <t xml:space="preserve">PINTURA</t>
  </si>
  <si>
    <t xml:space="preserve">PL280.003</t>
  </si>
  <si>
    <t xml:space="preserve">36</t>
  </si>
  <si>
    <t xml:space="preserve">PAISAGISMO</t>
  </si>
  <si>
    <t xml:space="preserve">PL330.002</t>
  </si>
  <si>
    <t xml:space="preserve">37</t>
  </si>
  <si>
    <t xml:space="preserve">LIMPEZA FINAL DE OBRA</t>
  </si>
  <si>
    <t xml:space="preserve">PL360.001</t>
  </si>
  <si>
    <t xml:space="preserve">38</t>
  </si>
  <si>
    <t xml:space="preserve">TOTAL</t>
  </si>
  <si>
    <t xml:space="preserve">Realizado / compromissos (lançamentos do ERP)</t>
  </si>
  <si>
    <t xml:space="preserve">Cole nas colunas A:C (até 5000 linhas). Datas após a data de corte = compromissos. Colunas D:E são calculadas.</t>
  </si>
  <si>
    <t xml:space="preserve">Data</t>
  </si>
  <si>
    <t xml:space="preserve">Grupo no ERP</t>
  </si>
  <si>
    <t xml:space="preserve">Valor (R$)</t>
  </si>
  <si>
    <t xml:space="preserve">Disciplina (de-para)</t>
  </si>
  <si>
    <t xml:space="preserve">Mês</t>
  </si>
  <si>
    <t xml:space="preserve">De-para: nome no ERP → disciplina do orçamento</t>
  </si>
  <si>
    <t xml:space="preserve">A coluna B precisa ser exatamente igual a um nome da aba ORCAMENTO.</t>
  </si>
  <si>
    <t xml:space="preserve">Nome no ERP (como vem no relatório)</t>
  </si>
  <si>
    <t xml:space="preserve">Disciplina (ORCAMENTO)</t>
  </si>
  <si>
    <t xml:space="preserve">ESTRUTURA EM CONTRETO ARMADO</t>
  </si>
  <si>
    <t xml:space="preserve">REVESTIMENTO DIVERSOS   FACHADA</t>
  </si>
  <si>
    <t xml:space="preserve">REVESTIMENTOS DE MASSAS EM PAREDES</t>
  </si>
  <si>
    <t xml:space="preserve">SEGURO DE OBRA</t>
  </si>
  <si>
    <t xml:space="preserve">FRETES E TRANSPORTES</t>
  </si>
  <si>
    <t xml:space="preserve">Curva de distribuição do saldo (pesos por mês)</t>
  </si>
  <si>
    <t xml:space="preserve">Preencha pesos nos meses FUTUROS (fundo branco). Qualquer escala serve (%, R$, horas): só a proporção importa. Meses cinza (realizados) são ignorados.</t>
  </si>
  <si>
    <t xml:space="preserve">Σ pesos futuros</t>
  </si>
  <si>
    <t xml:space="preserve">INCC-DI (FGV) — índice mensal</t>
  </si>
  <si>
    <t xml:space="preserve">Acrescente uma linha por mês. Fonte: FGV.</t>
  </si>
  <si>
    <t xml:space="preserve">Índice</t>
  </si>
  <si>
    <t xml:space="preserve">Variação no mês</t>
  </si>
  <si>
    <t xml:space="preserve">Conferência</t>
  </si>
  <si>
    <t xml:space="preserve">Tudo deve estar 'OK' antes de usar o fluxo.</t>
  </si>
  <si>
    <t xml:space="preserve">Verificação</t>
  </si>
  <si>
    <t xml:space="preserve">Resultado</t>
  </si>
  <si>
    <t xml:space="preserve">Status</t>
  </si>
  <si>
    <t xml:space="preserve">Lançamentos sem de-para</t>
  </si>
  <si>
    <t xml:space="preserve">Lançamentos com disciplina que não está no ORCAMENTO</t>
  </si>
  <si>
    <t xml:space="preserve">Lançamentos após o último mês do horizonte</t>
  </si>
  <si>
    <t xml:space="preserve">Lançamentos sem data ou sem valor</t>
  </si>
  <si>
    <t xml:space="preserve">INCC do mês de corte informado</t>
  </si>
  <si>
    <t xml:space="preserve">Realizado na base × realizado no fluxo (R$)</t>
  </si>
  <si>
    <t xml:space="preserve">Disciplinas com pendência (tabela abaixo)</t>
  </si>
  <si>
    <t xml:space="preserve">Projeção (R$)</t>
  </si>
  <si>
    <t xml:space="preserve">Realizado</t>
  </si>
  <si>
    <t xml:space="preserve">Compromissos</t>
  </si>
  <si>
    <t xml:space="preserve">Saldo distribuído</t>
  </si>
  <si>
    <t xml:space="preserve">Total no fluxo (a preços da projeção)</t>
  </si>
  <si>
    <t xml:space="preserve">Diferença</t>
  </si>
  <si>
    <t xml:space="preserve">Reajuste projetado (R$)</t>
  </si>
  <si>
    <t xml:space="preserve">Fluxo de caixa mensal por disciplina (R$)</t>
  </si>
  <si>
    <t xml:space="preserve">Realizado até a data de corte; depois = compromissos + saldo distribuído pela CURVA × fator de reajuste. Não editar.</t>
  </si>
  <si>
    <t xml:space="preserve">Situação →</t>
  </si>
  <si>
    <t xml:space="preserve">Fator de reajuste →</t>
  </si>
  <si>
    <t xml:space="preserve">Realizado até o corte</t>
  </si>
  <si>
    <t xml:space="preserve">Compromissos após o corte</t>
  </si>
  <si>
    <t xml:space="preserve">Saldo a distribuir</t>
  </si>
  <si>
    <t xml:space="preserve">Total no fluxo</t>
  </si>
  <si>
    <t xml:space="preserve">TOTAL ACUMULADO</t>
  </si>
  <si>
    <t xml:space="preserve">% acumulado da projeção</t>
  </si>
  <si>
    <t xml:space="preserve">Fluxo de caixa anual por disciplina (R$)</t>
  </si>
  <si>
    <t xml:space="preserve">Soma dos meses de FLUXO_MENSAL por ano civil. Não editar.</t>
  </si>
  <si>
    <t xml:space="preserve">Total</t>
  </si>
  <si>
    <t xml:space="preserve">Dif. vs projeção</t>
  </si>
  <si>
    <t xml:space="preserve">Resumo por grupo</t>
  </si>
  <si>
    <t xml:space="preserve">Sem grupo</t>
  </si>
  <si>
    <t xml:space="preserve">Acumulado até o ano anterior</t>
  </si>
  <si>
    <t xml:space="preserve">Desembolso no ano</t>
  </si>
  <si>
    <t xml:space="preserve">Acumulado no fim do ano</t>
  </si>
  <si>
    <t xml:space="preserve">Avanço financeiro acumulado</t>
  </si>
  <si>
    <t xml:space="preserve">Saldo após o ano</t>
  </si>
  <si>
    <t xml:space="preserve">Observações / justificativa</t>
  </si>
  <si>
    <t xml:space="preserve">TOTAL (com taxa de administração)</t>
  </si>
  <si>
    <t xml:space="preserve">TOTAL sem taxa de administração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</si>
</sst>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0"/>
    <numFmt numFmtId="167" formatCode="0.00%"/>
    <numFmt numFmtId="168" formatCode="#,##0.000"/>
    <numFmt numFmtId="169" formatCode="#,##0;[RED]\(#,##0\);\-"/>
    <numFmt numFmtId="170" formatCode="mm/yyyy"/>
    <numFmt numFmtId="171" formatCode="mmm/yy"/>
    <numFmt numFmtId="172" formatCode="#,##0;[RED]\-#,##0;0"/>
    <numFmt numFmtId="173" formatCode="0.0000"/>
    <numFmt numFmtId="174" formatCode="0.0%;[RED]\-0.0%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ill>
        <patternFill>
          <bgColor rgb="FFEDEDED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DEDE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 — acumulado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FLUXO_MENSAL!B59</c:f>
              <c:strCache>
                <c:ptCount val="1"/>
                <c:pt idx="0">
                  <c:v>TOTAL ACUMULADO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FLUXO_MENSAL!$J$7:$CC$7</c:f>
              <c:strCache>
                <c:ptCount val="72"/>
                <c:pt idx="0">
                  <c:v>Dec/24</c:v>
                </c:pt>
                <c:pt idx="1">
                  <c:v>Jan/25</c:v>
                </c:pt>
                <c:pt idx="2">
                  <c:v>Feb/25</c:v>
                </c:pt>
                <c:pt idx="3">
                  <c:v>Mar/25</c:v>
                </c:pt>
                <c:pt idx="4">
                  <c:v>Apr/25</c:v>
                </c:pt>
                <c:pt idx="5">
                  <c:v>May/25</c:v>
                </c:pt>
                <c:pt idx="6">
                  <c:v>Jun/25</c:v>
                </c:pt>
                <c:pt idx="7">
                  <c:v>Jul/25</c:v>
                </c:pt>
                <c:pt idx="8">
                  <c:v>Aug/25</c:v>
                </c:pt>
                <c:pt idx="9">
                  <c:v>Sep/25</c:v>
                </c:pt>
                <c:pt idx="10">
                  <c:v>Oct/25</c:v>
                </c:pt>
                <c:pt idx="11">
                  <c:v>Nov/25</c:v>
                </c:pt>
                <c:pt idx="12">
                  <c:v>Dec/25</c:v>
                </c:pt>
                <c:pt idx="13">
                  <c:v>Jan/26</c:v>
                </c:pt>
                <c:pt idx="14">
                  <c:v>Feb/26</c:v>
                </c:pt>
                <c:pt idx="15">
                  <c:v>Mar/26</c:v>
                </c:pt>
                <c:pt idx="16">
                  <c:v>Apr/26</c:v>
                </c:pt>
                <c:pt idx="17">
                  <c:v>May/26</c:v>
                </c:pt>
                <c:pt idx="18">
                  <c:v>Jun/26</c:v>
                </c:pt>
                <c:pt idx="19">
                  <c:v>Jul/26</c:v>
                </c:pt>
                <c:pt idx="20">
                  <c:v>Aug/26</c:v>
                </c:pt>
                <c:pt idx="21">
                  <c:v>Sep/26</c:v>
                </c:pt>
                <c:pt idx="22">
                  <c:v>Oct/26</c:v>
                </c:pt>
                <c:pt idx="23">
                  <c:v>Nov/26</c:v>
                </c:pt>
                <c:pt idx="24">
                  <c:v>Dec/26</c:v>
                </c:pt>
                <c:pt idx="25">
                  <c:v>Jan/27</c:v>
                </c:pt>
                <c:pt idx="26">
                  <c:v>Feb/27</c:v>
                </c:pt>
                <c:pt idx="27">
                  <c:v>Mar/27</c:v>
                </c:pt>
                <c:pt idx="28">
                  <c:v>Apr/27</c:v>
                </c:pt>
                <c:pt idx="29">
                  <c:v>May/27</c:v>
                </c:pt>
                <c:pt idx="30">
                  <c:v>Jun/27</c:v>
                </c:pt>
                <c:pt idx="31">
                  <c:v>Jul/27</c:v>
                </c:pt>
                <c:pt idx="32">
                  <c:v>Aug/27</c:v>
                </c:pt>
                <c:pt idx="33">
                  <c:v>Sep/27</c:v>
                </c:pt>
                <c:pt idx="34">
                  <c:v>Oct/27</c:v>
                </c:pt>
                <c:pt idx="35">
                  <c:v>Nov/27</c:v>
                </c:pt>
                <c:pt idx="36">
                  <c:v>Dec/27</c:v>
                </c:pt>
                <c:pt idx="37">
                  <c:v>Jan/28</c:v>
                </c:pt>
                <c:pt idx="38">
                  <c:v>Feb/28</c:v>
                </c:pt>
                <c:pt idx="39">
                  <c:v>Mar/28</c:v>
                </c:pt>
                <c:pt idx="40">
                  <c:v>Apr/28</c:v>
                </c:pt>
                <c:pt idx="41">
                  <c:v>May/28</c:v>
                </c:pt>
                <c:pt idx="42">
                  <c:v>Jun/28</c:v>
                </c:pt>
                <c:pt idx="43">
                  <c:v>Jul/28</c:v>
                </c:pt>
                <c:pt idx="44">
                  <c:v>Aug/28</c:v>
                </c:pt>
                <c:pt idx="45">
                  <c:v>Sep/28</c:v>
                </c:pt>
                <c:pt idx="46">
                  <c:v>Oct/28</c:v>
                </c:pt>
                <c:pt idx="47">
                  <c:v>Nov/28</c:v>
                </c:pt>
                <c:pt idx="48">
                  <c:v>Dec/28</c:v>
                </c:pt>
                <c:pt idx="49">
                  <c:v>Jan/29</c:v>
                </c:pt>
                <c:pt idx="50">
                  <c:v>Feb/29</c:v>
                </c:pt>
                <c:pt idx="51">
                  <c:v>Mar/29</c:v>
                </c:pt>
                <c:pt idx="52">
                  <c:v>Apr/29</c:v>
                </c:pt>
                <c:pt idx="53">
                  <c:v>May/29</c:v>
                </c:pt>
                <c:pt idx="54">
                  <c:v>Jun/29</c:v>
                </c:pt>
                <c:pt idx="55">
                  <c:v>Jul/29</c:v>
                </c:pt>
                <c:pt idx="56">
                  <c:v>Aug/29</c:v>
                </c:pt>
                <c:pt idx="57">
                  <c:v>Sep/29</c:v>
                </c:pt>
                <c:pt idx="58">
                  <c:v>Oct/29</c:v>
                </c:pt>
                <c:pt idx="59">
                  <c:v>Nov/29</c:v>
                </c:pt>
                <c:pt idx="60">
                  <c:v>Dec/29</c:v>
                </c:pt>
                <c:pt idx="61">
                  <c:v>Jan/30</c:v>
                </c:pt>
                <c:pt idx="62">
                  <c:v>Feb/30</c:v>
                </c:pt>
                <c:pt idx="63">
                  <c:v>Mar/30</c:v>
                </c:pt>
                <c:pt idx="64">
                  <c:v>Apr/30</c:v>
                </c:pt>
                <c:pt idx="65">
                  <c:v>May/30</c:v>
                </c:pt>
                <c:pt idx="66">
                  <c:v>Jun/30</c:v>
                </c:pt>
                <c:pt idx="67">
                  <c:v>Jul/30</c:v>
                </c:pt>
                <c:pt idx="68">
                  <c:v>Aug/30</c:v>
                </c:pt>
                <c:pt idx="69">
                  <c:v>Sep/30</c:v>
                </c:pt>
                <c:pt idx="70">
                  <c:v>Oct/30</c:v>
                </c:pt>
                <c:pt idx="71">
                  <c:v>Nov/30</c:v>
                </c:pt>
              </c:strCache>
            </c:strRef>
          </c:cat>
          <c:val>
            <c:numRef>
              <c:f>FLUXO_MENSAL!$C$59:$CC$59</c:f>
              <c:numCache>
                <c:formatCode>#,##0;[RED]\(#,##0\);\-</c:formatCode>
                <c:ptCount val="79"/>
                <c:pt idx="7">
                  <c:v>1055724.07</c:v>
                </c:pt>
                <c:pt idx="8">
                  <c:v>1106011.92</c:v>
                </c:pt>
                <c:pt idx="9">
                  <c:v>1445703.69</c:v>
                </c:pt>
                <c:pt idx="10">
                  <c:v>1694711.96</c:v>
                </c:pt>
                <c:pt idx="11">
                  <c:v>1921656.6</c:v>
                </c:pt>
                <c:pt idx="12">
                  <c:v>2219856.44</c:v>
                </c:pt>
                <c:pt idx="13">
                  <c:v>2410003.61</c:v>
                </c:pt>
                <c:pt idx="14">
                  <c:v>2631371.97</c:v>
                </c:pt>
                <c:pt idx="15">
                  <c:v>3026613.47</c:v>
                </c:pt>
                <c:pt idx="16">
                  <c:v>3703598.3</c:v>
                </c:pt>
                <c:pt idx="17">
                  <c:v>4926019.29</c:v>
                </c:pt>
                <c:pt idx="18">
                  <c:v>7094031.76</c:v>
                </c:pt>
                <c:pt idx="19">
                  <c:v>8630560.81</c:v>
                </c:pt>
                <c:pt idx="20">
                  <c:v>10586952.92</c:v>
                </c:pt>
                <c:pt idx="21">
                  <c:v>11685129.08</c:v>
                </c:pt>
                <c:pt idx="22">
                  <c:v>13292002.43</c:v>
                </c:pt>
                <c:pt idx="23">
                  <c:v>14727522.39</c:v>
                </c:pt>
                <c:pt idx="24">
                  <c:v>15665404.43</c:v>
                </c:pt>
                <c:pt idx="25">
                  <c:v>17006074.97</c:v>
                </c:pt>
                <c:pt idx="26">
                  <c:v>19337780.53</c:v>
                </c:pt>
                <c:pt idx="27">
                  <c:v>21047425.43</c:v>
                </c:pt>
                <c:pt idx="28">
                  <c:v>23277351.9514082</c:v>
                </c:pt>
                <c:pt idx="29">
                  <c:v>25122272.3167831</c:v>
                </c:pt>
                <c:pt idx="30">
                  <c:v>27742591.0461329</c:v>
                </c:pt>
                <c:pt idx="31">
                  <c:v>30155128.6621591</c:v>
                </c:pt>
                <c:pt idx="32">
                  <c:v>32954595.6239582</c:v>
                </c:pt>
                <c:pt idx="33">
                  <c:v>35680059.0422972</c:v>
                </c:pt>
                <c:pt idx="34">
                  <c:v>38430318.0652977</c:v>
                </c:pt>
                <c:pt idx="35">
                  <c:v>41078206.1722374</c:v>
                </c:pt>
                <c:pt idx="36">
                  <c:v>43875566.0173302</c:v>
                </c:pt>
                <c:pt idx="37">
                  <c:v>47737265.0567252</c:v>
                </c:pt>
                <c:pt idx="38">
                  <c:v>52043505.5763411</c:v>
                </c:pt>
                <c:pt idx="39">
                  <c:v>56778421.193498</c:v>
                </c:pt>
                <c:pt idx="40">
                  <c:v>61131036.8333068</c:v>
                </c:pt>
                <c:pt idx="41">
                  <c:v>66300593.1256138</c:v>
                </c:pt>
                <c:pt idx="42">
                  <c:v>72303616.3356389</c:v>
                </c:pt>
                <c:pt idx="43">
                  <c:v>78695304.8913031</c:v>
                </c:pt>
                <c:pt idx="44">
                  <c:v>84913502.6027653</c:v>
                </c:pt>
                <c:pt idx="45">
                  <c:v>91928519.5857061</c:v>
                </c:pt>
                <c:pt idx="46">
                  <c:v>100137957.733301</c:v>
                </c:pt>
                <c:pt idx="47">
                  <c:v>108225785.636745</c:v>
                </c:pt>
                <c:pt idx="48">
                  <c:v>113451599.864777</c:v>
                </c:pt>
                <c:pt idx="49">
                  <c:v>119253463.451534</c:v>
                </c:pt>
                <c:pt idx="50">
                  <c:v>125120646.018802</c:v>
                </c:pt>
                <c:pt idx="51">
                  <c:v>130165605.442077</c:v>
                </c:pt>
                <c:pt idx="52">
                  <c:v>135379011.087287</c:v>
                </c:pt>
                <c:pt idx="53">
                  <c:v>139058948.25668</c:v>
                </c:pt>
                <c:pt idx="54">
                  <c:v>142480565.910569</c:v>
                </c:pt>
                <c:pt idx="55">
                  <c:v>145665751.776827</c:v>
                </c:pt>
                <c:pt idx="56">
                  <c:v>148357740.978838</c:v>
                </c:pt>
                <c:pt idx="57">
                  <c:v>151830673.116258</c:v>
                </c:pt>
                <c:pt idx="58">
                  <c:v>153940008.162419</c:v>
                </c:pt>
                <c:pt idx="59">
                  <c:v>155009445.545969</c:v>
                </c:pt>
                <c:pt idx="60">
                  <c:v>155514351.102417</c:v>
                </c:pt>
                <c:pt idx="61">
                  <c:v>156188579.606303</c:v>
                </c:pt>
                <c:pt idx="62">
                  <c:v>156253577.096429</c:v>
                </c:pt>
                <c:pt idx="63">
                  <c:v>156361917.33346</c:v>
                </c:pt>
                <c:pt idx="64">
                  <c:v>156361917.33346</c:v>
                </c:pt>
                <c:pt idx="65">
                  <c:v>158890939.16</c:v>
                </c:pt>
                <c:pt idx="66">
                  <c:v>158890939.16</c:v>
                </c:pt>
                <c:pt idx="67">
                  <c:v>158890939.16</c:v>
                </c:pt>
                <c:pt idx="68">
                  <c:v>158890939.16</c:v>
                </c:pt>
                <c:pt idx="69">
                  <c:v>158890939.16</c:v>
                </c:pt>
                <c:pt idx="70">
                  <c:v>158890939.16</c:v>
                </c:pt>
                <c:pt idx="71">
                  <c:v>158890939.16</c:v>
                </c:pt>
                <c:pt idx="72">
                  <c:v>158890939.16</c:v>
                </c:pt>
                <c:pt idx="73">
                  <c:v>158890939.16</c:v>
                </c:pt>
                <c:pt idx="74">
                  <c:v>158890939.16</c:v>
                </c:pt>
                <c:pt idx="75">
                  <c:v>158890939.16</c:v>
                </c:pt>
                <c:pt idx="76">
                  <c:v>158890939.16</c:v>
                </c:pt>
                <c:pt idx="77">
                  <c:v>158890939.16</c:v>
                </c:pt>
                <c:pt idx="78">
                  <c:v>158890939.16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404658"/>
        <c:axId val="35488267"/>
      </c:lineChart>
      <c:catAx>
        <c:axId val="34404658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88267"/>
        <c:crosses val="autoZero"/>
        <c:auto val="1"/>
        <c:lblAlgn val="ctr"/>
        <c:lblOffset val="100"/>
        <c:noMultiLvlLbl val="0"/>
      </c:catAx>
      <c:valAx>
        <c:axId val="35488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046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Desembolso por ano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FLUXO_ANUAL!$E$5:$K$5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FLUXO_ANUAL!$E$56:$K$56</c:f>
              <c:numCache>
                <c:formatCode>#,##0;[RED]\(#,##0\);\-</c:formatCode>
                <c:ptCount val="7"/>
                <c:pt idx="0">
                  <c:v>1055724.07</c:v>
                </c:pt>
                <c:pt idx="1">
                  <c:v>7574836.74</c:v>
                </c:pt>
                <c:pt idx="2">
                  <c:v>21524567.8521591</c:v>
                </c:pt>
                <c:pt idx="3">
                  <c:v>48540176.2291441</c:v>
                </c:pt>
                <c:pt idx="4">
                  <c:v>66970446.8855238</c:v>
                </c:pt>
                <c:pt idx="5">
                  <c:v>13225187.383173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61765143"/>
        <c:axId val="68237428"/>
      </c:barChart>
      <c:catAx>
        <c:axId val="617651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37428"/>
        <c:crosses val="autoZero"/>
        <c:auto val="1"/>
        <c:lblAlgn val="ctr"/>
        <c:lblOffset val="100"/>
        <c:noMultiLvlLbl val="0"/>
      </c:catAx>
      <c:valAx>
        <c:axId val="68237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65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61</xdr:row>
      <xdr:rowOff>10080</xdr:rowOff>
    </xdr:from>
    <xdr:to>
      <xdr:col>6</xdr:col>
      <xdr:colOff>25200</xdr:colOff>
      <xdr:row>76</xdr:row>
      <xdr:rowOff>32040</xdr:rowOff>
    </xdr:to>
    <xdr:graphicFrame>
      <xdr:nvGraphicFramePr>
        <xdr:cNvPr id="0" name="Chart 1"/>
        <xdr:cNvGraphicFramePr/>
      </xdr:nvGraphicFramePr>
      <xdr:xfrm>
        <a:off x="622440" y="118108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73</xdr:row>
      <xdr:rowOff>160560</xdr:rowOff>
    </xdr:from>
    <xdr:to>
      <xdr:col>3</xdr:col>
      <xdr:colOff>790200</xdr:colOff>
      <xdr:row>88</xdr:row>
      <xdr:rowOff>182520</xdr:rowOff>
    </xdr:to>
    <xdr:graphicFrame>
      <xdr:nvGraphicFramePr>
        <xdr:cNvPr id="1" name="Chart 1"/>
        <xdr:cNvGraphicFramePr/>
      </xdr:nvGraphicFramePr>
      <xdr:xfrm>
        <a:off x="622440" y="14096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5" t="s">
        <v>21</v>
      </c>
    </row>
    <row r="27" customFormat="false" ht="15" hidden="false" customHeight="false" outlineLevel="0" collapsed="false">
      <c r="A27" s="6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31</v>
      </c>
      <c r="B1" s="7"/>
      <c r="C1" s="7"/>
      <c r="D1" s="7"/>
      <c r="E1" s="7"/>
    </row>
    <row r="2" customFormat="false" ht="15" hidden="false" customHeight="false" outlineLevel="0" collapsed="false">
      <c r="A2" s="8" t="s">
        <v>32</v>
      </c>
      <c r="B2" s="7"/>
      <c r="C2" s="7"/>
      <c r="D2" s="7"/>
      <c r="E2" s="7"/>
    </row>
    <row r="3" customFormat="false" ht="15" hidden="false" customHeight="false" outlineLevel="0" collapsed="false">
      <c r="A3" s="7"/>
      <c r="B3" s="7"/>
      <c r="C3" s="7"/>
      <c r="D3" s="7"/>
      <c r="E3" s="9" t="s">
        <v>33</v>
      </c>
    </row>
    <row r="4" customFormat="false" ht="15" hidden="false" customHeight="false" outlineLevel="0" collapsed="false">
      <c r="A4" s="7"/>
      <c r="B4" s="3" t="s">
        <v>34</v>
      </c>
      <c r="C4" s="10" t="s">
        <v>35</v>
      </c>
      <c r="D4" s="7"/>
      <c r="E4" s="11" t="s">
        <v>36</v>
      </c>
    </row>
    <row r="5" customFormat="false" ht="15" hidden="false" customHeight="false" outlineLevel="0" collapsed="false">
      <c r="A5" s="7"/>
      <c r="B5" s="3" t="s">
        <v>37</v>
      </c>
      <c r="C5" s="12" t="n">
        <v>45627</v>
      </c>
      <c r="D5" s="7"/>
      <c r="E5" s="11" t="s">
        <v>38</v>
      </c>
    </row>
    <row r="6" customFormat="false" ht="15" hidden="false" customHeight="false" outlineLevel="0" collapsed="false">
      <c r="A6" s="7"/>
      <c r="B6" s="3" t="s">
        <v>39</v>
      </c>
      <c r="C6" s="12" t="n">
        <v>46235</v>
      </c>
      <c r="D6" s="7"/>
      <c r="E6" s="11" t="s">
        <v>40</v>
      </c>
    </row>
    <row r="7" customFormat="false" ht="15" hidden="false" customHeight="false" outlineLevel="0" collapsed="false">
      <c r="A7" s="7"/>
      <c r="B7" s="3" t="s">
        <v>41</v>
      </c>
      <c r="C7" s="13" t="n">
        <v>2027</v>
      </c>
      <c r="D7" s="7"/>
      <c r="E7" s="11" t="s">
        <v>42</v>
      </c>
    </row>
    <row r="8" customFormat="false" ht="15" hidden="false" customHeight="false" outlineLevel="0" collapsed="false">
      <c r="A8" s="7"/>
      <c r="B8" s="3" t="s">
        <v>43</v>
      </c>
      <c r="C8" s="14" t="n">
        <v>0</v>
      </c>
      <c r="D8" s="7"/>
      <c r="E8" s="11" t="s">
        <v>44</v>
      </c>
    </row>
    <row r="9" customFormat="false" ht="15" hidden="false" customHeight="false" outlineLevel="0" collapsed="false">
      <c r="A9" s="7"/>
      <c r="B9" s="7"/>
      <c r="C9" s="7"/>
      <c r="D9" s="7"/>
      <c r="E9" s="11" t="s">
        <v>45</v>
      </c>
    </row>
    <row r="10" customFormat="false" ht="15" hidden="false" customHeight="false" outlineLevel="0" collapsed="false">
      <c r="A10" s="7"/>
      <c r="B10" s="3" t="s">
        <v>46</v>
      </c>
      <c r="C10" s="7"/>
      <c r="D10" s="7"/>
      <c r="E10" s="11"/>
    </row>
    <row r="11" customFormat="false" ht="15" hidden="false" customHeight="false" outlineLevel="0" collapsed="false">
      <c r="A11" s="7"/>
      <c r="B11" s="7" t="s">
        <v>47</v>
      </c>
      <c r="C11" s="15" t="n">
        <f aca="false">DATE(YEAR(C5),MONTH(C5),1)</f>
        <v>45627</v>
      </c>
      <c r="D11" s="7"/>
      <c r="E11" s="11"/>
    </row>
    <row r="12" customFormat="false" ht="15" hidden="false" customHeight="false" outlineLevel="0" collapsed="false">
      <c r="A12" s="7"/>
      <c r="B12" s="7" t="s">
        <v>48</v>
      </c>
      <c r="C12" s="15" t="n">
        <f aca="false">DATE(YEAR(C6),MONTH(C6),1)</f>
        <v>46235</v>
      </c>
      <c r="D12" s="7"/>
      <c r="E12" s="11"/>
    </row>
    <row r="13" customFormat="false" ht="15" hidden="false" customHeight="false" outlineLevel="0" collapsed="false">
      <c r="A13" s="7"/>
      <c r="B13" s="7" t="s">
        <v>49</v>
      </c>
      <c r="C13" s="15" t="n">
        <f aca="false">DATE(YEAR(C11),MONTH(C11)+71,1)</f>
        <v>47788</v>
      </c>
      <c r="D13" s="7"/>
      <c r="E13" s="11"/>
    </row>
    <row r="14" customFormat="false" ht="15" hidden="false" customHeight="false" outlineLevel="0" collapsed="false">
      <c r="A14" s="7"/>
      <c r="B14" s="7" t="s">
        <v>50</v>
      </c>
      <c r="C14" s="16" t="n">
        <f aca="false">IFERROR(INDEX(INCC!$B$6:$B$305,MATCH(C12,INCC!$A$6:$A$305,0)),"FALTA INCC")</f>
        <v>1296.889</v>
      </c>
      <c r="D14" s="7"/>
      <c r="E14" s="11"/>
    </row>
    <row r="15" customFormat="false" ht="15" hidden="false" customHeight="false" outlineLevel="0" collapsed="false">
      <c r="A15" s="7"/>
      <c r="B15" s="7"/>
      <c r="C15" s="7"/>
      <c r="D15" s="7"/>
      <c r="E15" s="11"/>
    </row>
    <row r="16" customFormat="false" ht="15" hidden="false" customHeight="false" outlineLevel="0" collapsed="false">
      <c r="A16" s="7"/>
      <c r="B16" s="7"/>
      <c r="C16" s="7"/>
      <c r="D16" s="7"/>
      <c r="E16" s="8" t="s">
        <v>51</v>
      </c>
    </row>
  </sheetData>
  <dataValidations count="1">
    <dataValidation allowBlank="false" error="Informe uma data (dd/mm/aaaa)." errorStyle="stop" operator="greaterThan" showDropDown="false" showErrorMessage="true" showInputMessage="false" sqref="C5:C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52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53</v>
      </c>
      <c r="B2" s="7"/>
      <c r="C2" s="7"/>
      <c r="D2" s="7"/>
      <c r="E2" s="7"/>
      <c r="F2" s="7"/>
      <c r="G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26.85" hidden="false" customHeight="false" outlineLevel="0" collapsed="false">
      <c r="A5" s="17" t="s">
        <v>54</v>
      </c>
      <c r="B5" s="17" t="s">
        <v>55</v>
      </c>
      <c r="C5" s="17" t="s">
        <v>56</v>
      </c>
      <c r="D5" s="17" t="s">
        <v>57</v>
      </c>
      <c r="E5" s="17" t="s">
        <v>58</v>
      </c>
      <c r="F5" s="17" t="s">
        <v>59</v>
      </c>
      <c r="G5" s="17" t="s">
        <v>60</v>
      </c>
    </row>
    <row r="6" customFormat="false" ht="15" hidden="false" customHeight="false" outlineLevel="0" collapsed="false">
      <c r="A6" s="11" t="s">
        <v>61</v>
      </c>
      <c r="B6" s="11" t="s">
        <v>62</v>
      </c>
      <c r="C6" s="11" t="s">
        <v>36</v>
      </c>
      <c r="D6" s="18" t="n">
        <v>2400000</v>
      </c>
      <c r="E6" s="18" t="n">
        <v>2640655</v>
      </c>
      <c r="F6" s="19" t="n">
        <f aca="false">IF(B6="","",E6-D6)</f>
        <v>240655</v>
      </c>
      <c r="G6" s="11" t="s">
        <v>63</v>
      </c>
    </row>
    <row r="7" customFormat="false" ht="15" hidden="false" customHeight="false" outlineLevel="0" collapsed="false">
      <c r="A7" s="11" t="s">
        <v>64</v>
      </c>
      <c r="B7" s="11" t="s">
        <v>65</v>
      </c>
      <c r="C7" s="11" t="s">
        <v>36</v>
      </c>
      <c r="D7" s="18" t="n">
        <v>126154.98</v>
      </c>
      <c r="E7" s="18" t="n">
        <v>127911.99</v>
      </c>
      <c r="F7" s="19" t="n">
        <f aca="false">IF(B7="","",E7-D7)</f>
        <v>1757.01000000001</v>
      </c>
      <c r="G7" s="11" t="s">
        <v>66</v>
      </c>
    </row>
    <row r="8" customFormat="false" ht="15" hidden="false" customHeight="false" outlineLevel="0" collapsed="false">
      <c r="A8" s="11" t="s">
        <v>67</v>
      </c>
      <c r="B8" s="11" t="s">
        <v>68</v>
      </c>
      <c r="C8" s="11" t="s">
        <v>36</v>
      </c>
      <c r="D8" s="18" t="n">
        <v>150000</v>
      </c>
      <c r="E8" s="18" t="n">
        <v>158047.46</v>
      </c>
      <c r="F8" s="19" t="n">
        <f aca="false">IF(B8="","",E8-D8)</f>
        <v>8047.45999999999</v>
      </c>
      <c r="G8" s="11" t="s">
        <v>69</v>
      </c>
    </row>
    <row r="9" customFormat="false" ht="15" hidden="false" customHeight="false" outlineLevel="0" collapsed="false">
      <c r="A9" s="11" t="s">
        <v>70</v>
      </c>
      <c r="B9" s="11" t="s">
        <v>71</v>
      </c>
      <c r="C9" s="11" t="s">
        <v>36</v>
      </c>
      <c r="D9" s="18" t="n">
        <v>934513.13</v>
      </c>
      <c r="E9" s="18" t="n">
        <v>1249911.07</v>
      </c>
      <c r="F9" s="19" t="n">
        <f aca="false">IF(B9="","",E9-D9)</f>
        <v>315397.94</v>
      </c>
      <c r="G9" s="11" t="s">
        <v>72</v>
      </c>
    </row>
    <row r="10" customFormat="false" ht="15" hidden="false" customHeight="false" outlineLevel="0" collapsed="false">
      <c r="A10" s="11" t="s">
        <v>73</v>
      </c>
      <c r="B10" s="11" t="s">
        <v>74</v>
      </c>
      <c r="C10" s="11" t="s">
        <v>36</v>
      </c>
      <c r="D10" s="18" t="n">
        <v>50000</v>
      </c>
      <c r="E10" s="18" t="n">
        <v>85665.05</v>
      </c>
      <c r="F10" s="19" t="n">
        <f aca="false">IF(B10="","",E10-D10)</f>
        <v>35665.05</v>
      </c>
      <c r="G10" s="11" t="s">
        <v>75</v>
      </c>
    </row>
    <row r="11" customFormat="false" ht="15" hidden="false" customHeight="false" outlineLevel="0" collapsed="false">
      <c r="A11" s="11" t="s">
        <v>76</v>
      </c>
      <c r="B11" s="11" t="s">
        <v>77</v>
      </c>
      <c r="C11" s="11" t="s">
        <v>36</v>
      </c>
      <c r="D11" s="18" t="n">
        <v>521400</v>
      </c>
      <c r="E11" s="18" t="n">
        <v>544229.22</v>
      </c>
      <c r="F11" s="19" t="n">
        <f aca="false">IF(B11="","",E11-D11)</f>
        <v>22829.22</v>
      </c>
      <c r="G11" s="11" t="s">
        <v>78</v>
      </c>
    </row>
    <row r="12" customFormat="false" ht="15" hidden="false" customHeight="false" outlineLevel="0" collapsed="false">
      <c r="A12" s="11" t="s">
        <v>79</v>
      </c>
      <c r="B12" s="11" t="s">
        <v>80</v>
      </c>
      <c r="C12" s="11" t="s">
        <v>36</v>
      </c>
      <c r="D12" s="18" t="n">
        <v>158400</v>
      </c>
      <c r="E12" s="18" t="n">
        <v>194480.67</v>
      </c>
      <c r="F12" s="19" t="n">
        <f aca="false">IF(B12="","",E12-D12)</f>
        <v>36080.67</v>
      </c>
      <c r="G12" s="11" t="s">
        <v>81</v>
      </c>
    </row>
    <row r="13" customFormat="false" ht="15" hidden="false" customHeight="false" outlineLevel="0" collapsed="false">
      <c r="A13" s="11" t="s">
        <v>82</v>
      </c>
      <c r="B13" s="11" t="s">
        <v>83</v>
      </c>
      <c r="C13" s="11" t="s">
        <v>36</v>
      </c>
      <c r="D13" s="18" t="n">
        <v>779592</v>
      </c>
      <c r="E13" s="18" t="n">
        <v>817599.43</v>
      </c>
      <c r="F13" s="19" t="n">
        <f aca="false">IF(B13="","",E13-D13)</f>
        <v>38007.4300000001</v>
      </c>
      <c r="G13" s="11" t="s">
        <v>84</v>
      </c>
    </row>
    <row r="14" customFormat="false" ht="15" hidden="false" customHeight="false" outlineLevel="0" collapsed="false">
      <c r="A14" s="11" t="s">
        <v>85</v>
      </c>
      <c r="B14" s="11" t="s">
        <v>86</v>
      </c>
      <c r="C14" s="11" t="s">
        <v>36</v>
      </c>
      <c r="D14" s="18" t="n">
        <v>1322660.98</v>
      </c>
      <c r="E14" s="18" t="n">
        <v>1371532.11</v>
      </c>
      <c r="F14" s="19" t="n">
        <f aca="false">IF(B14="","",E14-D14)</f>
        <v>48871.1300000001</v>
      </c>
      <c r="G14" s="11" t="s">
        <v>87</v>
      </c>
    </row>
    <row r="15" customFormat="false" ht="15" hidden="false" customHeight="false" outlineLevel="0" collapsed="false">
      <c r="A15" s="11" t="s">
        <v>88</v>
      </c>
      <c r="B15" s="11" t="s">
        <v>89</v>
      </c>
      <c r="C15" s="11" t="s">
        <v>36</v>
      </c>
      <c r="D15" s="18" t="n">
        <v>20188024.55</v>
      </c>
      <c r="E15" s="18" t="n">
        <v>21271106.08</v>
      </c>
      <c r="F15" s="19" t="n">
        <f aca="false">IF(B15="","",E15-D15)</f>
        <v>1083081.53</v>
      </c>
      <c r="G15" s="11" t="s">
        <v>90</v>
      </c>
    </row>
    <row r="16" customFormat="false" ht="15" hidden="false" customHeight="false" outlineLevel="0" collapsed="false">
      <c r="A16" s="11" t="s">
        <v>91</v>
      </c>
      <c r="B16" s="11" t="s">
        <v>92</v>
      </c>
      <c r="C16" s="11" t="s">
        <v>36</v>
      </c>
      <c r="D16" s="18" t="n">
        <v>6467911.66</v>
      </c>
      <c r="E16" s="18" t="n">
        <v>6774432.94</v>
      </c>
      <c r="F16" s="19" t="n">
        <f aca="false">IF(B16="","",E16-D16)</f>
        <v>306521.28</v>
      </c>
      <c r="G16" s="11" t="s">
        <v>93</v>
      </c>
    </row>
    <row r="17" customFormat="false" ht="15" hidden="false" customHeight="false" outlineLevel="0" collapsed="false">
      <c r="A17" s="11" t="s">
        <v>94</v>
      </c>
      <c r="B17" s="11" t="s">
        <v>95</v>
      </c>
      <c r="C17" s="11" t="s">
        <v>38</v>
      </c>
      <c r="D17" s="18" t="n">
        <v>175350.93</v>
      </c>
      <c r="E17" s="18" t="n">
        <v>176378.52</v>
      </c>
      <c r="F17" s="19" t="n">
        <f aca="false">IF(B17="","",E17-D17)</f>
        <v>1027.59</v>
      </c>
      <c r="G17" s="11" t="s">
        <v>96</v>
      </c>
    </row>
    <row r="18" customFormat="false" ht="15" hidden="false" customHeight="false" outlineLevel="0" collapsed="false">
      <c r="A18" s="11" t="s">
        <v>97</v>
      </c>
      <c r="B18" s="11" t="s">
        <v>98</v>
      </c>
      <c r="C18" s="11" t="s">
        <v>38</v>
      </c>
      <c r="D18" s="18" t="n">
        <v>1644553.52</v>
      </c>
      <c r="E18" s="18" t="n">
        <v>1475989.69</v>
      </c>
      <c r="F18" s="19" t="n">
        <f aca="false">IF(B18="","",E18-D18)</f>
        <v>-168563.83</v>
      </c>
      <c r="G18" s="11" t="s">
        <v>99</v>
      </c>
    </row>
    <row r="19" customFormat="false" ht="15" hidden="false" customHeight="false" outlineLevel="0" collapsed="false">
      <c r="A19" s="11" t="s">
        <v>100</v>
      </c>
      <c r="B19" s="11" t="s">
        <v>101</v>
      </c>
      <c r="C19" s="11" t="s">
        <v>38</v>
      </c>
      <c r="D19" s="18" t="n">
        <v>1259784.46</v>
      </c>
      <c r="E19" s="18" t="n">
        <v>1293873.46</v>
      </c>
      <c r="F19" s="19" t="n">
        <f aca="false">IF(B19="","",E19-D19)</f>
        <v>34089</v>
      </c>
      <c r="G19" s="11" t="s">
        <v>102</v>
      </c>
    </row>
    <row r="20" customFormat="false" ht="15" hidden="false" customHeight="false" outlineLevel="0" collapsed="false">
      <c r="A20" s="11" t="s">
        <v>103</v>
      </c>
      <c r="B20" s="11" t="s">
        <v>104</v>
      </c>
      <c r="C20" s="11" t="s">
        <v>38</v>
      </c>
      <c r="D20" s="18" t="n">
        <v>6226579.22</v>
      </c>
      <c r="E20" s="18" t="n">
        <v>7012914.12</v>
      </c>
      <c r="F20" s="19" t="n">
        <f aca="false">IF(B20="","",E20-D20)</f>
        <v>786334.9</v>
      </c>
      <c r="G20" s="11" t="s">
        <v>105</v>
      </c>
    </row>
    <row r="21" customFormat="false" ht="15" hidden="false" customHeight="false" outlineLevel="0" collapsed="false">
      <c r="A21" s="11" t="s">
        <v>106</v>
      </c>
      <c r="B21" s="11" t="s">
        <v>107</v>
      </c>
      <c r="C21" s="11" t="s">
        <v>38</v>
      </c>
      <c r="D21" s="18" t="n">
        <v>4057797.91</v>
      </c>
      <c r="E21" s="18" t="n">
        <v>4346500.29</v>
      </c>
      <c r="F21" s="19" t="n">
        <f aca="false">IF(B21="","",E21-D21)</f>
        <v>288702.38</v>
      </c>
      <c r="G21" s="11" t="s">
        <v>108</v>
      </c>
    </row>
    <row r="22" customFormat="false" ht="15" hidden="false" customHeight="false" outlineLevel="0" collapsed="false">
      <c r="A22" s="11" t="s">
        <v>109</v>
      </c>
      <c r="B22" s="11" t="s">
        <v>110</v>
      </c>
      <c r="C22" s="11" t="s">
        <v>40</v>
      </c>
      <c r="D22" s="18" t="n">
        <v>25651081.59</v>
      </c>
      <c r="E22" s="18" t="n">
        <v>26850931.32</v>
      </c>
      <c r="F22" s="19" t="n">
        <f aca="false">IF(B22="","",E22-D22)</f>
        <v>1199849.73</v>
      </c>
      <c r="G22" s="11" t="s">
        <v>111</v>
      </c>
    </row>
    <row r="23" customFormat="false" ht="15" hidden="false" customHeight="false" outlineLevel="0" collapsed="false">
      <c r="A23" s="11" t="s">
        <v>112</v>
      </c>
      <c r="B23" s="11" t="s">
        <v>113</v>
      </c>
      <c r="C23" s="11" t="s">
        <v>42</v>
      </c>
      <c r="D23" s="18" t="n">
        <v>5927475.67</v>
      </c>
      <c r="E23" s="18" t="n">
        <v>6245482.98</v>
      </c>
      <c r="F23" s="19" t="n">
        <f aca="false">IF(B23="","",E23-D23)</f>
        <v>318007.310000001</v>
      </c>
      <c r="G23" s="11" t="s">
        <v>114</v>
      </c>
    </row>
    <row r="24" customFormat="false" ht="15" hidden="false" customHeight="false" outlineLevel="0" collapsed="false">
      <c r="A24" s="11" t="s">
        <v>115</v>
      </c>
      <c r="B24" s="11" t="s">
        <v>116</v>
      </c>
      <c r="C24" s="11" t="s">
        <v>42</v>
      </c>
      <c r="D24" s="18" t="n">
        <v>3928343.29</v>
      </c>
      <c r="E24" s="18" t="n">
        <v>4139097.74</v>
      </c>
      <c r="F24" s="19" t="n">
        <f aca="false">IF(B24="","",E24-D24)</f>
        <v>210754.45</v>
      </c>
      <c r="G24" s="11" t="s">
        <v>117</v>
      </c>
    </row>
    <row r="25" customFormat="false" ht="15" hidden="false" customHeight="false" outlineLevel="0" collapsed="false">
      <c r="A25" s="11" t="s">
        <v>118</v>
      </c>
      <c r="B25" s="11" t="s">
        <v>119</v>
      </c>
      <c r="C25" s="11" t="s">
        <v>42</v>
      </c>
      <c r="D25" s="18" t="n">
        <v>11262626.67</v>
      </c>
      <c r="E25" s="18" t="n">
        <v>11595096.01</v>
      </c>
      <c r="F25" s="19" t="n">
        <f aca="false">IF(B25="","",E25-D25)</f>
        <v>332469.34</v>
      </c>
      <c r="G25" s="11" t="s">
        <v>120</v>
      </c>
    </row>
    <row r="26" customFormat="false" ht="15" hidden="false" customHeight="false" outlineLevel="0" collapsed="false">
      <c r="A26" s="11" t="s">
        <v>121</v>
      </c>
      <c r="B26" s="11" t="s">
        <v>122</v>
      </c>
      <c r="C26" s="11" t="s">
        <v>42</v>
      </c>
      <c r="D26" s="18" t="n">
        <v>7374040</v>
      </c>
      <c r="E26" s="18" t="n">
        <v>7769655.06</v>
      </c>
      <c r="F26" s="19" t="n">
        <f aca="false">IF(B26="","",E26-D26)</f>
        <v>395615.06</v>
      </c>
      <c r="G26" s="11" t="s">
        <v>123</v>
      </c>
    </row>
    <row r="27" customFormat="false" ht="15" hidden="false" customHeight="false" outlineLevel="0" collapsed="false">
      <c r="A27" s="11" t="s">
        <v>124</v>
      </c>
      <c r="B27" s="11" t="s">
        <v>125</v>
      </c>
      <c r="C27" s="11" t="s">
        <v>42</v>
      </c>
      <c r="D27" s="18" t="n">
        <v>781560</v>
      </c>
      <c r="E27" s="18" t="n">
        <v>823490.46</v>
      </c>
      <c r="F27" s="19" t="n">
        <f aca="false">IF(B27="","",E27-D27)</f>
        <v>41930.46</v>
      </c>
      <c r="G27" s="11" t="s">
        <v>126</v>
      </c>
    </row>
    <row r="28" customFormat="false" ht="15" hidden="false" customHeight="false" outlineLevel="0" collapsed="false">
      <c r="A28" s="11" t="s">
        <v>127</v>
      </c>
      <c r="B28" s="11" t="s">
        <v>128</v>
      </c>
      <c r="C28" s="11" t="s">
        <v>42</v>
      </c>
      <c r="D28" s="18" t="n">
        <v>2684762.92</v>
      </c>
      <c r="E28" s="18" t="n">
        <v>2828799.66</v>
      </c>
      <c r="F28" s="19" t="n">
        <f aca="false">IF(B28="","",E28-D28)</f>
        <v>144036.74</v>
      </c>
      <c r="G28" s="11" t="s">
        <v>129</v>
      </c>
    </row>
    <row r="29" customFormat="false" ht="15" hidden="false" customHeight="false" outlineLevel="0" collapsed="false">
      <c r="A29" s="11" t="s">
        <v>130</v>
      </c>
      <c r="B29" s="11" t="s">
        <v>131</v>
      </c>
      <c r="C29" s="11" t="s">
        <v>42</v>
      </c>
      <c r="D29" s="18" t="n">
        <v>3236182.09</v>
      </c>
      <c r="E29" s="18" t="n">
        <v>3409802.3</v>
      </c>
      <c r="F29" s="19" t="n">
        <f aca="false">IF(B29="","",E29-D29)</f>
        <v>173620.21</v>
      </c>
      <c r="G29" s="11" t="s">
        <v>132</v>
      </c>
    </row>
    <row r="30" customFormat="false" ht="15" hidden="false" customHeight="false" outlineLevel="0" collapsed="false">
      <c r="A30" s="11" t="s">
        <v>133</v>
      </c>
      <c r="B30" s="11" t="s">
        <v>134</v>
      </c>
      <c r="C30" s="11" t="s">
        <v>44</v>
      </c>
      <c r="D30" s="18" t="n">
        <v>11181479.74</v>
      </c>
      <c r="E30" s="18" t="n">
        <v>11781362.82</v>
      </c>
      <c r="F30" s="19" t="n">
        <f aca="false">IF(B30="","",E30-D30)</f>
        <v>599883.08</v>
      </c>
      <c r="G30" s="11" t="s">
        <v>135</v>
      </c>
    </row>
    <row r="31" customFormat="false" ht="15" hidden="false" customHeight="false" outlineLevel="0" collapsed="false">
      <c r="A31" s="11" t="s">
        <v>136</v>
      </c>
      <c r="B31" s="11" t="s">
        <v>137</v>
      </c>
      <c r="C31" s="11" t="s">
        <v>44</v>
      </c>
      <c r="D31" s="18" t="n">
        <v>482766.76</v>
      </c>
      <c r="E31" s="18" t="n">
        <v>508667.05</v>
      </c>
      <c r="F31" s="19" t="n">
        <f aca="false">IF(B31="","",E31-D31)</f>
        <v>25900.29</v>
      </c>
      <c r="G31" s="11" t="s">
        <v>138</v>
      </c>
    </row>
    <row r="32" customFormat="false" ht="15" hidden="false" customHeight="false" outlineLevel="0" collapsed="false">
      <c r="A32" s="11" t="s">
        <v>139</v>
      </c>
      <c r="B32" s="11" t="s">
        <v>140</v>
      </c>
      <c r="C32" s="11" t="s">
        <v>44</v>
      </c>
      <c r="D32" s="18" t="n">
        <v>2977368.36</v>
      </c>
      <c r="E32" s="18" t="n">
        <v>3137103.29</v>
      </c>
      <c r="F32" s="19" t="n">
        <f aca="false">IF(B32="","",E32-D32)</f>
        <v>159734.93</v>
      </c>
      <c r="G32" s="11" t="s">
        <v>141</v>
      </c>
    </row>
    <row r="33" customFormat="false" ht="15" hidden="false" customHeight="false" outlineLevel="0" collapsed="false">
      <c r="A33" s="11" t="s">
        <v>142</v>
      </c>
      <c r="B33" s="11" t="s">
        <v>143</v>
      </c>
      <c r="C33" s="11" t="s">
        <v>44</v>
      </c>
      <c r="D33" s="18" t="n">
        <v>1096073.33</v>
      </c>
      <c r="E33" s="18" t="n">
        <v>1154877.34</v>
      </c>
      <c r="F33" s="19" t="n">
        <f aca="false">IF(B33="","",E33-D33)</f>
        <v>58804.01</v>
      </c>
      <c r="G33" s="11" t="s">
        <v>144</v>
      </c>
    </row>
    <row r="34" customFormat="false" ht="15" hidden="false" customHeight="false" outlineLevel="0" collapsed="false">
      <c r="A34" s="11" t="s">
        <v>145</v>
      </c>
      <c r="B34" s="11" t="s">
        <v>146</v>
      </c>
      <c r="C34" s="11" t="s">
        <v>44</v>
      </c>
      <c r="D34" s="18" t="n">
        <v>2518191.19</v>
      </c>
      <c r="E34" s="18" t="n">
        <v>2653291.4</v>
      </c>
      <c r="F34" s="19" t="n">
        <f aca="false">IF(B34="","",E34-D34)</f>
        <v>135100.21</v>
      </c>
      <c r="G34" s="11" t="s">
        <v>147</v>
      </c>
    </row>
    <row r="35" customFormat="false" ht="15" hidden="false" customHeight="false" outlineLevel="0" collapsed="false">
      <c r="A35" s="11" t="s">
        <v>148</v>
      </c>
      <c r="B35" s="11" t="s">
        <v>149</v>
      </c>
      <c r="C35" s="11" t="s">
        <v>44</v>
      </c>
      <c r="D35" s="18" t="n">
        <v>10402356.25</v>
      </c>
      <c r="E35" s="18" t="n">
        <v>10960439.57</v>
      </c>
      <c r="F35" s="19" t="n">
        <f aca="false">IF(B35="","",E35-D35)</f>
        <v>558083.32</v>
      </c>
      <c r="G35" s="11" t="s">
        <v>150</v>
      </c>
    </row>
    <row r="36" customFormat="false" ht="15" hidden="false" customHeight="false" outlineLevel="0" collapsed="false">
      <c r="A36" s="11" t="s">
        <v>151</v>
      </c>
      <c r="B36" s="11" t="s">
        <v>152</v>
      </c>
      <c r="C36" s="11" t="s">
        <v>44</v>
      </c>
      <c r="D36" s="18" t="n">
        <v>106895.67</v>
      </c>
      <c r="E36" s="18" t="n">
        <v>112630.59</v>
      </c>
      <c r="F36" s="19" t="n">
        <f aca="false">IF(B36="","",E36-D36)</f>
        <v>5734.92</v>
      </c>
      <c r="G36" s="11" t="s">
        <v>153</v>
      </c>
    </row>
    <row r="37" customFormat="false" ht="15" hidden="false" customHeight="false" outlineLevel="0" collapsed="false">
      <c r="A37" s="11" t="s">
        <v>154</v>
      </c>
      <c r="B37" s="11" t="s">
        <v>155</v>
      </c>
      <c r="C37" s="11" t="s">
        <v>44</v>
      </c>
      <c r="D37" s="18" t="n">
        <v>5055622.3</v>
      </c>
      <c r="E37" s="18" t="n">
        <v>5326854.93</v>
      </c>
      <c r="F37" s="19" t="n">
        <f aca="false">IF(B37="","",E37-D37)</f>
        <v>271232.63</v>
      </c>
      <c r="G37" s="11" t="s">
        <v>156</v>
      </c>
    </row>
    <row r="38" customFormat="false" ht="15" hidden="false" customHeight="false" outlineLevel="0" collapsed="false">
      <c r="A38" s="11" t="s">
        <v>157</v>
      </c>
      <c r="B38" s="11" t="s">
        <v>158</v>
      </c>
      <c r="C38" s="11" t="s">
        <v>44</v>
      </c>
      <c r="D38" s="18" t="n">
        <v>1690544.88</v>
      </c>
      <c r="E38" s="18" t="n">
        <v>1781242.11</v>
      </c>
      <c r="F38" s="19" t="n">
        <f aca="false">IF(B38="","",E38-D38)</f>
        <v>90697.2300000002</v>
      </c>
      <c r="G38" s="11" t="s">
        <v>159</v>
      </c>
    </row>
    <row r="39" customFormat="false" ht="15" hidden="false" customHeight="false" outlineLevel="0" collapsed="false">
      <c r="A39" s="11" t="s">
        <v>160</v>
      </c>
      <c r="B39" s="11" t="s">
        <v>161</v>
      </c>
      <c r="C39" s="11" t="s">
        <v>44</v>
      </c>
      <c r="D39" s="18" t="n">
        <v>2050613.5</v>
      </c>
      <c r="E39" s="18" t="n">
        <v>2160628.3</v>
      </c>
      <c r="F39" s="19" t="n">
        <f aca="false">IF(B39="","",E39-D39)</f>
        <v>110014.8</v>
      </c>
      <c r="G39" s="11" t="s">
        <v>162</v>
      </c>
    </row>
    <row r="40" customFormat="false" ht="15" hidden="false" customHeight="false" outlineLevel="0" collapsed="false">
      <c r="A40" s="11" t="s">
        <v>163</v>
      </c>
      <c r="B40" s="11" t="s">
        <v>164</v>
      </c>
      <c r="C40" s="11" t="s">
        <v>44</v>
      </c>
      <c r="D40" s="18" t="n">
        <v>3676746.93</v>
      </c>
      <c r="E40" s="18" t="n">
        <v>3874003.32</v>
      </c>
      <c r="F40" s="19" t="n">
        <f aca="false">IF(B40="","",E40-D40)</f>
        <v>197256.39</v>
      </c>
      <c r="G40" s="11" t="s">
        <v>165</v>
      </c>
    </row>
    <row r="41" customFormat="false" ht="15" hidden="false" customHeight="false" outlineLevel="0" collapsed="false">
      <c r="A41" s="11" t="s">
        <v>166</v>
      </c>
      <c r="B41" s="11" t="s">
        <v>167</v>
      </c>
      <c r="C41" s="11" t="s">
        <v>44</v>
      </c>
      <c r="D41" s="18" t="n">
        <v>1116999.6</v>
      </c>
      <c r="E41" s="18" t="n">
        <v>1176926.3</v>
      </c>
      <c r="F41" s="19" t="n">
        <f aca="false">IF(B41="","",E41-D41)</f>
        <v>59926.7</v>
      </c>
      <c r="G41" s="11" t="s">
        <v>168</v>
      </c>
    </row>
    <row r="42" customFormat="false" ht="15" hidden="false" customHeight="false" outlineLevel="0" collapsed="false">
      <c r="A42" s="11" t="s">
        <v>169</v>
      </c>
      <c r="B42" s="11" t="s">
        <v>170</v>
      </c>
      <c r="C42" s="11" t="s">
        <v>44</v>
      </c>
      <c r="D42" s="18" t="n">
        <v>887766.61</v>
      </c>
      <c r="E42" s="18" t="n">
        <v>935395.03</v>
      </c>
      <c r="F42" s="19" t="n">
        <f aca="false">IF(B42="","",E42-D42)</f>
        <v>47628.42</v>
      </c>
      <c r="G42" s="11" t="s">
        <v>171</v>
      </c>
    </row>
    <row r="43" customFormat="false" ht="15" hidden="false" customHeight="false" outlineLevel="0" collapsed="false">
      <c r="A43" s="11" t="s">
        <v>172</v>
      </c>
      <c r="B43" s="11" t="s">
        <v>45</v>
      </c>
      <c r="C43" s="11" t="s">
        <v>45</v>
      </c>
      <c r="D43" s="18" t="n">
        <v>566105.29</v>
      </c>
      <c r="E43" s="18" t="n">
        <v>566105.29</v>
      </c>
      <c r="F43" s="19" t="n">
        <f aca="false">IF(B43="","",E43-D43)</f>
        <v>0</v>
      </c>
      <c r="G43" s="11"/>
    </row>
    <row r="44" customFormat="false" ht="15" hidden="false" customHeight="false" outlineLevel="0" collapsed="false">
      <c r="A44" s="11"/>
      <c r="B44" s="11"/>
      <c r="C44" s="11"/>
      <c r="D44" s="18"/>
      <c r="E44" s="18"/>
      <c r="F44" s="19" t="str">
        <f aca="false">IF(B44="","",E44-D44)</f>
        <v/>
      </c>
      <c r="G44" s="11"/>
    </row>
    <row r="45" customFormat="false" ht="15" hidden="false" customHeight="false" outlineLevel="0" collapsed="false">
      <c r="A45" s="11"/>
      <c r="B45" s="11"/>
      <c r="C45" s="11"/>
      <c r="D45" s="18"/>
      <c r="E45" s="18"/>
      <c r="F45" s="19" t="str">
        <f aca="false">IF(B45="","",E45-D45)</f>
        <v/>
      </c>
      <c r="G45" s="11"/>
    </row>
    <row r="46" customFormat="false" ht="15" hidden="false" customHeight="false" outlineLevel="0" collapsed="false">
      <c r="A46" s="11"/>
      <c r="B46" s="11"/>
      <c r="C46" s="11"/>
      <c r="D46" s="18"/>
      <c r="E46" s="18"/>
      <c r="F46" s="19" t="str">
        <f aca="false">IF(B46="","",E46-D46)</f>
        <v/>
      </c>
      <c r="G46" s="11"/>
    </row>
    <row r="47" customFormat="false" ht="15" hidden="false" customHeight="false" outlineLevel="0" collapsed="false">
      <c r="A47" s="11"/>
      <c r="B47" s="11"/>
      <c r="C47" s="11"/>
      <c r="D47" s="18"/>
      <c r="E47" s="18"/>
      <c r="F47" s="19" t="str">
        <f aca="false">IF(B47="","",E47-D47)</f>
        <v/>
      </c>
      <c r="G47" s="11"/>
    </row>
    <row r="48" customFormat="false" ht="15" hidden="false" customHeight="false" outlineLevel="0" collapsed="false">
      <c r="A48" s="11"/>
      <c r="B48" s="11"/>
      <c r="C48" s="11"/>
      <c r="D48" s="18"/>
      <c r="E48" s="18"/>
      <c r="F48" s="19" t="str">
        <f aca="false">IF(B48="","",E48-D48)</f>
        <v/>
      </c>
      <c r="G48" s="11"/>
    </row>
    <row r="49" customFormat="false" ht="15" hidden="false" customHeight="false" outlineLevel="0" collapsed="false">
      <c r="A49" s="11"/>
      <c r="B49" s="11"/>
      <c r="C49" s="11"/>
      <c r="D49" s="18"/>
      <c r="E49" s="18"/>
      <c r="F49" s="19" t="str">
        <f aca="false">IF(B49="","",E49-D49)</f>
        <v/>
      </c>
      <c r="G49" s="11"/>
    </row>
    <row r="50" customFormat="false" ht="15" hidden="false" customHeight="false" outlineLevel="0" collapsed="false">
      <c r="A50" s="11"/>
      <c r="B50" s="11"/>
      <c r="C50" s="11"/>
      <c r="D50" s="18"/>
      <c r="E50" s="18"/>
      <c r="F50" s="19" t="str">
        <f aca="false">IF(B50="","",E50-D50)</f>
        <v/>
      </c>
      <c r="G50" s="11"/>
    </row>
    <row r="51" customFormat="false" ht="15" hidden="false" customHeight="false" outlineLevel="0" collapsed="false">
      <c r="A51" s="11"/>
      <c r="B51" s="11"/>
      <c r="C51" s="11"/>
      <c r="D51" s="18"/>
      <c r="E51" s="18"/>
      <c r="F51" s="19" t="str">
        <f aca="false">IF(B51="","",E51-D51)</f>
        <v/>
      </c>
      <c r="G51" s="11"/>
    </row>
    <row r="52" customFormat="false" ht="15" hidden="false" customHeight="false" outlineLevel="0" collapsed="false">
      <c r="A52" s="11"/>
      <c r="B52" s="11"/>
      <c r="C52" s="11"/>
      <c r="D52" s="18"/>
      <c r="E52" s="18"/>
      <c r="F52" s="19" t="str">
        <f aca="false">IF(B52="","",E52-D52)</f>
        <v/>
      </c>
      <c r="G52" s="11"/>
    </row>
    <row r="53" customFormat="false" ht="15" hidden="false" customHeight="false" outlineLevel="0" collapsed="false">
      <c r="A53" s="11"/>
      <c r="B53" s="11"/>
      <c r="C53" s="11"/>
      <c r="D53" s="18"/>
      <c r="E53" s="18"/>
      <c r="F53" s="19" t="str">
        <f aca="false">IF(B53="","",E53-D53)</f>
        <v/>
      </c>
      <c r="G53" s="11"/>
    </row>
    <row r="54" customFormat="false" ht="15" hidden="false" customHeight="false" outlineLevel="0" collapsed="false">
      <c r="A54" s="11"/>
      <c r="B54" s="11"/>
      <c r="C54" s="11"/>
      <c r="D54" s="18"/>
      <c r="E54" s="18"/>
      <c r="F54" s="19" t="str">
        <f aca="false">IF(B54="","",E54-D54)</f>
        <v/>
      </c>
      <c r="G54" s="11"/>
    </row>
    <row r="55" customFormat="false" ht="15" hidden="false" customHeight="false" outlineLevel="0" collapsed="false">
      <c r="A55" s="11"/>
      <c r="B55" s="11"/>
      <c r="C55" s="11"/>
      <c r="D55" s="18"/>
      <c r="E55" s="18"/>
      <c r="F55" s="19" t="str">
        <f aca="false">IF(B55="","",E55-D55)</f>
        <v/>
      </c>
      <c r="G55" s="11"/>
    </row>
    <row r="56" customFormat="false" ht="15" hidden="false" customHeight="false" outlineLevel="0" collapsed="false">
      <c r="A56" s="7"/>
      <c r="B56" s="3" t="s">
        <v>173</v>
      </c>
      <c r="C56" s="7"/>
      <c r="D56" s="20" t="n">
        <f aca="false">SUM(D6:D55)</f>
        <v>151118325.98</v>
      </c>
      <c r="E56" s="20" t="n">
        <f aca="false">SUM(E6:E55)</f>
        <v>159333109.97</v>
      </c>
      <c r="F56" s="20" t="n">
        <f aca="false">SUM(F6:F55)</f>
        <v>8214783.99</v>
      </c>
      <c r="G56" s="7"/>
    </row>
  </sheetData>
  <dataValidations count="1">
    <dataValidation allowBlank="true" errorStyle="stop" operator="between" showDropDown="false" showErrorMessage="false" showInputMessage="false" sqref="C6:C55" type="list">
      <formula1>PARAMETROS!$E$4:$E$15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5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174</v>
      </c>
      <c r="B1" s="7"/>
      <c r="C1" s="7"/>
      <c r="D1" s="7"/>
      <c r="E1" s="7"/>
    </row>
    <row r="2" customFormat="false" ht="15" hidden="false" customHeight="false" outlineLevel="0" collapsed="false">
      <c r="A2" s="8" t="s">
        <v>175</v>
      </c>
      <c r="B2" s="7"/>
      <c r="C2" s="7"/>
      <c r="D2" s="7"/>
      <c r="E2" s="7"/>
    </row>
    <row r="3" customFormat="false" ht="15" hidden="false" customHeight="false" outlineLevel="0" collapsed="false">
      <c r="A3" s="7"/>
      <c r="B3" s="7"/>
      <c r="C3" s="7"/>
      <c r="D3" s="7"/>
      <c r="E3" s="7"/>
    </row>
    <row r="4" customFormat="false" ht="15" hidden="false" customHeight="false" outlineLevel="0" collapsed="false">
      <c r="A4" s="7"/>
      <c r="B4" s="7"/>
      <c r="C4" s="7"/>
      <c r="D4" s="7"/>
      <c r="E4" s="7"/>
    </row>
    <row r="5" customFormat="false" ht="15" hidden="false" customHeight="false" outlineLevel="0" collapsed="false">
      <c r="A5" s="17" t="s">
        <v>176</v>
      </c>
      <c r="B5" s="17" t="s">
        <v>177</v>
      </c>
      <c r="C5" s="17" t="s">
        <v>178</v>
      </c>
      <c r="D5" s="17" t="s">
        <v>179</v>
      </c>
      <c r="E5" s="17" t="s">
        <v>180</v>
      </c>
    </row>
    <row r="6" customFormat="false" ht="15" hidden="false" customHeight="false" outlineLevel="0" collapsed="false">
      <c r="A6" s="21" t="n">
        <v>45627</v>
      </c>
      <c r="B6" s="4" t="s">
        <v>62</v>
      </c>
      <c r="C6" s="22" t="n">
        <v>418594.15</v>
      </c>
      <c r="D6" s="5" t="str">
        <f aca="false">IF(B6="","",IFERROR(INDEX(DE_PARA!$B$6:$B$205,MATCH(B6,DE_PARA!$A$6:$A$205,0)),"SEM DE-PARA"))</f>
        <v>PROJETOS</v>
      </c>
      <c r="E6" s="23" t="n">
        <f aca="false">IF(A6="","",DATE(YEAR(A6),MONTH(A6),1))</f>
        <v>45627</v>
      </c>
    </row>
    <row r="7" customFormat="false" ht="15" hidden="false" customHeight="false" outlineLevel="0" collapsed="false">
      <c r="A7" s="21" t="n">
        <v>45658</v>
      </c>
      <c r="B7" s="4" t="s">
        <v>62</v>
      </c>
      <c r="C7" s="22" t="n">
        <v>10917.03</v>
      </c>
      <c r="D7" s="5" t="str">
        <f aca="false">IF(B7="","",IFERROR(INDEX(DE_PARA!$B$6:$B$205,MATCH(B7,DE_PARA!$A$6:$A$205,0)),"SEM DE-PARA"))</f>
        <v>PROJETOS</v>
      </c>
      <c r="E7" s="23" t="n">
        <f aca="false">IF(A7="","",DATE(YEAR(A7),MONTH(A7),1))</f>
        <v>45658</v>
      </c>
    </row>
    <row r="8" customFormat="false" ht="15" hidden="false" customHeight="false" outlineLevel="0" collapsed="false">
      <c r="A8" s="21" t="n">
        <v>45689</v>
      </c>
      <c r="B8" s="4" t="s">
        <v>62</v>
      </c>
      <c r="C8" s="22" t="n">
        <v>263811.08</v>
      </c>
      <c r="D8" s="5" t="str">
        <f aca="false">IF(B8="","",IFERROR(INDEX(DE_PARA!$B$6:$B$205,MATCH(B8,DE_PARA!$A$6:$A$205,0)),"SEM DE-PARA"))</f>
        <v>PROJETOS</v>
      </c>
      <c r="E8" s="23" t="n">
        <f aca="false">IF(A8="","",DATE(YEAR(A8),MONTH(A8),1))</f>
        <v>45689</v>
      </c>
    </row>
    <row r="9" customFormat="false" ht="15" hidden="false" customHeight="false" outlineLevel="0" collapsed="false">
      <c r="A9" s="21" t="n">
        <v>45717</v>
      </c>
      <c r="B9" s="4" t="s">
        <v>62</v>
      </c>
      <c r="C9" s="22" t="n">
        <v>95377.59</v>
      </c>
      <c r="D9" s="5" t="str">
        <f aca="false">IF(B9="","",IFERROR(INDEX(DE_PARA!$B$6:$B$205,MATCH(B9,DE_PARA!$A$6:$A$205,0)),"SEM DE-PARA"))</f>
        <v>PROJETOS</v>
      </c>
      <c r="E9" s="23" t="n">
        <f aca="false">IF(A9="","",DATE(YEAR(A9),MONTH(A9),1))</f>
        <v>45717</v>
      </c>
    </row>
    <row r="10" customFormat="false" ht="15" hidden="false" customHeight="false" outlineLevel="0" collapsed="false">
      <c r="A10" s="21" t="n">
        <v>45748</v>
      </c>
      <c r="B10" s="4" t="s">
        <v>62</v>
      </c>
      <c r="C10" s="22" t="n">
        <v>152105.86</v>
      </c>
      <c r="D10" s="5" t="str">
        <f aca="false">IF(B10="","",IFERROR(INDEX(DE_PARA!$B$6:$B$205,MATCH(B10,DE_PARA!$A$6:$A$205,0)),"SEM DE-PARA"))</f>
        <v>PROJETOS</v>
      </c>
      <c r="E10" s="23" t="n">
        <f aca="false">IF(A10="","",DATE(YEAR(A10),MONTH(A10),1))</f>
        <v>45748</v>
      </c>
    </row>
    <row r="11" customFormat="false" ht="15" hidden="false" customHeight="false" outlineLevel="0" collapsed="false">
      <c r="A11" s="21" t="n">
        <v>45778</v>
      </c>
      <c r="B11" s="4" t="s">
        <v>62</v>
      </c>
      <c r="C11" s="22" t="n">
        <v>202477.1</v>
      </c>
      <c r="D11" s="5" t="str">
        <f aca="false">IF(B11="","",IFERROR(INDEX(DE_PARA!$B$6:$B$205,MATCH(B11,DE_PARA!$A$6:$A$205,0)),"SEM DE-PARA"))</f>
        <v>PROJETOS</v>
      </c>
      <c r="E11" s="23" t="n">
        <f aca="false">IF(A11="","",DATE(YEAR(A11),MONTH(A11),1))</f>
        <v>45778</v>
      </c>
    </row>
    <row r="12" customFormat="false" ht="15" hidden="false" customHeight="false" outlineLevel="0" collapsed="false">
      <c r="A12" s="21" t="n">
        <v>45809</v>
      </c>
      <c r="B12" s="4" t="s">
        <v>62</v>
      </c>
      <c r="C12" s="22" t="n">
        <v>65133.61</v>
      </c>
      <c r="D12" s="5" t="str">
        <f aca="false">IF(B12="","",IFERROR(INDEX(DE_PARA!$B$6:$B$205,MATCH(B12,DE_PARA!$A$6:$A$205,0)),"SEM DE-PARA"))</f>
        <v>PROJETOS</v>
      </c>
      <c r="E12" s="23" t="n">
        <f aca="false">IF(A12="","",DATE(YEAR(A12),MONTH(A12),1))</f>
        <v>45809</v>
      </c>
    </row>
    <row r="13" customFormat="false" ht="15" hidden="false" customHeight="false" outlineLevel="0" collapsed="false">
      <c r="A13" s="21" t="n">
        <v>45839</v>
      </c>
      <c r="B13" s="4" t="s">
        <v>62</v>
      </c>
      <c r="C13" s="22" t="n">
        <v>46336.42</v>
      </c>
      <c r="D13" s="5" t="str">
        <f aca="false">IF(B13="","",IFERROR(INDEX(DE_PARA!$B$6:$B$205,MATCH(B13,DE_PARA!$A$6:$A$205,0)),"SEM DE-PARA"))</f>
        <v>PROJETOS</v>
      </c>
      <c r="E13" s="23" t="n">
        <f aca="false">IF(A13="","",DATE(YEAR(A13),MONTH(A13),1))</f>
        <v>45839</v>
      </c>
    </row>
    <row r="14" customFormat="false" ht="15" hidden="false" customHeight="false" outlineLevel="0" collapsed="false">
      <c r="A14" s="21" t="n">
        <v>45870</v>
      </c>
      <c r="B14" s="4" t="s">
        <v>62</v>
      </c>
      <c r="C14" s="22" t="n">
        <v>89390.73</v>
      </c>
      <c r="D14" s="5" t="str">
        <f aca="false">IF(B14="","",IFERROR(INDEX(DE_PARA!$B$6:$B$205,MATCH(B14,DE_PARA!$A$6:$A$205,0)),"SEM DE-PARA"))</f>
        <v>PROJETOS</v>
      </c>
      <c r="E14" s="23" t="n">
        <f aca="false">IF(A14="","",DATE(YEAR(A14),MONTH(A14),1))</f>
        <v>45870</v>
      </c>
    </row>
    <row r="15" customFormat="false" ht="15" hidden="false" customHeight="false" outlineLevel="0" collapsed="false">
      <c r="A15" s="21" t="n">
        <v>45901</v>
      </c>
      <c r="B15" s="4" t="s">
        <v>62</v>
      </c>
      <c r="C15" s="22" t="n">
        <v>31201.11</v>
      </c>
      <c r="D15" s="5" t="str">
        <f aca="false">IF(B15="","",IFERROR(INDEX(DE_PARA!$B$6:$B$205,MATCH(B15,DE_PARA!$A$6:$A$205,0)),"SEM DE-PARA"))</f>
        <v>PROJETOS</v>
      </c>
      <c r="E15" s="23" t="n">
        <f aca="false">IF(A15="","",DATE(YEAR(A15),MONTH(A15),1))</f>
        <v>45901</v>
      </c>
    </row>
    <row r="16" customFormat="false" ht="15" hidden="false" customHeight="false" outlineLevel="0" collapsed="false">
      <c r="A16" s="21" t="n">
        <v>45931</v>
      </c>
      <c r="B16" s="4" t="s">
        <v>62</v>
      </c>
      <c r="C16" s="22" t="n">
        <v>59081.79</v>
      </c>
      <c r="D16" s="5" t="str">
        <f aca="false">IF(B16="","",IFERROR(INDEX(DE_PARA!$B$6:$B$205,MATCH(B16,DE_PARA!$A$6:$A$205,0)),"SEM DE-PARA"))</f>
        <v>PROJETOS</v>
      </c>
      <c r="E16" s="23" t="n">
        <f aca="false">IF(A16="","",DATE(YEAR(A16),MONTH(A16),1))</f>
        <v>45931</v>
      </c>
    </row>
    <row r="17" customFormat="false" ht="15" hidden="false" customHeight="false" outlineLevel="0" collapsed="false">
      <c r="A17" s="21" t="n">
        <v>45962</v>
      </c>
      <c r="B17" s="4" t="s">
        <v>62</v>
      </c>
      <c r="C17" s="22" t="n">
        <v>118743.26</v>
      </c>
      <c r="D17" s="5" t="str">
        <f aca="false">IF(B17="","",IFERROR(INDEX(DE_PARA!$B$6:$B$205,MATCH(B17,DE_PARA!$A$6:$A$205,0)),"SEM DE-PARA"))</f>
        <v>PROJETOS</v>
      </c>
      <c r="E17" s="23" t="n">
        <f aca="false">IF(A17="","",DATE(YEAR(A17),MONTH(A17),1))</f>
        <v>45962</v>
      </c>
    </row>
    <row r="18" customFormat="false" ht="15" hidden="false" customHeight="false" outlineLevel="0" collapsed="false">
      <c r="A18" s="21" t="n">
        <v>45992</v>
      </c>
      <c r="B18" s="4" t="s">
        <v>62</v>
      </c>
      <c r="C18" s="22" t="n">
        <v>73812.68</v>
      </c>
      <c r="D18" s="5" t="str">
        <f aca="false">IF(B18="","",IFERROR(INDEX(DE_PARA!$B$6:$B$205,MATCH(B18,DE_PARA!$A$6:$A$205,0)),"SEM DE-PARA"))</f>
        <v>PROJETOS</v>
      </c>
      <c r="E18" s="23" t="n">
        <f aca="false">IF(A18="","",DATE(YEAR(A18),MONTH(A18),1))</f>
        <v>45992</v>
      </c>
    </row>
    <row r="19" customFormat="false" ht="15" hidden="false" customHeight="false" outlineLevel="0" collapsed="false">
      <c r="A19" s="21" t="n">
        <v>46023</v>
      </c>
      <c r="B19" s="4" t="s">
        <v>62</v>
      </c>
      <c r="C19" s="22" t="n">
        <v>141055.81</v>
      </c>
      <c r="D19" s="5" t="str">
        <f aca="false">IF(B19="","",IFERROR(INDEX(DE_PARA!$B$6:$B$205,MATCH(B19,DE_PARA!$A$6:$A$205,0)),"SEM DE-PARA"))</f>
        <v>PROJETOS</v>
      </c>
      <c r="E19" s="23" t="n">
        <f aca="false">IF(A19="","",DATE(YEAR(A19),MONTH(A19),1))</f>
        <v>46023</v>
      </c>
    </row>
    <row r="20" customFormat="false" ht="15" hidden="false" customHeight="false" outlineLevel="0" collapsed="false">
      <c r="A20" s="21" t="n">
        <v>46054</v>
      </c>
      <c r="B20" s="4" t="s">
        <v>62</v>
      </c>
      <c r="C20" s="22" t="n">
        <v>93013.12</v>
      </c>
      <c r="D20" s="5" t="str">
        <f aca="false">IF(B20="","",IFERROR(INDEX(DE_PARA!$B$6:$B$205,MATCH(B20,DE_PARA!$A$6:$A$205,0)),"SEM DE-PARA"))</f>
        <v>PROJETOS</v>
      </c>
      <c r="E20" s="23" t="n">
        <f aca="false">IF(A20="","",DATE(YEAR(A20),MONTH(A20),1))</f>
        <v>46054</v>
      </c>
    </row>
    <row r="21" customFormat="false" ht="15" hidden="false" customHeight="false" outlineLevel="0" collapsed="false">
      <c r="A21" s="21" t="n">
        <v>46082</v>
      </c>
      <c r="B21" s="4" t="s">
        <v>62</v>
      </c>
      <c r="C21" s="22" t="n">
        <v>46600</v>
      </c>
      <c r="D21" s="5" t="str">
        <f aca="false">IF(B21="","",IFERROR(INDEX(DE_PARA!$B$6:$B$205,MATCH(B21,DE_PARA!$A$6:$A$205,0)),"SEM DE-PARA"))</f>
        <v>PROJETOS</v>
      </c>
      <c r="E21" s="23" t="n">
        <f aca="false">IF(A21="","",DATE(YEAR(A21),MONTH(A21),1))</f>
        <v>46082</v>
      </c>
    </row>
    <row r="22" customFormat="false" ht="15" hidden="false" customHeight="false" outlineLevel="0" collapsed="false">
      <c r="A22" s="21" t="n">
        <v>46113</v>
      </c>
      <c r="B22" s="4" t="s">
        <v>62</v>
      </c>
      <c r="C22" s="22" t="n">
        <v>145577.73</v>
      </c>
      <c r="D22" s="5" t="str">
        <f aca="false">IF(B22="","",IFERROR(INDEX(DE_PARA!$B$6:$B$205,MATCH(B22,DE_PARA!$A$6:$A$205,0)),"SEM DE-PARA"))</f>
        <v>PROJETOS</v>
      </c>
      <c r="E22" s="23" t="n">
        <f aca="false">IF(A22="","",DATE(YEAR(A22),MONTH(A22),1))</f>
        <v>46113</v>
      </c>
    </row>
    <row r="23" customFormat="false" ht="15" hidden="false" customHeight="false" outlineLevel="0" collapsed="false">
      <c r="A23" s="21" t="n">
        <v>46143</v>
      </c>
      <c r="B23" s="4" t="s">
        <v>62</v>
      </c>
      <c r="C23" s="22" t="n">
        <v>925</v>
      </c>
      <c r="D23" s="5" t="str">
        <f aca="false">IF(B23="","",IFERROR(INDEX(DE_PARA!$B$6:$B$205,MATCH(B23,DE_PARA!$A$6:$A$205,0)),"SEM DE-PARA"))</f>
        <v>PROJETOS</v>
      </c>
      <c r="E23" s="23" t="n">
        <f aca="false">IF(A23="","",DATE(YEAR(A23),MONTH(A23),1))</f>
        <v>46143</v>
      </c>
    </row>
    <row r="24" customFormat="false" ht="15" hidden="false" customHeight="false" outlineLevel="0" collapsed="false">
      <c r="A24" s="21" t="n">
        <v>46174</v>
      </c>
      <c r="B24" s="4" t="s">
        <v>62</v>
      </c>
      <c r="C24" s="22" t="n">
        <v>925</v>
      </c>
      <c r="D24" s="5" t="str">
        <f aca="false">IF(B24="","",IFERROR(INDEX(DE_PARA!$B$6:$B$205,MATCH(B24,DE_PARA!$A$6:$A$205,0)),"SEM DE-PARA"))</f>
        <v>PROJETOS</v>
      </c>
      <c r="E24" s="23" t="n">
        <f aca="false">IF(A24="","",DATE(YEAR(A24),MONTH(A24),1))</f>
        <v>46174</v>
      </c>
    </row>
    <row r="25" customFormat="false" ht="15" hidden="false" customHeight="false" outlineLevel="0" collapsed="false">
      <c r="A25" s="21" t="n">
        <v>46204</v>
      </c>
      <c r="B25" s="4" t="s">
        <v>62</v>
      </c>
      <c r="C25" s="22" t="n">
        <v>17537.85</v>
      </c>
      <c r="D25" s="5" t="str">
        <f aca="false">IF(B25="","",IFERROR(INDEX(DE_PARA!$B$6:$B$205,MATCH(B25,DE_PARA!$A$6:$A$205,0)),"SEM DE-PARA"))</f>
        <v>PROJETOS</v>
      </c>
      <c r="E25" s="23" t="n">
        <f aca="false">IF(A25="","",DATE(YEAR(A25),MONTH(A25),1))</f>
        <v>46204</v>
      </c>
    </row>
    <row r="26" customFormat="false" ht="15" hidden="false" customHeight="false" outlineLevel="0" collapsed="false">
      <c r="A26" s="21" t="n">
        <v>46235</v>
      </c>
      <c r="B26" s="4" t="s">
        <v>62</v>
      </c>
      <c r="C26" s="22" t="n">
        <v>33676.72</v>
      </c>
      <c r="D26" s="5" t="str">
        <f aca="false">IF(B26="","",IFERROR(INDEX(DE_PARA!$B$6:$B$205,MATCH(B26,DE_PARA!$A$6:$A$205,0)),"SEM DE-PARA"))</f>
        <v>PROJETOS</v>
      </c>
      <c r="E26" s="23" t="n">
        <f aca="false">IF(A26="","",DATE(YEAR(A26),MONTH(A26),1))</f>
        <v>46235</v>
      </c>
    </row>
    <row r="27" customFormat="false" ht="15" hidden="false" customHeight="false" outlineLevel="0" collapsed="false">
      <c r="A27" s="21" t="n">
        <v>46266</v>
      </c>
      <c r="B27" s="4" t="s">
        <v>62</v>
      </c>
      <c r="C27" s="22" t="n">
        <v>1046.09</v>
      </c>
      <c r="D27" s="5" t="str">
        <f aca="false">IF(B27="","",IFERROR(INDEX(DE_PARA!$B$6:$B$205,MATCH(B27,DE_PARA!$A$6:$A$205,0)),"SEM DE-PARA"))</f>
        <v>PROJETOS</v>
      </c>
      <c r="E27" s="23" t="n">
        <f aca="false">IF(A27="","",DATE(YEAR(A27),MONTH(A27),1))</f>
        <v>46266</v>
      </c>
    </row>
    <row r="28" customFormat="false" ht="15" hidden="false" customHeight="false" outlineLevel="0" collapsed="false">
      <c r="A28" s="21" t="n">
        <v>45627</v>
      </c>
      <c r="B28" s="4" t="s">
        <v>68</v>
      </c>
      <c r="C28" s="22" t="n">
        <v>154.1</v>
      </c>
      <c r="D28" s="5" t="str">
        <f aca="false">IF(B28="","",IFERROR(INDEX(DE_PARA!$B$6:$B$205,MATCH(B28,DE_PARA!$A$6:$A$205,0)),"SEM DE-PARA"))</f>
        <v>TAXAS DIVERSAS</v>
      </c>
      <c r="E28" s="23" t="n">
        <f aca="false">IF(A28="","",DATE(YEAR(A28),MONTH(A28),1))</f>
        <v>45627</v>
      </c>
    </row>
    <row r="29" customFormat="false" ht="15" hidden="false" customHeight="false" outlineLevel="0" collapsed="false">
      <c r="A29" s="21" t="n">
        <v>45658</v>
      </c>
      <c r="B29" s="4" t="s">
        <v>68</v>
      </c>
      <c r="C29" s="22" t="n">
        <v>40.62</v>
      </c>
      <c r="D29" s="5" t="str">
        <f aca="false">IF(B29="","",IFERROR(INDEX(DE_PARA!$B$6:$B$205,MATCH(B29,DE_PARA!$A$6:$A$205,0)),"SEM DE-PARA"))</f>
        <v>TAXAS DIVERSAS</v>
      </c>
      <c r="E29" s="23" t="n">
        <f aca="false">IF(A29="","",DATE(YEAR(A29),MONTH(A29),1))</f>
        <v>45658</v>
      </c>
    </row>
    <row r="30" customFormat="false" ht="15" hidden="false" customHeight="false" outlineLevel="0" collapsed="false">
      <c r="A30" s="21" t="n">
        <v>45809</v>
      </c>
      <c r="B30" s="4" t="s">
        <v>68</v>
      </c>
      <c r="C30" s="22" t="n">
        <v>64.24</v>
      </c>
      <c r="D30" s="5" t="str">
        <f aca="false">IF(B30="","",IFERROR(INDEX(DE_PARA!$B$6:$B$205,MATCH(B30,DE_PARA!$A$6:$A$205,0)),"SEM DE-PARA"))</f>
        <v>TAXAS DIVERSAS</v>
      </c>
      <c r="E30" s="23" t="n">
        <f aca="false">IF(A30="","",DATE(YEAR(A30),MONTH(A30),1))</f>
        <v>45809</v>
      </c>
    </row>
    <row r="31" customFormat="false" ht="15" hidden="false" customHeight="false" outlineLevel="0" collapsed="false">
      <c r="A31" s="21" t="n">
        <v>45962</v>
      </c>
      <c r="B31" s="4" t="s">
        <v>68</v>
      </c>
      <c r="C31" s="22" t="n">
        <v>103.03</v>
      </c>
      <c r="D31" s="5" t="str">
        <f aca="false">IF(B31="","",IFERROR(INDEX(DE_PARA!$B$6:$B$205,MATCH(B31,DE_PARA!$A$6:$A$205,0)),"SEM DE-PARA"))</f>
        <v>TAXAS DIVERSAS</v>
      </c>
      <c r="E31" s="23" t="n">
        <f aca="false">IF(A31="","",DATE(YEAR(A31),MONTH(A31),1))</f>
        <v>45962</v>
      </c>
    </row>
    <row r="32" customFormat="false" ht="15" hidden="false" customHeight="false" outlineLevel="0" collapsed="false">
      <c r="A32" s="21" t="n">
        <v>46235</v>
      </c>
      <c r="B32" s="4" t="s">
        <v>68</v>
      </c>
      <c r="C32" s="22" t="n">
        <v>5543.2</v>
      </c>
      <c r="D32" s="5" t="str">
        <f aca="false">IF(B32="","",IFERROR(INDEX(DE_PARA!$B$6:$B$205,MATCH(B32,DE_PARA!$A$6:$A$205,0)),"SEM DE-PARA"))</f>
        <v>TAXAS DIVERSAS</v>
      </c>
      <c r="E32" s="23" t="n">
        <f aca="false">IF(A32="","",DATE(YEAR(A32),MONTH(A32),1))</f>
        <v>46235</v>
      </c>
    </row>
    <row r="33" customFormat="false" ht="15" hidden="false" customHeight="false" outlineLevel="0" collapsed="false">
      <c r="A33" s="21" t="n">
        <v>45627</v>
      </c>
      <c r="B33" s="4" t="s">
        <v>71</v>
      </c>
      <c r="C33" s="22" t="n">
        <v>61380.97</v>
      </c>
      <c r="D33" s="5" t="str">
        <f aca="false">IF(B33="","",IFERROR(INDEX(DE_PARA!$B$6:$B$205,MATCH(B33,DE_PARA!$A$6:$A$205,0)),"SEM DE-PARA"))</f>
        <v>BARRACAO DE OBRA</v>
      </c>
      <c r="E33" s="23" t="n">
        <f aca="false">IF(A33="","",DATE(YEAR(A33),MONTH(A33),1))</f>
        <v>45627</v>
      </c>
    </row>
    <row r="34" customFormat="false" ht="15" hidden="false" customHeight="false" outlineLevel="0" collapsed="false">
      <c r="A34" s="21" t="n">
        <v>45809</v>
      </c>
      <c r="B34" s="4" t="s">
        <v>71</v>
      </c>
      <c r="C34" s="22" t="n">
        <v>61557.78</v>
      </c>
      <c r="D34" s="5" t="str">
        <f aca="false">IF(B34="","",IFERROR(INDEX(DE_PARA!$B$6:$B$205,MATCH(B34,DE_PARA!$A$6:$A$205,0)),"SEM DE-PARA"))</f>
        <v>BARRACAO DE OBRA</v>
      </c>
      <c r="E34" s="23" t="n">
        <f aca="false">IF(A34="","",DATE(YEAR(A34),MONTH(A34),1))</f>
        <v>45809</v>
      </c>
    </row>
    <row r="35" customFormat="false" ht="15" hidden="false" customHeight="false" outlineLevel="0" collapsed="false">
      <c r="A35" s="21" t="n">
        <v>45839</v>
      </c>
      <c r="B35" s="4" t="s">
        <v>71</v>
      </c>
      <c r="C35" s="22" t="n">
        <v>70633.03</v>
      </c>
      <c r="D35" s="5" t="str">
        <f aca="false">IF(B35="","",IFERROR(INDEX(DE_PARA!$B$6:$B$205,MATCH(B35,DE_PARA!$A$6:$A$205,0)),"SEM DE-PARA"))</f>
        <v>BARRACAO DE OBRA</v>
      </c>
      <c r="E35" s="23" t="n">
        <f aca="false">IF(A35="","",DATE(YEAR(A35),MONTH(A35),1))</f>
        <v>45839</v>
      </c>
    </row>
    <row r="36" customFormat="false" ht="15" hidden="false" customHeight="false" outlineLevel="0" collapsed="false">
      <c r="A36" s="21" t="n">
        <v>45870</v>
      </c>
      <c r="B36" s="4" t="s">
        <v>71</v>
      </c>
      <c r="C36" s="22" t="n">
        <v>66792.52</v>
      </c>
      <c r="D36" s="5" t="str">
        <f aca="false">IF(B36="","",IFERROR(INDEX(DE_PARA!$B$6:$B$205,MATCH(B36,DE_PARA!$A$6:$A$205,0)),"SEM DE-PARA"))</f>
        <v>BARRACAO DE OBRA</v>
      </c>
      <c r="E36" s="23" t="n">
        <f aca="false">IF(A36="","",DATE(YEAR(A36),MONTH(A36),1))</f>
        <v>45870</v>
      </c>
    </row>
    <row r="37" customFormat="false" ht="15" hidden="false" customHeight="false" outlineLevel="0" collapsed="false">
      <c r="A37" s="21" t="n">
        <v>45901</v>
      </c>
      <c r="B37" s="4" t="s">
        <v>71</v>
      </c>
      <c r="C37" s="22" t="n">
        <v>71201.4</v>
      </c>
      <c r="D37" s="5" t="str">
        <f aca="false">IF(B37="","",IFERROR(INDEX(DE_PARA!$B$6:$B$205,MATCH(B37,DE_PARA!$A$6:$A$205,0)),"SEM DE-PARA"))</f>
        <v>BARRACAO DE OBRA</v>
      </c>
      <c r="E37" s="23" t="n">
        <f aca="false">IF(A37="","",DATE(YEAR(A37),MONTH(A37),1))</f>
        <v>45901</v>
      </c>
    </row>
    <row r="38" customFormat="false" ht="15" hidden="false" customHeight="false" outlineLevel="0" collapsed="false">
      <c r="A38" s="21" t="n">
        <v>45931</v>
      </c>
      <c r="B38" s="4" t="s">
        <v>71</v>
      </c>
      <c r="C38" s="22" t="n">
        <v>59244.3</v>
      </c>
      <c r="D38" s="5" t="str">
        <f aca="false">IF(B38="","",IFERROR(INDEX(DE_PARA!$B$6:$B$205,MATCH(B38,DE_PARA!$A$6:$A$205,0)),"SEM DE-PARA"))</f>
        <v>BARRACAO DE OBRA</v>
      </c>
      <c r="E38" s="23" t="n">
        <f aca="false">IF(A38="","",DATE(YEAR(A38),MONTH(A38),1))</f>
        <v>45931</v>
      </c>
    </row>
    <row r="39" customFormat="false" ht="15" hidden="false" customHeight="false" outlineLevel="0" collapsed="false">
      <c r="A39" s="21" t="n">
        <v>45962</v>
      </c>
      <c r="B39" s="4" t="s">
        <v>71</v>
      </c>
      <c r="C39" s="22" t="n">
        <v>40715.62</v>
      </c>
      <c r="D39" s="5" t="str">
        <f aca="false">IF(B39="","",IFERROR(INDEX(DE_PARA!$B$6:$B$205,MATCH(B39,DE_PARA!$A$6:$A$205,0)),"SEM DE-PARA"))</f>
        <v>BARRACAO DE OBRA</v>
      </c>
      <c r="E39" s="23" t="n">
        <f aca="false">IF(A39="","",DATE(YEAR(A39),MONTH(A39),1))</f>
        <v>45962</v>
      </c>
    </row>
    <row r="40" customFormat="false" ht="15" hidden="false" customHeight="false" outlineLevel="0" collapsed="false">
      <c r="A40" s="21" t="n">
        <v>45992</v>
      </c>
      <c r="B40" s="4" t="s">
        <v>71</v>
      </c>
      <c r="C40" s="22" t="n">
        <v>51460.01</v>
      </c>
      <c r="D40" s="5" t="str">
        <f aca="false">IF(B40="","",IFERROR(INDEX(DE_PARA!$B$6:$B$205,MATCH(B40,DE_PARA!$A$6:$A$205,0)),"SEM DE-PARA"))</f>
        <v>BARRACAO DE OBRA</v>
      </c>
      <c r="E40" s="23" t="n">
        <f aca="false">IF(A40="","",DATE(YEAR(A40),MONTH(A40),1))</f>
        <v>45992</v>
      </c>
    </row>
    <row r="41" customFormat="false" ht="15" hidden="false" customHeight="false" outlineLevel="0" collapsed="false">
      <c r="A41" s="21" t="n">
        <v>46023</v>
      </c>
      <c r="B41" s="4" t="s">
        <v>71</v>
      </c>
      <c r="C41" s="22" t="n">
        <v>22683.91</v>
      </c>
      <c r="D41" s="5" t="str">
        <f aca="false">IF(B41="","",IFERROR(INDEX(DE_PARA!$B$6:$B$205,MATCH(B41,DE_PARA!$A$6:$A$205,0)),"SEM DE-PARA"))</f>
        <v>BARRACAO DE OBRA</v>
      </c>
      <c r="E41" s="23" t="n">
        <f aca="false">IF(A41="","",DATE(YEAR(A41),MONTH(A41),1))</f>
        <v>46023</v>
      </c>
    </row>
    <row r="42" customFormat="false" ht="15" hidden="false" customHeight="false" outlineLevel="0" collapsed="false">
      <c r="A42" s="21" t="n">
        <v>46054</v>
      </c>
      <c r="B42" s="4" t="s">
        <v>71</v>
      </c>
      <c r="C42" s="22" t="n">
        <v>17563.67</v>
      </c>
      <c r="D42" s="5" t="str">
        <f aca="false">IF(B42="","",IFERROR(INDEX(DE_PARA!$B$6:$B$205,MATCH(B42,DE_PARA!$A$6:$A$205,0)),"SEM DE-PARA"))</f>
        <v>BARRACAO DE OBRA</v>
      </c>
      <c r="E42" s="23" t="n">
        <f aca="false">IF(A42="","",DATE(YEAR(A42),MONTH(A42),1))</f>
        <v>46054</v>
      </c>
    </row>
    <row r="43" customFormat="false" ht="15" hidden="false" customHeight="false" outlineLevel="0" collapsed="false">
      <c r="A43" s="21" t="n">
        <v>46082</v>
      </c>
      <c r="B43" s="4" t="s">
        <v>71</v>
      </c>
      <c r="C43" s="22" t="n">
        <v>14403.47</v>
      </c>
      <c r="D43" s="5" t="str">
        <f aca="false">IF(B43="","",IFERROR(INDEX(DE_PARA!$B$6:$B$205,MATCH(B43,DE_PARA!$A$6:$A$205,0)),"SEM DE-PARA"))</f>
        <v>BARRACAO DE OBRA</v>
      </c>
      <c r="E43" s="23" t="n">
        <f aca="false">IF(A43="","",DATE(YEAR(A43),MONTH(A43),1))</f>
        <v>46082</v>
      </c>
    </row>
    <row r="44" customFormat="false" ht="15" hidden="false" customHeight="false" outlineLevel="0" collapsed="false">
      <c r="A44" s="21" t="n">
        <v>46113</v>
      </c>
      <c r="B44" s="4" t="s">
        <v>71</v>
      </c>
      <c r="C44" s="22" t="n">
        <v>13639.33</v>
      </c>
      <c r="D44" s="5" t="str">
        <f aca="false">IF(B44="","",IFERROR(INDEX(DE_PARA!$B$6:$B$205,MATCH(B44,DE_PARA!$A$6:$A$205,0)),"SEM DE-PARA"))</f>
        <v>BARRACAO DE OBRA</v>
      </c>
      <c r="E44" s="23" t="n">
        <f aca="false">IF(A44="","",DATE(YEAR(A44),MONTH(A44),1))</f>
        <v>46113</v>
      </c>
    </row>
    <row r="45" customFormat="false" ht="15" hidden="false" customHeight="false" outlineLevel="0" collapsed="false">
      <c r="A45" s="21" t="n">
        <v>46143</v>
      </c>
      <c r="B45" s="4" t="s">
        <v>71</v>
      </c>
      <c r="C45" s="22" t="n">
        <v>19885.18</v>
      </c>
      <c r="D45" s="5" t="str">
        <f aca="false">IF(B45="","",IFERROR(INDEX(DE_PARA!$B$6:$B$205,MATCH(B45,DE_PARA!$A$6:$A$205,0)),"SEM DE-PARA"))</f>
        <v>BARRACAO DE OBRA</v>
      </c>
      <c r="E45" s="23" t="n">
        <f aca="false">IF(A45="","",DATE(YEAR(A45),MONTH(A45),1))</f>
        <v>46143</v>
      </c>
    </row>
    <row r="46" customFormat="false" ht="15" hidden="false" customHeight="false" outlineLevel="0" collapsed="false">
      <c r="A46" s="21" t="n">
        <v>46174</v>
      </c>
      <c r="B46" s="4" t="s">
        <v>71</v>
      </c>
      <c r="C46" s="22" t="n">
        <v>14872.41</v>
      </c>
      <c r="D46" s="5" t="str">
        <f aca="false">IF(B46="","",IFERROR(INDEX(DE_PARA!$B$6:$B$205,MATCH(B46,DE_PARA!$A$6:$A$205,0)),"SEM DE-PARA"))</f>
        <v>BARRACAO DE OBRA</v>
      </c>
      <c r="E46" s="23" t="n">
        <f aca="false">IF(A46="","",DATE(YEAR(A46),MONTH(A46),1))</f>
        <v>46174</v>
      </c>
    </row>
    <row r="47" customFormat="false" ht="15" hidden="false" customHeight="false" outlineLevel="0" collapsed="false">
      <c r="A47" s="21" t="n">
        <v>46204</v>
      </c>
      <c r="B47" s="4" t="s">
        <v>71</v>
      </c>
      <c r="C47" s="22" t="n">
        <v>28641.88</v>
      </c>
      <c r="D47" s="5" t="str">
        <f aca="false">IF(B47="","",IFERROR(INDEX(DE_PARA!$B$6:$B$205,MATCH(B47,DE_PARA!$A$6:$A$205,0)),"SEM DE-PARA"))</f>
        <v>BARRACAO DE OBRA</v>
      </c>
      <c r="E47" s="23" t="n">
        <f aca="false">IF(A47="","",DATE(YEAR(A47),MONTH(A47),1))</f>
        <v>46204</v>
      </c>
    </row>
    <row r="48" customFormat="false" ht="15" hidden="false" customHeight="false" outlineLevel="0" collapsed="false">
      <c r="A48" s="21" t="n">
        <v>46235</v>
      </c>
      <c r="B48" s="4" t="s">
        <v>71</v>
      </c>
      <c r="C48" s="22" t="n">
        <v>16434.13</v>
      </c>
      <c r="D48" s="5" t="str">
        <f aca="false">IF(B48="","",IFERROR(INDEX(DE_PARA!$B$6:$B$205,MATCH(B48,DE_PARA!$A$6:$A$205,0)),"SEM DE-PARA"))</f>
        <v>BARRACAO DE OBRA</v>
      </c>
      <c r="E48" s="23" t="n">
        <f aca="false">IF(A48="","",DATE(YEAR(A48),MONTH(A48),1))</f>
        <v>46235</v>
      </c>
    </row>
    <row r="49" customFormat="false" ht="15" hidden="false" customHeight="false" outlineLevel="0" collapsed="false">
      <c r="A49" s="21" t="n">
        <v>46266</v>
      </c>
      <c r="B49" s="4" t="s">
        <v>71</v>
      </c>
      <c r="C49" s="22" t="n">
        <v>18163.95</v>
      </c>
      <c r="D49" s="5" t="str">
        <f aca="false">IF(B49="","",IFERROR(INDEX(DE_PARA!$B$6:$B$205,MATCH(B49,DE_PARA!$A$6:$A$205,0)),"SEM DE-PARA"))</f>
        <v>BARRACAO DE OBRA</v>
      </c>
      <c r="E49" s="23" t="n">
        <f aca="false">IF(A49="","",DATE(YEAR(A49),MONTH(A49),1))</f>
        <v>46266</v>
      </c>
    </row>
    <row r="50" customFormat="false" ht="15" hidden="false" customHeight="false" outlineLevel="0" collapsed="false">
      <c r="A50" s="21" t="n">
        <v>46296</v>
      </c>
      <c r="B50" s="4" t="s">
        <v>71</v>
      </c>
      <c r="C50" s="22" t="n">
        <v>1127.94</v>
      </c>
      <c r="D50" s="5" t="str">
        <f aca="false">IF(B50="","",IFERROR(INDEX(DE_PARA!$B$6:$B$205,MATCH(B50,DE_PARA!$A$6:$A$205,0)),"SEM DE-PARA"))</f>
        <v>BARRACAO DE OBRA</v>
      </c>
      <c r="E50" s="23" t="n">
        <f aca="false">IF(A50="","",DATE(YEAR(A50),MONTH(A50),1))</f>
        <v>46296</v>
      </c>
    </row>
    <row r="51" customFormat="false" ht="15" hidden="false" customHeight="false" outlineLevel="0" collapsed="false">
      <c r="A51" s="21" t="n">
        <v>46357</v>
      </c>
      <c r="B51" s="4" t="s">
        <v>71</v>
      </c>
      <c r="C51" s="22" t="n">
        <v>1880.2</v>
      </c>
      <c r="D51" s="5" t="str">
        <f aca="false">IF(B51="","",IFERROR(INDEX(DE_PARA!$B$6:$B$205,MATCH(B51,DE_PARA!$A$6:$A$205,0)),"SEM DE-PARA"))</f>
        <v>BARRACAO DE OBRA</v>
      </c>
      <c r="E51" s="23" t="n">
        <f aca="false">IF(A51="","",DATE(YEAR(A51),MONTH(A51),1))</f>
        <v>46357</v>
      </c>
    </row>
    <row r="52" customFormat="false" ht="15" hidden="false" customHeight="false" outlineLevel="0" collapsed="false">
      <c r="A52" s="21" t="n">
        <v>46447</v>
      </c>
      <c r="B52" s="4" t="s">
        <v>71</v>
      </c>
      <c r="C52" s="22" t="n">
        <v>518</v>
      </c>
      <c r="D52" s="5" t="str">
        <f aca="false">IF(B52="","",IFERROR(INDEX(DE_PARA!$B$6:$B$205,MATCH(B52,DE_PARA!$A$6:$A$205,0)),"SEM DE-PARA"))</f>
        <v>BARRACAO DE OBRA</v>
      </c>
      <c r="E52" s="23" t="n">
        <f aca="false">IF(A52="","",DATE(YEAR(A52),MONTH(A52),1))</f>
        <v>46447</v>
      </c>
    </row>
    <row r="53" customFormat="false" ht="15" hidden="false" customHeight="false" outlineLevel="0" collapsed="false">
      <c r="A53" s="21" t="n">
        <v>45931</v>
      </c>
      <c r="B53" s="4" t="s">
        <v>77</v>
      </c>
      <c r="C53" s="22" t="n">
        <v>451.95</v>
      </c>
      <c r="D53" s="5" t="str">
        <f aca="false">IF(B53="","",IFERROR(INDEX(DE_PARA!$B$6:$B$205,MATCH(B53,DE_PARA!$A$6:$A$205,0)),"SEM DE-PARA"))</f>
        <v>CONSUMO DE ÁGUA, ENERGIA, ETC.</v>
      </c>
      <c r="E53" s="23" t="n">
        <f aca="false">IF(A53="","",DATE(YEAR(A53),MONTH(A53),1))</f>
        <v>45931</v>
      </c>
    </row>
    <row r="54" customFormat="false" ht="15" hidden="false" customHeight="false" outlineLevel="0" collapsed="false">
      <c r="A54" s="21" t="n">
        <v>45962</v>
      </c>
      <c r="B54" s="4" t="s">
        <v>77</v>
      </c>
      <c r="C54" s="22" t="n">
        <v>2796.26</v>
      </c>
      <c r="D54" s="5" t="str">
        <f aca="false">IF(B54="","",IFERROR(INDEX(DE_PARA!$B$6:$B$205,MATCH(B54,DE_PARA!$A$6:$A$205,0)),"SEM DE-PARA"))</f>
        <v>CONSUMO DE ÁGUA, ENERGIA, ETC.</v>
      </c>
      <c r="E54" s="23" t="n">
        <f aca="false">IF(A54="","",DATE(YEAR(A54),MONTH(A54),1))</f>
        <v>45962</v>
      </c>
    </row>
    <row r="55" customFormat="false" ht="15" hidden="false" customHeight="false" outlineLevel="0" collapsed="false">
      <c r="A55" s="21" t="n">
        <v>45992</v>
      </c>
      <c r="B55" s="4" t="s">
        <v>77</v>
      </c>
      <c r="C55" s="22" t="n">
        <v>159.9</v>
      </c>
      <c r="D55" s="5" t="str">
        <f aca="false">IF(B55="","",IFERROR(INDEX(DE_PARA!$B$6:$B$205,MATCH(B55,DE_PARA!$A$6:$A$205,0)),"SEM DE-PARA"))</f>
        <v>CONSUMO DE ÁGUA, ENERGIA, ETC.</v>
      </c>
      <c r="E55" s="23" t="n">
        <f aca="false">IF(A55="","",DATE(YEAR(A55),MONTH(A55),1))</f>
        <v>45992</v>
      </c>
    </row>
    <row r="56" customFormat="false" ht="15" hidden="false" customHeight="false" outlineLevel="0" collapsed="false">
      <c r="A56" s="21" t="n">
        <v>46023</v>
      </c>
      <c r="B56" s="4" t="s">
        <v>77</v>
      </c>
      <c r="C56" s="22" t="n">
        <v>2417.06</v>
      </c>
      <c r="D56" s="5" t="str">
        <f aca="false">IF(B56="","",IFERROR(INDEX(DE_PARA!$B$6:$B$205,MATCH(B56,DE_PARA!$A$6:$A$205,0)),"SEM DE-PARA"))</f>
        <v>CONSUMO DE ÁGUA, ENERGIA, ETC.</v>
      </c>
      <c r="E56" s="23" t="n">
        <f aca="false">IF(A56="","",DATE(YEAR(A56),MONTH(A56),1))</f>
        <v>46023</v>
      </c>
    </row>
    <row r="57" customFormat="false" ht="15" hidden="false" customHeight="false" outlineLevel="0" collapsed="false">
      <c r="A57" s="21" t="n">
        <v>46054</v>
      </c>
      <c r="B57" s="4" t="s">
        <v>77</v>
      </c>
      <c r="C57" s="22" t="n">
        <v>1957.61</v>
      </c>
      <c r="D57" s="5" t="str">
        <f aca="false">IF(B57="","",IFERROR(INDEX(DE_PARA!$B$6:$B$205,MATCH(B57,DE_PARA!$A$6:$A$205,0)),"SEM DE-PARA"))</f>
        <v>CONSUMO DE ÁGUA, ENERGIA, ETC.</v>
      </c>
      <c r="E57" s="23" t="n">
        <f aca="false">IF(A57="","",DATE(YEAR(A57),MONTH(A57),1))</f>
        <v>46054</v>
      </c>
    </row>
    <row r="58" customFormat="false" ht="15" hidden="false" customHeight="false" outlineLevel="0" collapsed="false">
      <c r="A58" s="21" t="n">
        <v>46082</v>
      </c>
      <c r="B58" s="4" t="s">
        <v>77</v>
      </c>
      <c r="C58" s="22" t="n">
        <v>2936.03</v>
      </c>
      <c r="D58" s="5" t="str">
        <f aca="false">IF(B58="","",IFERROR(INDEX(DE_PARA!$B$6:$B$205,MATCH(B58,DE_PARA!$A$6:$A$205,0)),"SEM DE-PARA"))</f>
        <v>CONSUMO DE ÁGUA, ENERGIA, ETC.</v>
      </c>
      <c r="E58" s="23" t="n">
        <f aca="false">IF(A58="","",DATE(YEAR(A58),MONTH(A58),1))</f>
        <v>46082</v>
      </c>
    </row>
    <row r="59" customFormat="false" ht="15" hidden="false" customHeight="false" outlineLevel="0" collapsed="false">
      <c r="A59" s="21" t="n">
        <v>46113</v>
      </c>
      <c r="B59" s="4" t="s">
        <v>77</v>
      </c>
      <c r="C59" s="22" t="n">
        <v>1594.43</v>
      </c>
      <c r="D59" s="5" t="str">
        <f aca="false">IF(B59="","",IFERROR(INDEX(DE_PARA!$B$6:$B$205,MATCH(B59,DE_PARA!$A$6:$A$205,0)),"SEM DE-PARA"))</f>
        <v>CONSUMO DE ÁGUA, ENERGIA, ETC.</v>
      </c>
      <c r="E59" s="23" t="n">
        <f aca="false">IF(A59="","",DATE(YEAR(A59),MONTH(A59),1))</f>
        <v>46113</v>
      </c>
    </row>
    <row r="60" customFormat="false" ht="15" hidden="false" customHeight="false" outlineLevel="0" collapsed="false">
      <c r="A60" s="21" t="n">
        <v>46143</v>
      </c>
      <c r="B60" s="4" t="s">
        <v>77</v>
      </c>
      <c r="C60" s="22" t="n">
        <v>6339.97</v>
      </c>
      <c r="D60" s="5" t="str">
        <f aca="false">IF(B60="","",IFERROR(INDEX(DE_PARA!$B$6:$B$205,MATCH(B60,DE_PARA!$A$6:$A$205,0)),"SEM DE-PARA"))</f>
        <v>CONSUMO DE ÁGUA, ENERGIA, ETC.</v>
      </c>
      <c r="E60" s="23" t="n">
        <f aca="false">IF(A60="","",DATE(YEAR(A60),MONTH(A60),1))</f>
        <v>46143</v>
      </c>
    </row>
    <row r="61" customFormat="false" ht="15" hidden="false" customHeight="false" outlineLevel="0" collapsed="false">
      <c r="A61" s="21" t="n">
        <v>46174</v>
      </c>
      <c r="B61" s="4" t="s">
        <v>77</v>
      </c>
      <c r="C61" s="22" t="n">
        <v>2360.61</v>
      </c>
      <c r="D61" s="5" t="str">
        <f aca="false">IF(B61="","",IFERROR(INDEX(DE_PARA!$B$6:$B$205,MATCH(B61,DE_PARA!$A$6:$A$205,0)),"SEM DE-PARA"))</f>
        <v>CONSUMO DE ÁGUA, ENERGIA, ETC.</v>
      </c>
      <c r="E61" s="23" t="n">
        <f aca="false">IF(A61="","",DATE(YEAR(A61),MONTH(A61),1))</f>
        <v>46174</v>
      </c>
    </row>
    <row r="62" customFormat="false" ht="15" hidden="false" customHeight="false" outlineLevel="0" collapsed="false">
      <c r="A62" s="21" t="n">
        <v>46204</v>
      </c>
      <c r="B62" s="4" t="s">
        <v>77</v>
      </c>
      <c r="C62" s="22" t="n">
        <v>4502.73</v>
      </c>
      <c r="D62" s="5" t="str">
        <f aca="false">IF(B62="","",IFERROR(INDEX(DE_PARA!$B$6:$B$205,MATCH(B62,DE_PARA!$A$6:$A$205,0)),"SEM DE-PARA"))</f>
        <v>CONSUMO DE ÁGUA, ENERGIA, ETC.</v>
      </c>
      <c r="E62" s="23" t="n">
        <f aca="false">IF(A62="","",DATE(YEAR(A62),MONTH(A62),1))</f>
        <v>46204</v>
      </c>
    </row>
    <row r="63" customFormat="false" ht="15" hidden="false" customHeight="false" outlineLevel="0" collapsed="false">
      <c r="A63" s="21" t="n">
        <v>46235</v>
      </c>
      <c r="B63" s="4" t="s">
        <v>77</v>
      </c>
      <c r="C63" s="22" t="n">
        <v>10541.48</v>
      </c>
      <c r="D63" s="5" t="str">
        <f aca="false">IF(B63="","",IFERROR(INDEX(DE_PARA!$B$6:$B$205,MATCH(B63,DE_PARA!$A$6:$A$205,0)),"SEM DE-PARA"))</f>
        <v>CONSUMO DE ÁGUA, ENERGIA, ETC.</v>
      </c>
      <c r="E63" s="23" t="n">
        <f aca="false">IF(A63="","",DATE(YEAR(A63),MONTH(A63),1))</f>
        <v>46235</v>
      </c>
    </row>
    <row r="64" customFormat="false" ht="15" hidden="false" customHeight="false" outlineLevel="0" collapsed="false">
      <c r="A64" s="21" t="n">
        <v>46266</v>
      </c>
      <c r="B64" s="4" t="s">
        <v>77</v>
      </c>
      <c r="C64" s="22" t="n">
        <v>2742.07</v>
      </c>
      <c r="D64" s="5" t="str">
        <f aca="false">IF(B64="","",IFERROR(INDEX(DE_PARA!$B$6:$B$205,MATCH(B64,DE_PARA!$A$6:$A$205,0)),"SEM DE-PARA"))</f>
        <v>CONSUMO DE ÁGUA, ENERGIA, ETC.</v>
      </c>
      <c r="E64" s="23" t="n">
        <f aca="false">IF(A64="","",DATE(YEAR(A64),MONTH(A64),1))</f>
        <v>46266</v>
      </c>
    </row>
    <row r="65" customFormat="false" ht="15" hidden="false" customHeight="false" outlineLevel="0" collapsed="false">
      <c r="A65" s="21" t="n">
        <v>46296</v>
      </c>
      <c r="B65" s="4" t="s">
        <v>77</v>
      </c>
      <c r="C65" s="22" t="n">
        <v>2339.05</v>
      </c>
      <c r="D65" s="5" t="str">
        <f aca="false">IF(B65="","",IFERROR(INDEX(DE_PARA!$B$6:$B$205,MATCH(B65,DE_PARA!$A$6:$A$205,0)),"SEM DE-PARA"))</f>
        <v>CONSUMO DE ÁGUA, ENERGIA, ETC.</v>
      </c>
      <c r="E65" s="23" t="n">
        <f aca="false">IF(A65="","",DATE(YEAR(A65),MONTH(A65),1))</f>
        <v>46296</v>
      </c>
    </row>
    <row r="66" customFormat="false" ht="15" hidden="false" customHeight="false" outlineLevel="0" collapsed="false">
      <c r="A66" s="21" t="n">
        <v>46327</v>
      </c>
      <c r="B66" s="4" t="s">
        <v>77</v>
      </c>
      <c r="C66" s="22" t="n">
        <v>159.9</v>
      </c>
      <c r="D66" s="5" t="str">
        <f aca="false">IF(B66="","",IFERROR(INDEX(DE_PARA!$B$6:$B$205,MATCH(B66,DE_PARA!$A$6:$A$205,0)),"SEM DE-PARA"))</f>
        <v>CONSUMO DE ÁGUA, ENERGIA, ETC.</v>
      </c>
      <c r="E66" s="23" t="n">
        <f aca="false">IF(A66="","",DATE(YEAR(A66),MONTH(A66),1))</f>
        <v>46327</v>
      </c>
    </row>
    <row r="67" customFormat="false" ht="15" hidden="false" customHeight="false" outlineLevel="0" collapsed="false">
      <c r="A67" s="21" t="n">
        <v>46357</v>
      </c>
      <c r="B67" s="4" t="s">
        <v>77</v>
      </c>
      <c r="C67" s="22" t="n">
        <v>159.9</v>
      </c>
      <c r="D67" s="5" t="str">
        <f aca="false">IF(B67="","",IFERROR(INDEX(DE_PARA!$B$6:$B$205,MATCH(B67,DE_PARA!$A$6:$A$205,0)),"SEM DE-PARA"))</f>
        <v>CONSUMO DE ÁGUA, ENERGIA, ETC.</v>
      </c>
      <c r="E67" s="23" t="n">
        <f aca="false">IF(A67="","",DATE(YEAR(A67),MONTH(A67),1))</f>
        <v>46357</v>
      </c>
    </row>
    <row r="68" customFormat="false" ht="15" hidden="false" customHeight="false" outlineLevel="0" collapsed="false">
      <c r="A68" s="21" t="n">
        <v>46388</v>
      </c>
      <c r="B68" s="4" t="s">
        <v>77</v>
      </c>
      <c r="C68" s="22" t="n">
        <v>159.9</v>
      </c>
      <c r="D68" s="5" t="str">
        <f aca="false">IF(B68="","",IFERROR(INDEX(DE_PARA!$B$6:$B$205,MATCH(B68,DE_PARA!$A$6:$A$205,0)),"SEM DE-PARA"))</f>
        <v>CONSUMO DE ÁGUA, ENERGIA, ETC.</v>
      </c>
      <c r="E68" s="23" t="n">
        <f aca="false">IF(A68="","",DATE(YEAR(A68),MONTH(A68),1))</f>
        <v>46388</v>
      </c>
    </row>
    <row r="69" customFormat="false" ht="15" hidden="false" customHeight="false" outlineLevel="0" collapsed="false">
      <c r="A69" s="21" t="n">
        <v>46419</v>
      </c>
      <c r="B69" s="4" t="s">
        <v>77</v>
      </c>
      <c r="C69" s="22" t="n">
        <v>159.9</v>
      </c>
      <c r="D69" s="5" t="str">
        <f aca="false">IF(B69="","",IFERROR(INDEX(DE_PARA!$B$6:$B$205,MATCH(B69,DE_PARA!$A$6:$A$205,0)),"SEM DE-PARA"))</f>
        <v>CONSUMO DE ÁGUA, ENERGIA, ETC.</v>
      </c>
      <c r="E69" s="23" t="n">
        <f aca="false">IF(A69="","",DATE(YEAR(A69),MONTH(A69),1))</f>
        <v>46419</v>
      </c>
    </row>
    <row r="70" customFormat="false" ht="15" hidden="false" customHeight="false" outlineLevel="0" collapsed="false">
      <c r="A70" s="21" t="n">
        <v>46447</v>
      </c>
      <c r="B70" s="4" t="s">
        <v>77</v>
      </c>
      <c r="C70" s="22" t="n">
        <v>159.9</v>
      </c>
      <c r="D70" s="5" t="str">
        <f aca="false">IF(B70="","",IFERROR(INDEX(DE_PARA!$B$6:$B$205,MATCH(B70,DE_PARA!$A$6:$A$205,0)),"SEM DE-PARA"))</f>
        <v>CONSUMO DE ÁGUA, ENERGIA, ETC.</v>
      </c>
      <c r="E70" s="23" t="n">
        <f aca="false">IF(A70="","",DATE(YEAR(A70),MONTH(A70),1))</f>
        <v>46447</v>
      </c>
    </row>
    <row r="71" customFormat="false" ht="15" hidden="false" customHeight="false" outlineLevel="0" collapsed="false">
      <c r="A71" s="21" t="n">
        <v>46478</v>
      </c>
      <c r="B71" s="4" t="s">
        <v>77</v>
      </c>
      <c r="C71" s="22" t="n">
        <v>159.9</v>
      </c>
      <c r="D71" s="5" t="str">
        <f aca="false">IF(B71="","",IFERROR(INDEX(DE_PARA!$B$6:$B$205,MATCH(B71,DE_PARA!$A$6:$A$205,0)),"SEM DE-PARA"))</f>
        <v>CONSUMO DE ÁGUA, ENERGIA, ETC.</v>
      </c>
      <c r="E71" s="23" t="n">
        <f aca="false">IF(A71="","",DATE(YEAR(A71),MONTH(A71),1))</f>
        <v>46478</v>
      </c>
    </row>
    <row r="72" customFormat="false" ht="15" hidden="false" customHeight="false" outlineLevel="0" collapsed="false">
      <c r="A72" s="21" t="n">
        <v>46508</v>
      </c>
      <c r="B72" s="4" t="s">
        <v>77</v>
      </c>
      <c r="C72" s="22" t="n">
        <v>159.9</v>
      </c>
      <c r="D72" s="5" t="str">
        <f aca="false">IF(B72="","",IFERROR(INDEX(DE_PARA!$B$6:$B$205,MATCH(B72,DE_PARA!$A$6:$A$205,0)),"SEM DE-PARA"))</f>
        <v>CONSUMO DE ÁGUA, ENERGIA, ETC.</v>
      </c>
      <c r="E72" s="23" t="n">
        <f aca="false">IF(A72="","",DATE(YEAR(A72),MONTH(A72),1))</f>
        <v>46508</v>
      </c>
    </row>
    <row r="73" customFormat="false" ht="15" hidden="false" customHeight="false" outlineLevel="0" collapsed="false">
      <c r="A73" s="21" t="n">
        <v>46539</v>
      </c>
      <c r="B73" s="4" t="s">
        <v>77</v>
      </c>
      <c r="C73" s="22" t="n">
        <v>159.9</v>
      </c>
      <c r="D73" s="5" t="str">
        <f aca="false">IF(B73="","",IFERROR(INDEX(DE_PARA!$B$6:$B$205,MATCH(B73,DE_PARA!$A$6:$A$205,0)),"SEM DE-PARA"))</f>
        <v>CONSUMO DE ÁGUA, ENERGIA, ETC.</v>
      </c>
      <c r="E73" s="23" t="n">
        <f aca="false">IF(A73="","",DATE(YEAR(A73),MONTH(A73),1))</f>
        <v>46539</v>
      </c>
    </row>
    <row r="74" customFormat="false" ht="15" hidden="false" customHeight="false" outlineLevel="0" collapsed="false">
      <c r="A74" s="21" t="n">
        <v>46569</v>
      </c>
      <c r="B74" s="4" t="s">
        <v>77</v>
      </c>
      <c r="C74" s="22" t="n">
        <v>159.9</v>
      </c>
      <c r="D74" s="5" t="str">
        <f aca="false">IF(B74="","",IFERROR(INDEX(DE_PARA!$B$6:$B$205,MATCH(B74,DE_PARA!$A$6:$A$205,0)),"SEM DE-PARA"))</f>
        <v>CONSUMO DE ÁGUA, ENERGIA, ETC.</v>
      </c>
      <c r="E74" s="23" t="n">
        <f aca="false">IF(A74="","",DATE(YEAR(A74),MONTH(A74),1))</f>
        <v>46569</v>
      </c>
    </row>
    <row r="75" customFormat="false" ht="15" hidden="false" customHeight="false" outlineLevel="0" collapsed="false">
      <c r="A75" s="21" t="n">
        <v>46600</v>
      </c>
      <c r="B75" s="4" t="s">
        <v>77</v>
      </c>
      <c r="C75" s="22" t="n">
        <v>159.9</v>
      </c>
      <c r="D75" s="5" t="str">
        <f aca="false">IF(B75="","",IFERROR(INDEX(DE_PARA!$B$6:$B$205,MATCH(B75,DE_PARA!$A$6:$A$205,0)),"SEM DE-PARA"))</f>
        <v>CONSUMO DE ÁGUA, ENERGIA, ETC.</v>
      </c>
      <c r="E75" s="23" t="n">
        <f aca="false">IF(A75="","",DATE(YEAR(A75),MONTH(A75),1))</f>
        <v>46600</v>
      </c>
    </row>
    <row r="76" customFormat="false" ht="15" hidden="false" customHeight="false" outlineLevel="0" collapsed="false">
      <c r="A76" s="21" t="n">
        <v>46631</v>
      </c>
      <c r="B76" s="4" t="s">
        <v>77</v>
      </c>
      <c r="C76" s="22" t="n">
        <v>159.9</v>
      </c>
      <c r="D76" s="5" t="str">
        <f aca="false">IF(B76="","",IFERROR(INDEX(DE_PARA!$B$6:$B$205,MATCH(B76,DE_PARA!$A$6:$A$205,0)),"SEM DE-PARA"))</f>
        <v>CONSUMO DE ÁGUA, ENERGIA, ETC.</v>
      </c>
      <c r="E76" s="23" t="n">
        <f aca="false">IF(A76="","",DATE(YEAR(A76),MONTH(A76),1))</f>
        <v>46631</v>
      </c>
    </row>
    <row r="77" customFormat="false" ht="15" hidden="false" customHeight="false" outlineLevel="0" collapsed="false">
      <c r="A77" s="21" t="n">
        <v>46661</v>
      </c>
      <c r="B77" s="4" t="s">
        <v>77</v>
      </c>
      <c r="C77" s="22" t="n">
        <v>159.9</v>
      </c>
      <c r="D77" s="5" t="str">
        <f aca="false">IF(B77="","",IFERROR(INDEX(DE_PARA!$B$6:$B$205,MATCH(B77,DE_PARA!$A$6:$A$205,0)),"SEM DE-PARA"))</f>
        <v>CONSUMO DE ÁGUA, ENERGIA, ETC.</v>
      </c>
      <c r="E77" s="23" t="n">
        <f aca="false">IF(A77="","",DATE(YEAR(A77),MONTH(A77),1))</f>
        <v>46661</v>
      </c>
    </row>
    <row r="78" customFormat="false" ht="15" hidden="false" customHeight="false" outlineLevel="0" collapsed="false">
      <c r="A78" s="21" t="n">
        <v>46692</v>
      </c>
      <c r="B78" s="4" t="s">
        <v>77</v>
      </c>
      <c r="C78" s="22" t="n">
        <v>159.9</v>
      </c>
      <c r="D78" s="5" t="str">
        <f aca="false">IF(B78="","",IFERROR(INDEX(DE_PARA!$B$6:$B$205,MATCH(B78,DE_PARA!$A$6:$A$205,0)),"SEM DE-PARA"))</f>
        <v>CONSUMO DE ÁGUA, ENERGIA, ETC.</v>
      </c>
      <c r="E78" s="23" t="n">
        <f aca="false">IF(A78="","",DATE(YEAR(A78),MONTH(A78),1))</f>
        <v>46692</v>
      </c>
    </row>
    <row r="79" customFormat="false" ht="15" hidden="false" customHeight="false" outlineLevel="0" collapsed="false">
      <c r="A79" s="21" t="n">
        <v>46722</v>
      </c>
      <c r="B79" s="4" t="s">
        <v>77</v>
      </c>
      <c r="C79" s="22" t="n">
        <v>159.9</v>
      </c>
      <c r="D79" s="5" t="str">
        <f aca="false">IF(B79="","",IFERROR(INDEX(DE_PARA!$B$6:$B$205,MATCH(B79,DE_PARA!$A$6:$A$205,0)),"SEM DE-PARA"))</f>
        <v>CONSUMO DE ÁGUA, ENERGIA, ETC.</v>
      </c>
      <c r="E79" s="23" t="n">
        <f aca="false">IF(A79="","",DATE(YEAR(A79),MONTH(A79),1))</f>
        <v>46722</v>
      </c>
    </row>
    <row r="80" customFormat="false" ht="15" hidden="false" customHeight="false" outlineLevel="0" collapsed="false">
      <c r="A80" s="21" t="n">
        <v>46753</v>
      </c>
      <c r="B80" s="4" t="s">
        <v>77</v>
      </c>
      <c r="C80" s="22" t="n">
        <v>159.9</v>
      </c>
      <c r="D80" s="5" t="str">
        <f aca="false">IF(B80="","",IFERROR(INDEX(DE_PARA!$B$6:$B$205,MATCH(B80,DE_PARA!$A$6:$A$205,0)),"SEM DE-PARA"))</f>
        <v>CONSUMO DE ÁGUA, ENERGIA, ETC.</v>
      </c>
      <c r="E80" s="23" t="n">
        <f aca="false">IF(A80="","",DATE(YEAR(A80),MONTH(A80),1))</f>
        <v>46753</v>
      </c>
    </row>
    <row r="81" customFormat="false" ht="15" hidden="false" customHeight="false" outlineLevel="0" collapsed="false">
      <c r="A81" s="21" t="n">
        <v>46784</v>
      </c>
      <c r="B81" s="4" t="s">
        <v>77</v>
      </c>
      <c r="C81" s="22" t="n">
        <v>159.9</v>
      </c>
      <c r="D81" s="5" t="str">
        <f aca="false">IF(B81="","",IFERROR(INDEX(DE_PARA!$B$6:$B$205,MATCH(B81,DE_PARA!$A$6:$A$205,0)),"SEM DE-PARA"))</f>
        <v>CONSUMO DE ÁGUA, ENERGIA, ETC.</v>
      </c>
      <c r="E81" s="23" t="n">
        <f aca="false">IF(A81="","",DATE(YEAR(A81),MONTH(A81),1))</f>
        <v>46784</v>
      </c>
    </row>
    <row r="82" customFormat="false" ht="15" hidden="false" customHeight="false" outlineLevel="0" collapsed="false">
      <c r="A82" s="21" t="n">
        <v>46813</v>
      </c>
      <c r="B82" s="4" t="s">
        <v>77</v>
      </c>
      <c r="C82" s="22" t="n">
        <v>159.9</v>
      </c>
      <c r="D82" s="5" t="str">
        <f aca="false">IF(B82="","",IFERROR(INDEX(DE_PARA!$B$6:$B$205,MATCH(B82,DE_PARA!$A$6:$A$205,0)),"SEM DE-PARA"))</f>
        <v>CONSUMO DE ÁGUA, ENERGIA, ETC.</v>
      </c>
      <c r="E82" s="23" t="n">
        <f aca="false">IF(A82="","",DATE(YEAR(A82),MONTH(A82),1))</f>
        <v>46813</v>
      </c>
    </row>
    <row r="83" customFormat="false" ht="15" hidden="false" customHeight="false" outlineLevel="0" collapsed="false">
      <c r="A83" s="21" t="n">
        <v>46844</v>
      </c>
      <c r="B83" s="4" t="s">
        <v>77</v>
      </c>
      <c r="C83" s="22" t="n">
        <v>159.9</v>
      </c>
      <c r="D83" s="5" t="str">
        <f aca="false">IF(B83="","",IFERROR(INDEX(DE_PARA!$B$6:$B$205,MATCH(B83,DE_PARA!$A$6:$A$205,0)),"SEM DE-PARA"))</f>
        <v>CONSUMO DE ÁGUA, ENERGIA, ETC.</v>
      </c>
      <c r="E83" s="23" t="n">
        <f aca="false">IF(A83="","",DATE(YEAR(A83),MONTH(A83),1))</f>
        <v>46844</v>
      </c>
    </row>
    <row r="84" customFormat="false" ht="15" hidden="false" customHeight="false" outlineLevel="0" collapsed="false">
      <c r="A84" s="21" t="n">
        <v>46874</v>
      </c>
      <c r="B84" s="4" t="s">
        <v>77</v>
      </c>
      <c r="C84" s="22" t="n">
        <v>159.9</v>
      </c>
      <c r="D84" s="5" t="str">
        <f aca="false">IF(B84="","",IFERROR(INDEX(DE_PARA!$B$6:$B$205,MATCH(B84,DE_PARA!$A$6:$A$205,0)),"SEM DE-PARA"))</f>
        <v>CONSUMO DE ÁGUA, ENERGIA, ETC.</v>
      </c>
      <c r="E84" s="23" t="n">
        <f aca="false">IF(A84="","",DATE(YEAR(A84),MONTH(A84),1))</f>
        <v>46874</v>
      </c>
    </row>
    <row r="85" customFormat="false" ht="15" hidden="false" customHeight="false" outlineLevel="0" collapsed="false">
      <c r="A85" s="21" t="n">
        <v>46905</v>
      </c>
      <c r="B85" s="4" t="s">
        <v>77</v>
      </c>
      <c r="C85" s="22" t="n">
        <v>159.9</v>
      </c>
      <c r="D85" s="5" t="str">
        <f aca="false">IF(B85="","",IFERROR(INDEX(DE_PARA!$B$6:$B$205,MATCH(B85,DE_PARA!$A$6:$A$205,0)),"SEM DE-PARA"))</f>
        <v>CONSUMO DE ÁGUA, ENERGIA, ETC.</v>
      </c>
      <c r="E85" s="23" t="n">
        <f aca="false">IF(A85="","",DATE(YEAR(A85),MONTH(A85),1))</f>
        <v>46905</v>
      </c>
    </row>
    <row r="86" customFormat="false" ht="15" hidden="false" customHeight="false" outlineLevel="0" collapsed="false">
      <c r="A86" s="21" t="n">
        <v>46935</v>
      </c>
      <c r="B86" s="4" t="s">
        <v>77</v>
      </c>
      <c r="C86" s="22" t="n">
        <v>159.9</v>
      </c>
      <c r="D86" s="5" t="str">
        <f aca="false">IF(B86="","",IFERROR(INDEX(DE_PARA!$B$6:$B$205,MATCH(B86,DE_PARA!$A$6:$A$205,0)),"SEM DE-PARA"))</f>
        <v>CONSUMO DE ÁGUA, ENERGIA, ETC.</v>
      </c>
      <c r="E86" s="23" t="n">
        <f aca="false">IF(A86="","",DATE(YEAR(A86),MONTH(A86),1))</f>
        <v>46935</v>
      </c>
    </row>
    <row r="87" customFormat="false" ht="15" hidden="false" customHeight="false" outlineLevel="0" collapsed="false">
      <c r="A87" s="21" t="n">
        <v>46966</v>
      </c>
      <c r="B87" s="4" t="s">
        <v>77</v>
      </c>
      <c r="C87" s="22" t="n">
        <v>159.9</v>
      </c>
      <c r="D87" s="5" t="str">
        <f aca="false">IF(B87="","",IFERROR(INDEX(DE_PARA!$B$6:$B$205,MATCH(B87,DE_PARA!$A$6:$A$205,0)),"SEM DE-PARA"))</f>
        <v>CONSUMO DE ÁGUA, ENERGIA, ETC.</v>
      </c>
      <c r="E87" s="23" t="n">
        <f aca="false">IF(A87="","",DATE(YEAR(A87),MONTH(A87),1))</f>
        <v>46966</v>
      </c>
    </row>
    <row r="88" customFormat="false" ht="15" hidden="false" customHeight="false" outlineLevel="0" collapsed="false">
      <c r="A88" s="21" t="n">
        <v>46997</v>
      </c>
      <c r="B88" s="4" t="s">
        <v>77</v>
      </c>
      <c r="C88" s="22" t="n">
        <v>159.9</v>
      </c>
      <c r="D88" s="5" t="str">
        <f aca="false">IF(B88="","",IFERROR(INDEX(DE_PARA!$B$6:$B$205,MATCH(B88,DE_PARA!$A$6:$A$205,0)),"SEM DE-PARA"))</f>
        <v>CONSUMO DE ÁGUA, ENERGIA, ETC.</v>
      </c>
      <c r="E88" s="23" t="n">
        <f aca="false">IF(A88="","",DATE(YEAR(A88),MONTH(A88),1))</f>
        <v>46997</v>
      </c>
    </row>
    <row r="89" customFormat="false" ht="15" hidden="false" customHeight="false" outlineLevel="0" collapsed="false">
      <c r="A89" s="21" t="n">
        <v>47027</v>
      </c>
      <c r="B89" s="4" t="s">
        <v>77</v>
      </c>
      <c r="C89" s="22" t="n">
        <v>159.9</v>
      </c>
      <c r="D89" s="5" t="str">
        <f aca="false">IF(B89="","",IFERROR(INDEX(DE_PARA!$B$6:$B$205,MATCH(B89,DE_PARA!$A$6:$A$205,0)),"SEM DE-PARA"))</f>
        <v>CONSUMO DE ÁGUA, ENERGIA, ETC.</v>
      </c>
      <c r="E89" s="23" t="n">
        <f aca="false">IF(A89="","",DATE(YEAR(A89),MONTH(A89),1))</f>
        <v>47027</v>
      </c>
    </row>
    <row r="90" customFormat="false" ht="15" hidden="false" customHeight="false" outlineLevel="0" collapsed="false">
      <c r="A90" s="21" t="n">
        <v>47058</v>
      </c>
      <c r="B90" s="4" t="s">
        <v>77</v>
      </c>
      <c r="C90" s="22" t="n">
        <v>159.9</v>
      </c>
      <c r="D90" s="5" t="str">
        <f aca="false">IF(B90="","",IFERROR(INDEX(DE_PARA!$B$6:$B$205,MATCH(B90,DE_PARA!$A$6:$A$205,0)),"SEM DE-PARA"))</f>
        <v>CONSUMO DE ÁGUA, ENERGIA, ETC.</v>
      </c>
      <c r="E90" s="23" t="n">
        <f aca="false">IF(A90="","",DATE(YEAR(A90),MONTH(A90),1))</f>
        <v>47058</v>
      </c>
    </row>
    <row r="91" customFormat="false" ht="15" hidden="false" customHeight="false" outlineLevel="0" collapsed="false">
      <c r="A91" s="21" t="n">
        <v>47088</v>
      </c>
      <c r="B91" s="4" t="s">
        <v>77</v>
      </c>
      <c r="C91" s="22" t="n">
        <v>159.9</v>
      </c>
      <c r="D91" s="5" t="str">
        <f aca="false">IF(B91="","",IFERROR(INDEX(DE_PARA!$B$6:$B$205,MATCH(B91,DE_PARA!$A$6:$A$205,0)),"SEM DE-PARA"))</f>
        <v>CONSUMO DE ÁGUA, ENERGIA, ETC.</v>
      </c>
      <c r="E91" s="23" t="n">
        <f aca="false">IF(A91="","",DATE(YEAR(A91),MONTH(A91),1))</f>
        <v>47088</v>
      </c>
    </row>
    <row r="92" customFormat="false" ht="15" hidden="false" customHeight="false" outlineLevel="0" collapsed="false">
      <c r="A92" s="21" t="n">
        <v>47119</v>
      </c>
      <c r="B92" s="4" t="s">
        <v>77</v>
      </c>
      <c r="C92" s="22" t="n">
        <v>159.9</v>
      </c>
      <c r="D92" s="5" t="str">
        <f aca="false">IF(B92="","",IFERROR(INDEX(DE_PARA!$B$6:$B$205,MATCH(B92,DE_PARA!$A$6:$A$205,0)),"SEM DE-PARA"))</f>
        <v>CONSUMO DE ÁGUA, ENERGIA, ETC.</v>
      </c>
      <c r="E92" s="23" t="n">
        <f aca="false">IF(A92="","",DATE(YEAR(A92),MONTH(A92),1))</f>
        <v>47119</v>
      </c>
    </row>
    <row r="93" customFormat="false" ht="15" hidden="false" customHeight="false" outlineLevel="0" collapsed="false">
      <c r="A93" s="21" t="n">
        <v>47150</v>
      </c>
      <c r="B93" s="4" t="s">
        <v>77</v>
      </c>
      <c r="C93" s="22" t="n">
        <v>159.9</v>
      </c>
      <c r="D93" s="5" t="str">
        <f aca="false">IF(B93="","",IFERROR(INDEX(DE_PARA!$B$6:$B$205,MATCH(B93,DE_PARA!$A$6:$A$205,0)),"SEM DE-PARA"))</f>
        <v>CONSUMO DE ÁGUA, ENERGIA, ETC.</v>
      </c>
      <c r="E93" s="23" t="n">
        <f aca="false">IF(A93="","",DATE(YEAR(A93),MONTH(A93),1))</f>
        <v>47150</v>
      </c>
    </row>
    <row r="94" customFormat="false" ht="15" hidden="false" customHeight="false" outlineLevel="0" collapsed="false">
      <c r="A94" s="21" t="n">
        <v>47178</v>
      </c>
      <c r="B94" s="4" t="s">
        <v>77</v>
      </c>
      <c r="C94" s="22" t="n">
        <v>159.9</v>
      </c>
      <c r="D94" s="5" t="str">
        <f aca="false">IF(B94="","",IFERROR(INDEX(DE_PARA!$B$6:$B$205,MATCH(B94,DE_PARA!$A$6:$A$205,0)),"SEM DE-PARA"))</f>
        <v>CONSUMO DE ÁGUA, ENERGIA, ETC.</v>
      </c>
      <c r="E94" s="23" t="n">
        <f aca="false">IF(A94="","",DATE(YEAR(A94),MONTH(A94),1))</f>
        <v>47178</v>
      </c>
    </row>
    <row r="95" customFormat="false" ht="15" hidden="false" customHeight="false" outlineLevel="0" collapsed="false">
      <c r="A95" s="21" t="n">
        <v>47209</v>
      </c>
      <c r="B95" s="4" t="s">
        <v>77</v>
      </c>
      <c r="C95" s="22" t="n">
        <v>159.9</v>
      </c>
      <c r="D95" s="5" t="str">
        <f aca="false">IF(B95="","",IFERROR(INDEX(DE_PARA!$B$6:$B$205,MATCH(B95,DE_PARA!$A$6:$A$205,0)),"SEM DE-PARA"))</f>
        <v>CONSUMO DE ÁGUA, ENERGIA, ETC.</v>
      </c>
      <c r="E95" s="23" t="n">
        <f aca="false">IF(A95="","",DATE(YEAR(A95),MONTH(A95),1))</f>
        <v>47209</v>
      </c>
    </row>
    <row r="96" customFormat="false" ht="15" hidden="false" customHeight="false" outlineLevel="0" collapsed="false">
      <c r="A96" s="21" t="n">
        <v>47239</v>
      </c>
      <c r="B96" s="4" t="s">
        <v>77</v>
      </c>
      <c r="C96" s="22" t="n">
        <v>159.9</v>
      </c>
      <c r="D96" s="5" t="str">
        <f aca="false">IF(B96="","",IFERROR(INDEX(DE_PARA!$B$6:$B$205,MATCH(B96,DE_PARA!$A$6:$A$205,0)),"SEM DE-PARA"))</f>
        <v>CONSUMO DE ÁGUA, ENERGIA, ETC.</v>
      </c>
      <c r="E96" s="23" t="n">
        <f aca="false">IF(A96="","",DATE(YEAR(A96),MONTH(A96),1))</f>
        <v>47239</v>
      </c>
    </row>
    <row r="97" customFormat="false" ht="15" hidden="false" customHeight="false" outlineLevel="0" collapsed="false">
      <c r="A97" s="21" t="n">
        <v>47270</v>
      </c>
      <c r="B97" s="4" t="s">
        <v>77</v>
      </c>
      <c r="C97" s="22" t="n">
        <v>159.9</v>
      </c>
      <c r="D97" s="5" t="str">
        <f aca="false">IF(B97="","",IFERROR(INDEX(DE_PARA!$B$6:$B$205,MATCH(B97,DE_PARA!$A$6:$A$205,0)),"SEM DE-PARA"))</f>
        <v>CONSUMO DE ÁGUA, ENERGIA, ETC.</v>
      </c>
      <c r="E97" s="23" t="n">
        <f aca="false">IF(A97="","",DATE(YEAR(A97),MONTH(A97),1))</f>
        <v>47270</v>
      </c>
    </row>
    <row r="98" customFormat="false" ht="15" hidden="false" customHeight="false" outlineLevel="0" collapsed="false">
      <c r="A98" s="21" t="n">
        <v>45627</v>
      </c>
      <c r="B98" s="4" t="s">
        <v>80</v>
      </c>
      <c r="C98" s="22" t="n">
        <v>7617.91</v>
      </c>
      <c r="D98" s="5" t="str">
        <f aca="false">IF(B98="","",IFERROR(INDEX(DE_PARA!$B$6:$B$205,MATCH(B98,DE_PARA!$A$6:$A$205,0)),"SEM DE-PARA"))</f>
        <v>DIVERSOS</v>
      </c>
      <c r="E98" s="23" t="n">
        <f aca="false">IF(A98="","",DATE(YEAR(A98),MONTH(A98),1))</f>
        <v>45627</v>
      </c>
    </row>
    <row r="99" customFormat="false" ht="15" hidden="false" customHeight="false" outlineLevel="0" collapsed="false">
      <c r="A99" s="21" t="n">
        <v>45658</v>
      </c>
      <c r="B99" s="4" t="s">
        <v>80</v>
      </c>
      <c r="C99" s="22" t="n">
        <v>1467.74</v>
      </c>
      <c r="D99" s="5" t="str">
        <f aca="false">IF(B99="","",IFERROR(INDEX(DE_PARA!$B$6:$B$205,MATCH(B99,DE_PARA!$A$6:$A$205,0)),"SEM DE-PARA"))</f>
        <v>DIVERSOS</v>
      </c>
      <c r="E99" s="23" t="n">
        <f aca="false">IF(A99="","",DATE(YEAR(A99),MONTH(A99),1))</f>
        <v>45658</v>
      </c>
    </row>
    <row r="100" customFormat="false" ht="15" hidden="false" customHeight="false" outlineLevel="0" collapsed="false">
      <c r="A100" s="21" t="n">
        <v>45748</v>
      </c>
      <c r="B100" s="4" t="s">
        <v>80</v>
      </c>
      <c r="C100" s="22" t="n">
        <v>66.6</v>
      </c>
      <c r="D100" s="5" t="str">
        <f aca="false">IF(B100="","",IFERROR(INDEX(DE_PARA!$B$6:$B$205,MATCH(B100,DE_PARA!$A$6:$A$205,0)),"SEM DE-PARA"))</f>
        <v>DIVERSOS</v>
      </c>
      <c r="E100" s="23" t="n">
        <f aca="false">IF(A100="","",DATE(YEAR(A100),MONTH(A100),1))</f>
        <v>45748</v>
      </c>
    </row>
    <row r="101" customFormat="false" ht="15" hidden="false" customHeight="false" outlineLevel="0" collapsed="false">
      <c r="A101" s="21" t="n">
        <v>45901</v>
      </c>
      <c r="B101" s="4" t="s">
        <v>80</v>
      </c>
      <c r="C101" s="22" t="n">
        <v>850.17</v>
      </c>
      <c r="D101" s="5" t="str">
        <f aca="false">IF(B101="","",IFERROR(INDEX(DE_PARA!$B$6:$B$205,MATCH(B101,DE_PARA!$A$6:$A$205,0)),"SEM DE-PARA"))</f>
        <v>DIVERSOS</v>
      </c>
      <c r="E101" s="23" t="n">
        <f aca="false">IF(A101="","",DATE(YEAR(A101),MONTH(A101),1))</f>
        <v>45901</v>
      </c>
    </row>
    <row r="102" customFormat="false" ht="15" hidden="false" customHeight="false" outlineLevel="0" collapsed="false">
      <c r="A102" s="21" t="n">
        <v>45931</v>
      </c>
      <c r="B102" s="4" t="s">
        <v>80</v>
      </c>
      <c r="C102" s="22" t="n">
        <v>4204.06</v>
      </c>
      <c r="D102" s="5" t="str">
        <f aca="false">IF(B102="","",IFERROR(INDEX(DE_PARA!$B$6:$B$205,MATCH(B102,DE_PARA!$A$6:$A$205,0)),"SEM DE-PARA"))</f>
        <v>DIVERSOS</v>
      </c>
      <c r="E102" s="23" t="n">
        <f aca="false">IF(A102="","",DATE(YEAR(A102),MONTH(A102),1))</f>
        <v>45931</v>
      </c>
    </row>
    <row r="103" customFormat="false" ht="15" hidden="false" customHeight="false" outlineLevel="0" collapsed="false">
      <c r="A103" s="21" t="n">
        <v>45962</v>
      </c>
      <c r="B103" s="4" t="s">
        <v>80</v>
      </c>
      <c r="C103" s="22" t="n">
        <v>713.41</v>
      </c>
      <c r="D103" s="5" t="str">
        <f aca="false">IF(B103="","",IFERROR(INDEX(DE_PARA!$B$6:$B$205,MATCH(B103,DE_PARA!$A$6:$A$205,0)),"SEM DE-PARA"))</f>
        <v>DIVERSOS</v>
      </c>
      <c r="E103" s="23" t="n">
        <f aca="false">IF(A103="","",DATE(YEAR(A103),MONTH(A103),1))</f>
        <v>45962</v>
      </c>
    </row>
    <row r="104" customFormat="false" ht="15" hidden="false" customHeight="false" outlineLevel="0" collapsed="false">
      <c r="A104" s="21" t="n">
        <v>45992</v>
      </c>
      <c r="B104" s="4" t="s">
        <v>80</v>
      </c>
      <c r="C104" s="22" t="n">
        <v>1784.1</v>
      </c>
      <c r="D104" s="5" t="str">
        <f aca="false">IF(B104="","",IFERROR(INDEX(DE_PARA!$B$6:$B$205,MATCH(B104,DE_PARA!$A$6:$A$205,0)),"SEM DE-PARA"))</f>
        <v>DIVERSOS</v>
      </c>
      <c r="E104" s="23" t="n">
        <f aca="false">IF(A104="","",DATE(YEAR(A104),MONTH(A104),1))</f>
        <v>45992</v>
      </c>
    </row>
    <row r="105" customFormat="false" ht="15" hidden="false" customHeight="false" outlineLevel="0" collapsed="false">
      <c r="A105" s="21" t="n">
        <v>46023</v>
      </c>
      <c r="B105" s="4" t="s">
        <v>80</v>
      </c>
      <c r="C105" s="22" t="n">
        <v>1122.95</v>
      </c>
      <c r="D105" s="5" t="str">
        <f aca="false">IF(B105="","",IFERROR(INDEX(DE_PARA!$B$6:$B$205,MATCH(B105,DE_PARA!$A$6:$A$205,0)),"SEM DE-PARA"))</f>
        <v>DIVERSOS</v>
      </c>
      <c r="E105" s="23" t="n">
        <f aca="false">IF(A105="","",DATE(YEAR(A105),MONTH(A105),1))</f>
        <v>46023</v>
      </c>
    </row>
    <row r="106" customFormat="false" ht="15" hidden="false" customHeight="false" outlineLevel="0" collapsed="false">
      <c r="A106" s="21" t="n">
        <v>46054</v>
      </c>
      <c r="B106" s="4" t="s">
        <v>80</v>
      </c>
      <c r="C106" s="22" t="n">
        <v>1160.97</v>
      </c>
      <c r="D106" s="5" t="str">
        <f aca="false">IF(B106="","",IFERROR(INDEX(DE_PARA!$B$6:$B$205,MATCH(B106,DE_PARA!$A$6:$A$205,0)),"SEM DE-PARA"))</f>
        <v>DIVERSOS</v>
      </c>
      <c r="E106" s="23" t="n">
        <f aca="false">IF(A106="","",DATE(YEAR(A106),MONTH(A106),1))</f>
        <v>46054</v>
      </c>
    </row>
    <row r="107" customFormat="false" ht="15" hidden="false" customHeight="false" outlineLevel="0" collapsed="false">
      <c r="A107" s="21" t="n">
        <v>46082</v>
      </c>
      <c r="B107" s="4" t="s">
        <v>80</v>
      </c>
      <c r="C107" s="22" t="n">
        <v>2280.62</v>
      </c>
      <c r="D107" s="5" t="str">
        <f aca="false">IF(B107="","",IFERROR(INDEX(DE_PARA!$B$6:$B$205,MATCH(B107,DE_PARA!$A$6:$A$205,0)),"SEM DE-PARA"))</f>
        <v>DIVERSOS</v>
      </c>
      <c r="E107" s="23" t="n">
        <f aca="false">IF(A107="","",DATE(YEAR(A107),MONTH(A107),1))</f>
        <v>46082</v>
      </c>
    </row>
    <row r="108" customFormat="false" ht="15" hidden="false" customHeight="false" outlineLevel="0" collapsed="false">
      <c r="A108" s="21" t="n">
        <v>46113</v>
      </c>
      <c r="B108" s="4" t="s">
        <v>80</v>
      </c>
      <c r="C108" s="22" t="n">
        <v>1594.82</v>
      </c>
      <c r="D108" s="5" t="str">
        <f aca="false">IF(B108="","",IFERROR(INDEX(DE_PARA!$B$6:$B$205,MATCH(B108,DE_PARA!$A$6:$A$205,0)),"SEM DE-PARA"))</f>
        <v>DIVERSOS</v>
      </c>
      <c r="E108" s="23" t="n">
        <f aca="false">IF(A108="","",DATE(YEAR(A108),MONTH(A108),1))</f>
        <v>46113</v>
      </c>
    </row>
    <row r="109" customFormat="false" ht="15" hidden="false" customHeight="false" outlineLevel="0" collapsed="false">
      <c r="A109" s="21" t="n">
        <v>46143</v>
      </c>
      <c r="B109" s="4" t="s">
        <v>80</v>
      </c>
      <c r="C109" s="22" t="n">
        <v>1922.39</v>
      </c>
      <c r="D109" s="5" t="str">
        <f aca="false">IF(B109="","",IFERROR(INDEX(DE_PARA!$B$6:$B$205,MATCH(B109,DE_PARA!$A$6:$A$205,0)),"SEM DE-PARA"))</f>
        <v>DIVERSOS</v>
      </c>
      <c r="E109" s="23" t="n">
        <f aca="false">IF(A109="","",DATE(YEAR(A109),MONTH(A109),1))</f>
        <v>46143</v>
      </c>
    </row>
    <row r="110" customFormat="false" ht="15" hidden="false" customHeight="false" outlineLevel="0" collapsed="false">
      <c r="A110" s="21" t="n">
        <v>46174</v>
      </c>
      <c r="B110" s="4" t="s">
        <v>80</v>
      </c>
      <c r="C110" s="22" t="n">
        <v>1559.18</v>
      </c>
      <c r="D110" s="5" t="str">
        <f aca="false">IF(B110="","",IFERROR(INDEX(DE_PARA!$B$6:$B$205,MATCH(B110,DE_PARA!$A$6:$A$205,0)),"SEM DE-PARA"))</f>
        <v>DIVERSOS</v>
      </c>
      <c r="E110" s="23" t="n">
        <f aca="false">IF(A110="","",DATE(YEAR(A110),MONTH(A110),1))</f>
        <v>46174</v>
      </c>
    </row>
    <row r="111" customFormat="false" ht="15" hidden="false" customHeight="false" outlineLevel="0" collapsed="false">
      <c r="A111" s="21" t="n">
        <v>46204</v>
      </c>
      <c r="B111" s="4" t="s">
        <v>80</v>
      </c>
      <c r="C111" s="22" t="n">
        <v>2538.36</v>
      </c>
      <c r="D111" s="5" t="str">
        <f aca="false">IF(B111="","",IFERROR(INDEX(DE_PARA!$B$6:$B$205,MATCH(B111,DE_PARA!$A$6:$A$205,0)),"SEM DE-PARA"))</f>
        <v>DIVERSOS</v>
      </c>
      <c r="E111" s="23" t="n">
        <f aca="false">IF(A111="","",DATE(YEAR(A111),MONTH(A111),1))</f>
        <v>46204</v>
      </c>
    </row>
    <row r="112" customFormat="false" ht="15" hidden="false" customHeight="false" outlineLevel="0" collapsed="false">
      <c r="A112" s="21" t="n">
        <v>46235</v>
      </c>
      <c r="B112" s="4" t="s">
        <v>80</v>
      </c>
      <c r="C112" s="22" t="n">
        <v>5139.73</v>
      </c>
      <c r="D112" s="5" t="str">
        <f aca="false">IF(B112="","",IFERROR(INDEX(DE_PARA!$B$6:$B$205,MATCH(B112,DE_PARA!$A$6:$A$205,0)),"SEM DE-PARA"))</f>
        <v>DIVERSOS</v>
      </c>
      <c r="E112" s="23" t="n">
        <f aca="false">IF(A112="","",DATE(YEAR(A112),MONTH(A112),1))</f>
        <v>46235</v>
      </c>
    </row>
    <row r="113" customFormat="false" ht="15" hidden="false" customHeight="false" outlineLevel="0" collapsed="false">
      <c r="A113" s="21" t="n">
        <v>46266</v>
      </c>
      <c r="B113" s="4" t="s">
        <v>80</v>
      </c>
      <c r="C113" s="22" t="n">
        <v>4242.44</v>
      </c>
      <c r="D113" s="5" t="str">
        <f aca="false">IF(B113="","",IFERROR(INDEX(DE_PARA!$B$6:$B$205,MATCH(B113,DE_PARA!$A$6:$A$205,0)),"SEM DE-PARA"))</f>
        <v>DIVERSOS</v>
      </c>
      <c r="E113" s="23" t="n">
        <f aca="false">IF(A113="","",DATE(YEAR(A113),MONTH(A113),1))</f>
        <v>46266</v>
      </c>
    </row>
    <row r="114" customFormat="false" ht="15" hidden="false" customHeight="false" outlineLevel="0" collapsed="false">
      <c r="A114" s="21" t="n">
        <v>46296</v>
      </c>
      <c r="B114" s="4" t="s">
        <v>80</v>
      </c>
      <c r="C114" s="22" t="n">
        <v>1133.72</v>
      </c>
      <c r="D114" s="5" t="str">
        <f aca="false">IF(B114="","",IFERROR(INDEX(DE_PARA!$B$6:$B$205,MATCH(B114,DE_PARA!$A$6:$A$205,0)),"SEM DE-PARA"))</f>
        <v>DIVERSOS</v>
      </c>
      <c r="E114" s="23" t="n">
        <f aca="false">IF(A114="","",DATE(YEAR(A114),MONTH(A114),1))</f>
        <v>46296</v>
      </c>
    </row>
    <row r="115" customFormat="false" ht="15" hidden="false" customHeight="false" outlineLevel="0" collapsed="false">
      <c r="A115" s="21" t="n">
        <v>45627</v>
      </c>
      <c r="B115" s="4" t="s">
        <v>83</v>
      </c>
      <c r="C115" s="22" t="n">
        <v>230</v>
      </c>
      <c r="D115" s="5" t="str">
        <f aca="false">IF(B115="","",IFERROR(INDEX(DE_PARA!$B$6:$B$205,MATCH(B115,DE_PARA!$A$6:$A$205,0)),"SEM DE-PARA"))</f>
        <v>TRANSPORTES</v>
      </c>
      <c r="E115" s="23" t="n">
        <f aca="false">IF(A115="","",DATE(YEAR(A115),MONTH(A115),1))</f>
        <v>45627</v>
      </c>
    </row>
    <row r="116" customFormat="false" ht="15" hidden="false" customHeight="false" outlineLevel="0" collapsed="false">
      <c r="A116" s="21" t="n">
        <v>45689</v>
      </c>
      <c r="B116" s="4" t="s">
        <v>83</v>
      </c>
      <c r="C116" s="22" t="n">
        <v>101.63</v>
      </c>
      <c r="D116" s="5" t="str">
        <f aca="false">IF(B116="","",IFERROR(INDEX(DE_PARA!$B$6:$B$205,MATCH(B116,DE_PARA!$A$6:$A$205,0)),"SEM DE-PARA"))</f>
        <v>TRANSPORTES</v>
      </c>
      <c r="E116" s="23" t="n">
        <f aca="false">IF(A116="","",DATE(YEAR(A116),MONTH(A116),1))</f>
        <v>45689</v>
      </c>
    </row>
    <row r="117" customFormat="false" ht="15" hidden="false" customHeight="false" outlineLevel="0" collapsed="false">
      <c r="A117" s="21" t="n">
        <v>45717</v>
      </c>
      <c r="B117" s="4" t="s">
        <v>83</v>
      </c>
      <c r="C117" s="22" t="n">
        <v>3.37</v>
      </c>
      <c r="D117" s="5" t="str">
        <f aca="false">IF(B117="","",IFERROR(INDEX(DE_PARA!$B$6:$B$205,MATCH(B117,DE_PARA!$A$6:$A$205,0)),"SEM DE-PARA"))</f>
        <v>TRANSPORTES</v>
      </c>
      <c r="E117" s="23" t="n">
        <f aca="false">IF(A117="","",DATE(YEAR(A117),MONTH(A117),1))</f>
        <v>45717</v>
      </c>
    </row>
    <row r="118" customFormat="false" ht="15" hidden="false" customHeight="false" outlineLevel="0" collapsed="false">
      <c r="A118" s="21" t="n">
        <v>45778</v>
      </c>
      <c r="B118" s="4" t="s">
        <v>83</v>
      </c>
      <c r="C118" s="22" t="n">
        <v>53.21</v>
      </c>
      <c r="D118" s="5" t="str">
        <f aca="false">IF(B118="","",IFERROR(INDEX(DE_PARA!$B$6:$B$205,MATCH(B118,DE_PARA!$A$6:$A$205,0)),"SEM DE-PARA"))</f>
        <v>TRANSPORTES</v>
      </c>
      <c r="E118" s="23" t="n">
        <f aca="false">IF(A118="","",DATE(YEAR(A118),MONTH(A118),1))</f>
        <v>45778</v>
      </c>
    </row>
    <row r="119" customFormat="false" ht="15" hidden="false" customHeight="false" outlineLevel="0" collapsed="false">
      <c r="A119" s="21" t="n">
        <v>45809</v>
      </c>
      <c r="B119" s="4" t="s">
        <v>83</v>
      </c>
      <c r="C119" s="22" t="n">
        <v>50.16</v>
      </c>
      <c r="D119" s="5" t="str">
        <f aca="false">IF(B119="","",IFERROR(INDEX(DE_PARA!$B$6:$B$205,MATCH(B119,DE_PARA!$A$6:$A$205,0)),"SEM DE-PARA"))</f>
        <v>TRANSPORTES</v>
      </c>
      <c r="E119" s="23" t="n">
        <f aca="false">IF(A119="","",DATE(YEAR(A119),MONTH(A119),1))</f>
        <v>45809</v>
      </c>
    </row>
    <row r="120" customFormat="false" ht="15" hidden="false" customHeight="false" outlineLevel="0" collapsed="false">
      <c r="A120" s="21" t="n">
        <v>45839</v>
      </c>
      <c r="B120" s="4" t="s">
        <v>83</v>
      </c>
      <c r="C120" s="22" t="n">
        <v>1010.05</v>
      </c>
      <c r="D120" s="5" t="str">
        <f aca="false">IF(B120="","",IFERROR(INDEX(DE_PARA!$B$6:$B$205,MATCH(B120,DE_PARA!$A$6:$A$205,0)),"SEM DE-PARA"))</f>
        <v>TRANSPORTES</v>
      </c>
      <c r="E120" s="23" t="n">
        <f aca="false">IF(A120="","",DATE(YEAR(A120),MONTH(A120),1))</f>
        <v>45839</v>
      </c>
    </row>
    <row r="121" customFormat="false" ht="15" hidden="false" customHeight="false" outlineLevel="0" collapsed="false">
      <c r="A121" s="21" t="n">
        <v>45870</v>
      </c>
      <c r="B121" s="4" t="s">
        <v>83</v>
      </c>
      <c r="C121" s="22" t="n">
        <v>1873.32</v>
      </c>
      <c r="D121" s="5" t="str">
        <f aca="false">IF(B121="","",IFERROR(INDEX(DE_PARA!$B$6:$B$205,MATCH(B121,DE_PARA!$A$6:$A$205,0)),"SEM DE-PARA"))</f>
        <v>TRANSPORTES</v>
      </c>
      <c r="E121" s="23" t="n">
        <f aca="false">IF(A121="","",DATE(YEAR(A121),MONTH(A121),1))</f>
        <v>45870</v>
      </c>
    </row>
    <row r="122" customFormat="false" ht="15" hidden="false" customHeight="false" outlineLevel="0" collapsed="false">
      <c r="A122" s="21" t="n">
        <v>45901</v>
      </c>
      <c r="B122" s="4" t="s">
        <v>83</v>
      </c>
      <c r="C122" s="22" t="n">
        <v>15662.6</v>
      </c>
      <c r="D122" s="5" t="str">
        <f aca="false">IF(B122="","",IFERROR(INDEX(DE_PARA!$B$6:$B$205,MATCH(B122,DE_PARA!$A$6:$A$205,0)),"SEM DE-PARA"))</f>
        <v>TRANSPORTES</v>
      </c>
      <c r="E122" s="23" t="n">
        <f aca="false">IF(A122="","",DATE(YEAR(A122),MONTH(A122),1))</f>
        <v>45901</v>
      </c>
    </row>
    <row r="123" customFormat="false" ht="15" hidden="false" customHeight="false" outlineLevel="0" collapsed="false">
      <c r="A123" s="21" t="n">
        <v>45931</v>
      </c>
      <c r="B123" s="4" t="s">
        <v>83</v>
      </c>
      <c r="C123" s="22" t="n">
        <v>8416.58</v>
      </c>
      <c r="D123" s="5" t="str">
        <f aca="false">IF(B123="","",IFERROR(INDEX(DE_PARA!$B$6:$B$205,MATCH(B123,DE_PARA!$A$6:$A$205,0)),"SEM DE-PARA"))</f>
        <v>TRANSPORTES</v>
      </c>
      <c r="E123" s="23" t="n">
        <f aca="false">IF(A123="","",DATE(YEAR(A123),MONTH(A123),1))</f>
        <v>45931</v>
      </c>
    </row>
    <row r="124" customFormat="false" ht="15" hidden="false" customHeight="false" outlineLevel="0" collapsed="false">
      <c r="A124" s="21" t="n">
        <v>45962</v>
      </c>
      <c r="B124" s="4" t="s">
        <v>83</v>
      </c>
      <c r="C124" s="22" t="n">
        <v>4003.5</v>
      </c>
      <c r="D124" s="5" t="str">
        <f aca="false">IF(B124="","",IFERROR(INDEX(DE_PARA!$B$6:$B$205,MATCH(B124,DE_PARA!$A$6:$A$205,0)),"SEM DE-PARA"))</f>
        <v>TRANSPORTES</v>
      </c>
      <c r="E124" s="23" t="n">
        <f aca="false">IF(A124="","",DATE(YEAR(A124),MONTH(A124),1))</f>
        <v>45962</v>
      </c>
    </row>
    <row r="125" customFormat="false" ht="15" hidden="false" customHeight="false" outlineLevel="0" collapsed="false">
      <c r="A125" s="21" t="n">
        <v>45992</v>
      </c>
      <c r="B125" s="4" t="s">
        <v>83</v>
      </c>
      <c r="C125" s="22" t="n">
        <v>7558.47</v>
      </c>
      <c r="D125" s="5" t="str">
        <f aca="false">IF(B125="","",IFERROR(INDEX(DE_PARA!$B$6:$B$205,MATCH(B125,DE_PARA!$A$6:$A$205,0)),"SEM DE-PARA"))</f>
        <v>TRANSPORTES</v>
      </c>
      <c r="E125" s="23" t="n">
        <f aca="false">IF(A125="","",DATE(YEAR(A125),MONTH(A125),1))</f>
        <v>45992</v>
      </c>
    </row>
    <row r="126" customFormat="false" ht="15" hidden="false" customHeight="false" outlineLevel="0" collapsed="false">
      <c r="A126" s="21" t="n">
        <v>46023</v>
      </c>
      <c r="B126" s="4" t="s">
        <v>83</v>
      </c>
      <c r="C126" s="22" t="n">
        <v>4295.23</v>
      </c>
      <c r="D126" s="5" t="str">
        <f aca="false">IF(B126="","",IFERROR(INDEX(DE_PARA!$B$6:$B$205,MATCH(B126,DE_PARA!$A$6:$A$205,0)),"SEM DE-PARA"))</f>
        <v>TRANSPORTES</v>
      </c>
      <c r="E126" s="23" t="n">
        <f aca="false">IF(A126="","",DATE(YEAR(A126),MONTH(A126),1))</f>
        <v>46023</v>
      </c>
    </row>
    <row r="127" customFormat="false" ht="15" hidden="false" customHeight="false" outlineLevel="0" collapsed="false">
      <c r="A127" s="21" t="n">
        <v>46054</v>
      </c>
      <c r="B127" s="4" t="s">
        <v>83</v>
      </c>
      <c r="C127" s="22" t="n">
        <v>3978</v>
      </c>
      <c r="D127" s="5" t="str">
        <f aca="false">IF(B127="","",IFERROR(INDEX(DE_PARA!$B$6:$B$205,MATCH(B127,DE_PARA!$A$6:$A$205,0)),"SEM DE-PARA"))</f>
        <v>TRANSPORTES</v>
      </c>
      <c r="E127" s="23" t="n">
        <f aca="false">IF(A127="","",DATE(YEAR(A127),MONTH(A127),1))</f>
        <v>46054</v>
      </c>
    </row>
    <row r="128" customFormat="false" ht="15" hidden="false" customHeight="false" outlineLevel="0" collapsed="false">
      <c r="A128" s="21" t="n">
        <v>46082</v>
      </c>
      <c r="B128" s="4" t="s">
        <v>83</v>
      </c>
      <c r="C128" s="22" t="n">
        <v>8413.92</v>
      </c>
      <c r="D128" s="5" t="str">
        <f aca="false">IF(B128="","",IFERROR(INDEX(DE_PARA!$B$6:$B$205,MATCH(B128,DE_PARA!$A$6:$A$205,0)),"SEM DE-PARA"))</f>
        <v>TRANSPORTES</v>
      </c>
      <c r="E128" s="23" t="n">
        <f aca="false">IF(A128="","",DATE(YEAR(A128),MONTH(A128),1))</f>
        <v>46082</v>
      </c>
    </row>
    <row r="129" customFormat="false" ht="15" hidden="false" customHeight="false" outlineLevel="0" collapsed="false">
      <c r="A129" s="21" t="n">
        <v>46113</v>
      </c>
      <c r="B129" s="4" t="s">
        <v>83</v>
      </c>
      <c r="C129" s="22" t="n">
        <v>2007.6</v>
      </c>
      <c r="D129" s="5" t="str">
        <f aca="false">IF(B129="","",IFERROR(INDEX(DE_PARA!$B$6:$B$205,MATCH(B129,DE_PARA!$A$6:$A$205,0)),"SEM DE-PARA"))</f>
        <v>TRANSPORTES</v>
      </c>
      <c r="E129" s="23" t="n">
        <f aca="false">IF(A129="","",DATE(YEAR(A129),MONTH(A129),1))</f>
        <v>46113</v>
      </c>
    </row>
    <row r="130" customFormat="false" ht="15" hidden="false" customHeight="false" outlineLevel="0" collapsed="false">
      <c r="A130" s="21" t="n">
        <v>46143</v>
      </c>
      <c r="B130" s="4" t="s">
        <v>83</v>
      </c>
      <c r="C130" s="22" t="n">
        <v>2550.05</v>
      </c>
      <c r="D130" s="5" t="str">
        <f aca="false">IF(B130="","",IFERROR(INDEX(DE_PARA!$B$6:$B$205,MATCH(B130,DE_PARA!$A$6:$A$205,0)),"SEM DE-PARA"))</f>
        <v>TRANSPORTES</v>
      </c>
      <c r="E130" s="23" t="n">
        <f aca="false">IF(A130="","",DATE(YEAR(A130),MONTH(A130),1))</f>
        <v>46143</v>
      </c>
    </row>
    <row r="131" customFormat="false" ht="15" hidden="false" customHeight="false" outlineLevel="0" collapsed="false">
      <c r="A131" s="21" t="n">
        <v>46174</v>
      </c>
      <c r="B131" s="4" t="s">
        <v>83</v>
      </c>
      <c r="C131" s="22" t="n">
        <v>3240.62</v>
      </c>
      <c r="D131" s="5" t="str">
        <f aca="false">IF(B131="","",IFERROR(INDEX(DE_PARA!$B$6:$B$205,MATCH(B131,DE_PARA!$A$6:$A$205,0)),"SEM DE-PARA"))</f>
        <v>TRANSPORTES</v>
      </c>
      <c r="E131" s="23" t="n">
        <f aca="false">IF(A131="","",DATE(YEAR(A131),MONTH(A131),1))</f>
        <v>46174</v>
      </c>
    </row>
    <row r="132" customFormat="false" ht="15" hidden="false" customHeight="false" outlineLevel="0" collapsed="false">
      <c r="A132" s="21" t="n">
        <v>46204</v>
      </c>
      <c r="B132" s="4" t="s">
        <v>83</v>
      </c>
      <c r="C132" s="22" t="n">
        <v>1114.34</v>
      </c>
      <c r="D132" s="5" t="str">
        <f aca="false">IF(B132="","",IFERROR(INDEX(DE_PARA!$B$6:$B$205,MATCH(B132,DE_PARA!$A$6:$A$205,0)),"SEM DE-PARA"))</f>
        <v>TRANSPORTES</v>
      </c>
      <c r="E132" s="23" t="n">
        <f aca="false">IF(A132="","",DATE(YEAR(A132),MONTH(A132),1))</f>
        <v>46204</v>
      </c>
    </row>
    <row r="133" customFormat="false" ht="15" hidden="false" customHeight="false" outlineLevel="0" collapsed="false">
      <c r="A133" s="21" t="n">
        <v>46235</v>
      </c>
      <c r="B133" s="4" t="s">
        <v>83</v>
      </c>
      <c r="C133" s="22" t="n">
        <v>5722.12</v>
      </c>
      <c r="D133" s="5" t="str">
        <f aca="false">IF(B133="","",IFERROR(INDEX(DE_PARA!$B$6:$B$205,MATCH(B133,DE_PARA!$A$6:$A$205,0)),"SEM DE-PARA"))</f>
        <v>TRANSPORTES</v>
      </c>
      <c r="E133" s="23" t="n">
        <f aca="false">IF(A133="","",DATE(YEAR(A133),MONTH(A133),1))</f>
        <v>46235</v>
      </c>
    </row>
    <row r="134" customFormat="false" ht="15" hidden="false" customHeight="false" outlineLevel="0" collapsed="false">
      <c r="A134" s="21" t="n">
        <v>46266</v>
      </c>
      <c r="B134" s="4" t="s">
        <v>83</v>
      </c>
      <c r="C134" s="22" t="n">
        <v>1969.59</v>
      </c>
      <c r="D134" s="5" t="str">
        <f aca="false">IF(B134="","",IFERROR(INDEX(DE_PARA!$B$6:$B$205,MATCH(B134,DE_PARA!$A$6:$A$205,0)),"SEM DE-PARA"))</f>
        <v>TRANSPORTES</v>
      </c>
      <c r="E134" s="23" t="n">
        <f aca="false">IF(A134="","",DATE(YEAR(A134),MONTH(A134),1))</f>
        <v>46266</v>
      </c>
    </row>
    <row r="135" customFormat="false" ht="15" hidden="false" customHeight="false" outlineLevel="0" collapsed="false">
      <c r="A135" s="21" t="n">
        <v>46296</v>
      </c>
      <c r="B135" s="4" t="s">
        <v>83</v>
      </c>
      <c r="C135" s="22" t="n">
        <v>47.77</v>
      </c>
      <c r="D135" s="5" t="str">
        <f aca="false">IF(B135="","",IFERROR(INDEX(DE_PARA!$B$6:$B$205,MATCH(B135,DE_PARA!$A$6:$A$205,0)),"SEM DE-PARA"))</f>
        <v>TRANSPORTES</v>
      </c>
      <c r="E135" s="23" t="n">
        <f aca="false">IF(A135="","",DATE(YEAR(A135),MONTH(A135),1))</f>
        <v>46296</v>
      </c>
    </row>
    <row r="136" customFormat="false" ht="15" hidden="false" customHeight="false" outlineLevel="0" collapsed="false">
      <c r="A136" s="21" t="n">
        <v>45627</v>
      </c>
      <c r="B136" s="4" t="s">
        <v>86</v>
      </c>
      <c r="C136" s="22" t="n">
        <v>43088.09</v>
      </c>
      <c r="D136" s="5" t="str">
        <f aca="false">IF(B136="","",IFERROR(INDEX(DE_PARA!$B$6:$B$205,MATCH(B136,DE_PARA!$A$6:$A$205,0)),"SEM DE-PARA"))</f>
        <v>CONSULTORIAS (OBRAS)</v>
      </c>
      <c r="E136" s="23" t="n">
        <f aca="false">IF(A136="","",DATE(YEAR(A136),MONTH(A136),1))</f>
        <v>45627</v>
      </c>
    </row>
    <row r="137" customFormat="false" ht="15" hidden="false" customHeight="false" outlineLevel="0" collapsed="false">
      <c r="A137" s="21" t="n">
        <v>45689</v>
      </c>
      <c r="B137" s="4" t="s">
        <v>86</v>
      </c>
      <c r="C137" s="22" t="n">
        <v>14421.7</v>
      </c>
      <c r="D137" s="5" t="str">
        <f aca="false">IF(B137="","",IFERROR(INDEX(DE_PARA!$B$6:$B$205,MATCH(B137,DE_PARA!$A$6:$A$205,0)),"SEM DE-PARA"))</f>
        <v>CONSULTORIAS (OBRAS)</v>
      </c>
      <c r="E137" s="23" t="n">
        <f aca="false">IF(A137="","",DATE(YEAR(A137),MONTH(A137),1))</f>
        <v>45689</v>
      </c>
    </row>
    <row r="138" customFormat="false" ht="15" hidden="false" customHeight="false" outlineLevel="0" collapsed="false">
      <c r="A138" s="21" t="n">
        <v>45717</v>
      </c>
      <c r="B138" s="4" t="s">
        <v>86</v>
      </c>
      <c r="C138" s="22" t="n">
        <v>608.73</v>
      </c>
      <c r="D138" s="5" t="str">
        <f aca="false">IF(B138="","",IFERROR(INDEX(DE_PARA!$B$6:$B$205,MATCH(B138,DE_PARA!$A$6:$A$205,0)),"SEM DE-PARA"))</f>
        <v>CONSULTORIAS (OBRAS)</v>
      </c>
      <c r="E138" s="23" t="n">
        <f aca="false">IF(A138="","",DATE(YEAR(A138),MONTH(A138),1))</f>
        <v>45717</v>
      </c>
    </row>
    <row r="139" customFormat="false" ht="15" hidden="false" customHeight="false" outlineLevel="0" collapsed="false">
      <c r="A139" s="21" t="n">
        <v>45839</v>
      </c>
      <c r="B139" s="4" t="s">
        <v>86</v>
      </c>
      <c r="C139" s="22" t="n">
        <v>20181.97</v>
      </c>
      <c r="D139" s="5" t="str">
        <f aca="false">IF(B139="","",IFERROR(INDEX(DE_PARA!$B$6:$B$205,MATCH(B139,DE_PARA!$A$6:$A$205,0)),"SEM DE-PARA"))</f>
        <v>CONSULTORIAS (OBRAS)</v>
      </c>
      <c r="E139" s="23" t="n">
        <f aca="false">IF(A139="","",DATE(YEAR(A139),MONTH(A139),1))</f>
        <v>45839</v>
      </c>
    </row>
    <row r="140" customFormat="false" ht="15" hidden="false" customHeight="false" outlineLevel="0" collapsed="false">
      <c r="A140" s="21" t="n">
        <v>45870</v>
      </c>
      <c r="B140" s="4" t="s">
        <v>86</v>
      </c>
      <c r="C140" s="22" t="n">
        <v>6015.91</v>
      </c>
      <c r="D140" s="5" t="str">
        <f aca="false">IF(B140="","",IFERROR(INDEX(DE_PARA!$B$6:$B$205,MATCH(B140,DE_PARA!$A$6:$A$205,0)),"SEM DE-PARA"))</f>
        <v>CONSULTORIAS (OBRAS)</v>
      </c>
      <c r="E140" s="23" t="n">
        <f aca="false">IF(A140="","",DATE(YEAR(A140),MONTH(A140),1))</f>
        <v>45870</v>
      </c>
    </row>
    <row r="141" customFormat="false" ht="15" hidden="false" customHeight="false" outlineLevel="0" collapsed="false">
      <c r="A141" s="21" t="n">
        <v>45901</v>
      </c>
      <c r="B141" s="4" t="s">
        <v>86</v>
      </c>
      <c r="C141" s="22" t="n">
        <v>9715.37</v>
      </c>
      <c r="D141" s="5" t="str">
        <f aca="false">IF(B141="","",IFERROR(INDEX(DE_PARA!$B$6:$B$205,MATCH(B141,DE_PARA!$A$6:$A$205,0)),"SEM DE-PARA"))</f>
        <v>CONSULTORIAS (OBRAS)</v>
      </c>
      <c r="E141" s="23" t="n">
        <f aca="false">IF(A141="","",DATE(YEAR(A141),MONTH(A141),1))</f>
        <v>45901</v>
      </c>
    </row>
    <row r="142" customFormat="false" ht="15" hidden="false" customHeight="false" outlineLevel="0" collapsed="false">
      <c r="A142" s="21" t="n">
        <v>45931</v>
      </c>
      <c r="B142" s="4" t="s">
        <v>86</v>
      </c>
      <c r="C142" s="22" t="n">
        <v>28769</v>
      </c>
      <c r="D142" s="5" t="str">
        <f aca="false">IF(B142="","",IFERROR(INDEX(DE_PARA!$B$6:$B$205,MATCH(B142,DE_PARA!$A$6:$A$205,0)),"SEM DE-PARA"))</f>
        <v>CONSULTORIAS (OBRAS)</v>
      </c>
      <c r="E142" s="23" t="n">
        <f aca="false">IF(A142="","",DATE(YEAR(A142),MONTH(A142),1))</f>
        <v>45931</v>
      </c>
    </row>
    <row r="143" customFormat="false" ht="15" hidden="false" customHeight="false" outlineLevel="0" collapsed="false">
      <c r="A143" s="21" t="n">
        <v>45962</v>
      </c>
      <c r="B143" s="4" t="s">
        <v>86</v>
      </c>
      <c r="C143" s="22" t="n">
        <v>255492.31</v>
      </c>
      <c r="D143" s="5" t="str">
        <f aca="false">IF(B143="","",IFERROR(INDEX(DE_PARA!$B$6:$B$205,MATCH(B143,DE_PARA!$A$6:$A$205,0)),"SEM DE-PARA"))</f>
        <v>CONSULTORIAS (OBRAS)</v>
      </c>
      <c r="E143" s="23" t="n">
        <f aca="false">IF(A143="","",DATE(YEAR(A143),MONTH(A143),1))</f>
        <v>45962</v>
      </c>
    </row>
    <row r="144" customFormat="false" ht="15" hidden="false" customHeight="false" outlineLevel="0" collapsed="false">
      <c r="A144" s="21" t="n">
        <v>45992</v>
      </c>
      <c r="B144" s="4" t="s">
        <v>86</v>
      </c>
      <c r="C144" s="22" t="n">
        <v>61293.83</v>
      </c>
      <c r="D144" s="5" t="str">
        <f aca="false">IF(B144="","",IFERROR(INDEX(DE_PARA!$B$6:$B$205,MATCH(B144,DE_PARA!$A$6:$A$205,0)),"SEM DE-PARA"))</f>
        <v>CONSULTORIAS (OBRAS)</v>
      </c>
      <c r="E144" s="23" t="n">
        <f aca="false">IF(A144="","",DATE(YEAR(A144),MONTH(A144),1))</f>
        <v>45992</v>
      </c>
    </row>
    <row r="145" customFormat="false" ht="15" hidden="false" customHeight="false" outlineLevel="0" collapsed="false">
      <c r="A145" s="21" t="n">
        <v>46023</v>
      </c>
      <c r="B145" s="4" t="s">
        <v>86</v>
      </c>
      <c r="C145" s="22" t="n">
        <v>26405.03</v>
      </c>
      <c r="D145" s="5" t="str">
        <f aca="false">IF(B145="","",IFERROR(INDEX(DE_PARA!$B$6:$B$205,MATCH(B145,DE_PARA!$A$6:$A$205,0)),"SEM DE-PARA"))</f>
        <v>CONSULTORIAS (OBRAS)</v>
      </c>
      <c r="E145" s="23" t="n">
        <f aca="false">IF(A145="","",DATE(YEAR(A145),MONTH(A145),1))</f>
        <v>46023</v>
      </c>
    </row>
    <row r="146" customFormat="false" ht="15" hidden="false" customHeight="false" outlineLevel="0" collapsed="false">
      <c r="A146" s="21" t="n">
        <v>46054</v>
      </c>
      <c r="B146" s="4" t="s">
        <v>86</v>
      </c>
      <c r="C146" s="22" t="n">
        <v>27423.86</v>
      </c>
      <c r="D146" s="5" t="str">
        <f aca="false">IF(B146="","",IFERROR(INDEX(DE_PARA!$B$6:$B$205,MATCH(B146,DE_PARA!$A$6:$A$205,0)),"SEM DE-PARA"))</f>
        <v>CONSULTORIAS (OBRAS)</v>
      </c>
      <c r="E146" s="23" t="n">
        <f aca="false">IF(A146="","",DATE(YEAR(A146),MONTH(A146),1))</f>
        <v>46054</v>
      </c>
    </row>
    <row r="147" customFormat="false" ht="15" hidden="false" customHeight="false" outlineLevel="0" collapsed="false">
      <c r="A147" s="21" t="n">
        <v>46082</v>
      </c>
      <c r="B147" s="4" t="s">
        <v>86</v>
      </c>
      <c r="C147" s="22" t="n">
        <v>42679.98</v>
      </c>
      <c r="D147" s="5" t="str">
        <f aca="false">IF(B147="","",IFERROR(INDEX(DE_PARA!$B$6:$B$205,MATCH(B147,DE_PARA!$A$6:$A$205,0)),"SEM DE-PARA"))</f>
        <v>CONSULTORIAS (OBRAS)</v>
      </c>
      <c r="E147" s="23" t="n">
        <f aca="false">IF(A147="","",DATE(YEAR(A147),MONTH(A147),1))</f>
        <v>46082</v>
      </c>
    </row>
    <row r="148" customFormat="false" ht="15" hidden="false" customHeight="false" outlineLevel="0" collapsed="false">
      <c r="A148" s="21" t="n">
        <v>46113</v>
      </c>
      <c r="B148" s="4" t="s">
        <v>86</v>
      </c>
      <c r="C148" s="22" t="n">
        <v>22203.86</v>
      </c>
      <c r="D148" s="5" t="str">
        <f aca="false">IF(B148="","",IFERROR(INDEX(DE_PARA!$B$6:$B$205,MATCH(B148,DE_PARA!$A$6:$A$205,0)),"SEM DE-PARA"))</f>
        <v>CONSULTORIAS (OBRAS)</v>
      </c>
      <c r="E148" s="23" t="n">
        <f aca="false">IF(A148="","",DATE(YEAR(A148),MONTH(A148),1))</f>
        <v>46113</v>
      </c>
    </row>
    <row r="149" customFormat="false" ht="15" hidden="false" customHeight="false" outlineLevel="0" collapsed="false">
      <c r="A149" s="21" t="n">
        <v>46143</v>
      </c>
      <c r="B149" s="4" t="s">
        <v>86</v>
      </c>
      <c r="C149" s="22" t="n">
        <v>22652.84</v>
      </c>
      <c r="D149" s="5" t="str">
        <f aca="false">IF(B149="","",IFERROR(INDEX(DE_PARA!$B$6:$B$205,MATCH(B149,DE_PARA!$A$6:$A$205,0)),"SEM DE-PARA"))</f>
        <v>CONSULTORIAS (OBRAS)</v>
      </c>
      <c r="E149" s="23" t="n">
        <f aca="false">IF(A149="","",DATE(YEAR(A149),MONTH(A149),1))</f>
        <v>46143</v>
      </c>
    </row>
    <row r="150" customFormat="false" ht="15" hidden="false" customHeight="false" outlineLevel="0" collapsed="false">
      <c r="A150" s="21" t="n">
        <v>46174</v>
      </c>
      <c r="B150" s="4" t="s">
        <v>86</v>
      </c>
      <c r="C150" s="22" t="n">
        <v>18615.9</v>
      </c>
      <c r="D150" s="5" t="str">
        <f aca="false">IF(B150="","",IFERROR(INDEX(DE_PARA!$B$6:$B$205,MATCH(B150,DE_PARA!$A$6:$A$205,0)),"SEM DE-PARA"))</f>
        <v>CONSULTORIAS (OBRAS)</v>
      </c>
      <c r="E150" s="23" t="n">
        <f aca="false">IF(A150="","",DATE(YEAR(A150),MONTH(A150),1))</f>
        <v>46174</v>
      </c>
    </row>
    <row r="151" customFormat="false" ht="15" hidden="false" customHeight="false" outlineLevel="0" collapsed="false">
      <c r="A151" s="21" t="n">
        <v>46204</v>
      </c>
      <c r="B151" s="4" t="s">
        <v>86</v>
      </c>
      <c r="C151" s="22" t="n">
        <v>42382.64</v>
      </c>
      <c r="D151" s="5" t="str">
        <f aca="false">IF(B151="","",IFERROR(INDEX(DE_PARA!$B$6:$B$205,MATCH(B151,DE_PARA!$A$6:$A$205,0)),"SEM DE-PARA"))</f>
        <v>CONSULTORIAS (OBRAS)</v>
      </c>
      <c r="E151" s="23" t="n">
        <f aca="false">IF(A151="","",DATE(YEAR(A151),MONTH(A151),1))</f>
        <v>46204</v>
      </c>
    </row>
    <row r="152" customFormat="false" ht="15" hidden="false" customHeight="false" outlineLevel="0" collapsed="false">
      <c r="A152" s="21" t="n">
        <v>46235</v>
      </c>
      <c r="B152" s="4" t="s">
        <v>86</v>
      </c>
      <c r="C152" s="22" t="n">
        <v>32608.81</v>
      </c>
      <c r="D152" s="5" t="str">
        <f aca="false">IF(B152="","",IFERROR(INDEX(DE_PARA!$B$6:$B$205,MATCH(B152,DE_PARA!$A$6:$A$205,0)),"SEM DE-PARA"))</f>
        <v>CONSULTORIAS (OBRAS)</v>
      </c>
      <c r="E152" s="23" t="n">
        <f aca="false">IF(A152="","",DATE(YEAR(A152),MONTH(A152),1))</f>
        <v>46235</v>
      </c>
    </row>
    <row r="153" customFormat="false" ht="15" hidden="false" customHeight="false" outlineLevel="0" collapsed="false">
      <c r="A153" s="21" t="n">
        <v>46266</v>
      </c>
      <c r="B153" s="4" t="s">
        <v>86</v>
      </c>
      <c r="C153" s="22" t="n">
        <v>24838.91</v>
      </c>
      <c r="D153" s="5" t="str">
        <f aca="false">IF(B153="","",IFERROR(INDEX(DE_PARA!$B$6:$B$205,MATCH(B153,DE_PARA!$A$6:$A$205,0)),"SEM DE-PARA"))</f>
        <v>CONSULTORIAS (OBRAS)</v>
      </c>
      <c r="E153" s="23" t="n">
        <f aca="false">IF(A153="","",DATE(YEAR(A153),MONTH(A153),1))</f>
        <v>46266</v>
      </c>
    </row>
    <row r="154" customFormat="false" ht="15" hidden="false" customHeight="false" outlineLevel="0" collapsed="false">
      <c r="A154" s="21" t="n">
        <v>46296</v>
      </c>
      <c r="B154" s="4" t="s">
        <v>86</v>
      </c>
      <c r="C154" s="22" t="n">
        <v>190</v>
      </c>
      <c r="D154" s="5" t="str">
        <f aca="false">IF(B154="","",IFERROR(INDEX(DE_PARA!$B$6:$B$205,MATCH(B154,DE_PARA!$A$6:$A$205,0)),"SEM DE-PARA"))</f>
        <v>CONSULTORIAS (OBRAS)</v>
      </c>
      <c r="E154" s="23" t="n">
        <f aca="false">IF(A154="","",DATE(YEAR(A154),MONTH(A154),1))</f>
        <v>46296</v>
      </c>
    </row>
    <row r="155" customFormat="false" ht="15" hidden="false" customHeight="false" outlineLevel="0" collapsed="false">
      <c r="A155" s="21" t="n">
        <v>45627</v>
      </c>
      <c r="B155" s="4" t="s">
        <v>89</v>
      </c>
      <c r="C155" s="22" t="n">
        <v>387208.85</v>
      </c>
      <c r="D155" s="5" t="str">
        <f aca="false">IF(B155="","",IFERROR(INDEX(DE_PARA!$B$6:$B$205,MATCH(B155,DE_PARA!$A$6:$A$205,0)),"SEM DE-PARA"))</f>
        <v>MÃO DE OBRA PRÓPRIA</v>
      </c>
      <c r="E155" s="23" t="n">
        <f aca="false">IF(A155="","",DATE(YEAR(A155),MONTH(A155),1))</f>
        <v>45627</v>
      </c>
    </row>
    <row r="156" customFormat="false" ht="15" hidden="false" customHeight="false" outlineLevel="0" collapsed="false">
      <c r="A156" s="21" t="n">
        <v>45658</v>
      </c>
      <c r="B156" s="4" t="s">
        <v>89</v>
      </c>
      <c r="C156" s="22" t="n">
        <v>940</v>
      </c>
      <c r="D156" s="5" t="str">
        <f aca="false">IF(B156="","",IFERROR(INDEX(DE_PARA!$B$6:$B$205,MATCH(B156,DE_PARA!$A$6:$A$205,0)),"SEM DE-PARA"))</f>
        <v>MÃO DE OBRA PRÓPRIA</v>
      </c>
      <c r="E156" s="23" t="n">
        <f aca="false">IF(A156="","",DATE(YEAR(A156),MONTH(A156),1))</f>
        <v>45658</v>
      </c>
    </row>
    <row r="157" customFormat="false" ht="15" hidden="false" customHeight="false" outlineLevel="0" collapsed="false">
      <c r="A157" s="21" t="n">
        <v>45689</v>
      </c>
      <c r="B157" s="4" t="s">
        <v>89</v>
      </c>
      <c r="C157" s="22" t="n">
        <v>61357.36</v>
      </c>
      <c r="D157" s="5" t="str">
        <f aca="false">IF(B157="","",IFERROR(INDEX(DE_PARA!$B$6:$B$205,MATCH(B157,DE_PARA!$A$6:$A$205,0)),"SEM DE-PARA"))</f>
        <v>MÃO DE OBRA PRÓPRIA</v>
      </c>
      <c r="E157" s="23" t="n">
        <f aca="false">IF(A157="","",DATE(YEAR(A157),MONTH(A157),1))</f>
        <v>45689</v>
      </c>
    </row>
    <row r="158" customFormat="false" ht="15" hidden="false" customHeight="false" outlineLevel="0" collapsed="false">
      <c r="A158" s="21" t="n">
        <v>45717</v>
      </c>
      <c r="B158" s="4" t="s">
        <v>89</v>
      </c>
      <c r="C158" s="22" t="n">
        <v>118973.07</v>
      </c>
      <c r="D158" s="5" t="str">
        <f aca="false">IF(B158="","",IFERROR(INDEX(DE_PARA!$B$6:$B$205,MATCH(B158,DE_PARA!$A$6:$A$205,0)),"SEM DE-PARA"))</f>
        <v>MÃO DE OBRA PRÓPRIA</v>
      </c>
      <c r="E158" s="23" t="n">
        <f aca="false">IF(A158="","",DATE(YEAR(A158),MONTH(A158),1))</f>
        <v>45717</v>
      </c>
    </row>
    <row r="159" customFormat="false" ht="15" hidden="false" customHeight="false" outlineLevel="0" collapsed="false">
      <c r="A159" s="21" t="n">
        <v>45748</v>
      </c>
      <c r="B159" s="4" t="s">
        <v>89</v>
      </c>
      <c r="C159" s="22" t="n">
        <v>60617.36</v>
      </c>
      <c r="D159" s="5" t="str">
        <f aca="false">IF(B159="","",IFERROR(INDEX(DE_PARA!$B$6:$B$205,MATCH(B159,DE_PARA!$A$6:$A$205,0)),"SEM DE-PARA"))</f>
        <v>MÃO DE OBRA PRÓPRIA</v>
      </c>
      <c r="E159" s="23" t="n">
        <f aca="false">IF(A159="","",DATE(YEAR(A159),MONTH(A159),1))</f>
        <v>45748</v>
      </c>
    </row>
    <row r="160" customFormat="false" ht="15" hidden="false" customHeight="false" outlineLevel="0" collapsed="false">
      <c r="A160" s="21" t="n">
        <v>45778</v>
      </c>
      <c r="B160" s="4" t="s">
        <v>89</v>
      </c>
      <c r="C160" s="22" t="n">
        <v>23912.84</v>
      </c>
      <c r="D160" s="5" t="str">
        <f aca="false">IF(B160="","",IFERROR(INDEX(DE_PARA!$B$6:$B$205,MATCH(B160,DE_PARA!$A$6:$A$205,0)),"SEM DE-PARA"))</f>
        <v>MÃO DE OBRA PRÓPRIA</v>
      </c>
      <c r="E160" s="23" t="n">
        <f aca="false">IF(A160="","",DATE(YEAR(A160),MONTH(A160),1))</f>
        <v>45778</v>
      </c>
    </row>
    <row r="161" customFormat="false" ht="15" hidden="false" customHeight="false" outlineLevel="0" collapsed="false">
      <c r="A161" s="21" t="n">
        <v>45809</v>
      </c>
      <c r="B161" s="4" t="s">
        <v>89</v>
      </c>
      <c r="C161" s="22" t="n">
        <v>27131.75</v>
      </c>
      <c r="D161" s="5" t="str">
        <f aca="false">IF(B161="","",IFERROR(INDEX(DE_PARA!$B$6:$B$205,MATCH(B161,DE_PARA!$A$6:$A$205,0)),"SEM DE-PARA"))</f>
        <v>MÃO DE OBRA PRÓPRIA</v>
      </c>
      <c r="E161" s="23" t="n">
        <f aca="false">IF(A161="","",DATE(YEAR(A161),MONTH(A161),1))</f>
        <v>45809</v>
      </c>
    </row>
    <row r="162" customFormat="false" ht="15" hidden="false" customHeight="false" outlineLevel="0" collapsed="false">
      <c r="A162" s="21" t="n">
        <v>45839</v>
      </c>
      <c r="B162" s="4" t="s">
        <v>89</v>
      </c>
      <c r="C162" s="22" t="n">
        <v>51487.59</v>
      </c>
      <c r="D162" s="5" t="str">
        <f aca="false">IF(B162="","",IFERROR(INDEX(DE_PARA!$B$6:$B$205,MATCH(B162,DE_PARA!$A$6:$A$205,0)),"SEM DE-PARA"))</f>
        <v>MÃO DE OBRA PRÓPRIA</v>
      </c>
      <c r="E162" s="23" t="n">
        <f aca="false">IF(A162="","",DATE(YEAR(A162),MONTH(A162),1))</f>
        <v>45839</v>
      </c>
    </row>
    <row r="163" customFormat="false" ht="15" hidden="false" customHeight="false" outlineLevel="0" collapsed="false">
      <c r="A163" s="21" t="n">
        <v>45870</v>
      </c>
      <c r="B163" s="4" t="s">
        <v>89</v>
      </c>
      <c r="C163" s="22" t="n">
        <v>89901.3</v>
      </c>
      <c r="D163" s="5" t="str">
        <f aca="false">IF(B163="","",IFERROR(INDEX(DE_PARA!$B$6:$B$205,MATCH(B163,DE_PARA!$A$6:$A$205,0)),"SEM DE-PARA"))</f>
        <v>MÃO DE OBRA PRÓPRIA</v>
      </c>
      <c r="E163" s="23" t="n">
        <f aca="false">IF(A163="","",DATE(YEAR(A163),MONTH(A163),1))</f>
        <v>45870</v>
      </c>
    </row>
    <row r="164" customFormat="false" ht="15" hidden="false" customHeight="false" outlineLevel="0" collapsed="false">
      <c r="A164" s="21" t="n">
        <v>45901</v>
      </c>
      <c r="B164" s="4" t="s">
        <v>89</v>
      </c>
      <c r="C164" s="22" t="n">
        <v>109406.48</v>
      </c>
      <c r="D164" s="5" t="str">
        <f aca="false">IF(B164="","",IFERROR(INDEX(DE_PARA!$B$6:$B$205,MATCH(B164,DE_PARA!$A$6:$A$205,0)),"SEM DE-PARA"))</f>
        <v>MÃO DE OBRA PRÓPRIA</v>
      </c>
      <c r="E164" s="23" t="n">
        <f aca="false">IF(A164="","",DATE(YEAR(A164),MONTH(A164),1))</f>
        <v>45901</v>
      </c>
    </row>
    <row r="165" customFormat="false" ht="15" hidden="false" customHeight="false" outlineLevel="0" collapsed="false">
      <c r="A165" s="21" t="n">
        <v>45931</v>
      </c>
      <c r="B165" s="4" t="s">
        <v>89</v>
      </c>
      <c r="C165" s="22" t="n">
        <v>164098.29</v>
      </c>
      <c r="D165" s="5" t="str">
        <f aca="false">IF(B165="","",IFERROR(INDEX(DE_PARA!$B$6:$B$205,MATCH(B165,DE_PARA!$A$6:$A$205,0)),"SEM DE-PARA"))</f>
        <v>MÃO DE OBRA PRÓPRIA</v>
      </c>
      <c r="E165" s="23" t="n">
        <f aca="false">IF(A165="","",DATE(YEAR(A165),MONTH(A165),1))</f>
        <v>45931</v>
      </c>
    </row>
    <row r="166" customFormat="false" ht="15" hidden="false" customHeight="false" outlineLevel="0" collapsed="false">
      <c r="A166" s="21" t="n">
        <v>45962</v>
      </c>
      <c r="B166" s="4" t="s">
        <v>89</v>
      </c>
      <c r="C166" s="22" t="n">
        <v>234224.1</v>
      </c>
      <c r="D166" s="5" t="str">
        <f aca="false">IF(B166="","",IFERROR(INDEX(DE_PARA!$B$6:$B$205,MATCH(B166,DE_PARA!$A$6:$A$205,0)),"SEM DE-PARA"))</f>
        <v>MÃO DE OBRA PRÓPRIA</v>
      </c>
      <c r="E166" s="23" t="n">
        <f aca="false">IF(A166="","",DATE(YEAR(A166),MONTH(A166),1))</f>
        <v>45962</v>
      </c>
    </row>
    <row r="167" customFormat="false" ht="15" hidden="false" customHeight="false" outlineLevel="0" collapsed="false">
      <c r="A167" s="21" t="n">
        <v>45992</v>
      </c>
      <c r="B167" s="4" t="s">
        <v>89</v>
      </c>
      <c r="C167" s="22" t="n">
        <v>187300.46</v>
      </c>
      <c r="D167" s="5" t="str">
        <f aca="false">IF(B167="","",IFERROR(INDEX(DE_PARA!$B$6:$B$205,MATCH(B167,DE_PARA!$A$6:$A$205,0)),"SEM DE-PARA"))</f>
        <v>MÃO DE OBRA PRÓPRIA</v>
      </c>
      <c r="E167" s="23" t="n">
        <f aca="false">IF(A167="","",DATE(YEAR(A167),MONTH(A167),1))</f>
        <v>45992</v>
      </c>
    </row>
    <row r="168" customFormat="false" ht="15" hidden="false" customHeight="false" outlineLevel="0" collapsed="false">
      <c r="A168" s="21" t="n">
        <v>46023</v>
      </c>
      <c r="B168" s="4" t="s">
        <v>89</v>
      </c>
      <c r="C168" s="22" t="n">
        <v>207035.09</v>
      </c>
      <c r="D168" s="5" t="str">
        <f aca="false">IF(B168="","",IFERROR(INDEX(DE_PARA!$B$6:$B$205,MATCH(B168,DE_PARA!$A$6:$A$205,0)),"SEM DE-PARA"))</f>
        <v>MÃO DE OBRA PRÓPRIA</v>
      </c>
      <c r="E168" s="23" t="n">
        <f aca="false">IF(A168="","",DATE(YEAR(A168),MONTH(A168),1))</f>
        <v>46023</v>
      </c>
    </row>
    <row r="169" customFormat="false" ht="15" hidden="false" customHeight="false" outlineLevel="0" collapsed="false">
      <c r="A169" s="21" t="n">
        <v>46054</v>
      </c>
      <c r="B169" s="4" t="s">
        <v>89</v>
      </c>
      <c r="C169" s="22" t="n">
        <v>189783.71</v>
      </c>
      <c r="D169" s="5" t="str">
        <f aca="false">IF(B169="","",IFERROR(INDEX(DE_PARA!$B$6:$B$205,MATCH(B169,DE_PARA!$A$6:$A$205,0)),"SEM DE-PARA"))</f>
        <v>MÃO DE OBRA PRÓPRIA</v>
      </c>
      <c r="E169" s="23" t="n">
        <f aca="false">IF(A169="","",DATE(YEAR(A169),MONTH(A169),1))</f>
        <v>46054</v>
      </c>
    </row>
    <row r="170" customFormat="false" ht="15" hidden="false" customHeight="false" outlineLevel="0" collapsed="false">
      <c r="A170" s="21" t="n">
        <v>46082</v>
      </c>
      <c r="B170" s="4" t="s">
        <v>89</v>
      </c>
      <c r="C170" s="22" t="n">
        <v>215160.73</v>
      </c>
      <c r="D170" s="5" t="str">
        <f aca="false">IF(B170="","",IFERROR(INDEX(DE_PARA!$B$6:$B$205,MATCH(B170,DE_PARA!$A$6:$A$205,0)),"SEM DE-PARA"))</f>
        <v>MÃO DE OBRA PRÓPRIA</v>
      </c>
      <c r="E170" s="23" t="n">
        <f aca="false">IF(A170="","",DATE(YEAR(A170),MONTH(A170),1))</f>
        <v>46082</v>
      </c>
    </row>
    <row r="171" customFormat="false" ht="15" hidden="false" customHeight="false" outlineLevel="0" collapsed="false">
      <c r="A171" s="21" t="n">
        <v>46113</v>
      </c>
      <c r="B171" s="4" t="s">
        <v>89</v>
      </c>
      <c r="C171" s="22" t="n">
        <v>203548.11</v>
      </c>
      <c r="D171" s="5" t="str">
        <f aca="false">IF(B171="","",IFERROR(INDEX(DE_PARA!$B$6:$B$205,MATCH(B171,DE_PARA!$A$6:$A$205,0)),"SEM DE-PARA"))</f>
        <v>MÃO DE OBRA PRÓPRIA</v>
      </c>
      <c r="E171" s="23" t="n">
        <f aca="false">IF(A171="","",DATE(YEAR(A171),MONTH(A171),1))</f>
        <v>46113</v>
      </c>
    </row>
    <row r="172" customFormat="false" ht="15" hidden="false" customHeight="false" outlineLevel="0" collapsed="false">
      <c r="A172" s="21" t="n">
        <v>46143</v>
      </c>
      <c r="B172" s="4" t="s">
        <v>89</v>
      </c>
      <c r="C172" s="22" t="n">
        <v>207785.71</v>
      </c>
      <c r="D172" s="5" t="str">
        <f aca="false">IF(B172="","",IFERROR(INDEX(DE_PARA!$B$6:$B$205,MATCH(B172,DE_PARA!$A$6:$A$205,0)),"SEM DE-PARA"))</f>
        <v>MÃO DE OBRA PRÓPRIA</v>
      </c>
      <c r="E172" s="23" t="n">
        <f aca="false">IF(A172="","",DATE(YEAR(A172),MONTH(A172),1))</f>
        <v>46143</v>
      </c>
    </row>
    <row r="173" customFormat="false" ht="15" hidden="false" customHeight="false" outlineLevel="0" collapsed="false">
      <c r="A173" s="21" t="n">
        <v>46174</v>
      </c>
      <c r="B173" s="4" t="s">
        <v>89</v>
      </c>
      <c r="C173" s="22" t="n">
        <v>205254.17</v>
      </c>
      <c r="D173" s="5" t="str">
        <f aca="false">IF(B173="","",IFERROR(INDEX(DE_PARA!$B$6:$B$205,MATCH(B173,DE_PARA!$A$6:$A$205,0)),"SEM DE-PARA"))</f>
        <v>MÃO DE OBRA PRÓPRIA</v>
      </c>
      <c r="E173" s="23" t="n">
        <f aca="false">IF(A173="","",DATE(YEAR(A173),MONTH(A173),1))</f>
        <v>46174</v>
      </c>
    </row>
    <row r="174" customFormat="false" ht="15" hidden="false" customHeight="false" outlineLevel="0" collapsed="false">
      <c r="A174" s="21" t="n">
        <v>46204</v>
      </c>
      <c r="B174" s="4" t="s">
        <v>89</v>
      </c>
      <c r="C174" s="22" t="n">
        <v>256382.45</v>
      </c>
      <c r="D174" s="5" t="str">
        <f aca="false">IF(B174="","",IFERROR(INDEX(DE_PARA!$B$6:$B$205,MATCH(B174,DE_PARA!$A$6:$A$205,0)),"SEM DE-PARA"))</f>
        <v>MÃO DE OBRA PRÓPRIA</v>
      </c>
      <c r="E174" s="23" t="n">
        <f aca="false">IF(A174="","",DATE(YEAR(A174),MONTH(A174),1))</f>
        <v>46204</v>
      </c>
    </row>
    <row r="175" customFormat="false" ht="15" hidden="false" customHeight="false" outlineLevel="0" collapsed="false">
      <c r="A175" s="21" t="n">
        <v>46235</v>
      </c>
      <c r="B175" s="4" t="s">
        <v>89</v>
      </c>
      <c r="C175" s="22" t="n">
        <v>298850.74</v>
      </c>
      <c r="D175" s="5" t="str">
        <f aca="false">IF(B175="","",IFERROR(INDEX(DE_PARA!$B$6:$B$205,MATCH(B175,DE_PARA!$A$6:$A$205,0)),"SEM DE-PARA"))</f>
        <v>MÃO DE OBRA PRÓPRIA</v>
      </c>
      <c r="E175" s="23" t="n">
        <f aca="false">IF(A175="","",DATE(YEAR(A175),MONTH(A175),1))</f>
        <v>46235</v>
      </c>
    </row>
    <row r="176" customFormat="false" ht="15" hidden="false" customHeight="false" outlineLevel="0" collapsed="false">
      <c r="A176" s="21" t="n">
        <v>46266</v>
      </c>
      <c r="B176" s="4" t="s">
        <v>89</v>
      </c>
      <c r="C176" s="22" t="n">
        <v>194858.26</v>
      </c>
      <c r="D176" s="5" t="str">
        <f aca="false">IF(B176="","",IFERROR(INDEX(DE_PARA!$B$6:$B$205,MATCH(B176,DE_PARA!$A$6:$A$205,0)),"SEM DE-PARA"))</f>
        <v>MÃO DE OBRA PRÓPRIA</v>
      </c>
      <c r="E176" s="23" t="n">
        <f aca="false">IF(A176="","",DATE(YEAR(A176),MONTH(A176),1))</f>
        <v>46266</v>
      </c>
    </row>
    <row r="177" customFormat="false" ht="15" hidden="false" customHeight="false" outlineLevel="0" collapsed="false">
      <c r="A177" s="21" t="n">
        <v>46296</v>
      </c>
      <c r="B177" s="4" t="s">
        <v>89</v>
      </c>
      <c r="C177" s="22" t="n">
        <v>82753.46</v>
      </c>
      <c r="D177" s="5" t="str">
        <f aca="false">IF(B177="","",IFERROR(INDEX(DE_PARA!$B$6:$B$205,MATCH(B177,DE_PARA!$A$6:$A$205,0)),"SEM DE-PARA"))</f>
        <v>MÃO DE OBRA PRÓPRIA</v>
      </c>
      <c r="E177" s="23" t="n">
        <f aca="false">IF(A177="","",DATE(YEAR(A177),MONTH(A177),1))</f>
        <v>46296</v>
      </c>
    </row>
    <row r="178" customFormat="false" ht="15" hidden="false" customHeight="false" outlineLevel="0" collapsed="false">
      <c r="A178" s="21" t="n">
        <v>46327</v>
      </c>
      <c r="B178" s="4" t="s">
        <v>89</v>
      </c>
      <c r="C178" s="22" t="n">
        <v>91679.55</v>
      </c>
      <c r="D178" s="5" t="str">
        <f aca="false">IF(B178="","",IFERROR(INDEX(DE_PARA!$B$6:$B$205,MATCH(B178,DE_PARA!$A$6:$A$205,0)),"SEM DE-PARA"))</f>
        <v>MÃO DE OBRA PRÓPRIA</v>
      </c>
      <c r="E178" s="23" t="n">
        <f aca="false">IF(A178="","",DATE(YEAR(A178),MONTH(A178),1))</f>
        <v>46327</v>
      </c>
    </row>
    <row r="179" customFormat="false" ht="15" hidden="false" customHeight="false" outlineLevel="0" collapsed="false">
      <c r="A179" s="21" t="n">
        <v>46357</v>
      </c>
      <c r="B179" s="4" t="s">
        <v>89</v>
      </c>
      <c r="C179" s="22" t="n">
        <v>91427.86</v>
      </c>
      <c r="D179" s="5" t="str">
        <f aca="false">IF(B179="","",IFERROR(INDEX(DE_PARA!$B$6:$B$205,MATCH(B179,DE_PARA!$A$6:$A$205,0)),"SEM DE-PARA"))</f>
        <v>MÃO DE OBRA PRÓPRIA</v>
      </c>
      <c r="E179" s="23" t="n">
        <f aca="false">IF(A179="","",DATE(YEAR(A179),MONTH(A179),1))</f>
        <v>46357</v>
      </c>
    </row>
    <row r="180" customFormat="false" ht="15" hidden="false" customHeight="false" outlineLevel="0" collapsed="false">
      <c r="A180" s="21" t="n">
        <v>46388</v>
      </c>
      <c r="B180" s="4" t="s">
        <v>89</v>
      </c>
      <c r="C180" s="22" t="n">
        <v>1007.81</v>
      </c>
      <c r="D180" s="5" t="str">
        <f aca="false">IF(B180="","",IFERROR(INDEX(DE_PARA!$B$6:$B$205,MATCH(B180,DE_PARA!$A$6:$A$205,0)),"SEM DE-PARA"))</f>
        <v>MÃO DE OBRA PRÓPRIA</v>
      </c>
      <c r="E180" s="23" t="n">
        <f aca="false">IF(A180="","",DATE(YEAR(A180),MONTH(A180),1))</f>
        <v>46388</v>
      </c>
    </row>
    <row r="181" customFormat="false" ht="15" hidden="false" customHeight="false" outlineLevel="0" collapsed="false">
      <c r="A181" s="21" t="n">
        <v>46419</v>
      </c>
      <c r="B181" s="4" t="s">
        <v>89</v>
      </c>
      <c r="C181" s="22" t="n">
        <v>1037.4</v>
      </c>
      <c r="D181" s="5" t="str">
        <f aca="false">IF(B181="","",IFERROR(INDEX(DE_PARA!$B$6:$B$205,MATCH(B181,DE_PARA!$A$6:$A$205,0)),"SEM DE-PARA"))</f>
        <v>MÃO DE OBRA PRÓPRIA</v>
      </c>
      <c r="E181" s="23" t="n">
        <f aca="false">IF(A181="","",DATE(YEAR(A181),MONTH(A181),1))</f>
        <v>46419</v>
      </c>
    </row>
    <row r="182" customFormat="false" ht="15" hidden="false" customHeight="false" outlineLevel="0" collapsed="false">
      <c r="A182" s="21" t="n">
        <v>46447</v>
      </c>
      <c r="B182" s="4" t="s">
        <v>89</v>
      </c>
      <c r="C182" s="22" t="n">
        <v>3222.97</v>
      </c>
      <c r="D182" s="5" t="str">
        <f aca="false">IF(B182="","",IFERROR(INDEX(DE_PARA!$B$6:$B$205,MATCH(B182,DE_PARA!$A$6:$A$205,0)),"SEM DE-PARA"))</f>
        <v>MÃO DE OBRA PRÓPRIA</v>
      </c>
      <c r="E182" s="23" t="n">
        <f aca="false">IF(A182="","",DATE(YEAR(A182),MONTH(A182),1))</f>
        <v>46447</v>
      </c>
    </row>
    <row r="183" customFormat="false" ht="15" hidden="false" customHeight="false" outlineLevel="0" collapsed="false">
      <c r="A183" s="21" t="n">
        <v>46661</v>
      </c>
      <c r="B183" s="4" t="s">
        <v>89</v>
      </c>
      <c r="C183" s="22" t="n">
        <v>863.52</v>
      </c>
      <c r="D183" s="5" t="str">
        <f aca="false">IF(B183="","",IFERROR(INDEX(DE_PARA!$B$6:$B$205,MATCH(B183,DE_PARA!$A$6:$A$205,0)),"SEM DE-PARA"))</f>
        <v>MÃO DE OBRA PRÓPRIA</v>
      </c>
      <c r="E183" s="23" t="n">
        <f aca="false">IF(A183="","",DATE(YEAR(A183),MONTH(A183),1))</f>
        <v>46661</v>
      </c>
    </row>
    <row r="184" customFormat="false" ht="15" hidden="false" customHeight="false" outlineLevel="0" collapsed="false">
      <c r="A184" s="21" t="n">
        <v>46722</v>
      </c>
      <c r="B184" s="4" t="s">
        <v>89</v>
      </c>
      <c r="C184" s="22" t="n">
        <v>8451.69</v>
      </c>
      <c r="D184" s="5" t="str">
        <f aca="false">IF(B184="","",IFERROR(INDEX(DE_PARA!$B$6:$B$205,MATCH(B184,DE_PARA!$A$6:$A$205,0)),"SEM DE-PARA"))</f>
        <v>MÃO DE OBRA PRÓPRIA</v>
      </c>
      <c r="E184" s="23" t="n">
        <f aca="false">IF(A184="","",DATE(YEAR(A184),MONTH(A184),1))</f>
        <v>46722</v>
      </c>
    </row>
    <row r="185" customFormat="false" ht="15" hidden="false" customHeight="false" outlineLevel="0" collapsed="false">
      <c r="A185" s="21" t="n">
        <v>45839</v>
      </c>
      <c r="B185" s="4" t="s">
        <v>92</v>
      </c>
      <c r="C185" s="22" t="n">
        <v>672.9</v>
      </c>
      <c r="D185" s="5" t="str">
        <f aca="false">IF(B185="","",IFERROR(INDEX(DE_PARA!$B$6:$B$205,MATCH(B185,DE_PARA!$A$6:$A$205,0)),"SEM DE-PARA"))</f>
        <v>EQUIPAMENTOS E FERRAMENTAS</v>
      </c>
      <c r="E185" s="23" t="n">
        <f aca="false">IF(A185="","",DATE(YEAR(A185),MONTH(A185),1))</f>
        <v>45839</v>
      </c>
    </row>
    <row r="186" customFormat="false" ht="15" hidden="false" customHeight="false" outlineLevel="0" collapsed="false">
      <c r="A186" s="21" t="n">
        <v>45870</v>
      </c>
      <c r="B186" s="4" t="s">
        <v>92</v>
      </c>
      <c r="C186" s="22" t="n">
        <v>5281.41</v>
      </c>
      <c r="D186" s="5" t="str">
        <f aca="false">IF(B186="","",IFERROR(INDEX(DE_PARA!$B$6:$B$205,MATCH(B186,DE_PARA!$A$6:$A$205,0)),"SEM DE-PARA"))</f>
        <v>EQUIPAMENTOS E FERRAMENTAS</v>
      </c>
      <c r="E186" s="23" t="n">
        <f aca="false">IF(A186="","",DATE(YEAR(A186),MONTH(A186),1))</f>
        <v>45870</v>
      </c>
    </row>
    <row r="187" customFormat="false" ht="15" hidden="false" customHeight="false" outlineLevel="0" collapsed="false">
      <c r="A187" s="21" t="n">
        <v>45901</v>
      </c>
      <c r="B187" s="4" t="s">
        <v>92</v>
      </c>
      <c r="C187" s="22" t="n">
        <v>6232.49</v>
      </c>
      <c r="D187" s="5" t="str">
        <f aca="false">IF(B187="","",IFERROR(INDEX(DE_PARA!$B$6:$B$205,MATCH(B187,DE_PARA!$A$6:$A$205,0)),"SEM DE-PARA"))</f>
        <v>EQUIPAMENTOS E FERRAMENTAS</v>
      </c>
      <c r="E187" s="23" t="n">
        <f aca="false">IF(A187="","",DATE(YEAR(A187),MONTH(A187),1))</f>
        <v>45901</v>
      </c>
    </row>
    <row r="188" customFormat="false" ht="15" hidden="false" customHeight="false" outlineLevel="0" collapsed="false">
      <c r="A188" s="21" t="n">
        <v>45931</v>
      </c>
      <c r="B188" s="4" t="s">
        <v>92</v>
      </c>
      <c r="C188" s="22" t="n">
        <v>9500.17</v>
      </c>
      <c r="D188" s="5" t="str">
        <f aca="false">IF(B188="","",IFERROR(INDEX(DE_PARA!$B$6:$B$205,MATCH(B188,DE_PARA!$A$6:$A$205,0)),"SEM DE-PARA"))</f>
        <v>EQUIPAMENTOS E FERRAMENTAS</v>
      </c>
      <c r="E188" s="23" t="n">
        <f aca="false">IF(A188="","",DATE(YEAR(A188),MONTH(A188),1))</f>
        <v>45931</v>
      </c>
    </row>
    <row r="189" customFormat="false" ht="15" hidden="false" customHeight="false" outlineLevel="0" collapsed="false">
      <c r="A189" s="21" t="n">
        <v>45962</v>
      </c>
      <c r="B189" s="4" t="s">
        <v>92</v>
      </c>
      <c r="C189" s="22" t="n">
        <v>55945.36</v>
      </c>
      <c r="D189" s="5" t="str">
        <f aca="false">IF(B189="","",IFERROR(INDEX(DE_PARA!$B$6:$B$205,MATCH(B189,DE_PARA!$A$6:$A$205,0)),"SEM DE-PARA"))</f>
        <v>EQUIPAMENTOS E FERRAMENTAS</v>
      </c>
      <c r="E189" s="23" t="n">
        <f aca="false">IF(A189="","",DATE(YEAR(A189),MONTH(A189),1))</f>
        <v>45962</v>
      </c>
    </row>
    <row r="190" customFormat="false" ht="15" hidden="false" customHeight="false" outlineLevel="0" collapsed="false">
      <c r="A190" s="21" t="n">
        <v>45992</v>
      </c>
      <c r="B190" s="4" t="s">
        <v>92</v>
      </c>
      <c r="C190" s="22" t="n">
        <v>58948.93</v>
      </c>
      <c r="D190" s="5" t="str">
        <f aca="false">IF(B190="","",IFERROR(INDEX(DE_PARA!$B$6:$B$205,MATCH(B190,DE_PARA!$A$6:$A$205,0)),"SEM DE-PARA"))</f>
        <v>EQUIPAMENTOS E FERRAMENTAS</v>
      </c>
      <c r="E190" s="23" t="n">
        <f aca="false">IF(A190="","",DATE(YEAR(A190),MONTH(A190),1))</f>
        <v>45992</v>
      </c>
    </row>
    <row r="191" customFormat="false" ht="15" hidden="false" customHeight="false" outlineLevel="0" collapsed="false">
      <c r="A191" s="21" t="n">
        <v>46023</v>
      </c>
      <c r="B191" s="4" t="s">
        <v>92</v>
      </c>
      <c r="C191" s="22" t="n">
        <v>144547.58</v>
      </c>
      <c r="D191" s="5" t="str">
        <f aca="false">IF(B191="","",IFERROR(INDEX(DE_PARA!$B$6:$B$205,MATCH(B191,DE_PARA!$A$6:$A$205,0)),"SEM DE-PARA"))</f>
        <v>EQUIPAMENTOS E FERRAMENTAS</v>
      </c>
      <c r="E191" s="23" t="n">
        <f aca="false">IF(A191="","",DATE(YEAR(A191),MONTH(A191),1))</f>
        <v>46023</v>
      </c>
    </row>
    <row r="192" customFormat="false" ht="15" hidden="false" customHeight="false" outlineLevel="0" collapsed="false">
      <c r="A192" s="21" t="n">
        <v>46054</v>
      </c>
      <c r="B192" s="4" t="s">
        <v>92</v>
      </c>
      <c r="C192" s="22" t="n">
        <v>11787.59</v>
      </c>
      <c r="D192" s="5" t="str">
        <f aca="false">IF(B192="","",IFERROR(INDEX(DE_PARA!$B$6:$B$205,MATCH(B192,DE_PARA!$A$6:$A$205,0)),"SEM DE-PARA"))</f>
        <v>EQUIPAMENTOS E FERRAMENTAS</v>
      </c>
      <c r="E192" s="23" t="n">
        <f aca="false">IF(A192="","",DATE(YEAR(A192),MONTH(A192),1))</f>
        <v>46054</v>
      </c>
    </row>
    <row r="193" customFormat="false" ht="15" hidden="false" customHeight="false" outlineLevel="0" collapsed="false">
      <c r="A193" s="21" t="n">
        <v>46082</v>
      </c>
      <c r="B193" s="4" t="s">
        <v>92</v>
      </c>
      <c r="C193" s="22" t="n">
        <v>6734.81</v>
      </c>
      <c r="D193" s="5" t="str">
        <f aca="false">IF(B193="","",IFERROR(INDEX(DE_PARA!$B$6:$B$205,MATCH(B193,DE_PARA!$A$6:$A$205,0)),"SEM DE-PARA"))</f>
        <v>EQUIPAMENTOS E FERRAMENTAS</v>
      </c>
      <c r="E193" s="23" t="n">
        <f aca="false">IF(A193="","",DATE(YEAR(A193),MONTH(A193),1))</f>
        <v>46082</v>
      </c>
    </row>
    <row r="194" customFormat="false" ht="15" hidden="false" customHeight="false" outlineLevel="0" collapsed="false">
      <c r="A194" s="21" t="n">
        <v>46113</v>
      </c>
      <c r="B194" s="4" t="s">
        <v>92</v>
      </c>
      <c r="C194" s="22" t="n">
        <v>2323.6</v>
      </c>
      <c r="D194" s="5" t="str">
        <f aca="false">IF(B194="","",IFERROR(INDEX(DE_PARA!$B$6:$B$205,MATCH(B194,DE_PARA!$A$6:$A$205,0)),"SEM DE-PARA"))</f>
        <v>EQUIPAMENTOS E FERRAMENTAS</v>
      </c>
      <c r="E194" s="23" t="n">
        <f aca="false">IF(A194="","",DATE(YEAR(A194),MONTH(A194),1))</f>
        <v>46113</v>
      </c>
    </row>
    <row r="195" customFormat="false" ht="15" hidden="false" customHeight="false" outlineLevel="0" collapsed="false">
      <c r="A195" s="21" t="n">
        <v>46143</v>
      </c>
      <c r="B195" s="4" t="s">
        <v>92</v>
      </c>
      <c r="C195" s="22" t="n">
        <v>28516.02</v>
      </c>
      <c r="D195" s="5" t="str">
        <f aca="false">IF(B195="","",IFERROR(INDEX(DE_PARA!$B$6:$B$205,MATCH(B195,DE_PARA!$A$6:$A$205,0)),"SEM DE-PARA"))</f>
        <v>EQUIPAMENTOS E FERRAMENTAS</v>
      </c>
      <c r="E195" s="23" t="n">
        <f aca="false">IF(A195="","",DATE(YEAR(A195),MONTH(A195),1))</f>
        <v>46143</v>
      </c>
    </row>
    <row r="196" customFormat="false" ht="15" hidden="false" customHeight="false" outlineLevel="0" collapsed="false">
      <c r="A196" s="21" t="n">
        <v>46174</v>
      </c>
      <c r="B196" s="4" t="s">
        <v>92</v>
      </c>
      <c r="C196" s="22" t="n">
        <v>24451.29</v>
      </c>
      <c r="D196" s="5" t="str">
        <f aca="false">IF(B196="","",IFERROR(INDEX(DE_PARA!$B$6:$B$205,MATCH(B196,DE_PARA!$A$6:$A$205,0)),"SEM DE-PARA"))</f>
        <v>EQUIPAMENTOS E FERRAMENTAS</v>
      </c>
      <c r="E196" s="23" t="n">
        <f aca="false">IF(A196="","",DATE(YEAR(A196),MONTH(A196),1))</f>
        <v>46174</v>
      </c>
    </row>
    <row r="197" customFormat="false" ht="15" hidden="false" customHeight="false" outlineLevel="0" collapsed="false">
      <c r="A197" s="21" t="n">
        <v>46204</v>
      </c>
      <c r="B197" s="4" t="s">
        <v>92</v>
      </c>
      <c r="C197" s="22" t="n">
        <v>63176.57</v>
      </c>
      <c r="D197" s="5" t="str">
        <f aca="false">IF(B197="","",IFERROR(INDEX(DE_PARA!$B$6:$B$205,MATCH(B197,DE_PARA!$A$6:$A$205,0)),"SEM DE-PARA"))</f>
        <v>EQUIPAMENTOS E FERRAMENTAS</v>
      </c>
      <c r="E197" s="23" t="n">
        <f aca="false">IF(A197="","",DATE(YEAR(A197),MONTH(A197),1))</f>
        <v>46204</v>
      </c>
    </row>
    <row r="198" customFormat="false" ht="15" hidden="false" customHeight="false" outlineLevel="0" collapsed="false">
      <c r="A198" s="21" t="n">
        <v>46235</v>
      </c>
      <c r="B198" s="4" t="s">
        <v>92</v>
      </c>
      <c r="C198" s="22" t="n">
        <v>125549</v>
      </c>
      <c r="D198" s="5" t="str">
        <f aca="false">IF(B198="","",IFERROR(INDEX(DE_PARA!$B$6:$B$205,MATCH(B198,DE_PARA!$A$6:$A$205,0)),"SEM DE-PARA"))</f>
        <v>EQUIPAMENTOS E FERRAMENTAS</v>
      </c>
      <c r="E198" s="23" t="n">
        <f aca="false">IF(A198="","",DATE(YEAR(A198),MONTH(A198),1))</f>
        <v>46235</v>
      </c>
    </row>
    <row r="199" customFormat="false" ht="15" hidden="false" customHeight="false" outlineLevel="0" collapsed="false">
      <c r="A199" s="21" t="n">
        <v>46266</v>
      </c>
      <c r="B199" s="4" t="s">
        <v>92</v>
      </c>
      <c r="C199" s="22" t="n">
        <v>88812</v>
      </c>
      <c r="D199" s="5" t="str">
        <f aca="false">IF(B199="","",IFERROR(INDEX(DE_PARA!$B$6:$B$205,MATCH(B199,DE_PARA!$A$6:$A$205,0)),"SEM DE-PARA"))</f>
        <v>EQUIPAMENTOS E FERRAMENTAS</v>
      </c>
      <c r="E199" s="23" t="n">
        <f aca="false">IF(A199="","",DATE(YEAR(A199),MONTH(A199),1))</f>
        <v>46266</v>
      </c>
    </row>
    <row r="200" customFormat="false" ht="15" hidden="false" customHeight="false" outlineLevel="0" collapsed="false">
      <c r="A200" s="21" t="n">
        <v>46296</v>
      </c>
      <c r="B200" s="4" t="s">
        <v>92</v>
      </c>
      <c r="C200" s="22" t="n">
        <v>9937.8</v>
      </c>
      <c r="D200" s="5" t="str">
        <f aca="false">IF(B200="","",IFERROR(INDEX(DE_PARA!$B$6:$B$205,MATCH(B200,DE_PARA!$A$6:$A$205,0)),"SEM DE-PARA"))</f>
        <v>EQUIPAMENTOS E FERRAMENTAS</v>
      </c>
      <c r="E200" s="23" t="n">
        <f aca="false">IF(A200="","",DATE(YEAR(A200),MONTH(A200),1))</f>
        <v>46296</v>
      </c>
    </row>
    <row r="201" customFormat="false" ht="15" hidden="false" customHeight="false" outlineLevel="0" collapsed="false">
      <c r="A201" s="21" t="n">
        <v>46327</v>
      </c>
      <c r="B201" s="4" t="s">
        <v>92</v>
      </c>
      <c r="C201" s="22" t="n">
        <v>257.38</v>
      </c>
      <c r="D201" s="5" t="str">
        <f aca="false">IF(B201="","",IFERROR(INDEX(DE_PARA!$B$6:$B$205,MATCH(B201,DE_PARA!$A$6:$A$205,0)),"SEM DE-PARA"))</f>
        <v>EQUIPAMENTOS E FERRAMENTAS</v>
      </c>
      <c r="E201" s="23" t="n">
        <f aca="false">IF(A201="","",DATE(YEAR(A201),MONTH(A201),1))</f>
        <v>46327</v>
      </c>
    </row>
    <row r="202" customFormat="false" ht="15" hidden="false" customHeight="false" outlineLevel="0" collapsed="false">
      <c r="A202" s="21" t="n">
        <v>46419</v>
      </c>
      <c r="B202" s="4" t="s">
        <v>92</v>
      </c>
      <c r="C202" s="22" t="n">
        <v>1456.4</v>
      </c>
      <c r="D202" s="5" t="str">
        <f aca="false">IF(B202="","",IFERROR(INDEX(DE_PARA!$B$6:$B$205,MATCH(B202,DE_PARA!$A$6:$A$205,0)),"SEM DE-PARA"))</f>
        <v>EQUIPAMENTOS E FERRAMENTAS</v>
      </c>
      <c r="E202" s="23" t="n">
        <f aca="false">IF(A202="","",DATE(YEAR(A202),MONTH(A202),1))</f>
        <v>46419</v>
      </c>
    </row>
    <row r="203" customFormat="false" ht="15" hidden="false" customHeight="false" outlineLevel="0" collapsed="false">
      <c r="A203" s="21" t="n">
        <v>46935</v>
      </c>
      <c r="B203" s="4" t="s">
        <v>92</v>
      </c>
      <c r="C203" s="22" t="n">
        <v>1693.38</v>
      </c>
      <c r="D203" s="5" t="str">
        <f aca="false">IF(B203="","",IFERROR(INDEX(DE_PARA!$B$6:$B$205,MATCH(B203,DE_PARA!$A$6:$A$205,0)),"SEM DE-PARA"))</f>
        <v>EQUIPAMENTOS E FERRAMENTAS</v>
      </c>
      <c r="E203" s="23" t="n">
        <f aca="false">IF(A203="","",DATE(YEAR(A203),MONTH(A203),1))</f>
        <v>46935</v>
      </c>
    </row>
    <row r="204" customFormat="false" ht="15" hidden="false" customHeight="false" outlineLevel="0" collapsed="false">
      <c r="A204" s="21" t="n">
        <v>45809</v>
      </c>
      <c r="B204" s="4" t="s">
        <v>95</v>
      </c>
      <c r="C204" s="22" t="n">
        <v>29688.12</v>
      </c>
      <c r="D204" s="5" t="str">
        <f aca="false">IF(B204="","",IFERROR(INDEX(DE_PARA!$B$6:$B$205,MATCH(B204,DE_PARA!$A$6:$A$205,0)),"SEM DE-PARA"))</f>
        <v>SERVIÇOS INICIAIS</v>
      </c>
      <c r="E204" s="23" t="n">
        <f aca="false">IF(A204="","",DATE(YEAR(A204),MONTH(A204),1))</f>
        <v>45809</v>
      </c>
    </row>
    <row r="205" customFormat="false" ht="15" hidden="false" customHeight="false" outlineLevel="0" collapsed="false">
      <c r="A205" s="21" t="n">
        <v>45839</v>
      </c>
      <c r="B205" s="4" t="s">
        <v>95</v>
      </c>
      <c r="C205" s="22" t="n">
        <v>5465.88</v>
      </c>
      <c r="D205" s="5" t="str">
        <f aca="false">IF(B205="","",IFERROR(INDEX(DE_PARA!$B$6:$B$205,MATCH(B205,DE_PARA!$A$6:$A$205,0)),"SEM DE-PARA"))</f>
        <v>SERVIÇOS INICIAIS</v>
      </c>
      <c r="E205" s="23" t="n">
        <f aca="false">IF(A205="","",DATE(YEAR(A205),MONTH(A205),1))</f>
        <v>45839</v>
      </c>
    </row>
    <row r="206" customFormat="false" ht="15" hidden="false" customHeight="false" outlineLevel="0" collapsed="false">
      <c r="A206" s="21" t="n">
        <v>45901</v>
      </c>
      <c r="B206" s="4" t="s">
        <v>95</v>
      </c>
      <c r="C206" s="22" t="n">
        <v>15003.12</v>
      </c>
      <c r="D206" s="5" t="str">
        <f aca="false">IF(B206="","",IFERROR(INDEX(DE_PARA!$B$6:$B$205,MATCH(B206,DE_PARA!$A$6:$A$205,0)),"SEM DE-PARA"))</f>
        <v>SERVIÇOS INICIAIS</v>
      </c>
      <c r="E206" s="23" t="n">
        <f aca="false">IF(A206="","",DATE(YEAR(A206),MONTH(A206),1))</f>
        <v>45901</v>
      </c>
    </row>
    <row r="207" customFormat="false" ht="15" hidden="false" customHeight="false" outlineLevel="0" collapsed="false">
      <c r="A207" s="21" t="n">
        <v>45931</v>
      </c>
      <c r="B207" s="4" t="s">
        <v>95</v>
      </c>
      <c r="C207" s="22" t="n">
        <v>8525.88</v>
      </c>
      <c r="D207" s="5" t="str">
        <f aca="false">IF(B207="","",IFERROR(INDEX(DE_PARA!$B$6:$B$205,MATCH(B207,DE_PARA!$A$6:$A$205,0)),"SEM DE-PARA"))</f>
        <v>SERVIÇOS INICIAIS</v>
      </c>
      <c r="E207" s="23" t="n">
        <f aca="false">IF(A207="","",DATE(YEAR(A207),MONTH(A207),1))</f>
        <v>45931</v>
      </c>
    </row>
    <row r="208" customFormat="false" ht="15" hidden="false" customHeight="false" outlineLevel="0" collapsed="false">
      <c r="A208" s="21" t="n">
        <v>45962</v>
      </c>
      <c r="B208" s="4" t="s">
        <v>95</v>
      </c>
      <c r="C208" s="22" t="n">
        <v>9755.94</v>
      </c>
      <c r="D208" s="5" t="str">
        <f aca="false">IF(B208="","",IFERROR(INDEX(DE_PARA!$B$6:$B$205,MATCH(B208,DE_PARA!$A$6:$A$205,0)),"SEM DE-PARA"))</f>
        <v>SERVIÇOS INICIAIS</v>
      </c>
      <c r="E208" s="23" t="n">
        <f aca="false">IF(A208="","",DATE(YEAR(A208),MONTH(A208),1))</f>
        <v>45962</v>
      </c>
    </row>
    <row r="209" customFormat="false" ht="15" hidden="false" customHeight="false" outlineLevel="0" collapsed="false">
      <c r="A209" s="21" t="n">
        <v>45992</v>
      </c>
      <c r="B209" s="4" t="s">
        <v>95</v>
      </c>
      <c r="C209" s="22" t="n">
        <v>13712.62</v>
      </c>
      <c r="D209" s="5" t="str">
        <f aca="false">IF(B209="","",IFERROR(INDEX(DE_PARA!$B$6:$B$205,MATCH(B209,DE_PARA!$A$6:$A$205,0)),"SEM DE-PARA"))</f>
        <v>SERVIÇOS INICIAIS</v>
      </c>
      <c r="E209" s="23" t="n">
        <f aca="false">IF(A209="","",DATE(YEAR(A209),MONTH(A209),1))</f>
        <v>45992</v>
      </c>
    </row>
    <row r="210" customFormat="false" ht="15" hidden="false" customHeight="false" outlineLevel="0" collapsed="false">
      <c r="A210" s="21" t="n">
        <v>46023</v>
      </c>
      <c r="B210" s="4" t="s">
        <v>95</v>
      </c>
      <c r="C210" s="22" t="n">
        <v>9641.44</v>
      </c>
      <c r="D210" s="5" t="str">
        <f aca="false">IF(B210="","",IFERROR(INDEX(DE_PARA!$B$6:$B$205,MATCH(B210,DE_PARA!$A$6:$A$205,0)),"SEM DE-PARA"))</f>
        <v>SERVIÇOS INICIAIS</v>
      </c>
      <c r="E210" s="23" t="n">
        <f aca="false">IF(A210="","",DATE(YEAR(A210),MONTH(A210),1))</f>
        <v>46023</v>
      </c>
    </row>
    <row r="211" customFormat="false" ht="15" hidden="false" customHeight="false" outlineLevel="0" collapsed="false">
      <c r="A211" s="21" t="n">
        <v>46054</v>
      </c>
      <c r="B211" s="4" t="s">
        <v>95</v>
      </c>
      <c r="C211" s="22" t="n">
        <v>1604.07</v>
      </c>
      <c r="D211" s="5" t="str">
        <f aca="false">IF(B211="","",IFERROR(INDEX(DE_PARA!$B$6:$B$205,MATCH(B211,DE_PARA!$A$6:$A$205,0)),"SEM DE-PARA"))</f>
        <v>SERVIÇOS INICIAIS</v>
      </c>
      <c r="E211" s="23" t="n">
        <f aca="false">IF(A211="","",DATE(YEAR(A211),MONTH(A211),1))</f>
        <v>46054</v>
      </c>
    </row>
    <row r="212" customFormat="false" ht="15" hidden="false" customHeight="false" outlineLevel="0" collapsed="false">
      <c r="A212" s="21" t="n">
        <v>46082</v>
      </c>
      <c r="B212" s="4" t="s">
        <v>95</v>
      </c>
      <c r="C212" s="22" t="n">
        <v>10302.97</v>
      </c>
      <c r="D212" s="5" t="str">
        <f aca="false">IF(B212="","",IFERROR(INDEX(DE_PARA!$B$6:$B$205,MATCH(B212,DE_PARA!$A$6:$A$205,0)),"SEM DE-PARA"))</f>
        <v>SERVIÇOS INICIAIS</v>
      </c>
      <c r="E212" s="23" t="n">
        <f aca="false">IF(A212="","",DATE(YEAR(A212),MONTH(A212),1))</f>
        <v>46082</v>
      </c>
    </row>
    <row r="213" customFormat="false" ht="15" hidden="false" customHeight="false" outlineLevel="0" collapsed="false">
      <c r="A213" s="21" t="n">
        <v>46113</v>
      </c>
      <c r="B213" s="4" t="s">
        <v>95</v>
      </c>
      <c r="C213" s="22" t="n">
        <v>3859.6</v>
      </c>
      <c r="D213" s="5" t="str">
        <f aca="false">IF(B213="","",IFERROR(INDEX(DE_PARA!$B$6:$B$205,MATCH(B213,DE_PARA!$A$6:$A$205,0)),"SEM DE-PARA"))</f>
        <v>SERVIÇOS INICIAIS</v>
      </c>
      <c r="E213" s="23" t="n">
        <f aca="false">IF(A213="","",DATE(YEAR(A213),MONTH(A213),1))</f>
        <v>46113</v>
      </c>
    </row>
    <row r="214" customFormat="false" ht="15" hidden="false" customHeight="false" outlineLevel="0" collapsed="false">
      <c r="A214" s="21" t="n">
        <v>46143</v>
      </c>
      <c r="B214" s="4" t="s">
        <v>95</v>
      </c>
      <c r="C214" s="22" t="n">
        <v>140.4</v>
      </c>
      <c r="D214" s="5" t="str">
        <f aca="false">IF(B214="","",IFERROR(INDEX(DE_PARA!$B$6:$B$205,MATCH(B214,DE_PARA!$A$6:$A$205,0)),"SEM DE-PARA"))</f>
        <v>SERVIÇOS INICIAIS</v>
      </c>
      <c r="E214" s="23" t="n">
        <f aca="false">IF(A214="","",DATE(YEAR(A214),MONTH(A214),1))</f>
        <v>46143</v>
      </c>
    </row>
    <row r="215" customFormat="false" ht="15" hidden="false" customHeight="false" outlineLevel="0" collapsed="false">
      <c r="A215" s="21" t="n">
        <v>46174</v>
      </c>
      <c r="B215" s="4" t="s">
        <v>95</v>
      </c>
      <c r="C215" s="22" t="n">
        <v>665</v>
      </c>
      <c r="D215" s="5" t="str">
        <f aca="false">IF(B215="","",IFERROR(INDEX(DE_PARA!$B$6:$B$205,MATCH(B215,DE_PARA!$A$6:$A$205,0)),"SEM DE-PARA"))</f>
        <v>SERVIÇOS INICIAIS</v>
      </c>
      <c r="E215" s="23" t="n">
        <f aca="false">IF(A215="","",DATE(YEAR(A215),MONTH(A215),1))</f>
        <v>46174</v>
      </c>
    </row>
    <row r="216" customFormat="false" ht="15" hidden="false" customHeight="false" outlineLevel="0" collapsed="false">
      <c r="A216" s="21" t="n">
        <v>46266</v>
      </c>
      <c r="B216" s="4" t="s">
        <v>95</v>
      </c>
      <c r="C216" s="22" t="n">
        <v>3402</v>
      </c>
      <c r="D216" s="5" t="str">
        <f aca="false">IF(B216="","",IFERROR(INDEX(DE_PARA!$B$6:$B$205,MATCH(B216,DE_PARA!$A$6:$A$205,0)),"SEM DE-PARA"))</f>
        <v>SERVIÇOS INICIAIS</v>
      </c>
      <c r="E216" s="23" t="n">
        <f aca="false">IF(A216="","",DATE(YEAR(A216),MONTH(A216),1))</f>
        <v>46266</v>
      </c>
    </row>
    <row r="217" customFormat="false" ht="15" hidden="false" customHeight="false" outlineLevel="0" collapsed="false">
      <c r="A217" s="21" t="n">
        <v>46327</v>
      </c>
      <c r="B217" s="4" t="s">
        <v>95</v>
      </c>
      <c r="C217" s="22" t="n">
        <v>399</v>
      </c>
      <c r="D217" s="5" t="str">
        <f aca="false">IF(B217="","",IFERROR(INDEX(DE_PARA!$B$6:$B$205,MATCH(B217,DE_PARA!$A$6:$A$205,0)),"SEM DE-PARA"))</f>
        <v>SERVIÇOS INICIAIS</v>
      </c>
      <c r="E217" s="23" t="n">
        <f aca="false">IF(A217="","",DATE(YEAR(A217),MONTH(A217),1))</f>
        <v>46327</v>
      </c>
    </row>
    <row r="218" customFormat="false" ht="15" hidden="false" customHeight="false" outlineLevel="0" collapsed="false">
      <c r="A218" s="21" t="n">
        <v>46722</v>
      </c>
      <c r="B218" s="4" t="s">
        <v>95</v>
      </c>
      <c r="C218" s="22" t="n">
        <v>2905</v>
      </c>
      <c r="D218" s="5" t="str">
        <f aca="false">IF(B218="","",IFERROR(INDEX(DE_PARA!$B$6:$B$205,MATCH(B218,DE_PARA!$A$6:$A$205,0)),"SEM DE-PARA"))</f>
        <v>SERVIÇOS INICIAIS</v>
      </c>
      <c r="E218" s="23" t="n">
        <f aca="false">IF(A218="","",DATE(YEAR(A218),MONTH(A218),1))</f>
        <v>46722</v>
      </c>
    </row>
    <row r="219" customFormat="false" ht="15" hidden="false" customHeight="false" outlineLevel="0" collapsed="false">
      <c r="A219" s="21" t="n">
        <v>45839</v>
      </c>
      <c r="B219" s="4" t="s">
        <v>98</v>
      </c>
      <c r="C219" s="22" t="n">
        <v>12009.9</v>
      </c>
      <c r="D219" s="5" t="str">
        <f aca="false">IF(B219="","",IFERROR(INDEX(DE_PARA!$B$6:$B$205,MATCH(B219,DE_PARA!$A$6:$A$205,0)),"SEM DE-PARA"))</f>
        <v>CONTENÇÃO</v>
      </c>
      <c r="E219" s="23" t="n">
        <f aca="false">IF(A219="","",DATE(YEAR(A219),MONTH(A219),1))</f>
        <v>45839</v>
      </c>
    </row>
    <row r="220" customFormat="false" ht="15" hidden="false" customHeight="false" outlineLevel="0" collapsed="false">
      <c r="A220" s="21" t="n">
        <v>45870</v>
      </c>
      <c r="B220" s="4" t="s">
        <v>98</v>
      </c>
      <c r="C220" s="22" t="n">
        <v>107813.99</v>
      </c>
      <c r="D220" s="5" t="str">
        <f aca="false">IF(B220="","",IFERROR(INDEX(DE_PARA!$B$6:$B$205,MATCH(B220,DE_PARA!$A$6:$A$205,0)),"SEM DE-PARA"))</f>
        <v>CONTENÇÃO</v>
      </c>
      <c r="E220" s="23" t="n">
        <f aca="false">IF(A220="","",DATE(YEAR(A220),MONTH(A220),1))</f>
        <v>45870</v>
      </c>
    </row>
    <row r="221" customFormat="false" ht="15" hidden="false" customHeight="false" outlineLevel="0" collapsed="false">
      <c r="A221" s="21" t="n">
        <v>45901</v>
      </c>
      <c r="B221" s="4" t="s">
        <v>98</v>
      </c>
      <c r="C221" s="22" t="n">
        <v>236848.02</v>
      </c>
      <c r="D221" s="5" t="str">
        <f aca="false">IF(B221="","",IFERROR(INDEX(DE_PARA!$B$6:$B$205,MATCH(B221,DE_PARA!$A$6:$A$205,0)),"SEM DE-PARA"))</f>
        <v>CONTENÇÃO</v>
      </c>
      <c r="E221" s="23" t="n">
        <f aca="false">IF(A221="","",DATE(YEAR(A221),MONTH(A221),1))</f>
        <v>45901</v>
      </c>
    </row>
    <row r="222" customFormat="false" ht="15" hidden="false" customHeight="false" outlineLevel="0" collapsed="false">
      <c r="A222" s="21" t="n">
        <v>45931</v>
      </c>
      <c r="B222" s="4" t="s">
        <v>98</v>
      </c>
      <c r="C222" s="22" t="n">
        <v>285810.89</v>
      </c>
      <c r="D222" s="5" t="str">
        <f aca="false">IF(B222="","",IFERROR(INDEX(DE_PARA!$B$6:$B$205,MATCH(B222,DE_PARA!$A$6:$A$205,0)),"SEM DE-PARA"))</f>
        <v>CONTENÇÃO</v>
      </c>
      <c r="E222" s="23" t="n">
        <f aca="false">IF(A222="","",DATE(YEAR(A222),MONTH(A222),1))</f>
        <v>45931</v>
      </c>
    </row>
    <row r="223" customFormat="false" ht="15" hidden="false" customHeight="false" outlineLevel="0" collapsed="false">
      <c r="A223" s="21" t="n">
        <v>45962</v>
      </c>
      <c r="B223" s="4" t="s">
        <v>98</v>
      </c>
      <c r="C223" s="22" t="n">
        <v>200940.58</v>
      </c>
      <c r="D223" s="5" t="str">
        <f aca="false">IF(B223="","",IFERROR(INDEX(DE_PARA!$B$6:$B$205,MATCH(B223,DE_PARA!$A$6:$A$205,0)),"SEM DE-PARA"))</f>
        <v>CONTENÇÃO</v>
      </c>
      <c r="E223" s="23" t="n">
        <f aca="false">IF(A223="","",DATE(YEAR(A223),MONTH(A223),1))</f>
        <v>45962</v>
      </c>
    </row>
    <row r="224" customFormat="false" ht="15" hidden="false" customHeight="false" outlineLevel="0" collapsed="false">
      <c r="A224" s="21" t="n">
        <v>45992</v>
      </c>
      <c r="B224" s="4" t="s">
        <v>98</v>
      </c>
      <c r="C224" s="22" t="n">
        <v>135305.99</v>
      </c>
      <c r="D224" s="5" t="str">
        <f aca="false">IF(B224="","",IFERROR(INDEX(DE_PARA!$B$6:$B$205,MATCH(B224,DE_PARA!$A$6:$A$205,0)),"SEM DE-PARA"))</f>
        <v>CONTENÇÃO</v>
      </c>
      <c r="E224" s="23" t="n">
        <f aca="false">IF(A224="","",DATE(YEAR(A224),MONTH(A224),1))</f>
        <v>45992</v>
      </c>
    </row>
    <row r="225" customFormat="false" ht="15" hidden="false" customHeight="false" outlineLevel="0" collapsed="false">
      <c r="A225" s="21" t="n">
        <v>46023</v>
      </c>
      <c r="B225" s="4" t="s">
        <v>98</v>
      </c>
      <c r="C225" s="22" t="n">
        <v>4650</v>
      </c>
      <c r="D225" s="5" t="str">
        <f aca="false">IF(B225="","",IFERROR(INDEX(DE_PARA!$B$6:$B$205,MATCH(B225,DE_PARA!$A$6:$A$205,0)),"SEM DE-PARA"))</f>
        <v>CONTENÇÃO</v>
      </c>
      <c r="E225" s="23" t="n">
        <f aca="false">IF(A225="","",DATE(YEAR(A225),MONTH(A225),1))</f>
        <v>46023</v>
      </c>
    </row>
    <row r="226" customFormat="false" ht="15" hidden="false" customHeight="false" outlineLevel="0" collapsed="false">
      <c r="A226" s="21" t="n">
        <v>46054</v>
      </c>
      <c r="B226" s="4" t="s">
        <v>98</v>
      </c>
      <c r="C226" s="22" t="n">
        <v>860</v>
      </c>
      <c r="D226" s="5" t="str">
        <f aca="false">IF(B226="","",IFERROR(INDEX(DE_PARA!$B$6:$B$205,MATCH(B226,DE_PARA!$A$6:$A$205,0)),"SEM DE-PARA"))</f>
        <v>CONTENÇÃO</v>
      </c>
      <c r="E226" s="23" t="n">
        <f aca="false">IF(A226="","",DATE(YEAR(A226),MONTH(A226),1))</f>
        <v>46054</v>
      </c>
    </row>
    <row r="227" customFormat="false" ht="15" hidden="false" customHeight="false" outlineLevel="0" collapsed="false">
      <c r="A227" s="21" t="n">
        <v>46082</v>
      </c>
      <c r="B227" s="4" t="s">
        <v>98</v>
      </c>
      <c r="C227" s="22" t="n">
        <v>44182</v>
      </c>
      <c r="D227" s="5" t="str">
        <f aca="false">IF(B227="","",IFERROR(INDEX(DE_PARA!$B$6:$B$205,MATCH(B227,DE_PARA!$A$6:$A$205,0)),"SEM DE-PARA"))</f>
        <v>CONTENÇÃO</v>
      </c>
      <c r="E227" s="23" t="n">
        <f aca="false">IF(A227="","",DATE(YEAR(A227),MONTH(A227),1))</f>
        <v>46082</v>
      </c>
    </row>
    <row r="228" customFormat="false" ht="15" hidden="false" customHeight="false" outlineLevel="0" collapsed="false">
      <c r="A228" s="21" t="n">
        <v>46113</v>
      </c>
      <c r="B228" s="4" t="s">
        <v>98</v>
      </c>
      <c r="C228" s="22" t="n">
        <v>346.94</v>
      </c>
      <c r="D228" s="5" t="str">
        <f aca="false">IF(B228="","",IFERROR(INDEX(DE_PARA!$B$6:$B$205,MATCH(B228,DE_PARA!$A$6:$A$205,0)),"SEM DE-PARA"))</f>
        <v>CONTENÇÃO</v>
      </c>
      <c r="E228" s="23" t="n">
        <f aca="false">IF(A228="","",DATE(YEAR(A228),MONTH(A228),1))</f>
        <v>46113</v>
      </c>
    </row>
    <row r="229" customFormat="false" ht="15" hidden="false" customHeight="false" outlineLevel="0" collapsed="false">
      <c r="A229" s="21" t="n">
        <v>46143</v>
      </c>
      <c r="B229" s="4" t="s">
        <v>98</v>
      </c>
      <c r="C229" s="22" t="n">
        <v>4280</v>
      </c>
      <c r="D229" s="5" t="str">
        <f aca="false">IF(B229="","",IFERROR(INDEX(DE_PARA!$B$6:$B$205,MATCH(B229,DE_PARA!$A$6:$A$205,0)),"SEM DE-PARA"))</f>
        <v>CONTENÇÃO</v>
      </c>
      <c r="E229" s="23" t="n">
        <f aca="false">IF(A229="","",DATE(YEAR(A229),MONTH(A229),1))</f>
        <v>46143</v>
      </c>
    </row>
    <row r="230" customFormat="false" ht="15" hidden="false" customHeight="false" outlineLevel="0" collapsed="false">
      <c r="A230" s="21" t="n">
        <v>46174</v>
      </c>
      <c r="B230" s="4" t="s">
        <v>98</v>
      </c>
      <c r="C230" s="22" t="n">
        <v>6148</v>
      </c>
      <c r="D230" s="5" t="str">
        <f aca="false">IF(B230="","",IFERROR(INDEX(DE_PARA!$B$6:$B$205,MATCH(B230,DE_PARA!$A$6:$A$205,0)),"SEM DE-PARA"))</f>
        <v>CONTENÇÃO</v>
      </c>
      <c r="E230" s="23" t="n">
        <f aca="false">IF(A230="","",DATE(YEAR(A230),MONTH(A230),1))</f>
        <v>46174</v>
      </c>
    </row>
    <row r="231" customFormat="false" ht="15" hidden="false" customHeight="false" outlineLevel="0" collapsed="false">
      <c r="A231" s="21" t="n">
        <v>46204</v>
      </c>
      <c r="B231" s="4" t="s">
        <v>98</v>
      </c>
      <c r="C231" s="22" t="n">
        <v>36106.1</v>
      </c>
      <c r="D231" s="5" t="str">
        <f aca="false">IF(B231="","",IFERROR(INDEX(DE_PARA!$B$6:$B$205,MATCH(B231,DE_PARA!$A$6:$A$205,0)),"SEM DE-PARA"))</f>
        <v>CONTENÇÃO</v>
      </c>
      <c r="E231" s="23" t="n">
        <f aca="false">IF(A231="","",DATE(YEAR(A231),MONTH(A231),1))</f>
        <v>46204</v>
      </c>
    </row>
    <row r="232" customFormat="false" ht="15" hidden="false" customHeight="false" outlineLevel="0" collapsed="false">
      <c r="A232" s="21" t="n">
        <v>46266</v>
      </c>
      <c r="B232" s="4" t="s">
        <v>98</v>
      </c>
      <c r="C232" s="22" t="n">
        <v>10352.65</v>
      </c>
      <c r="D232" s="5" t="str">
        <f aca="false">IF(B232="","",IFERROR(INDEX(DE_PARA!$B$6:$B$205,MATCH(B232,DE_PARA!$A$6:$A$205,0)),"SEM DE-PARA"))</f>
        <v>CONTENÇÃO</v>
      </c>
      <c r="E232" s="23" t="n">
        <f aca="false">IF(A232="","",DATE(YEAR(A232),MONTH(A232),1))</f>
        <v>46266</v>
      </c>
    </row>
    <row r="233" customFormat="false" ht="15" hidden="false" customHeight="false" outlineLevel="0" collapsed="false">
      <c r="A233" s="21" t="n">
        <v>46327</v>
      </c>
      <c r="B233" s="4" t="s">
        <v>98</v>
      </c>
      <c r="C233" s="22" t="n">
        <v>5763.38</v>
      </c>
      <c r="D233" s="5" t="str">
        <f aca="false">IF(B233="","",IFERROR(INDEX(DE_PARA!$B$6:$B$205,MATCH(B233,DE_PARA!$A$6:$A$205,0)),"SEM DE-PARA"))</f>
        <v>CONTENÇÃO</v>
      </c>
      <c r="E233" s="23" t="n">
        <f aca="false">IF(A233="","",DATE(YEAR(A233),MONTH(A233),1))</f>
        <v>46327</v>
      </c>
    </row>
    <row r="234" customFormat="false" ht="15" hidden="false" customHeight="false" outlineLevel="0" collapsed="false">
      <c r="A234" s="21" t="n">
        <v>45962</v>
      </c>
      <c r="B234" s="4" t="s">
        <v>101</v>
      </c>
      <c r="C234" s="22" t="n">
        <v>3866</v>
      </c>
      <c r="D234" s="5" t="str">
        <f aca="false">IF(B234="","",IFERROR(INDEX(DE_PARA!$B$6:$B$205,MATCH(B234,DE_PARA!$A$6:$A$205,0)),"SEM DE-PARA"))</f>
        <v>TERRAPLENAGEM</v>
      </c>
      <c r="E234" s="23" t="n">
        <f aca="false">IF(A234="","",DATE(YEAR(A234),MONTH(A234),1))</f>
        <v>45962</v>
      </c>
    </row>
    <row r="235" customFormat="false" ht="15" hidden="false" customHeight="false" outlineLevel="0" collapsed="false">
      <c r="A235" s="21" t="n">
        <v>45992</v>
      </c>
      <c r="B235" s="4" t="s">
        <v>101</v>
      </c>
      <c r="C235" s="22" t="n">
        <v>58166.5</v>
      </c>
      <c r="D235" s="5" t="str">
        <f aca="false">IF(B235="","",IFERROR(INDEX(DE_PARA!$B$6:$B$205,MATCH(B235,DE_PARA!$A$6:$A$205,0)),"SEM DE-PARA"))</f>
        <v>TERRAPLENAGEM</v>
      </c>
      <c r="E235" s="23" t="n">
        <f aca="false">IF(A235="","",DATE(YEAR(A235),MONTH(A235),1))</f>
        <v>45992</v>
      </c>
    </row>
    <row r="236" customFormat="false" ht="15" hidden="false" customHeight="false" outlineLevel="0" collapsed="false">
      <c r="A236" s="21" t="n">
        <v>46023</v>
      </c>
      <c r="B236" s="4" t="s">
        <v>101</v>
      </c>
      <c r="C236" s="22" t="n">
        <v>21398.48</v>
      </c>
      <c r="D236" s="5" t="str">
        <f aca="false">IF(B236="","",IFERROR(INDEX(DE_PARA!$B$6:$B$205,MATCH(B236,DE_PARA!$A$6:$A$205,0)),"SEM DE-PARA"))</f>
        <v>TERRAPLENAGEM</v>
      </c>
      <c r="E236" s="23" t="n">
        <f aca="false">IF(A236="","",DATE(YEAR(A236),MONTH(A236),1))</f>
        <v>46023</v>
      </c>
    </row>
    <row r="237" customFormat="false" ht="15" hidden="false" customHeight="false" outlineLevel="0" collapsed="false">
      <c r="A237" s="21" t="n">
        <v>46054</v>
      </c>
      <c r="B237" s="4" t="s">
        <v>101</v>
      </c>
      <c r="C237" s="22" t="n">
        <v>104829.66</v>
      </c>
      <c r="D237" s="5" t="str">
        <f aca="false">IF(B237="","",IFERROR(INDEX(DE_PARA!$B$6:$B$205,MATCH(B237,DE_PARA!$A$6:$A$205,0)),"SEM DE-PARA"))</f>
        <v>TERRAPLENAGEM</v>
      </c>
      <c r="E237" s="23" t="n">
        <f aca="false">IF(A237="","",DATE(YEAR(A237),MONTH(A237),1))</f>
        <v>46054</v>
      </c>
    </row>
    <row r="238" customFormat="false" ht="15" hidden="false" customHeight="false" outlineLevel="0" collapsed="false">
      <c r="A238" s="21" t="n">
        <v>46082</v>
      </c>
      <c r="B238" s="4" t="s">
        <v>101</v>
      </c>
      <c r="C238" s="22" t="n">
        <v>21701.49</v>
      </c>
      <c r="D238" s="5" t="str">
        <f aca="false">IF(B238="","",IFERROR(INDEX(DE_PARA!$B$6:$B$205,MATCH(B238,DE_PARA!$A$6:$A$205,0)),"SEM DE-PARA"))</f>
        <v>TERRAPLENAGEM</v>
      </c>
      <c r="E238" s="23" t="n">
        <f aca="false">IF(A238="","",DATE(YEAR(A238),MONTH(A238),1))</f>
        <v>46082</v>
      </c>
    </row>
    <row r="239" customFormat="false" ht="15" hidden="false" customHeight="false" outlineLevel="0" collapsed="false">
      <c r="A239" s="21" t="n">
        <v>46113</v>
      </c>
      <c r="B239" s="4" t="s">
        <v>101</v>
      </c>
      <c r="C239" s="22" t="n">
        <v>203306.37</v>
      </c>
      <c r="D239" s="5" t="str">
        <f aca="false">IF(B239="","",IFERROR(INDEX(DE_PARA!$B$6:$B$205,MATCH(B239,DE_PARA!$A$6:$A$205,0)),"SEM DE-PARA"))</f>
        <v>TERRAPLENAGEM</v>
      </c>
      <c r="E239" s="23" t="n">
        <f aca="false">IF(A239="","",DATE(YEAR(A239),MONTH(A239),1))</f>
        <v>46113</v>
      </c>
    </row>
    <row r="240" customFormat="false" ht="15" hidden="false" customHeight="false" outlineLevel="0" collapsed="false">
      <c r="A240" s="21" t="n">
        <v>46143</v>
      </c>
      <c r="B240" s="4" t="s">
        <v>101</v>
      </c>
      <c r="C240" s="22" t="n">
        <v>269416.54</v>
      </c>
      <c r="D240" s="5" t="str">
        <f aca="false">IF(B240="","",IFERROR(INDEX(DE_PARA!$B$6:$B$205,MATCH(B240,DE_PARA!$A$6:$A$205,0)),"SEM DE-PARA"))</f>
        <v>TERRAPLENAGEM</v>
      </c>
      <c r="E240" s="23" t="n">
        <f aca="false">IF(A240="","",DATE(YEAR(A240),MONTH(A240),1))</f>
        <v>46143</v>
      </c>
    </row>
    <row r="241" customFormat="false" ht="15" hidden="false" customHeight="false" outlineLevel="0" collapsed="false">
      <c r="A241" s="21" t="n">
        <v>46174</v>
      </c>
      <c r="B241" s="4" t="s">
        <v>101</v>
      </c>
      <c r="C241" s="22" t="n">
        <v>202541.18</v>
      </c>
      <c r="D241" s="5" t="str">
        <f aca="false">IF(B241="","",IFERROR(INDEX(DE_PARA!$B$6:$B$205,MATCH(B241,DE_PARA!$A$6:$A$205,0)),"SEM DE-PARA"))</f>
        <v>TERRAPLENAGEM</v>
      </c>
      <c r="E241" s="23" t="n">
        <f aca="false">IF(A241="","",DATE(YEAR(A241),MONTH(A241),1))</f>
        <v>46174</v>
      </c>
    </row>
    <row r="242" customFormat="false" ht="15" hidden="false" customHeight="false" outlineLevel="0" collapsed="false">
      <c r="A242" s="21" t="n">
        <v>46204</v>
      </c>
      <c r="B242" s="4" t="s">
        <v>101</v>
      </c>
      <c r="C242" s="22" t="n">
        <v>53252.58</v>
      </c>
      <c r="D242" s="5" t="str">
        <f aca="false">IF(B242="","",IFERROR(INDEX(DE_PARA!$B$6:$B$205,MATCH(B242,DE_PARA!$A$6:$A$205,0)),"SEM DE-PARA"))</f>
        <v>TERRAPLENAGEM</v>
      </c>
      <c r="E242" s="23" t="n">
        <f aca="false">IF(A242="","",DATE(YEAR(A242),MONTH(A242),1))</f>
        <v>46204</v>
      </c>
    </row>
    <row r="243" customFormat="false" ht="15" hidden="false" customHeight="false" outlineLevel="0" collapsed="false">
      <c r="A243" s="21" t="n">
        <v>46266</v>
      </c>
      <c r="B243" s="4" t="s">
        <v>101</v>
      </c>
      <c r="C243" s="22" t="n">
        <v>100529.63</v>
      </c>
      <c r="D243" s="5" t="str">
        <f aca="false">IF(B243="","",IFERROR(INDEX(DE_PARA!$B$6:$B$205,MATCH(B243,DE_PARA!$A$6:$A$205,0)),"SEM DE-PARA"))</f>
        <v>TERRAPLENAGEM</v>
      </c>
      <c r="E243" s="23" t="n">
        <f aca="false">IF(A243="","",DATE(YEAR(A243),MONTH(A243),1))</f>
        <v>46266</v>
      </c>
    </row>
    <row r="244" customFormat="false" ht="15" hidden="false" customHeight="false" outlineLevel="0" collapsed="false">
      <c r="A244" s="21" t="n">
        <v>46447</v>
      </c>
      <c r="B244" s="4" t="s">
        <v>101</v>
      </c>
      <c r="C244" s="22" t="n">
        <v>2100</v>
      </c>
      <c r="D244" s="5" t="str">
        <f aca="false">IF(B244="","",IFERROR(INDEX(DE_PARA!$B$6:$B$205,MATCH(B244,DE_PARA!$A$6:$A$205,0)),"SEM DE-PARA"))</f>
        <v>TERRAPLENAGEM</v>
      </c>
      <c r="E244" s="23" t="n">
        <f aca="false">IF(A244="","",DATE(YEAR(A244),MONTH(A244),1))</f>
        <v>46447</v>
      </c>
    </row>
    <row r="245" customFormat="false" ht="15" hidden="false" customHeight="false" outlineLevel="0" collapsed="false">
      <c r="A245" s="21" t="n">
        <v>46478</v>
      </c>
      <c r="B245" s="4" t="s">
        <v>101</v>
      </c>
      <c r="C245" s="22" t="n">
        <v>1023.88</v>
      </c>
      <c r="D245" s="5" t="str">
        <f aca="false">IF(B245="","",IFERROR(INDEX(DE_PARA!$B$6:$B$205,MATCH(B245,DE_PARA!$A$6:$A$205,0)),"SEM DE-PARA"))</f>
        <v>TERRAPLENAGEM</v>
      </c>
      <c r="E245" s="23" t="n">
        <f aca="false">IF(A245="","",DATE(YEAR(A245),MONTH(A245),1))</f>
        <v>46478</v>
      </c>
    </row>
    <row r="246" customFormat="false" ht="15" hidden="false" customHeight="false" outlineLevel="0" collapsed="false">
      <c r="A246" s="21" t="n">
        <v>45870</v>
      </c>
      <c r="B246" s="4" t="s">
        <v>104</v>
      </c>
      <c r="C246" s="22" t="n">
        <v>1930</v>
      </c>
      <c r="D246" s="5" t="str">
        <f aca="false">IF(B246="","",IFERROR(INDEX(DE_PARA!$B$6:$B$205,MATCH(B246,DE_PARA!$A$6:$A$205,0)),"SEM DE-PARA"))</f>
        <v>FUNDAÇÃO PROFUNDA</v>
      </c>
      <c r="E246" s="23" t="n">
        <f aca="false">IF(A246="","",DATE(YEAR(A246),MONTH(A246),1))</f>
        <v>45870</v>
      </c>
    </row>
    <row r="247" customFormat="false" ht="15" hidden="false" customHeight="false" outlineLevel="0" collapsed="false">
      <c r="A247" s="21" t="n">
        <v>45901</v>
      </c>
      <c r="B247" s="4" t="s">
        <v>104</v>
      </c>
      <c r="C247" s="22" t="n">
        <v>145877.57</v>
      </c>
      <c r="D247" s="5" t="str">
        <f aca="false">IF(B247="","",IFERROR(INDEX(DE_PARA!$B$6:$B$205,MATCH(B247,DE_PARA!$A$6:$A$205,0)),"SEM DE-PARA"))</f>
        <v>FUNDAÇÃO PROFUNDA</v>
      </c>
      <c r="E247" s="23" t="n">
        <f aca="false">IF(A247="","",DATE(YEAR(A247),MONTH(A247),1))</f>
        <v>45901</v>
      </c>
    </row>
    <row r="248" customFormat="false" ht="15" hidden="false" customHeight="false" outlineLevel="0" collapsed="false">
      <c r="A248" s="21" t="n">
        <v>45931</v>
      </c>
      <c r="B248" s="4" t="s">
        <v>104</v>
      </c>
      <c r="C248" s="22" t="n">
        <v>521095.71</v>
      </c>
      <c r="D248" s="5" t="str">
        <f aca="false">IF(B248="","",IFERROR(INDEX(DE_PARA!$B$6:$B$205,MATCH(B248,DE_PARA!$A$6:$A$205,0)),"SEM DE-PARA"))</f>
        <v>FUNDAÇÃO PROFUNDA</v>
      </c>
      <c r="E248" s="23" t="n">
        <f aca="false">IF(A248="","",DATE(YEAR(A248),MONTH(A248),1))</f>
        <v>45931</v>
      </c>
    </row>
    <row r="249" customFormat="false" ht="15" hidden="false" customHeight="false" outlineLevel="0" collapsed="false">
      <c r="A249" s="21" t="n">
        <v>45962</v>
      </c>
      <c r="B249" s="4" t="s">
        <v>104</v>
      </c>
      <c r="C249" s="22" t="n">
        <v>1121245.41</v>
      </c>
      <c r="D249" s="5" t="str">
        <f aca="false">IF(B249="","",IFERROR(INDEX(DE_PARA!$B$6:$B$205,MATCH(B249,DE_PARA!$A$6:$A$205,0)),"SEM DE-PARA"))</f>
        <v>FUNDAÇÃO PROFUNDA</v>
      </c>
      <c r="E249" s="23" t="n">
        <f aca="false">IF(A249="","",DATE(YEAR(A249),MONTH(A249),1))</f>
        <v>45962</v>
      </c>
    </row>
    <row r="250" customFormat="false" ht="15" hidden="false" customHeight="false" outlineLevel="0" collapsed="false">
      <c r="A250" s="21" t="n">
        <v>45992</v>
      </c>
      <c r="B250" s="4" t="s">
        <v>104</v>
      </c>
      <c r="C250" s="22" t="n">
        <v>887025.56</v>
      </c>
      <c r="D250" s="5" t="str">
        <f aca="false">IF(B250="","",IFERROR(INDEX(DE_PARA!$B$6:$B$205,MATCH(B250,DE_PARA!$A$6:$A$205,0)),"SEM DE-PARA"))</f>
        <v>FUNDAÇÃO PROFUNDA</v>
      </c>
      <c r="E250" s="23" t="n">
        <f aca="false">IF(A250="","",DATE(YEAR(A250),MONTH(A250),1))</f>
        <v>45992</v>
      </c>
    </row>
    <row r="251" customFormat="false" ht="15" hidden="false" customHeight="false" outlineLevel="0" collapsed="false">
      <c r="A251" s="21" t="n">
        <v>46023</v>
      </c>
      <c r="B251" s="4" t="s">
        <v>104</v>
      </c>
      <c r="C251" s="22" t="n">
        <v>1371139.53</v>
      </c>
      <c r="D251" s="5" t="str">
        <f aca="false">IF(B251="","",IFERROR(INDEX(DE_PARA!$B$6:$B$205,MATCH(B251,DE_PARA!$A$6:$A$205,0)),"SEM DE-PARA"))</f>
        <v>FUNDAÇÃO PROFUNDA</v>
      </c>
      <c r="E251" s="23" t="n">
        <f aca="false">IF(A251="","",DATE(YEAR(A251),MONTH(A251),1))</f>
        <v>46023</v>
      </c>
    </row>
    <row r="252" customFormat="false" ht="15" hidden="false" customHeight="false" outlineLevel="0" collapsed="false">
      <c r="A252" s="21" t="n">
        <v>46054</v>
      </c>
      <c r="B252" s="4" t="s">
        <v>104</v>
      </c>
      <c r="C252" s="22" t="n">
        <v>644213.9</v>
      </c>
      <c r="D252" s="5" t="str">
        <f aca="false">IF(B252="","",IFERROR(INDEX(DE_PARA!$B$6:$B$205,MATCH(B252,DE_PARA!$A$6:$A$205,0)),"SEM DE-PARA"))</f>
        <v>FUNDAÇÃO PROFUNDA</v>
      </c>
      <c r="E252" s="23" t="n">
        <f aca="false">IF(A252="","",DATE(YEAR(A252),MONTH(A252),1))</f>
        <v>46054</v>
      </c>
    </row>
    <row r="253" customFormat="false" ht="15" hidden="false" customHeight="false" outlineLevel="0" collapsed="false">
      <c r="A253" s="21" t="n">
        <v>46082</v>
      </c>
      <c r="B253" s="4" t="s">
        <v>104</v>
      </c>
      <c r="C253" s="22" t="n">
        <v>1191477.33</v>
      </c>
      <c r="D253" s="5" t="str">
        <f aca="false">IF(B253="","",IFERROR(INDEX(DE_PARA!$B$6:$B$205,MATCH(B253,DE_PARA!$A$6:$A$205,0)),"SEM DE-PARA"))</f>
        <v>FUNDAÇÃO PROFUNDA</v>
      </c>
      <c r="E253" s="23" t="n">
        <f aca="false">IF(A253="","",DATE(YEAR(A253),MONTH(A253),1))</f>
        <v>46082</v>
      </c>
    </row>
    <row r="254" customFormat="false" ht="15" hidden="false" customHeight="false" outlineLevel="0" collapsed="false">
      <c r="A254" s="21" t="n">
        <v>46113</v>
      </c>
      <c r="B254" s="4" t="s">
        <v>104</v>
      </c>
      <c r="C254" s="22" t="n">
        <v>606377.66</v>
      </c>
      <c r="D254" s="5" t="str">
        <f aca="false">IF(B254="","",IFERROR(INDEX(DE_PARA!$B$6:$B$205,MATCH(B254,DE_PARA!$A$6:$A$205,0)),"SEM DE-PARA"))</f>
        <v>FUNDAÇÃO PROFUNDA</v>
      </c>
      <c r="E254" s="23" t="n">
        <f aca="false">IF(A254="","",DATE(YEAR(A254),MONTH(A254),1))</f>
        <v>46113</v>
      </c>
    </row>
    <row r="255" customFormat="false" ht="15" hidden="false" customHeight="false" outlineLevel="0" collapsed="false">
      <c r="A255" s="21" t="n">
        <v>46143</v>
      </c>
      <c r="B255" s="4" t="s">
        <v>104</v>
      </c>
      <c r="C255" s="22" t="n">
        <v>43774.24</v>
      </c>
      <c r="D255" s="5" t="str">
        <f aca="false">IF(B255="","",IFERROR(INDEX(DE_PARA!$B$6:$B$205,MATCH(B255,DE_PARA!$A$6:$A$205,0)),"SEM DE-PARA"))</f>
        <v>FUNDAÇÃO PROFUNDA</v>
      </c>
      <c r="E255" s="23" t="n">
        <f aca="false">IF(A255="","",DATE(YEAR(A255),MONTH(A255),1))</f>
        <v>46143</v>
      </c>
    </row>
    <row r="256" customFormat="false" ht="15" hidden="false" customHeight="false" outlineLevel="0" collapsed="false">
      <c r="A256" s="21" t="n">
        <v>46174</v>
      </c>
      <c r="B256" s="4" t="s">
        <v>104</v>
      </c>
      <c r="C256" s="22" t="n">
        <v>15692.87</v>
      </c>
      <c r="D256" s="5" t="str">
        <f aca="false">IF(B256="","",IFERROR(INDEX(DE_PARA!$B$6:$B$205,MATCH(B256,DE_PARA!$A$6:$A$205,0)),"SEM DE-PARA"))</f>
        <v>FUNDAÇÃO PROFUNDA</v>
      </c>
      <c r="E256" s="23" t="n">
        <f aca="false">IF(A256="","",DATE(YEAR(A256),MONTH(A256),1))</f>
        <v>46174</v>
      </c>
    </row>
    <row r="257" customFormat="false" ht="15" hidden="false" customHeight="false" outlineLevel="0" collapsed="false">
      <c r="A257" s="21" t="n">
        <v>46204</v>
      </c>
      <c r="B257" s="4" t="s">
        <v>104</v>
      </c>
      <c r="C257" s="22" t="n">
        <v>78401.44</v>
      </c>
      <c r="D257" s="5" t="str">
        <f aca="false">IF(B257="","",IFERROR(INDEX(DE_PARA!$B$6:$B$205,MATCH(B257,DE_PARA!$A$6:$A$205,0)),"SEM DE-PARA"))</f>
        <v>FUNDAÇÃO PROFUNDA</v>
      </c>
      <c r="E257" s="23" t="n">
        <f aca="false">IF(A257="","",DATE(YEAR(A257),MONTH(A257),1))</f>
        <v>46204</v>
      </c>
    </row>
    <row r="258" customFormat="false" ht="15" hidden="false" customHeight="false" outlineLevel="0" collapsed="false">
      <c r="A258" s="21" t="n">
        <v>46235</v>
      </c>
      <c r="B258" s="4" t="s">
        <v>104</v>
      </c>
      <c r="C258" s="22" t="n">
        <v>37660.47</v>
      </c>
      <c r="D258" s="5" t="str">
        <f aca="false">IF(B258="","",IFERROR(INDEX(DE_PARA!$B$6:$B$205,MATCH(B258,DE_PARA!$A$6:$A$205,0)),"SEM DE-PARA"))</f>
        <v>FUNDAÇÃO PROFUNDA</v>
      </c>
      <c r="E258" s="23" t="n">
        <f aca="false">IF(A258="","",DATE(YEAR(A258),MONTH(A258),1))</f>
        <v>46235</v>
      </c>
    </row>
    <row r="259" customFormat="false" ht="15" hidden="false" customHeight="false" outlineLevel="0" collapsed="false">
      <c r="A259" s="21" t="n">
        <v>46266</v>
      </c>
      <c r="B259" s="4" t="s">
        <v>104</v>
      </c>
      <c r="C259" s="22" t="n">
        <v>59840.33</v>
      </c>
      <c r="D259" s="5" t="str">
        <f aca="false">IF(B259="","",IFERROR(INDEX(DE_PARA!$B$6:$B$205,MATCH(B259,DE_PARA!$A$6:$A$205,0)),"SEM DE-PARA"))</f>
        <v>FUNDAÇÃO PROFUNDA</v>
      </c>
      <c r="E259" s="23" t="n">
        <f aca="false">IF(A259="","",DATE(YEAR(A259),MONTH(A259),1))</f>
        <v>46266</v>
      </c>
    </row>
    <row r="260" customFormat="false" ht="15" hidden="false" customHeight="false" outlineLevel="0" collapsed="false">
      <c r="A260" s="21" t="n">
        <v>46296</v>
      </c>
      <c r="B260" s="4" t="s">
        <v>104</v>
      </c>
      <c r="C260" s="22" t="n">
        <v>34528.89</v>
      </c>
      <c r="D260" s="5" t="str">
        <f aca="false">IF(B260="","",IFERROR(INDEX(DE_PARA!$B$6:$B$205,MATCH(B260,DE_PARA!$A$6:$A$205,0)),"SEM DE-PARA"))</f>
        <v>FUNDAÇÃO PROFUNDA</v>
      </c>
      <c r="E260" s="23" t="n">
        <f aca="false">IF(A260="","",DATE(YEAR(A260),MONTH(A260),1))</f>
        <v>46296</v>
      </c>
    </row>
    <row r="261" customFormat="false" ht="15" hidden="false" customHeight="false" outlineLevel="0" collapsed="false">
      <c r="A261" s="21" t="n">
        <v>46327</v>
      </c>
      <c r="B261" s="4" t="s">
        <v>104</v>
      </c>
      <c r="C261" s="22" t="n">
        <v>6125.68</v>
      </c>
      <c r="D261" s="5" t="str">
        <f aca="false">IF(B261="","",IFERROR(INDEX(DE_PARA!$B$6:$B$205,MATCH(B261,DE_PARA!$A$6:$A$205,0)),"SEM DE-PARA"))</f>
        <v>FUNDAÇÃO PROFUNDA</v>
      </c>
      <c r="E261" s="23" t="n">
        <f aca="false">IF(A261="","",DATE(YEAR(A261),MONTH(A261),1))</f>
        <v>46327</v>
      </c>
    </row>
    <row r="262" customFormat="false" ht="15" hidden="false" customHeight="false" outlineLevel="0" collapsed="false">
      <c r="A262" s="21" t="n">
        <v>46357</v>
      </c>
      <c r="B262" s="4" t="s">
        <v>104</v>
      </c>
      <c r="C262" s="22" t="n">
        <v>5768</v>
      </c>
      <c r="D262" s="5" t="str">
        <f aca="false">IF(B262="","",IFERROR(INDEX(DE_PARA!$B$6:$B$205,MATCH(B262,DE_PARA!$A$6:$A$205,0)),"SEM DE-PARA"))</f>
        <v>FUNDAÇÃO PROFUNDA</v>
      </c>
      <c r="E262" s="23" t="n">
        <f aca="false">IF(A262="","",DATE(YEAR(A262),MONTH(A262),1))</f>
        <v>46357</v>
      </c>
    </row>
    <row r="263" customFormat="false" ht="15" hidden="false" customHeight="false" outlineLevel="0" collapsed="false">
      <c r="A263" s="21" t="n">
        <v>46419</v>
      </c>
      <c r="B263" s="4" t="s">
        <v>104</v>
      </c>
      <c r="C263" s="22" t="n">
        <v>2828</v>
      </c>
      <c r="D263" s="5" t="str">
        <f aca="false">IF(B263="","",IFERROR(INDEX(DE_PARA!$B$6:$B$205,MATCH(B263,DE_PARA!$A$6:$A$205,0)),"SEM DE-PARA"))</f>
        <v>FUNDAÇÃO PROFUNDA</v>
      </c>
      <c r="E263" s="23" t="n">
        <f aca="false">IF(A263="","",DATE(YEAR(A263),MONTH(A263),1))</f>
        <v>46419</v>
      </c>
    </row>
    <row r="264" customFormat="false" ht="15" hidden="false" customHeight="false" outlineLevel="0" collapsed="false">
      <c r="A264" s="21" t="n">
        <v>46447</v>
      </c>
      <c r="B264" s="4" t="s">
        <v>104</v>
      </c>
      <c r="C264" s="22" t="n">
        <v>7273.76</v>
      </c>
      <c r="D264" s="5" t="str">
        <f aca="false">IF(B264="","",IFERROR(INDEX(DE_PARA!$B$6:$B$205,MATCH(B264,DE_PARA!$A$6:$A$205,0)),"SEM DE-PARA"))</f>
        <v>FUNDAÇÃO PROFUNDA</v>
      </c>
      <c r="E264" s="23" t="n">
        <f aca="false">IF(A264="","",DATE(YEAR(A264),MONTH(A264),1))</f>
        <v>46447</v>
      </c>
    </row>
    <row r="265" customFormat="false" ht="15" hidden="false" customHeight="false" outlineLevel="0" collapsed="false">
      <c r="A265" s="21" t="n">
        <v>46935</v>
      </c>
      <c r="B265" s="4" t="s">
        <v>104</v>
      </c>
      <c r="C265" s="22" t="n">
        <v>2044</v>
      </c>
      <c r="D265" s="5" t="str">
        <f aca="false">IF(B265="","",IFERROR(INDEX(DE_PARA!$B$6:$B$205,MATCH(B265,DE_PARA!$A$6:$A$205,0)),"SEM DE-PARA"))</f>
        <v>FUNDAÇÃO PROFUNDA</v>
      </c>
      <c r="E265" s="23" t="n">
        <f aca="false">IF(A265="","",DATE(YEAR(A265),MONTH(A265),1))</f>
        <v>46935</v>
      </c>
    </row>
    <row r="266" customFormat="false" ht="15" hidden="false" customHeight="false" outlineLevel="0" collapsed="false">
      <c r="A266" s="21" t="n">
        <v>46113</v>
      </c>
      <c r="B266" s="4" t="s">
        <v>107</v>
      </c>
      <c r="C266" s="22" t="n">
        <v>20138.34</v>
      </c>
      <c r="D266" s="5" t="str">
        <f aca="false">IF(B266="","",IFERROR(INDEX(DE_PARA!$B$6:$B$205,MATCH(B266,DE_PARA!$A$6:$A$205,0)),"SEM DE-PARA"))</f>
        <v>FUNDAÇÃO SUPERFICIAL</v>
      </c>
      <c r="E266" s="23" t="n">
        <f aca="false">IF(A266="","",DATE(YEAR(A266),MONTH(A266),1))</f>
        <v>46113</v>
      </c>
    </row>
    <row r="267" customFormat="false" ht="15" hidden="false" customHeight="false" outlineLevel="0" collapsed="false">
      <c r="A267" s="21" t="n">
        <v>46143</v>
      </c>
      <c r="B267" s="4" t="s">
        <v>107</v>
      </c>
      <c r="C267" s="22" t="n">
        <v>304245.22</v>
      </c>
      <c r="D267" s="5" t="str">
        <f aca="false">IF(B267="","",IFERROR(INDEX(DE_PARA!$B$6:$B$205,MATCH(B267,DE_PARA!$A$6:$A$205,0)),"SEM DE-PARA"))</f>
        <v>FUNDAÇÃO SUPERFICIAL</v>
      </c>
      <c r="E267" s="23" t="n">
        <f aca="false">IF(A267="","",DATE(YEAR(A267),MONTH(A267),1))</f>
        <v>46143</v>
      </c>
    </row>
    <row r="268" customFormat="false" ht="15" hidden="false" customHeight="false" outlineLevel="0" collapsed="false">
      <c r="A268" s="21" t="n">
        <v>46174</v>
      </c>
      <c r="B268" s="4" t="s">
        <v>107</v>
      </c>
      <c r="C268" s="22" t="n">
        <v>700460.71</v>
      </c>
      <c r="D268" s="5" t="str">
        <f aca="false">IF(B268="","",IFERROR(INDEX(DE_PARA!$B$6:$B$205,MATCH(B268,DE_PARA!$A$6:$A$205,0)),"SEM DE-PARA"))</f>
        <v>FUNDAÇÃO SUPERFICIAL</v>
      </c>
      <c r="E268" s="23" t="n">
        <f aca="false">IF(A268="","",DATE(YEAR(A268),MONTH(A268),1))</f>
        <v>46174</v>
      </c>
    </row>
    <row r="269" customFormat="false" ht="15" hidden="false" customHeight="false" outlineLevel="0" collapsed="false">
      <c r="A269" s="21" t="n">
        <v>46204</v>
      </c>
      <c r="B269" s="4" t="s">
        <v>107</v>
      </c>
      <c r="C269" s="22" t="n">
        <v>1471948.09</v>
      </c>
      <c r="D269" s="5" t="str">
        <f aca="false">IF(B269="","",IFERROR(INDEX(DE_PARA!$B$6:$B$205,MATCH(B269,DE_PARA!$A$6:$A$205,0)),"SEM DE-PARA"))</f>
        <v>FUNDAÇÃO SUPERFICIAL</v>
      </c>
      <c r="E269" s="23" t="n">
        <f aca="false">IF(A269="","",DATE(YEAR(A269),MONTH(A269),1))</f>
        <v>46204</v>
      </c>
    </row>
    <row r="270" customFormat="false" ht="15" hidden="false" customHeight="false" outlineLevel="0" collapsed="false">
      <c r="A270" s="21" t="n">
        <v>46235</v>
      </c>
      <c r="B270" s="4" t="s">
        <v>107</v>
      </c>
      <c r="C270" s="22" t="n">
        <v>480698.83</v>
      </c>
      <c r="D270" s="5" t="str">
        <f aca="false">IF(B270="","",IFERROR(INDEX(DE_PARA!$B$6:$B$205,MATCH(B270,DE_PARA!$A$6:$A$205,0)),"SEM DE-PARA"))</f>
        <v>FUNDAÇÃO SUPERFICIAL</v>
      </c>
      <c r="E270" s="23" t="n">
        <f aca="false">IF(A270="","",DATE(YEAR(A270),MONTH(A270),1))</f>
        <v>46235</v>
      </c>
    </row>
    <row r="271" customFormat="false" ht="15" hidden="false" customHeight="false" outlineLevel="0" collapsed="false">
      <c r="A271" s="21" t="n">
        <v>46266</v>
      </c>
      <c r="B271" s="4" t="s">
        <v>107</v>
      </c>
      <c r="C271" s="22" t="n">
        <v>50605.81</v>
      </c>
      <c r="D271" s="5" t="str">
        <f aca="false">IF(B271="","",IFERROR(INDEX(DE_PARA!$B$6:$B$205,MATCH(B271,DE_PARA!$A$6:$A$205,0)),"SEM DE-PARA"))</f>
        <v>FUNDAÇÃO SUPERFICIAL</v>
      </c>
      <c r="E271" s="23" t="n">
        <f aca="false">IF(A271="","",DATE(YEAR(A271),MONTH(A271),1))</f>
        <v>46266</v>
      </c>
    </row>
    <row r="272" customFormat="false" ht="15" hidden="false" customHeight="false" outlineLevel="0" collapsed="false">
      <c r="A272" s="21" t="n">
        <v>46327</v>
      </c>
      <c r="B272" s="4" t="s">
        <v>107</v>
      </c>
      <c r="C272" s="22" t="n">
        <v>713.98</v>
      </c>
      <c r="D272" s="5" t="str">
        <f aca="false">IF(B272="","",IFERROR(INDEX(DE_PARA!$B$6:$B$205,MATCH(B272,DE_PARA!$A$6:$A$205,0)),"SEM DE-PARA"))</f>
        <v>FUNDAÇÃO SUPERFICIAL</v>
      </c>
      <c r="E272" s="23" t="n">
        <f aca="false">IF(A272="","",DATE(YEAR(A272),MONTH(A272),1))</f>
        <v>46327</v>
      </c>
    </row>
    <row r="273" customFormat="false" ht="15" hidden="false" customHeight="false" outlineLevel="0" collapsed="false">
      <c r="A273" s="21" t="n">
        <v>46357</v>
      </c>
      <c r="B273" s="4" t="s">
        <v>107</v>
      </c>
      <c r="C273" s="22" t="n">
        <v>19229.11</v>
      </c>
      <c r="D273" s="5" t="str">
        <f aca="false">IF(B273="","",IFERROR(INDEX(DE_PARA!$B$6:$B$205,MATCH(B273,DE_PARA!$A$6:$A$205,0)),"SEM DE-PARA"))</f>
        <v>FUNDAÇÃO SUPERFICIAL</v>
      </c>
      <c r="E273" s="23" t="n">
        <f aca="false">IF(A273="","",DATE(YEAR(A273),MONTH(A273),1))</f>
        <v>46357</v>
      </c>
    </row>
    <row r="274" customFormat="false" ht="15" hidden="false" customHeight="false" outlineLevel="0" collapsed="false">
      <c r="A274" s="21" t="n">
        <v>46388</v>
      </c>
      <c r="B274" s="4" t="s">
        <v>107</v>
      </c>
      <c r="C274" s="22" t="n">
        <v>22778.61</v>
      </c>
      <c r="D274" s="5" t="str">
        <f aca="false">IF(B274="","",IFERROR(INDEX(DE_PARA!$B$6:$B$205,MATCH(B274,DE_PARA!$A$6:$A$205,0)),"SEM DE-PARA"))</f>
        <v>FUNDAÇÃO SUPERFICIAL</v>
      </c>
      <c r="E274" s="23" t="n">
        <f aca="false">IF(A274="","",DATE(YEAR(A274),MONTH(A274),1))</f>
        <v>46388</v>
      </c>
    </row>
    <row r="275" customFormat="false" ht="15" hidden="false" customHeight="false" outlineLevel="0" collapsed="false">
      <c r="A275" s="21" t="n">
        <v>46419</v>
      </c>
      <c r="B275" s="4" t="s">
        <v>107</v>
      </c>
      <c r="C275" s="22" t="n">
        <v>2356.48</v>
      </c>
      <c r="D275" s="5" t="str">
        <f aca="false">IF(B275="","",IFERROR(INDEX(DE_PARA!$B$6:$B$205,MATCH(B275,DE_PARA!$A$6:$A$205,0)),"SEM DE-PARA"))</f>
        <v>FUNDAÇÃO SUPERFICIAL</v>
      </c>
      <c r="E275" s="23" t="n">
        <f aca="false">IF(A275="","",DATE(YEAR(A275),MONTH(A275),1))</f>
        <v>46419</v>
      </c>
    </row>
    <row r="276" customFormat="false" ht="15" hidden="false" customHeight="false" outlineLevel="0" collapsed="false">
      <c r="A276" s="21" t="n">
        <v>46447</v>
      </c>
      <c r="B276" s="4" t="s">
        <v>107</v>
      </c>
      <c r="C276" s="22" t="n">
        <v>2007.28</v>
      </c>
      <c r="D276" s="5" t="str">
        <f aca="false">IF(B276="","",IFERROR(INDEX(DE_PARA!$B$6:$B$205,MATCH(B276,DE_PARA!$A$6:$A$205,0)),"SEM DE-PARA"))</f>
        <v>FUNDAÇÃO SUPERFICIAL</v>
      </c>
      <c r="E276" s="23" t="n">
        <f aca="false">IF(A276="","",DATE(YEAR(A276),MONTH(A276),1))</f>
        <v>46447</v>
      </c>
    </row>
    <row r="277" customFormat="false" ht="15" hidden="false" customHeight="false" outlineLevel="0" collapsed="false">
      <c r="A277" s="21" t="n">
        <v>46935</v>
      </c>
      <c r="B277" s="4" t="s">
        <v>107</v>
      </c>
      <c r="C277" s="22" t="n">
        <v>3351.79</v>
      </c>
      <c r="D277" s="5" t="str">
        <f aca="false">IF(B277="","",IFERROR(INDEX(DE_PARA!$B$6:$B$205,MATCH(B277,DE_PARA!$A$6:$A$205,0)),"SEM DE-PARA"))</f>
        <v>FUNDAÇÃO SUPERFICIAL</v>
      </c>
      <c r="E277" s="23" t="n">
        <f aca="false">IF(A277="","",DATE(YEAR(A277),MONTH(A277),1))</f>
        <v>46935</v>
      </c>
    </row>
    <row r="278" customFormat="false" ht="15" hidden="false" customHeight="false" outlineLevel="0" collapsed="false">
      <c r="A278" s="21" t="n">
        <v>46143</v>
      </c>
      <c r="B278" s="4" t="s">
        <v>110</v>
      </c>
      <c r="C278" s="22" t="n">
        <v>22233.82</v>
      </c>
      <c r="D278" s="5" t="str">
        <f aca="false">IF(B278="","",IFERROR(INDEX(DE_PARA!$B$6:$B$205,MATCH(B278,DE_PARA!$A$6:$A$205,0)),"SEM DE-PARA"))</f>
        <v>ESTRUTURA EM CONCRETO ARMADO</v>
      </c>
      <c r="E278" s="23" t="n">
        <f aca="false">IF(A278="","",DATE(YEAR(A278),MONTH(A278),1))</f>
        <v>46143</v>
      </c>
    </row>
    <row r="279" customFormat="false" ht="15" hidden="false" customHeight="false" outlineLevel="0" collapsed="false">
      <c r="A279" s="21" t="n">
        <v>46174</v>
      </c>
      <c r="B279" s="4" t="s">
        <v>110</v>
      </c>
      <c r="C279" s="22" t="n">
        <v>49774.54</v>
      </c>
      <c r="D279" s="5" t="str">
        <f aca="false">IF(B279="","",IFERROR(INDEX(DE_PARA!$B$6:$B$205,MATCH(B279,DE_PARA!$A$6:$A$205,0)),"SEM DE-PARA"))</f>
        <v>ESTRUTURA EM CONCRETO ARMADO</v>
      </c>
      <c r="E279" s="23" t="n">
        <f aca="false">IF(A279="","",DATE(YEAR(A279),MONTH(A279),1))</f>
        <v>46174</v>
      </c>
    </row>
    <row r="280" customFormat="false" ht="15" hidden="false" customHeight="false" outlineLevel="0" collapsed="false">
      <c r="A280" s="21" t="n">
        <v>46204</v>
      </c>
      <c r="B280" s="4" t="s">
        <v>110</v>
      </c>
      <c r="C280" s="22" t="n">
        <v>269581.19</v>
      </c>
      <c r="D280" s="5" t="str">
        <f aca="false">IF(B280="","",IFERROR(INDEX(DE_PARA!$B$6:$B$205,MATCH(B280,DE_PARA!$A$6:$A$205,0)),"SEM DE-PARA"))</f>
        <v>ESTRUTURA EM CONCRETO ARMADO</v>
      </c>
      <c r="E280" s="23" t="n">
        <f aca="false">IF(A280="","",DATE(YEAR(A280),MONTH(A280),1))</f>
        <v>46204</v>
      </c>
    </row>
    <row r="281" customFormat="false" ht="15" hidden="false" customHeight="false" outlineLevel="0" collapsed="false">
      <c r="A281" s="21" t="n">
        <v>46235</v>
      </c>
      <c r="B281" s="4" t="s">
        <v>110</v>
      </c>
      <c r="C281" s="22" t="n">
        <v>650557.02</v>
      </c>
      <c r="D281" s="5" t="str">
        <f aca="false">IF(B281="","",IFERROR(INDEX(DE_PARA!$B$6:$B$205,MATCH(B281,DE_PARA!$A$6:$A$205,0)),"SEM DE-PARA"))</f>
        <v>ESTRUTURA EM CONCRETO ARMADO</v>
      </c>
      <c r="E281" s="23" t="n">
        <f aca="false">IF(A281="","",DATE(YEAR(A281),MONTH(A281),1))</f>
        <v>46235</v>
      </c>
    </row>
    <row r="282" customFormat="false" ht="15" hidden="false" customHeight="false" outlineLevel="0" collapsed="false">
      <c r="A282" s="21" t="n">
        <v>46266</v>
      </c>
      <c r="B282" s="4" t="s">
        <v>110</v>
      </c>
      <c r="C282" s="22" t="n">
        <v>1271174.77</v>
      </c>
      <c r="D282" s="5" t="str">
        <f aca="false">IF(B282="","",IFERROR(INDEX(DE_PARA!$B$6:$B$205,MATCH(B282,DE_PARA!$A$6:$A$205,0)),"SEM DE-PARA"))</f>
        <v>ESTRUTURA EM CONCRETO ARMADO</v>
      </c>
      <c r="E282" s="23" t="n">
        <f aca="false">IF(A282="","",DATE(YEAR(A282),MONTH(A282),1))</f>
        <v>46266</v>
      </c>
    </row>
    <row r="283" customFormat="false" ht="15" hidden="false" customHeight="false" outlineLevel="0" collapsed="false">
      <c r="A283" s="21" t="n">
        <v>46296</v>
      </c>
      <c r="B283" s="4" t="s">
        <v>110</v>
      </c>
      <c r="C283" s="22" t="n">
        <v>222757.26</v>
      </c>
      <c r="D283" s="5" t="str">
        <f aca="false">IF(B283="","",IFERROR(INDEX(DE_PARA!$B$6:$B$205,MATCH(B283,DE_PARA!$A$6:$A$205,0)),"SEM DE-PARA"))</f>
        <v>ESTRUTURA EM CONCRETO ARMADO</v>
      </c>
      <c r="E283" s="23" t="n">
        <f aca="false">IF(A283="","",DATE(YEAR(A283),MONTH(A283),1))</f>
        <v>46296</v>
      </c>
    </row>
    <row r="284" customFormat="false" ht="15" hidden="false" customHeight="false" outlineLevel="0" collapsed="false">
      <c r="A284" s="21" t="n">
        <v>46327</v>
      </c>
      <c r="B284" s="4" t="s">
        <v>110</v>
      </c>
      <c r="C284" s="22" t="n">
        <v>565329.91</v>
      </c>
      <c r="D284" s="5" t="str">
        <f aca="false">IF(B284="","",IFERROR(INDEX(DE_PARA!$B$6:$B$205,MATCH(B284,DE_PARA!$A$6:$A$205,0)),"SEM DE-PARA"))</f>
        <v>ESTRUTURA EM CONCRETO ARMADO</v>
      </c>
      <c r="E284" s="23" t="n">
        <f aca="false">IF(A284="","",DATE(YEAR(A284),MONTH(A284),1))</f>
        <v>46327</v>
      </c>
    </row>
    <row r="285" customFormat="false" ht="15" hidden="false" customHeight="false" outlineLevel="0" collapsed="false">
      <c r="A285" s="21" t="n">
        <v>46447</v>
      </c>
      <c r="B285" s="4" t="s">
        <v>110</v>
      </c>
      <c r="C285" s="22" t="n">
        <v>8355.27</v>
      </c>
      <c r="D285" s="5" t="str">
        <f aca="false">IF(B285="","",IFERROR(INDEX(DE_PARA!$B$6:$B$205,MATCH(B285,DE_PARA!$A$6:$A$205,0)),"SEM DE-PARA"))</f>
        <v>ESTRUTURA EM CONCRETO ARMADO</v>
      </c>
      <c r="E285" s="23" t="n">
        <f aca="false">IF(A285="","",DATE(YEAR(A285),MONTH(A285),1))</f>
        <v>46447</v>
      </c>
    </row>
    <row r="286" customFormat="false" ht="15" hidden="false" customHeight="false" outlineLevel="0" collapsed="false">
      <c r="A286" s="21" t="n">
        <v>46935</v>
      </c>
      <c r="B286" s="4" t="s">
        <v>110</v>
      </c>
      <c r="C286" s="22" t="n">
        <v>14261.17</v>
      </c>
      <c r="D286" s="5" t="str">
        <f aca="false">IF(B286="","",IFERROR(INDEX(DE_PARA!$B$6:$B$205,MATCH(B286,DE_PARA!$A$6:$A$205,0)),"SEM DE-PARA"))</f>
        <v>ESTRUTURA EM CONCRETO ARMADO</v>
      </c>
      <c r="E286" s="23" t="n">
        <f aca="false">IF(A286="","",DATE(YEAR(A286),MONTH(A286),1))</f>
        <v>46935</v>
      </c>
    </row>
    <row r="287" customFormat="false" ht="15" hidden="false" customHeight="false" outlineLevel="0" collapsed="false">
      <c r="A287" s="21" t="n">
        <v>47058</v>
      </c>
      <c r="B287" s="4" t="s">
        <v>110</v>
      </c>
      <c r="C287" s="22" t="n">
        <v>88.5</v>
      </c>
      <c r="D287" s="5" t="str">
        <f aca="false">IF(B287="","",IFERROR(INDEX(DE_PARA!$B$6:$B$205,MATCH(B287,DE_PARA!$A$6:$A$205,0)),"SEM DE-PARA"))</f>
        <v>ESTRUTURA EM CONCRETO ARMADO</v>
      </c>
      <c r="E287" s="23" t="n">
        <f aca="false">IF(A287="","",DATE(YEAR(A287),MONTH(A287),1))</f>
        <v>47058</v>
      </c>
    </row>
    <row r="288" customFormat="false" ht="15" hidden="false" customHeight="false" outlineLevel="0" collapsed="false">
      <c r="A288" s="21" t="n">
        <v>47150</v>
      </c>
      <c r="B288" s="4" t="s">
        <v>110</v>
      </c>
      <c r="C288" s="22" t="n">
        <v>3520.13</v>
      </c>
      <c r="D288" s="5" t="str">
        <f aca="false">IF(B288="","",IFERROR(INDEX(DE_PARA!$B$6:$B$205,MATCH(B288,DE_PARA!$A$6:$A$205,0)),"SEM DE-PARA"))</f>
        <v>ESTRUTURA EM CONCRETO ARMADO</v>
      </c>
      <c r="E288" s="23" t="n">
        <f aca="false">IF(A288="","",DATE(YEAR(A288),MONTH(A288),1))</f>
        <v>47150</v>
      </c>
    </row>
    <row r="289" customFormat="false" ht="15" hidden="false" customHeight="false" outlineLevel="0" collapsed="false">
      <c r="A289" s="21" t="n">
        <v>45931</v>
      </c>
      <c r="B289" s="4" t="s">
        <v>119</v>
      </c>
      <c r="C289" s="22" t="n">
        <v>2235.2</v>
      </c>
      <c r="D289" s="5" t="str">
        <f aca="false">IF(B289="","",IFERROR(INDEX(DE_PARA!$B$6:$B$205,MATCH(B289,DE_PARA!$A$6:$A$205,0)),"SEM DE-PARA"))</f>
        <v>INSTALAÇÕES ELÉTRICAS</v>
      </c>
      <c r="E289" s="23" t="n">
        <f aca="false">IF(A289="","",DATE(YEAR(A289),MONTH(A289),1))</f>
        <v>45931</v>
      </c>
    </row>
    <row r="290" customFormat="false" ht="15" hidden="false" customHeight="false" outlineLevel="0" collapsed="false">
      <c r="A290" s="21" t="n">
        <v>46113</v>
      </c>
      <c r="B290" s="4" t="s">
        <v>119</v>
      </c>
      <c r="C290" s="22" t="n">
        <v>209001.57</v>
      </c>
      <c r="D290" s="5" t="str">
        <f aca="false">IF(B290="","",IFERROR(INDEX(DE_PARA!$B$6:$B$205,MATCH(B290,DE_PARA!$A$6:$A$205,0)),"SEM DE-PARA"))</f>
        <v>INSTALAÇÕES ELÉTRICAS</v>
      </c>
      <c r="E290" s="23" t="n">
        <f aca="false">IF(A290="","",DATE(YEAR(A290),MONTH(A290),1))</f>
        <v>46113</v>
      </c>
    </row>
    <row r="291" customFormat="false" ht="15" hidden="false" customHeight="false" outlineLevel="0" collapsed="false">
      <c r="A291" s="21" t="n">
        <v>46143</v>
      </c>
      <c r="B291" s="4" t="s">
        <v>119</v>
      </c>
      <c r="C291" s="22" t="n">
        <v>3214.66</v>
      </c>
      <c r="D291" s="5" t="str">
        <f aca="false">IF(B291="","",IFERROR(INDEX(DE_PARA!$B$6:$B$205,MATCH(B291,DE_PARA!$A$6:$A$205,0)),"SEM DE-PARA"))</f>
        <v>INSTALAÇÕES ELÉTRICAS</v>
      </c>
      <c r="E291" s="23" t="n">
        <f aca="false">IF(A291="","",DATE(YEAR(A291),MONTH(A291),1))</f>
        <v>46143</v>
      </c>
    </row>
    <row r="292" customFormat="false" ht="15" hidden="false" customHeight="false" outlineLevel="0" collapsed="false">
      <c r="A292" s="21" t="n">
        <v>46174</v>
      </c>
      <c r="B292" s="4" t="s">
        <v>119</v>
      </c>
      <c r="C292" s="22" t="n">
        <v>94109.06</v>
      </c>
      <c r="D292" s="5" t="str">
        <f aca="false">IF(B292="","",IFERROR(INDEX(DE_PARA!$B$6:$B$205,MATCH(B292,DE_PARA!$A$6:$A$205,0)),"SEM DE-PARA"))</f>
        <v>INSTALAÇÕES ELÉTRICAS</v>
      </c>
      <c r="E292" s="23" t="n">
        <f aca="false">IF(A292="","",DATE(YEAR(A292),MONTH(A292),1))</f>
        <v>46174</v>
      </c>
    </row>
    <row r="293" customFormat="false" ht="15" hidden="false" customHeight="false" outlineLevel="0" collapsed="false">
      <c r="A293" s="21" t="n">
        <v>46204</v>
      </c>
      <c r="B293" s="4" t="s">
        <v>119</v>
      </c>
      <c r="C293" s="22" t="n">
        <v>6139.34</v>
      </c>
      <c r="D293" s="5" t="str">
        <f aca="false">IF(B293="","",IFERROR(INDEX(DE_PARA!$B$6:$B$205,MATCH(B293,DE_PARA!$A$6:$A$205,0)),"SEM DE-PARA"))</f>
        <v>INSTALAÇÕES ELÉTRICAS</v>
      </c>
      <c r="E293" s="23" t="n">
        <f aca="false">IF(A293="","",DATE(YEAR(A293),MONTH(A293),1))</f>
        <v>46204</v>
      </c>
    </row>
    <row r="294" customFormat="false" ht="15" hidden="false" customHeight="false" outlineLevel="0" collapsed="false">
      <c r="A294" s="21" t="n">
        <v>46235</v>
      </c>
      <c r="B294" s="4" t="s">
        <v>119</v>
      </c>
      <c r="C294" s="22" t="n">
        <v>6662.65</v>
      </c>
      <c r="D294" s="5" t="str">
        <f aca="false">IF(B294="","",IFERROR(INDEX(DE_PARA!$B$6:$B$205,MATCH(B294,DE_PARA!$A$6:$A$205,0)),"SEM DE-PARA"))</f>
        <v>INSTALAÇÕES ELÉTRICAS</v>
      </c>
      <c r="E294" s="23" t="n">
        <f aca="false">IF(A294="","",DATE(YEAR(A294),MONTH(A294),1))</f>
        <v>46235</v>
      </c>
    </row>
    <row r="295" customFormat="false" ht="15" hidden="false" customHeight="false" outlineLevel="0" collapsed="false">
      <c r="A295" s="21" t="n">
        <v>46266</v>
      </c>
      <c r="B295" s="4" t="s">
        <v>119</v>
      </c>
      <c r="C295" s="22" t="n">
        <v>4679.03</v>
      </c>
      <c r="D295" s="5" t="str">
        <f aca="false">IF(B295="","",IFERROR(INDEX(DE_PARA!$B$6:$B$205,MATCH(B295,DE_PARA!$A$6:$A$205,0)),"SEM DE-PARA"))</f>
        <v>INSTALAÇÕES ELÉTRICAS</v>
      </c>
      <c r="E295" s="23" t="n">
        <f aca="false">IF(A295="","",DATE(YEAR(A295),MONTH(A295),1))</f>
        <v>46266</v>
      </c>
    </row>
    <row r="296" customFormat="false" ht="15" hidden="false" customHeight="false" outlineLevel="0" collapsed="false">
      <c r="A296" s="21" t="n">
        <v>46266</v>
      </c>
      <c r="B296" s="4" t="s">
        <v>122</v>
      </c>
      <c r="C296" s="22" t="n">
        <v>13965</v>
      </c>
      <c r="D296" s="5" t="str">
        <f aca="false">IF(B296="","",IFERROR(INDEX(DE_PARA!$B$6:$B$205,MATCH(B296,DE_PARA!$A$6:$A$205,0)),"SEM DE-PARA"))</f>
        <v>INSTALAÇÕES HIDROSANITÁRIAS</v>
      </c>
      <c r="E296" s="23" t="n">
        <f aca="false">IF(A296="","",DATE(YEAR(A296),MONTH(A296),1))</f>
        <v>46266</v>
      </c>
    </row>
    <row r="297" customFormat="false" ht="15" hidden="false" customHeight="false" outlineLevel="0" collapsed="false">
      <c r="A297" s="21" t="n">
        <v>46296</v>
      </c>
      <c r="B297" s="4" t="s">
        <v>122</v>
      </c>
      <c r="C297" s="22" t="n">
        <v>13965</v>
      </c>
      <c r="D297" s="5" t="str">
        <f aca="false">IF(B297="","",IFERROR(INDEX(DE_PARA!$B$6:$B$205,MATCH(B297,DE_PARA!$A$6:$A$205,0)),"SEM DE-PARA"))</f>
        <v>INSTALAÇÕES HIDROSANITÁRIAS</v>
      </c>
      <c r="E297" s="23" t="n">
        <f aca="false">IF(A297="","",DATE(YEAR(A297),MONTH(A297),1))</f>
        <v>46296</v>
      </c>
    </row>
    <row r="298" customFormat="false" ht="15" hidden="false" customHeight="false" outlineLevel="0" collapsed="false">
      <c r="A298" s="21" t="n">
        <v>46266</v>
      </c>
      <c r="B298" s="4" t="s">
        <v>140</v>
      </c>
      <c r="C298" s="22" t="n">
        <v>7000</v>
      </c>
      <c r="D298" s="5" t="str">
        <f aca="false">IF(B298="","",IFERROR(INDEX(DE_PARA!$B$6:$B$205,MATCH(B298,DE_PARA!$A$6:$A$205,0)),"SEM DE-PARA"))</f>
        <v>MARCENARIA</v>
      </c>
      <c r="E298" s="23" t="n">
        <f aca="false">IF(A298="","",DATE(YEAR(A298),MONTH(A298),1))</f>
        <v>46266</v>
      </c>
    </row>
    <row r="299" customFormat="false" ht="15" hidden="false" customHeight="false" outlineLevel="0" collapsed="false">
      <c r="A299" s="21" t="n">
        <v>45627</v>
      </c>
      <c r="B299" s="4" t="s">
        <v>45</v>
      </c>
      <c r="C299" s="22" t="n">
        <v>137450</v>
      </c>
      <c r="D299" s="5" t="str">
        <f aca="false">IF(B299="","",IFERROR(INDEX(DE_PARA!$B$6:$B$205,MATCH(B299,DE_PARA!$A$6:$A$205,0)),"SEM DE-PARA"))</f>
        <v>TAXA DE ADMINISTRAÇÃO</v>
      </c>
      <c r="E299" s="23" t="n">
        <f aca="false">IF(A299="","",DATE(YEAR(A299),MONTH(A299),1))</f>
        <v>45627</v>
      </c>
    </row>
    <row r="300" customFormat="false" ht="15" hidden="false" customHeight="false" outlineLevel="0" collapsed="false">
      <c r="A300" s="21" t="n">
        <v>45658</v>
      </c>
      <c r="B300" s="4" t="s">
        <v>45</v>
      </c>
      <c r="C300" s="22" t="n">
        <v>36922.46</v>
      </c>
      <c r="D300" s="5" t="str">
        <f aca="false">IF(B300="","",IFERROR(INDEX(DE_PARA!$B$6:$B$205,MATCH(B300,DE_PARA!$A$6:$A$205,0)),"SEM DE-PARA"))</f>
        <v>TAXA DE ADMINISTRAÇÃO</v>
      </c>
      <c r="E300" s="23" t="n">
        <f aca="false">IF(A300="","",DATE(YEAR(A300),MONTH(A300),1))</f>
        <v>45658</v>
      </c>
    </row>
    <row r="301" customFormat="false" ht="15" hidden="false" customHeight="false" outlineLevel="0" collapsed="false">
      <c r="A301" s="21" t="n">
        <v>45717</v>
      </c>
      <c r="B301" s="4" t="s">
        <v>45</v>
      </c>
      <c r="C301" s="22" t="n">
        <v>34045.51</v>
      </c>
      <c r="D301" s="5" t="str">
        <f aca="false">IF(B301="","",IFERROR(INDEX(DE_PARA!$B$6:$B$205,MATCH(B301,DE_PARA!$A$6:$A$205,0)),"SEM DE-PARA"))</f>
        <v>TAXA DE ADMINISTRAÇÃO</v>
      </c>
      <c r="E301" s="23" t="n">
        <f aca="false">IF(A301="","",DATE(YEAR(A301),MONTH(A301),1))</f>
        <v>45717</v>
      </c>
    </row>
    <row r="302" customFormat="false" ht="15" hidden="false" customHeight="false" outlineLevel="0" collapsed="false">
      <c r="A302" s="21" t="n">
        <v>45748</v>
      </c>
      <c r="B302" s="4" t="s">
        <v>45</v>
      </c>
      <c r="C302" s="22" t="n">
        <v>14154.82</v>
      </c>
      <c r="D302" s="5" t="str">
        <f aca="false">IF(B302="","",IFERROR(INDEX(DE_PARA!$B$6:$B$205,MATCH(B302,DE_PARA!$A$6:$A$205,0)),"SEM DE-PARA"))</f>
        <v>TAXA DE ADMINISTRAÇÃO</v>
      </c>
      <c r="E302" s="23" t="n">
        <f aca="false">IF(A302="","",DATE(YEAR(A302),MONTH(A302),1))</f>
        <v>45748</v>
      </c>
    </row>
    <row r="303" customFormat="false" ht="15" hidden="false" customHeight="false" outlineLevel="0" collapsed="false">
      <c r="A303" s="21" t="n">
        <v>45778</v>
      </c>
      <c r="B303" s="4" t="s">
        <v>45</v>
      </c>
      <c r="C303" s="22" t="n">
        <v>71756.69</v>
      </c>
      <c r="D303" s="5" t="str">
        <f aca="false">IF(B303="","",IFERROR(INDEX(DE_PARA!$B$6:$B$205,MATCH(B303,DE_PARA!$A$6:$A$205,0)),"SEM DE-PARA"))</f>
        <v>TAXA DE ADMINISTRAÇÃO</v>
      </c>
      <c r="E303" s="23" t="n">
        <f aca="false">IF(A303="","",DATE(YEAR(A303),MONTH(A303),1))</f>
        <v>45778</v>
      </c>
    </row>
    <row r="304" customFormat="false" ht="15" hidden="false" customHeight="false" outlineLevel="0" collapsed="false">
      <c r="A304" s="21" t="n">
        <v>45809</v>
      </c>
      <c r="B304" s="4" t="s">
        <v>45</v>
      </c>
      <c r="C304" s="22" t="n">
        <v>6521.51</v>
      </c>
      <c r="D304" s="5" t="str">
        <f aca="false">IF(B304="","",IFERROR(INDEX(DE_PARA!$B$6:$B$205,MATCH(B304,DE_PARA!$A$6:$A$205,0)),"SEM DE-PARA"))</f>
        <v>TAXA DE ADMINISTRAÇÃO</v>
      </c>
      <c r="E304" s="23" t="n">
        <f aca="false">IF(A304="","",DATE(YEAR(A304),MONTH(A304),1))</f>
        <v>45809</v>
      </c>
    </row>
    <row r="305" customFormat="false" ht="15" hidden="false" customHeight="false" outlineLevel="0" collapsed="false">
      <c r="A305" s="21" t="n">
        <v>45839</v>
      </c>
      <c r="B305" s="4" t="s">
        <v>45</v>
      </c>
      <c r="C305" s="22" t="n">
        <v>13570.62</v>
      </c>
      <c r="D305" s="5" t="str">
        <f aca="false">IF(B305="","",IFERROR(INDEX(DE_PARA!$B$6:$B$205,MATCH(B305,DE_PARA!$A$6:$A$205,0)),"SEM DE-PARA"))</f>
        <v>TAXA DE ADMINISTRAÇÃO</v>
      </c>
      <c r="E305" s="23" t="n">
        <f aca="false">IF(A305="","",DATE(YEAR(A305),MONTH(A305),1))</f>
        <v>45839</v>
      </c>
    </row>
    <row r="306" customFormat="false" ht="15" hidden="false" customHeight="false" outlineLevel="0" collapsed="false">
      <c r="A306" s="21" t="n">
        <v>45870</v>
      </c>
      <c r="B306" s="4" t="s">
        <v>45</v>
      </c>
      <c r="C306" s="22" t="n">
        <v>26242.32</v>
      </c>
      <c r="D306" s="5" t="str">
        <f aca="false">IF(B306="","",IFERROR(INDEX(DE_PARA!$B$6:$B$205,MATCH(B306,DE_PARA!$A$6:$A$205,0)),"SEM DE-PARA"))</f>
        <v>TAXA DE ADMINISTRAÇÃO</v>
      </c>
      <c r="E306" s="23" t="n">
        <f aca="false">IF(A306="","",DATE(YEAR(A306),MONTH(A306),1))</f>
        <v>45870</v>
      </c>
    </row>
    <row r="307" customFormat="false" ht="15" hidden="false" customHeight="false" outlineLevel="0" collapsed="false">
      <c r="A307" s="21" t="n">
        <v>45901</v>
      </c>
      <c r="B307" s="4" t="s">
        <v>45</v>
      </c>
      <c r="C307" s="22" t="n">
        <v>34986.5</v>
      </c>
      <c r="D307" s="5" t="str">
        <f aca="false">IF(B307="","",IFERROR(INDEX(DE_PARA!$B$6:$B$205,MATCH(B307,DE_PARA!$A$6:$A$205,0)),"SEM DE-PARA"))</f>
        <v>TAXA DE ADMINISTRAÇÃO</v>
      </c>
      <c r="E307" s="23" t="n">
        <f aca="false">IF(A307="","",DATE(YEAR(A307),MONTH(A307),1))</f>
        <v>45901</v>
      </c>
    </row>
    <row r="308" customFormat="false" ht="15" hidden="false" customHeight="false" outlineLevel="0" collapsed="false">
      <c r="A308" s="21" t="n">
        <v>45931</v>
      </c>
      <c r="B308" s="4" t="s">
        <v>45</v>
      </c>
      <c r="C308" s="22" t="n">
        <v>70987.17</v>
      </c>
      <c r="D308" s="5" t="str">
        <f aca="false">IF(B308="","",IFERROR(INDEX(DE_PARA!$B$6:$B$205,MATCH(B308,DE_PARA!$A$6:$A$205,0)),"SEM DE-PARA"))</f>
        <v>TAXA DE ADMINISTRAÇÃO</v>
      </c>
      <c r="E308" s="23" t="n">
        <f aca="false">IF(A308="","",DATE(YEAR(A308),MONTH(A308),1))</f>
        <v>45931</v>
      </c>
    </row>
    <row r="309" customFormat="false" ht="15" hidden="false" customHeight="false" outlineLevel="0" collapsed="false">
      <c r="A309" s="21" t="n">
        <v>45962</v>
      </c>
      <c r="B309" s="4" t="s">
        <v>45</v>
      </c>
      <c r="C309" s="22" t="n">
        <v>119467.69</v>
      </c>
      <c r="D309" s="5" t="str">
        <f aca="false">IF(B309="","",IFERROR(INDEX(DE_PARA!$B$6:$B$205,MATCH(B309,DE_PARA!$A$6:$A$205,0)),"SEM DE-PARA"))</f>
        <v>TAXA DE ADMINISTRAÇÃO</v>
      </c>
      <c r="E309" s="23" t="n">
        <f aca="false">IF(A309="","",DATE(YEAR(A309),MONTH(A309),1))</f>
        <v>45962</v>
      </c>
    </row>
    <row r="310" customFormat="false" ht="15" hidden="false" customHeight="false" outlineLevel="0" collapsed="false">
      <c r="A310" s="21"/>
      <c r="B310" s="4"/>
      <c r="C310" s="22"/>
      <c r="D310" s="5" t="str">
        <f aca="false">IF(B310="","",IFERROR(INDEX(DE_PARA!$B$6:$B$205,MATCH(B310,DE_PARA!$A$6:$A$205,0)),"SEM DE-PARA"))</f>
        <v/>
      </c>
      <c r="E310" s="23" t="str">
        <f aca="false">IF(A310="","",DATE(YEAR(A310),MONTH(A310),1))</f>
        <v/>
      </c>
    </row>
    <row r="311" customFormat="false" ht="15" hidden="false" customHeight="false" outlineLevel="0" collapsed="false">
      <c r="A311" s="21"/>
      <c r="B311" s="4"/>
      <c r="C311" s="22"/>
      <c r="D311" s="5" t="str">
        <f aca="false">IF(B311="","",IFERROR(INDEX(DE_PARA!$B$6:$B$205,MATCH(B311,DE_PARA!$A$6:$A$205,0)),"SEM DE-PARA"))</f>
        <v/>
      </c>
      <c r="E311" s="23" t="str">
        <f aca="false">IF(A311="","",DATE(YEAR(A311),MONTH(A311),1))</f>
        <v/>
      </c>
    </row>
    <row r="312" customFormat="false" ht="15" hidden="false" customHeight="false" outlineLevel="0" collapsed="false">
      <c r="A312" s="21"/>
      <c r="B312" s="4"/>
      <c r="C312" s="22"/>
      <c r="D312" s="5" t="str">
        <f aca="false">IF(B312="","",IFERROR(INDEX(DE_PARA!$B$6:$B$205,MATCH(B312,DE_PARA!$A$6:$A$205,0)),"SEM DE-PARA"))</f>
        <v/>
      </c>
      <c r="E312" s="23" t="str">
        <f aca="false">IF(A312="","",DATE(YEAR(A312),MONTH(A312),1))</f>
        <v/>
      </c>
    </row>
    <row r="313" customFormat="false" ht="15" hidden="false" customHeight="false" outlineLevel="0" collapsed="false">
      <c r="A313" s="21"/>
      <c r="B313" s="4"/>
      <c r="C313" s="22"/>
      <c r="D313" s="5" t="str">
        <f aca="false">IF(B313="","",IFERROR(INDEX(DE_PARA!$B$6:$B$205,MATCH(B313,DE_PARA!$A$6:$A$205,0)),"SEM DE-PARA"))</f>
        <v/>
      </c>
      <c r="E313" s="23" t="str">
        <f aca="false">IF(A313="","",DATE(YEAR(A313),MONTH(A313),1))</f>
        <v/>
      </c>
    </row>
    <row r="314" customFormat="false" ht="15" hidden="false" customHeight="false" outlineLevel="0" collapsed="false">
      <c r="A314" s="21"/>
      <c r="B314" s="4"/>
      <c r="C314" s="22"/>
      <c r="D314" s="5" t="str">
        <f aca="false">IF(B314="","",IFERROR(INDEX(DE_PARA!$B$6:$B$205,MATCH(B314,DE_PARA!$A$6:$A$205,0)),"SEM DE-PARA"))</f>
        <v/>
      </c>
      <c r="E314" s="23" t="str">
        <f aca="false">IF(A314="","",DATE(YEAR(A314),MONTH(A314),1))</f>
        <v/>
      </c>
    </row>
    <row r="315" customFormat="false" ht="15" hidden="false" customHeight="false" outlineLevel="0" collapsed="false">
      <c r="A315" s="21"/>
      <c r="B315" s="4"/>
      <c r="C315" s="22"/>
      <c r="D315" s="5" t="str">
        <f aca="false">IF(B315="","",IFERROR(INDEX(DE_PARA!$B$6:$B$205,MATCH(B315,DE_PARA!$A$6:$A$205,0)),"SEM DE-PARA"))</f>
        <v/>
      </c>
      <c r="E315" s="23" t="str">
        <f aca="false">IF(A315="","",DATE(YEAR(A315),MONTH(A315),1))</f>
        <v/>
      </c>
    </row>
    <row r="316" customFormat="false" ht="15" hidden="false" customHeight="false" outlineLevel="0" collapsed="false">
      <c r="A316" s="21"/>
      <c r="B316" s="4"/>
      <c r="C316" s="22"/>
      <c r="D316" s="5" t="str">
        <f aca="false">IF(B316="","",IFERROR(INDEX(DE_PARA!$B$6:$B$205,MATCH(B316,DE_PARA!$A$6:$A$205,0)),"SEM DE-PARA"))</f>
        <v/>
      </c>
      <c r="E316" s="23" t="str">
        <f aca="false">IF(A316="","",DATE(YEAR(A316),MONTH(A316),1))</f>
        <v/>
      </c>
    </row>
    <row r="317" customFormat="false" ht="15" hidden="false" customHeight="false" outlineLevel="0" collapsed="false">
      <c r="A317" s="21"/>
      <c r="B317" s="4"/>
      <c r="C317" s="22"/>
      <c r="D317" s="5" t="str">
        <f aca="false">IF(B317="","",IFERROR(INDEX(DE_PARA!$B$6:$B$205,MATCH(B317,DE_PARA!$A$6:$A$205,0)),"SEM DE-PARA"))</f>
        <v/>
      </c>
      <c r="E317" s="23" t="str">
        <f aca="false">IF(A317="","",DATE(YEAR(A317),MONTH(A317),1))</f>
        <v/>
      </c>
    </row>
    <row r="318" customFormat="false" ht="15" hidden="false" customHeight="false" outlineLevel="0" collapsed="false">
      <c r="A318" s="21"/>
      <c r="B318" s="4"/>
      <c r="C318" s="22"/>
      <c r="D318" s="5" t="str">
        <f aca="false">IF(B318="","",IFERROR(INDEX(DE_PARA!$B$6:$B$205,MATCH(B318,DE_PARA!$A$6:$A$205,0)),"SEM DE-PARA"))</f>
        <v/>
      </c>
      <c r="E318" s="23" t="str">
        <f aca="false">IF(A318="","",DATE(YEAR(A318),MONTH(A318),1))</f>
        <v/>
      </c>
    </row>
    <row r="319" customFormat="false" ht="15" hidden="false" customHeight="false" outlineLevel="0" collapsed="false">
      <c r="A319" s="21"/>
      <c r="B319" s="4"/>
      <c r="C319" s="22"/>
      <c r="D319" s="5" t="str">
        <f aca="false">IF(B319="","",IFERROR(INDEX(DE_PARA!$B$6:$B$205,MATCH(B319,DE_PARA!$A$6:$A$205,0)),"SEM DE-PARA"))</f>
        <v/>
      </c>
      <c r="E319" s="23" t="str">
        <f aca="false">IF(A319="","",DATE(YEAR(A319),MONTH(A319),1))</f>
        <v/>
      </c>
    </row>
    <row r="320" customFormat="false" ht="15" hidden="false" customHeight="false" outlineLevel="0" collapsed="false">
      <c r="A320" s="21"/>
      <c r="B320" s="4"/>
      <c r="C320" s="22"/>
      <c r="D320" s="5" t="str">
        <f aca="false">IF(B320="","",IFERROR(INDEX(DE_PARA!$B$6:$B$205,MATCH(B320,DE_PARA!$A$6:$A$205,0)),"SEM DE-PARA"))</f>
        <v/>
      </c>
      <c r="E320" s="23" t="str">
        <f aca="false">IF(A320="","",DATE(YEAR(A320),MONTH(A320),1))</f>
        <v/>
      </c>
    </row>
    <row r="321" customFormat="false" ht="15" hidden="false" customHeight="false" outlineLevel="0" collapsed="false">
      <c r="A321" s="21"/>
      <c r="B321" s="4"/>
      <c r="C321" s="22"/>
      <c r="D321" s="5" t="str">
        <f aca="false">IF(B321="","",IFERROR(INDEX(DE_PARA!$B$6:$B$205,MATCH(B321,DE_PARA!$A$6:$A$205,0)),"SEM DE-PARA"))</f>
        <v/>
      </c>
      <c r="E321" s="23" t="str">
        <f aca="false">IF(A321="","",DATE(YEAR(A321),MONTH(A321),1))</f>
        <v/>
      </c>
    </row>
    <row r="322" customFormat="false" ht="15" hidden="false" customHeight="false" outlineLevel="0" collapsed="false">
      <c r="A322" s="21"/>
      <c r="B322" s="4"/>
      <c r="C322" s="22"/>
      <c r="D322" s="5" t="str">
        <f aca="false">IF(B322="","",IFERROR(INDEX(DE_PARA!$B$6:$B$205,MATCH(B322,DE_PARA!$A$6:$A$205,0)),"SEM DE-PARA"))</f>
        <v/>
      </c>
      <c r="E322" s="23" t="str">
        <f aca="false">IF(A322="","",DATE(YEAR(A322),MONTH(A322),1))</f>
        <v/>
      </c>
    </row>
    <row r="323" customFormat="false" ht="15" hidden="false" customHeight="false" outlineLevel="0" collapsed="false">
      <c r="A323" s="21"/>
      <c r="B323" s="4"/>
      <c r="C323" s="22"/>
      <c r="D323" s="5" t="str">
        <f aca="false">IF(B323="","",IFERROR(INDEX(DE_PARA!$B$6:$B$205,MATCH(B323,DE_PARA!$A$6:$A$205,0)),"SEM DE-PARA"))</f>
        <v/>
      </c>
      <c r="E323" s="23" t="str">
        <f aca="false">IF(A323="","",DATE(YEAR(A323),MONTH(A323),1))</f>
        <v/>
      </c>
    </row>
    <row r="324" customFormat="false" ht="15" hidden="false" customHeight="false" outlineLevel="0" collapsed="false">
      <c r="A324" s="21"/>
      <c r="B324" s="4"/>
      <c r="C324" s="22"/>
      <c r="D324" s="5" t="str">
        <f aca="false">IF(B324="","",IFERROR(INDEX(DE_PARA!$B$6:$B$205,MATCH(B324,DE_PARA!$A$6:$A$205,0)),"SEM DE-PARA"))</f>
        <v/>
      </c>
      <c r="E324" s="23" t="str">
        <f aca="false">IF(A324="","",DATE(YEAR(A324),MONTH(A324),1))</f>
        <v/>
      </c>
    </row>
    <row r="325" customFormat="false" ht="15" hidden="false" customHeight="false" outlineLevel="0" collapsed="false">
      <c r="A325" s="21"/>
      <c r="B325" s="4"/>
      <c r="C325" s="22"/>
      <c r="D325" s="5" t="str">
        <f aca="false">IF(B325="","",IFERROR(INDEX(DE_PARA!$B$6:$B$205,MATCH(B325,DE_PARA!$A$6:$A$205,0)),"SEM DE-PARA"))</f>
        <v/>
      </c>
      <c r="E325" s="23" t="str">
        <f aca="false">IF(A325="","",DATE(YEAR(A325),MONTH(A325),1))</f>
        <v/>
      </c>
    </row>
    <row r="326" customFormat="false" ht="15" hidden="false" customHeight="false" outlineLevel="0" collapsed="false">
      <c r="A326" s="21"/>
      <c r="B326" s="4"/>
      <c r="C326" s="22"/>
      <c r="D326" s="5" t="str">
        <f aca="false">IF(B326="","",IFERROR(INDEX(DE_PARA!$B$6:$B$205,MATCH(B326,DE_PARA!$A$6:$A$205,0)),"SEM DE-PARA"))</f>
        <v/>
      </c>
      <c r="E326" s="23" t="str">
        <f aca="false">IF(A326="","",DATE(YEAR(A326),MONTH(A326),1))</f>
        <v/>
      </c>
    </row>
    <row r="327" customFormat="false" ht="15" hidden="false" customHeight="false" outlineLevel="0" collapsed="false">
      <c r="A327" s="21"/>
      <c r="B327" s="4"/>
      <c r="C327" s="22"/>
      <c r="D327" s="5" t="str">
        <f aca="false">IF(B327="","",IFERROR(INDEX(DE_PARA!$B$6:$B$205,MATCH(B327,DE_PARA!$A$6:$A$205,0)),"SEM DE-PARA"))</f>
        <v/>
      </c>
      <c r="E327" s="23" t="str">
        <f aca="false">IF(A327="","",DATE(YEAR(A327),MONTH(A327),1))</f>
        <v/>
      </c>
    </row>
    <row r="328" customFormat="false" ht="15" hidden="false" customHeight="false" outlineLevel="0" collapsed="false">
      <c r="A328" s="21"/>
      <c r="B328" s="4"/>
      <c r="C328" s="22"/>
      <c r="D328" s="5" t="str">
        <f aca="false">IF(B328="","",IFERROR(INDEX(DE_PARA!$B$6:$B$205,MATCH(B328,DE_PARA!$A$6:$A$205,0)),"SEM DE-PARA"))</f>
        <v/>
      </c>
      <c r="E328" s="23" t="str">
        <f aca="false">IF(A328="","",DATE(YEAR(A328),MONTH(A328),1))</f>
        <v/>
      </c>
    </row>
    <row r="329" customFormat="false" ht="15" hidden="false" customHeight="false" outlineLevel="0" collapsed="false">
      <c r="A329" s="21"/>
      <c r="B329" s="4"/>
      <c r="C329" s="22"/>
      <c r="D329" s="5" t="str">
        <f aca="false">IF(B329="","",IFERROR(INDEX(DE_PARA!$B$6:$B$205,MATCH(B329,DE_PARA!$A$6:$A$205,0)),"SEM DE-PARA"))</f>
        <v/>
      </c>
      <c r="E329" s="23" t="str">
        <f aca="false">IF(A329="","",DATE(YEAR(A329),MONTH(A329),1))</f>
        <v/>
      </c>
    </row>
    <row r="330" customFormat="false" ht="15" hidden="false" customHeight="false" outlineLevel="0" collapsed="false">
      <c r="A330" s="21"/>
      <c r="B330" s="4"/>
      <c r="C330" s="22"/>
      <c r="D330" s="5" t="str">
        <f aca="false">IF(B330="","",IFERROR(INDEX(DE_PARA!$B$6:$B$205,MATCH(B330,DE_PARA!$A$6:$A$205,0)),"SEM DE-PARA"))</f>
        <v/>
      </c>
      <c r="E330" s="23" t="str">
        <f aca="false">IF(A330="","",DATE(YEAR(A330),MONTH(A330),1))</f>
        <v/>
      </c>
    </row>
    <row r="331" customFormat="false" ht="15" hidden="false" customHeight="false" outlineLevel="0" collapsed="false">
      <c r="A331" s="21"/>
      <c r="B331" s="4"/>
      <c r="C331" s="22"/>
      <c r="D331" s="5" t="str">
        <f aca="false">IF(B331="","",IFERROR(INDEX(DE_PARA!$B$6:$B$205,MATCH(B331,DE_PARA!$A$6:$A$205,0)),"SEM DE-PARA"))</f>
        <v/>
      </c>
      <c r="E331" s="23" t="str">
        <f aca="false">IF(A331="","",DATE(YEAR(A331),MONTH(A331),1))</f>
        <v/>
      </c>
    </row>
    <row r="332" customFormat="false" ht="15" hidden="false" customHeight="false" outlineLevel="0" collapsed="false">
      <c r="A332" s="21"/>
      <c r="B332" s="4"/>
      <c r="C332" s="22"/>
      <c r="D332" s="5" t="str">
        <f aca="false">IF(B332="","",IFERROR(INDEX(DE_PARA!$B$6:$B$205,MATCH(B332,DE_PARA!$A$6:$A$205,0)),"SEM DE-PARA"))</f>
        <v/>
      </c>
      <c r="E332" s="23" t="str">
        <f aca="false">IF(A332="","",DATE(YEAR(A332),MONTH(A332),1))</f>
        <v/>
      </c>
    </row>
    <row r="333" customFormat="false" ht="15" hidden="false" customHeight="false" outlineLevel="0" collapsed="false">
      <c r="A333" s="21"/>
      <c r="B333" s="4"/>
      <c r="C333" s="22"/>
      <c r="D333" s="5" t="str">
        <f aca="false">IF(B333="","",IFERROR(INDEX(DE_PARA!$B$6:$B$205,MATCH(B333,DE_PARA!$A$6:$A$205,0)),"SEM DE-PARA"))</f>
        <v/>
      </c>
      <c r="E333" s="23" t="str">
        <f aca="false">IF(A333="","",DATE(YEAR(A333),MONTH(A333),1))</f>
        <v/>
      </c>
    </row>
    <row r="334" customFormat="false" ht="15" hidden="false" customHeight="false" outlineLevel="0" collapsed="false">
      <c r="A334" s="21"/>
      <c r="B334" s="4"/>
      <c r="C334" s="22"/>
      <c r="D334" s="5" t="str">
        <f aca="false">IF(B334="","",IFERROR(INDEX(DE_PARA!$B$6:$B$205,MATCH(B334,DE_PARA!$A$6:$A$205,0)),"SEM DE-PARA"))</f>
        <v/>
      </c>
      <c r="E334" s="23" t="str">
        <f aca="false">IF(A334="","",DATE(YEAR(A334),MONTH(A334),1))</f>
        <v/>
      </c>
    </row>
    <row r="335" customFormat="false" ht="15" hidden="false" customHeight="false" outlineLevel="0" collapsed="false">
      <c r="A335" s="21"/>
      <c r="B335" s="4"/>
      <c r="C335" s="22"/>
      <c r="D335" s="5" t="str">
        <f aca="false">IF(B335="","",IFERROR(INDEX(DE_PARA!$B$6:$B$205,MATCH(B335,DE_PARA!$A$6:$A$205,0)),"SEM DE-PARA"))</f>
        <v/>
      </c>
      <c r="E335" s="23" t="str">
        <f aca="false">IF(A335="","",DATE(YEAR(A335),MONTH(A335),1))</f>
        <v/>
      </c>
    </row>
    <row r="336" customFormat="false" ht="15" hidden="false" customHeight="false" outlineLevel="0" collapsed="false">
      <c r="A336" s="21"/>
      <c r="B336" s="4"/>
      <c r="C336" s="22"/>
      <c r="D336" s="5" t="str">
        <f aca="false">IF(B336="","",IFERROR(INDEX(DE_PARA!$B$6:$B$205,MATCH(B336,DE_PARA!$A$6:$A$205,0)),"SEM DE-PARA"))</f>
        <v/>
      </c>
      <c r="E336" s="23" t="str">
        <f aca="false">IF(A336="","",DATE(YEAR(A336),MONTH(A336),1))</f>
        <v/>
      </c>
    </row>
    <row r="337" customFormat="false" ht="15" hidden="false" customHeight="false" outlineLevel="0" collapsed="false">
      <c r="A337" s="21"/>
      <c r="B337" s="4"/>
      <c r="C337" s="22"/>
      <c r="D337" s="5" t="str">
        <f aca="false">IF(B337="","",IFERROR(INDEX(DE_PARA!$B$6:$B$205,MATCH(B337,DE_PARA!$A$6:$A$205,0)),"SEM DE-PARA"))</f>
        <v/>
      </c>
      <c r="E337" s="23" t="str">
        <f aca="false">IF(A337="","",DATE(YEAR(A337),MONTH(A337),1))</f>
        <v/>
      </c>
    </row>
    <row r="338" customFormat="false" ht="15" hidden="false" customHeight="false" outlineLevel="0" collapsed="false">
      <c r="A338" s="21"/>
      <c r="B338" s="4"/>
      <c r="C338" s="22"/>
      <c r="D338" s="5" t="str">
        <f aca="false">IF(B338="","",IFERROR(INDEX(DE_PARA!$B$6:$B$205,MATCH(B338,DE_PARA!$A$6:$A$205,0)),"SEM DE-PARA"))</f>
        <v/>
      </c>
      <c r="E338" s="23" t="str">
        <f aca="false">IF(A338="","",DATE(YEAR(A338),MONTH(A338),1))</f>
        <v/>
      </c>
    </row>
    <row r="339" customFormat="false" ht="15" hidden="false" customHeight="false" outlineLevel="0" collapsed="false">
      <c r="A339" s="21"/>
      <c r="B339" s="4"/>
      <c r="C339" s="22"/>
      <c r="D339" s="5" t="str">
        <f aca="false">IF(B339="","",IFERROR(INDEX(DE_PARA!$B$6:$B$205,MATCH(B339,DE_PARA!$A$6:$A$205,0)),"SEM DE-PARA"))</f>
        <v/>
      </c>
      <c r="E339" s="23" t="str">
        <f aca="false">IF(A339="","",DATE(YEAR(A339),MONTH(A339),1))</f>
        <v/>
      </c>
    </row>
    <row r="340" customFormat="false" ht="15" hidden="false" customHeight="false" outlineLevel="0" collapsed="false">
      <c r="A340" s="21"/>
      <c r="B340" s="4"/>
      <c r="C340" s="22"/>
      <c r="D340" s="5" t="str">
        <f aca="false">IF(B340="","",IFERROR(INDEX(DE_PARA!$B$6:$B$205,MATCH(B340,DE_PARA!$A$6:$A$205,0)),"SEM DE-PARA"))</f>
        <v/>
      </c>
      <c r="E340" s="23" t="str">
        <f aca="false">IF(A340="","",DATE(YEAR(A340),MONTH(A340),1))</f>
        <v/>
      </c>
    </row>
    <row r="341" customFormat="false" ht="15" hidden="false" customHeight="false" outlineLevel="0" collapsed="false">
      <c r="A341" s="21"/>
      <c r="B341" s="4"/>
      <c r="C341" s="22"/>
      <c r="D341" s="5" t="str">
        <f aca="false">IF(B341="","",IFERROR(INDEX(DE_PARA!$B$6:$B$205,MATCH(B341,DE_PARA!$A$6:$A$205,0)),"SEM DE-PARA"))</f>
        <v/>
      </c>
      <c r="E341" s="23" t="str">
        <f aca="false">IF(A341="","",DATE(YEAR(A341),MONTH(A341),1))</f>
        <v/>
      </c>
    </row>
    <row r="342" customFormat="false" ht="15" hidden="false" customHeight="false" outlineLevel="0" collapsed="false">
      <c r="A342" s="21"/>
      <c r="B342" s="4"/>
      <c r="C342" s="22"/>
      <c r="D342" s="5" t="str">
        <f aca="false">IF(B342="","",IFERROR(INDEX(DE_PARA!$B$6:$B$205,MATCH(B342,DE_PARA!$A$6:$A$205,0)),"SEM DE-PARA"))</f>
        <v/>
      </c>
      <c r="E342" s="23" t="str">
        <f aca="false">IF(A342="","",DATE(YEAR(A342),MONTH(A342),1))</f>
        <v/>
      </c>
    </row>
    <row r="343" customFormat="false" ht="15" hidden="false" customHeight="false" outlineLevel="0" collapsed="false">
      <c r="A343" s="21"/>
      <c r="B343" s="4"/>
      <c r="C343" s="22"/>
      <c r="D343" s="5" t="str">
        <f aca="false">IF(B343="","",IFERROR(INDEX(DE_PARA!$B$6:$B$205,MATCH(B343,DE_PARA!$A$6:$A$205,0)),"SEM DE-PARA"))</f>
        <v/>
      </c>
      <c r="E343" s="23" t="str">
        <f aca="false">IF(A343="","",DATE(YEAR(A343),MONTH(A343),1))</f>
        <v/>
      </c>
    </row>
    <row r="344" customFormat="false" ht="15" hidden="false" customHeight="false" outlineLevel="0" collapsed="false">
      <c r="A344" s="21"/>
      <c r="B344" s="4"/>
      <c r="C344" s="22"/>
      <c r="D344" s="5" t="str">
        <f aca="false">IF(B344="","",IFERROR(INDEX(DE_PARA!$B$6:$B$205,MATCH(B344,DE_PARA!$A$6:$A$205,0)),"SEM DE-PARA"))</f>
        <v/>
      </c>
      <c r="E344" s="23" t="str">
        <f aca="false">IF(A344="","",DATE(YEAR(A344),MONTH(A344),1))</f>
        <v/>
      </c>
    </row>
    <row r="345" customFormat="false" ht="15" hidden="false" customHeight="false" outlineLevel="0" collapsed="false">
      <c r="A345" s="21"/>
      <c r="B345" s="4"/>
      <c r="C345" s="22"/>
      <c r="D345" s="5" t="str">
        <f aca="false">IF(B345="","",IFERROR(INDEX(DE_PARA!$B$6:$B$205,MATCH(B345,DE_PARA!$A$6:$A$205,0)),"SEM DE-PARA"))</f>
        <v/>
      </c>
      <c r="E345" s="23" t="str">
        <f aca="false">IF(A345="","",DATE(YEAR(A345),MONTH(A345),1))</f>
        <v/>
      </c>
    </row>
    <row r="346" customFormat="false" ht="15" hidden="false" customHeight="false" outlineLevel="0" collapsed="false">
      <c r="A346" s="21"/>
      <c r="B346" s="4"/>
      <c r="C346" s="22"/>
      <c r="D346" s="5" t="str">
        <f aca="false">IF(B346="","",IFERROR(INDEX(DE_PARA!$B$6:$B$205,MATCH(B346,DE_PARA!$A$6:$A$205,0)),"SEM DE-PARA"))</f>
        <v/>
      </c>
      <c r="E346" s="23" t="str">
        <f aca="false">IF(A346="","",DATE(YEAR(A346),MONTH(A346),1))</f>
        <v/>
      </c>
    </row>
    <row r="347" customFormat="false" ht="15" hidden="false" customHeight="false" outlineLevel="0" collapsed="false">
      <c r="A347" s="21"/>
      <c r="B347" s="4"/>
      <c r="C347" s="22"/>
      <c r="D347" s="5" t="str">
        <f aca="false">IF(B347="","",IFERROR(INDEX(DE_PARA!$B$6:$B$205,MATCH(B347,DE_PARA!$A$6:$A$205,0)),"SEM DE-PARA"))</f>
        <v/>
      </c>
      <c r="E347" s="23" t="str">
        <f aca="false">IF(A347="","",DATE(YEAR(A347),MONTH(A347),1))</f>
        <v/>
      </c>
    </row>
    <row r="348" customFormat="false" ht="15" hidden="false" customHeight="false" outlineLevel="0" collapsed="false">
      <c r="A348" s="21"/>
      <c r="B348" s="4"/>
      <c r="C348" s="22"/>
      <c r="D348" s="5" t="str">
        <f aca="false">IF(B348="","",IFERROR(INDEX(DE_PARA!$B$6:$B$205,MATCH(B348,DE_PARA!$A$6:$A$205,0)),"SEM DE-PARA"))</f>
        <v/>
      </c>
      <c r="E348" s="23" t="str">
        <f aca="false">IF(A348="","",DATE(YEAR(A348),MONTH(A348),1))</f>
        <v/>
      </c>
    </row>
    <row r="349" customFormat="false" ht="15" hidden="false" customHeight="false" outlineLevel="0" collapsed="false">
      <c r="A349" s="21"/>
      <c r="B349" s="4"/>
      <c r="C349" s="22"/>
      <c r="D349" s="5" t="str">
        <f aca="false">IF(B349="","",IFERROR(INDEX(DE_PARA!$B$6:$B$205,MATCH(B349,DE_PARA!$A$6:$A$205,0)),"SEM DE-PARA"))</f>
        <v/>
      </c>
      <c r="E349" s="23" t="str">
        <f aca="false">IF(A349="","",DATE(YEAR(A349),MONTH(A349),1))</f>
        <v/>
      </c>
    </row>
    <row r="350" customFormat="false" ht="15" hidden="false" customHeight="false" outlineLevel="0" collapsed="false">
      <c r="A350" s="21"/>
      <c r="B350" s="4"/>
      <c r="C350" s="22"/>
      <c r="D350" s="5" t="str">
        <f aca="false">IF(B350="","",IFERROR(INDEX(DE_PARA!$B$6:$B$205,MATCH(B350,DE_PARA!$A$6:$A$205,0)),"SEM DE-PARA"))</f>
        <v/>
      </c>
      <c r="E350" s="23" t="str">
        <f aca="false">IF(A350="","",DATE(YEAR(A350),MONTH(A350),1))</f>
        <v/>
      </c>
    </row>
    <row r="351" customFormat="false" ht="15" hidden="false" customHeight="false" outlineLevel="0" collapsed="false">
      <c r="A351" s="21"/>
      <c r="B351" s="4"/>
      <c r="C351" s="22"/>
      <c r="D351" s="5" t="str">
        <f aca="false">IF(B351="","",IFERROR(INDEX(DE_PARA!$B$6:$B$205,MATCH(B351,DE_PARA!$A$6:$A$205,0)),"SEM DE-PARA"))</f>
        <v/>
      </c>
      <c r="E351" s="23" t="str">
        <f aca="false">IF(A351="","",DATE(YEAR(A351),MONTH(A351),1))</f>
        <v/>
      </c>
    </row>
    <row r="352" customFormat="false" ht="15" hidden="false" customHeight="false" outlineLevel="0" collapsed="false">
      <c r="A352" s="21"/>
      <c r="B352" s="4"/>
      <c r="C352" s="22"/>
      <c r="D352" s="5" t="str">
        <f aca="false">IF(B352="","",IFERROR(INDEX(DE_PARA!$B$6:$B$205,MATCH(B352,DE_PARA!$A$6:$A$205,0)),"SEM DE-PARA"))</f>
        <v/>
      </c>
      <c r="E352" s="23" t="str">
        <f aca="false">IF(A352="","",DATE(YEAR(A352),MONTH(A352),1))</f>
        <v/>
      </c>
    </row>
    <row r="353" customFormat="false" ht="15" hidden="false" customHeight="false" outlineLevel="0" collapsed="false">
      <c r="A353" s="21"/>
      <c r="B353" s="4"/>
      <c r="C353" s="22"/>
      <c r="D353" s="5" t="str">
        <f aca="false">IF(B353="","",IFERROR(INDEX(DE_PARA!$B$6:$B$205,MATCH(B353,DE_PARA!$A$6:$A$205,0)),"SEM DE-PARA"))</f>
        <v/>
      </c>
      <c r="E353" s="23" t="str">
        <f aca="false">IF(A353="","",DATE(YEAR(A353),MONTH(A353),1))</f>
        <v/>
      </c>
    </row>
    <row r="354" customFormat="false" ht="15" hidden="false" customHeight="false" outlineLevel="0" collapsed="false">
      <c r="A354" s="21"/>
      <c r="B354" s="4"/>
      <c r="C354" s="22"/>
      <c r="D354" s="5" t="str">
        <f aca="false">IF(B354="","",IFERROR(INDEX(DE_PARA!$B$6:$B$205,MATCH(B354,DE_PARA!$A$6:$A$205,0)),"SEM DE-PARA"))</f>
        <v/>
      </c>
      <c r="E354" s="23" t="str">
        <f aca="false">IF(A354="","",DATE(YEAR(A354),MONTH(A354),1))</f>
        <v/>
      </c>
    </row>
    <row r="355" customFormat="false" ht="15" hidden="false" customHeight="false" outlineLevel="0" collapsed="false">
      <c r="A355" s="21"/>
      <c r="B355" s="4"/>
      <c r="C355" s="22"/>
      <c r="D355" s="5" t="str">
        <f aca="false">IF(B355="","",IFERROR(INDEX(DE_PARA!$B$6:$B$205,MATCH(B355,DE_PARA!$A$6:$A$205,0)),"SEM DE-PARA"))</f>
        <v/>
      </c>
      <c r="E355" s="23" t="str">
        <f aca="false">IF(A355="","",DATE(YEAR(A355),MONTH(A355),1))</f>
        <v/>
      </c>
    </row>
    <row r="356" customFormat="false" ht="15" hidden="false" customHeight="false" outlineLevel="0" collapsed="false">
      <c r="A356" s="21"/>
      <c r="B356" s="4"/>
      <c r="C356" s="22"/>
      <c r="D356" s="5" t="str">
        <f aca="false">IF(B356="","",IFERROR(INDEX(DE_PARA!$B$6:$B$205,MATCH(B356,DE_PARA!$A$6:$A$205,0)),"SEM DE-PARA"))</f>
        <v/>
      </c>
      <c r="E356" s="23" t="str">
        <f aca="false">IF(A356="","",DATE(YEAR(A356),MONTH(A356),1))</f>
        <v/>
      </c>
    </row>
    <row r="357" customFormat="false" ht="15" hidden="false" customHeight="false" outlineLevel="0" collapsed="false">
      <c r="A357" s="21"/>
      <c r="B357" s="4"/>
      <c r="C357" s="22"/>
      <c r="D357" s="5" t="str">
        <f aca="false">IF(B357="","",IFERROR(INDEX(DE_PARA!$B$6:$B$205,MATCH(B357,DE_PARA!$A$6:$A$205,0)),"SEM DE-PARA"))</f>
        <v/>
      </c>
      <c r="E357" s="23" t="str">
        <f aca="false">IF(A357="","",DATE(YEAR(A357),MONTH(A357),1))</f>
        <v/>
      </c>
    </row>
    <row r="358" customFormat="false" ht="15" hidden="false" customHeight="false" outlineLevel="0" collapsed="false">
      <c r="A358" s="21"/>
      <c r="B358" s="4"/>
      <c r="C358" s="22"/>
      <c r="D358" s="5" t="str">
        <f aca="false">IF(B358="","",IFERROR(INDEX(DE_PARA!$B$6:$B$205,MATCH(B358,DE_PARA!$A$6:$A$205,0)),"SEM DE-PARA"))</f>
        <v/>
      </c>
      <c r="E358" s="23" t="str">
        <f aca="false">IF(A358="","",DATE(YEAR(A358),MONTH(A358),1))</f>
        <v/>
      </c>
    </row>
    <row r="359" customFormat="false" ht="15" hidden="false" customHeight="false" outlineLevel="0" collapsed="false">
      <c r="A359" s="21"/>
      <c r="B359" s="4"/>
      <c r="C359" s="22"/>
      <c r="D359" s="5" t="str">
        <f aca="false">IF(B359="","",IFERROR(INDEX(DE_PARA!$B$6:$B$205,MATCH(B359,DE_PARA!$A$6:$A$205,0)),"SEM DE-PARA"))</f>
        <v/>
      </c>
      <c r="E359" s="23" t="str">
        <f aca="false">IF(A359="","",DATE(YEAR(A359),MONTH(A359),1))</f>
        <v/>
      </c>
    </row>
    <row r="360" customFormat="false" ht="15" hidden="false" customHeight="false" outlineLevel="0" collapsed="false">
      <c r="A360" s="21"/>
      <c r="B360" s="4"/>
      <c r="C360" s="22"/>
      <c r="D360" s="5" t="str">
        <f aca="false">IF(B360="","",IFERROR(INDEX(DE_PARA!$B$6:$B$205,MATCH(B360,DE_PARA!$A$6:$A$205,0)),"SEM DE-PARA"))</f>
        <v/>
      </c>
      <c r="E360" s="23" t="str">
        <f aca="false">IF(A360="","",DATE(YEAR(A360),MONTH(A360),1))</f>
        <v/>
      </c>
    </row>
    <row r="361" customFormat="false" ht="15" hidden="false" customHeight="false" outlineLevel="0" collapsed="false">
      <c r="A361" s="21"/>
      <c r="B361" s="4"/>
      <c r="C361" s="22"/>
      <c r="D361" s="5" t="str">
        <f aca="false">IF(B361="","",IFERROR(INDEX(DE_PARA!$B$6:$B$205,MATCH(B361,DE_PARA!$A$6:$A$205,0)),"SEM DE-PARA"))</f>
        <v/>
      </c>
      <c r="E361" s="23" t="str">
        <f aca="false">IF(A361="","",DATE(YEAR(A361),MONTH(A361),1))</f>
        <v/>
      </c>
    </row>
    <row r="362" customFormat="false" ht="15" hidden="false" customHeight="false" outlineLevel="0" collapsed="false">
      <c r="A362" s="21"/>
      <c r="B362" s="4"/>
      <c r="C362" s="22"/>
      <c r="D362" s="5" t="str">
        <f aca="false">IF(B362="","",IFERROR(INDEX(DE_PARA!$B$6:$B$205,MATCH(B362,DE_PARA!$A$6:$A$205,0)),"SEM DE-PARA"))</f>
        <v/>
      </c>
      <c r="E362" s="23" t="str">
        <f aca="false">IF(A362="","",DATE(YEAR(A362),MONTH(A362),1))</f>
        <v/>
      </c>
    </row>
    <row r="363" customFormat="false" ht="15" hidden="false" customHeight="false" outlineLevel="0" collapsed="false">
      <c r="A363" s="21"/>
      <c r="B363" s="4"/>
      <c r="C363" s="22"/>
      <c r="D363" s="5" t="str">
        <f aca="false">IF(B363="","",IFERROR(INDEX(DE_PARA!$B$6:$B$205,MATCH(B363,DE_PARA!$A$6:$A$205,0)),"SEM DE-PARA"))</f>
        <v/>
      </c>
      <c r="E363" s="23" t="str">
        <f aca="false">IF(A363="","",DATE(YEAR(A363),MONTH(A363),1))</f>
        <v/>
      </c>
    </row>
    <row r="364" customFormat="false" ht="15" hidden="false" customHeight="false" outlineLevel="0" collapsed="false">
      <c r="A364" s="21"/>
      <c r="B364" s="4"/>
      <c r="C364" s="22"/>
      <c r="D364" s="5" t="str">
        <f aca="false">IF(B364="","",IFERROR(INDEX(DE_PARA!$B$6:$B$205,MATCH(B364,DE_PARA!$A$6:$A$205,0)),"SEM DE-PARA"))</f>
        <v/>
      </c>
      <c r="E364" s="23" t="str">
        <f aca="false">IF(A364="","",DATE(YEAR(A364),MONTH(A364),1))</f>
        <v/>
      </c>
    </row>
    <row r="365" customFormat="false" ht="15" hidden="false" customHeight="false" outlineLevel="0" collapsed="false">
      <c r="A365" s="21"/>
      <c r="B365" s="4"/>
      <c r="C365" s="22"/>
      <c r="D365" s="5" t="str">
        <f aca="false">IF(B365="","",IFERROR(INDEX(DE_PARA!$B$6:$B$205,MATCH(B365,DE_PARA!$A$6:$A$205,0)),"SEM DE-PARA"))</f>
        <v/>
      </c>
      <c r="E365" s="23" t="str">
        <f aca="false">IF(A365="","",DATE(YEAR(A365),MONTH(A365),1))</f>
        <v/>
      </c>
    </row>
    <row r="366" customFormat="false" ht="15" hidden="false" customHeight="false" outlineLevel="0" collapsed="false">
      <c r="A366" s="21"/>
      <c r="B366" s="4"/>
      <c r="C366" s="22"/>
      <c r="D366" s="5" t="str">
        <f aca="false">IF(B366="","",IFERROR(INDEX(DE_PARA!$B$6:$B$205,MATCH(B366,DE_PARA!$A$6:$A$205,0)),"SEM DE-PARA"))</f>
        <v/>
      </c>
      <c r="E366" s="23" t="str">
        <f aca="false">IF(A366="","",DATE(YEAR(A366),MONTH(A366),1))</f>
        <v/>
      </c>
    </row>
    <row r="367" customFormat="false" ht="15" hidden="false" customHeight="false" outlineLevel="0" collapsed="false">
      <c r="A367" s="21"/>
      <c r="B367" s="4"/>
      <c r="C367" s="22"/>
      <c r="D367" s="5" t="str">
        <f aca="false">IF(B367="","",IFERROR(INDEX(DE_PARA!$B$6:$B$205,MATCH(B367,DE_PARA!$A$6:$A$205,0)),"SEM DE-PARA"))</f>
        <v/>
      </c>
      <c r="E367" s="23" t="str">
        <f aca="false">IF(A367="","",DATE(YEAR(A367),MONTH(A367),1))</f>
        <v/>
      </c>
    </row>
    <row r="368" customFormat="false" ht="15" hidden="false" customHeight="false" outlineLevel="0" collapsed="false">
      <c r="A368" s="21"/>
      <c r="B368" s="4"/>
      <c r="C368" s="22"/>
      <c r="D368" s="5" t="str">
        <f aca="false">IF(B368="","",IFERROR(INDEX(DE_PARA!$B$6:$B$205,MATCH(B368,DE_PARA!$A$6:$A$205,0)),"SEM DE-PARA"))</f>
        <v/>
      </c>
      <c r="E368" s="23" t="str">
        <f aca="false">IF(A368="","",DATE(YEAR(A368),MONTH(A368),1))</f>
        <v/>
      </c>
    </row>
    <row r="369" customFormat="false" ht="15" hidden="false" customHeight="false" outlineLevel="0" collapsed="false">
      <c r="A369" s="21"/>
      <c r="B369" s="4"/>
      <c r="C369" s="22"/>
      <c r="D369" s="5" t="str">
        <f aca="false">IF(B369="","",IFERROR(INDEX(DE_PARA!$B$6:$B$205,MATCH(B369,DE_PARA!$A$6:$A$205,0)),"SEM DE-PARA"))</f>
        <v/>
      </c>
      <c r="E369" s="23" t="str">
        <f aca="false">IF(A369="","",DATE(YEAR(A369),MONTH(A369),1))</f>
        <v/>
      </c>
    </row>
    <row r="370" customFormat="false" ht="15" hidden="false" customHeight="false" outlineLevel="0" collapsed="false">
      <c r="A370" s="21"/>
      <c r="B370" s="4"/>
      <c r="C370" s="22"/>
      <c r="D370" s="5" t="str">
        <f aca="false">IF(B370="","",IFERROR(INDEX(DE_PARA!$B$6:$B$205,MATCH(B370,DE_PARA!$A$6:$A$205,0)),"SEM DE-PARA"))</f>
        <v/>
      </c>
      <c r="E370" s="23" t="str">
        <f aca="false">IF(A370="","",DATE(YEAR(A370),MONTH(A370),1))</f>
        <v/>
      </c>
    </row>
    <row r="371" customFormat="false" ht="15" hidden="false" customHeight="false" outlineLevel="0" collapsed="false">
      <c r="A371" s="21"/>
      <c r="B371" s="4"/>
      <c r="C371" s="22"/>
      <c r="D371" s="5" t="str">
        <f aca="false">IF(B371="","",IFERROR(INDEX(DE_PARA!$B$6:$B$205,MATCH(B371,DE_PARA!$A$6:$A$205,0)),"SEM DE-PARA"))</f>
        <v/>
      </c>
      <c r="E371" s="23" t="str">
        <f aca="false">IF(A371="","",DATE(YEAR(A371),MONTH(A371),1))</f>
        <v/>
      </c>
    </row>
    <row r="372" customFormat="false" ht="15" hidden="false" customHeight="false" outlineLevel="0" collapsed="false">
      <c r="A372" s="21"/>
      <c r="B372" s="4"/>
      <c r="C372" s="22"/>
      <c r="D372" s="5" t="str">
        <f aca="false">IF(B372="","",IFERROR(INDEX(DE_PARA!$B$6:$B$205,MATCH(B372,DE_PARA!$A$6:$A$205,0)),"SEM DE-PARA"))</f>
        <v/>
      </c>
      <c r="E372" s="23" t="str">
        <f aca="false">IF(A372="","",DATE(YEAR(A372),MONTH(A372),1))</f>
        <v/>
      </c>
    </row>
    <row r="373" customFormat="false" ht="15" hidden="false" customHeight="false" outlineLevel="0" collapsed="false">
      <c r="A373" s="21"/>
      <c r="B373" s="4"/>
      <c r="C373" s="22"/>
      <c r="D373" s="5" t="str">
        <f aca="false">IF(B373="","",IFERROR(INDEX(DE_PARA!$B$6:$B$205,MATCH(B373,DE_PARA!$A$6:$A$205,0)),"SEM DE-PARA"))</f>
        <v/>
      </c>
      <c r="E373" s="23" t="str">
        <f aca="false">IF(A373="","",DATE(YEAR(A373),MONTH(A373),1))</f>
        <v/>
      </c>
    </row>
    <row r="374" customFormat="false" ht="15" hidden="false" customHeight="false" outlineLevel="0" collapsed="false">
      <c r="A374" s="21"/>
      <c r="B374" s="4"/>
      <c r="C374" s="22"/>
      <c r="D374" s="5" t="str">
        <f aca="false">IF(B374="","",IFERROR(INDEX(DE_PARA!$B$6:$B$205,MATCH(B374,DE_PARA!$A$6:$A$205,0)),"SEM DE-PARA"))</f>
        <v/>
      </c>
      <c r="E374" s="23" t="str">
        <f aca="false">IF(A374="","",DATE(YEAR(A374),MONTH(A374),1))</f>
        <v/>
      </c>
    </row>
    <row r="375" customFormat="false" ht="15" hidden="false" customHeight="false" outlineLevel="0" collapsed="false">
      <c r="A375" s="21"/>
      <c r="B375" s="4"/>
      <c r="C375" s="22"/>
      <c r="D375" s="5" t="str">
        <f aca="false">IF(B375="","",IFERROR(INDEX(DE_PARA!$B$6:$B$205,MATCH(B375,DE_PARA!$A$6:$A$205,0)),"SEM DE-PARA"))</f>
        <v/>
      </c>
      <c r="E375" s="23" t="str">
        <f aca="false">IF(A375="","",DATE(YEAR(A375),MONTH(A375),1))</f>
        <v/>
      </c>
    </row>
    <row r="376" customFormat="false" ht="15" hidden="false" customHeight="false" outlineLevel="0" collapsed="false">
      <c r="A376" s="21"/>
      <c r="B376" s="4"/>
      <c r="C376" s="22"/>
      <c r="D376" s="5" t="str">
        <f aca="false">IF(B376="","",IFERROR(INDEX(DE_PARA!$B$6:$B$205,MATCH(B376,DE_PARA!$A$6:$A$205,0)),"SEM DE-PARA"))</f>
        <v/>
      </c>
      <c r="E376" s="23" t="str">
        <f aca="false">IF(A376="","",DATE(YEAR(A376),MONTH(A376),1))</f>
        <v/>
      </c>
    </row>
    <row r="377" customFormat="false" ht="15" hidden="false" customHeight="false" outlineLevel="0" collapsed="false">
      <c r="A377" s="21"/>
      <c r="B377" s="4"/>
      <c r="C377" s="22"/>
      <c r="D377" s="5" t="str">
        <f aca="false">IF(B377="","",IFERROR(INDEX(DE_PARA!$B$6:$B$205,MATCH(B377,DE_PARA!$A$6:$A$205,0)),"SEM DE-PARA"))</f>
        <v/>
      </c>
      <c r="E377" s="23" t="str">
        <f aca="false">IF(A377="","",DATE(YEAR(A377),MONTH(A377),1))</f>
        <v/>
      </c>
    </row>
    <row r="378" customFormat="false" ht="15" hidden="false" customHeight="false" outlineLevel="0" collapsed="false">
      <c r="A378" s="21"/>
      <c r="B378" s="4"/>
      <c r="C378" s="22"/>
      <c r="D378" s="5" t="str">
        <f aca="false">IF(B378="","",IFERROR(INDEX(DE_PARA!$B$6:$B$205,MATCH(B378,DE_PARA!$A$6:$A$205,0)),"SEM DE-PARA"))</f>
        <v/>
      </c>
      <c r="E378" s="23" t="str">
        <f aca="false">IF(A378="","",DATE(YEAR(A378),MONTH(A378),1))</f>
        <v/>
      </c>
    </row>
    <row r="379" customFormat="false" ht="15" hidden="false" customHeight="false" outlineLevel="0" collapsed="false">
      <c r="A379" s="21"/>
      <c r="B379" s="4"/>
      <c r="C379" s="22"/>
      <c r="D379" s="5" t="str">
        <f aca="false">IF(B379="","",IFERROR(INDEX(DE_PARA!$B$6:$B$205,MATCH(B379,DE_PARA!$A$6:$A$205,0)),"SEM DE-PARA"))</f>
        <v/>
      </c>
      <c r="E379" s="23" t="str">
        <f aca="false">IF(A379="","",DATE(YEAR(A379),MONTH(A379),1))</f>
        <v/>
      </c>
    </row>
    <row r="380" customFormat="false" ht="15" hidden="false" customHeight="false" outlineLevel="0" collapsed="false">
      <c r="A380" s="21"/>
      <c r="B380" s="4"/>
      <c r="C380" s="22"/>
      <c r="D380" s="5" t="str">
        <f aca="false">IF(B380="","",IFERROR(INDEX(DE_PARA!$B$6:$B$205,MATCH(B380,DE_PARA!$A$6:$A$205,0)),"SEM DE-PARA"))</f>
        <v/>
      </c>
      <c r="E380" s="23" t="str">
        <f aca="false">IF(A380="","",DATE(YEAR(A380),MONTH(A380),1))</f>
        <v/>
      </c>
    </row>
    <row r="381" customFormat="false" ht="15" hidden="false" customHeight="false" outlineLevel="0" collapsed="false">
      <c r="A381" s="21"/>
      <c r="B381" s="4"/>
      <c r="C381" s="22"/>
      <c r="D381" s="5" t="str">
        <f aca="false">IF(B381="","",IFERROR(INDEX(DE_PARA!$B$6:$B$205,MATCH(B381,DE_PARA!$A$6:$A$205,0)),"SEM DE-PARA"))</f>
        <v/>
      </c>
      <c r="E381" s="23" t="str">
        <f aca="false">IF(A381="","",DATE(YEAR(A381),MONTH(A381),1))</f>
        <v/>
      </c>
    </row>
    <row r="382" customFormat="false" ht="15" hidden="false" customHeight="false" outlineLevel="0" collapsed="false">
      <c r="A382" s="21"/>
      <c r="B382" s="4"/>
      <c r="C382" s="22"/>
      <c r="D382" s="5" t="str">
        <f aca="false">IF(B382="","",IFERROR(INDEX(DE_PARA!$B$6:$B$205,MATCH(B382,DE_PARA!$A$6:$A$205,0)),"SEM DE-PARA"))</f>
        <v/>
      </c>
      <c r="E382" s="23" t="str">
        <f aca="false">IF(A382="","",DATE(YEAR(A382),MONTH(A382),1))</f>
        <v/>
      </c>
    </row>
    <row r="383" customFormat="false" ht="15" hidden="false" customHeight="false" outlineLevel="0" collapsed="false">
      <c r="A383" s="21"/>
      <c r="B383" s="4"/>
      <c r="C383" s="22"/>
      <c r="D383" s="5" t="str">
        <f aca="false">IF(B383="","",IFERROR(INDEX(DE_PARA!$B$6:$B$205,MATCH(B383,DE_PARA!$A$6:$A$205,0)),"SEM DE-PARA"))</f>
        <v/>
      </c>
      <c r="E383" s="23" t="str">
        <f aca="false">IF(A383="","",DATE(YEAR(A383),MONTH(A383),1))</f>
        <v/>
      </c>
    </row>
    <row r="384" customFormat="false" ht="15" hidden="false" customHeight="false" outlineLevel="0" collapsed="false">
      <c r="A384" s="21"/>
      <c r="B384" s="4"/>
      <c r="C384" s="22"/>
      <c r="D384" s="5" t="str">
        <f aca="false">IF(B384="","",IFERROR(INDEX(DE_PARA!$B$6:$B$205,MATCH(B384,DE_PARA!$A$6:$A$205,0)),"SEM DE-PARA"))</f>
        <v/>
      </c>
      <c r="E384" s="23" t="str">
        <f aca="false">IF(A384="","",DATE(YEAR(A384),MONTH(A384),1))</f>
        <v/>
      </c>
    </row>
    <row r="385" customFormat="false" ht="15" hidden="false" customHeight="false" outlineLevel="0" collapsed="false">
      <c r="A385" s="21"/>
      <c r="B385" s="4"/>
      <c r="C385" s="22"/>
      <c r="D385" s="5" t="str">
        <f aca="false">IF(B385="","",IFERROR(INDEX(DE_PARA!$B$6:$B$205,MATCH(B385,DE_PARA!$A$6:$A$205,0)),"SEM DE-PARA"))</f>
        <v/>
      </c>
      <c r="E385" s="23" t="str">
        <f aca="false">IF(A385="","",DATE(YEAR(A385),MONTH(A385),1))</f>
        <v/>
      </c>
    </row>
    <row r="386" customFormat="false" ht="15" hidden="false" customHeight="false" outlineLevel="0" collapsed="false">
      <c r="A386" s="21"/>
      <c r="B386" s="4"/>
      <c r="C386" s="22"/>
      <c r="D386" s="5" t="str">
        <f aca="false">IF(B386="","",IFERROR(INDEX(DE_PARA!$B$6:$B$205,MATCH(B386,DE_PARA!$A$6:$A$205,0)),"SEM DE-PARA"))</f>
        <v/>
      </c>
      <c r="E386" s="23" t="str">
        <f aca="false">IF(A386="","",DATE(YEAR(A386),MONTH(A386),1))</f>
        <v/>
      </c>
    </row>
    <row r="387" customFormat="false" ht="15" hidden="false" customHeight="false" outlineLevel="0" collapsed="false">
      <c r="A387" s="21"/>
      <c r="B387" s="4"/>
      <c r="C387" s="22"/>
      <c r="D387" s="5" t="str">
        <f aca="false">IF(B387="","",IFERROR(INDEX(DE_PARA!$B$6:$B$205,MATCH(B387,DE_PARA!$A$6:$A$205,0)),"SEM DE-PARA"))</f>
        <v/>
      </c>
      <c r="E387" s="23" t="str">
        <f aca="false">IF(A387="","",DATE(YEAR(A387),MONTH(A387),1))</f>
        <v/>
      </c>
    </row>
    <row r="388" customFormat="false" ht="15" hidden="false" customHeight="false" outlineLevel="0" collapsed="false">
      <c r="A388" s="21"/>
      <c r="B388" s="4"/>
      <c r="C388" s="22"/>
      <c r="D388" s="5" t="str">
        <f aca="false">IF(B388="","",IFERROR(INDEX(DE_PARA!$B$6:$B$205,MATCH(B388,DE_PARA!$A$6:$A$205,0)),"SEM DE-PARA"))</f>
        <v/>
      </c>
      <c r="E388" s="23" t="str">
        <f aca="false">IF(A388="","",DATE(YEAR(A388),MONTH(A388),1))</f>
        <v/>
      </c>
    </row>
    <row r="389" customFormat="false" ht="15" hidden="false" customHeight="false" outlineLevel="0" collapsed="false">
      <c r="A389" s="21"/>
      <c r="B389" s="4"/>
      <c r="C389" s="22"/>
      <c r="D389" s="5" t="str">
        <f aca="false">IF(B389="","",IFERROR(INDEX(DE_PARA!$B$6:$B$205,MATCH(B389,DE_PARA!$A$6:$A$205,0)),"SEM DE-PARA"))</f>
        <v/>
      </c>
      <c r="E389" s="23" t="str">
        <f aca="false">IF(A389="","",DATE(YEAR(A389),MONTH(A389),1))</f>
        <v/>
      </c>
    </row>
    <row r="390" customFormat="false" ht="15" hidden="false" customHeight="false" outlineLevel="0" collapsed="false">
      <c r="A390" s="21"/>
      <c r="B390" s="4"/>
      <c r="C390" s="22"/>
      <c r="D390" s="5" t="str">
        <f aca="false">IF(B390="","",IFERROR(INDEX(DE_PARA!$B$6:$B$205,MATCH(B390,DE_PARA!$A$6:$A$205,0)),"SEM DE-PARA"))</f>
        <v/>
      </c>
      <c r="E390" s="23" t="str">
        <f aca="false">IF(A390="","",DATE(YEAR(A390),MONTH(A390),1))</f>
        <v/>
      </c>
    </row>
    <row r="391" customFormat="false" ht="15" hidden="false" customHeight="false" outlineLevel="0" collapsed="false">
      <c r="A391" s="21"/>
      <c r="B391" s="4"/>
      <c r="C391" s="22"/>
      <c r="D391" s="5" t="str">
        <f aca="false">IF(B391="","",IFERROR(INDEX(DE_PARA!$B$6:$B$205,MATCH(B391,DE_PARA!$A$6:$A$205,0)),"SEM DE-PARA"))</f>
        <v/>
      </c>
      <c r="E391" s="23" t="str">
        <f aca="false">IF(A391="","",DATE(YEAR(A391),MONTH(A391),1))</f>
        <v/>
      </c>
    </row>
    <row r="392" customFormat="false" ht="15" hidden="false" customHeight="false" outlineLevel="0" collapsed="false">
      <c r="A392" s="21"/>
      <c r="B392" s="4"/>
      <c r="C392" s="22"/>
      <c r="D392" s="5" t="str">
        <f aca="false">IF(B392="","",IFERROR(INDEX(DE_PARA!$B$6:$B$205,MATCH(B392,DE_PARA!$A$6:$A$205,0)),"SEM DE-PARA"))</f>
        <v/>
      </c>
      <c r="E392" s="23" t="str">
        <f aca="false">IF(A392="","",DATE(YEAR(A392),MONTH(A392),1))</f>
        <v/>
      </c>
    </row>
    <row r="393" customFormat="false" ht="15" hidden="false" customHeight="false" outlineLevel="0" collapsed="false">
      <c r="A393" s="21"/>
      <c r="B393" s="4"/>
      <c r="C393" s="22"/>
      <c r="D393" s="5" t="str">
        <f aca="false">IF(B393="","",IFERROR(INDEX(DE_PARA!$B$6:$B$205,MATCH(B393,DE_PARA!$A$6:$A$205,0)),"SEM DE-PARA"))</f>
        <v/>
      </c>
      <c r="E393" s="23" t="str">
        <f aca="false">IF(A393="","",DATE(YEAR(A393),MONTH(A393),1))</f>
        <v/>
      </c>
    </row>
    <row r="394" customFormat="false" ht="15" hidden="false" customHeight="false" outlineLevel="0" collapsed="false">
      <c r="A394" s="21"/>
      <c r="B394" s="4"/>
      <c r="C394" s="22"/>
      <c r="D394" s="5" t="str">
        <f aca="false">IF(B394="","",IFERROR(INDEX(DE_PARA!$B$6:$B$205,MATCH(B394,DE_PARA!$A$6:$A$205,0)),"SEM DE-PARA"))</f>
        <v/>
      </c>
      <c r="E394" s="23" t="str">
        <f aca="false">IF(A394="","",DATE(YEAR(A394),MONTH(A394),1))</f>
        <v/>
      </c>
    </row>
    <row r="395" customFormat="false" ht="15" hidden="false" customHeight="false" outlineLevel="0" collapsed="false">
      <c r="A395" s="21"/>
      <c r="B395" s="4"/>
      <c r="C395" s="22"/>
      <c r="D395" s="5" t="str">
        <f aca="false">IF(B395="","",IFERROR(INDEX(DE_PARA!$B$6:$B$205,MATCH(B395,DE_PARA!$A$6:$A$205,0)),"SEM DE-PARA"))</f>
        <v/>
      </c>
      <c r="E395" s="23" t="str">
        <f aca="false">IF(A395="","",DATE(YEAR(A395),MONTH(A395),1))</f>
        <v/>
      </c>
    </row>
    <row r="396" customFormat="false" ht="15" hidden="false" customHeight="false" outlineLevel="0" collapsed="false">
      <c r="A396" s="21"/>
      <c r="B396" s="4"/>
      <c r="C396" s="22"/>
      <c r="D396" s="5" t="str">
        <f aca="false">IF(B396="","",IFERROR(INDEX(DE_PARA!$B$6:$B$205,MATCH(B396,DE_PARA!$A$6:$A$205,0)),"SEM DE-PARA"))</f>
        <v/>
      </c>
      <c r="E396" s="23" t="str">
        <f aca="false">IF(A396="","",DATE(YEAR(A396),MONTH(A396),1))</f>
        <v/>
      </c>
    </row>
    <row r="397" customFormat="false" ht="15" hidden="false" customHeight="false" outlineLevel="0" collapsed="false">
      <c r="A397" s="21"/>
      <c r="B397" s="4"/>
      <c r="C397" s="22"/>
      <c r="D397" s="5" t="str">
        <f aca="false">IF(B397="","",IFERROR(INDEX(DE_PARA!$B$6:$B$205,MATCH(B397,DE_PARA!$A$6:$A$205,0)),"SEM DE-PARA"))</f>
        <v/>
      </c>
      <c r="E397" s="23" t="str">
        <f aca="false">IF(A397="","",DATE(YEAR(A397),MONTH(A397),1))</f>
        <v/>
      </c>
    </row>
    <row r="398" customFormat="false" ht="15" hidden="false" customHeight="false" outlineLevel="0" collapsed="false">
      <c r="A398" s="21"/>
      <c r="B398" s="4"/>
      <c r="C398" s="22"/>
      <c r="D398" s="5" t="str">
        <f aca="false">IF(B398="","",IFERROR(INDEX(DE_PARA!$B$6:$B$205,MATCH(B398,DE_PARA!$A$6:$A$205,0)),"SEM DE-PARA"))</f>
        <v/>
      </c>
      <c r="E398" s="23" t="str">
        <f aca="false">IF(A398="","",DATE(YEAR(A398),MONTH(A398),1))</f>
        <v/>
      </c>
    </row>
    <row r="399" customFormat="false" ht="15" hidden="false" customHeight="false" outlineLevel="0" collapsed="false">
      <c r="A399" s="21"/>
      <c r="B399" s="4"/>
      <c r="C399" s="22"/>
      <c r="D399" s="5" t="str">
        <f aca="false">IF(B399="","",IFERROR(INDEX(DE_PARA!$B$6:$B$205,MATCH(B399,DE_PARA!$A$6:$A$205,0)),"SEM DE-PARA"))</f>
        <v/>
      </c>
      <c r="E399" s="23" t="str">
        <f aca="false">IF(A399="","",DATE(YEAR(A399),MONTH(A399),1))</f>
        <v/>
      </c>
    </row>
    <row r="400" customFormat="false" ht="15" hidden="false" customHeight="false" outlineLevel="0" collapsed="false">
      <c r="A400" s="21"/>
      <c r="B400" s="4"/>
      <c r="C400" s="22"/>
      <c r="D400" s="5" t="str">
        <f aca="false">IF(B400="","",IFERROR(INDEX(DE_PARA!$B$6:$B$205,MATCH(B400,DE_PARA!$A$6:$A$205,0)),"SEM DE-PARA"))</f>
        <v/>
      </c>
      <c r="E400" s="23" t="str">
        <f aca="false">IF(A400="","",DATE(YEAR(A400),MONTH(A400),1))</f>
        <v/>
      </c>
    </row>
    <row r="401" customFormat="false" ht="15" hidden="false" customHeight="false" outlineLevel="0" collapsed="false">
      <c r="A401" s="21"/>
      <c r="B401" s="4"/>
      <c r="C401" s="22"/>
      <c r="D401" s="5" t="str">
        <f aca="false">IF(B401="","",IFERROR(INDEX(DE_PARA!$B$6:$B$205,MATCH(B401,DE_PARA!$A$6:$A$205,0)),"SEM DE-PARA"))</f>
        <v/>
      </c>
      <c r="E401" s="23" t="str">
        <f aca="false">IF(A401="","",DATE(YEAR(A401),MONTH(A401),1))</f>
        <v/>
      </c>
    </row>
    <row r="402" customFormat="false" ht="15" hidden="false" customHeight="false" outlineLevel="0" collapsed="false">
      <c r="A402" s="21"/>
      <c r="B402" s="4"/>
      <c r="C402" s="22"/>
      <c r="D402" s="5" t="str">
        <f aca="false">IF(B402="","",IFERROR(INDEX(DE_PARA!$B$6:$B$205,MATCH(B402,DE_PARA!$A$6:$A$205,0)),"SEM DE-PARA"))</f>
        <v/>
      </c>
      <c r="E402" s="23" t="str">
        <f aca="false">IF(A402="","",DATE(YEAR(A402),MONTH(A402),1))</f>
        <v/>
      </c>
    </row>
    <row r="403" customFormat="false" ht="15" hidden="false" customHeight="false" outlineLevel="0" collapsed="false">
      <c r="A403" s="21"/>
      <c r="B403" s="4"/>
      <c r="C403" s="22"/>
      <c r="D403" s="5" t="str">
        <f aca="false">IF(B403="","",IFERROR(INDEX(DE_PARA!$B$6:$B$205,MATCH(B403,DE_PARA!$A$6:$A$205,0)),"SEM DE-PARA"))</f>
        <v/>
      </c>
      <c r="E403" s="23" t="str">
        <f aca="false">IF(A403="","",DATE(YEAR(A403),MONTH(A403),1))</f>
        <v/>
      </c>
    </row>
    <row r="404" customFormat="false" ht="15" hidden="false" customHeight="false" outlineLevel="0" collapsed="false">
      <c r="A404" s="21"/>
      <c r="B404" s="4"/>
      <c r="C404" s="22"/>
      <c r="D404" s="5" t="str">
        <f aca="false">IF(B404="","",IFERROR(INDEX(DE_PARA!$B$6:$B$205,MATCH(B404,DE_PARA!$A$6:$A$205,0)),"SEM DE-PARA"))</f>
        <v/>
      </c>
      <c r="E404" s="23" t="str">
        <f aca="false">IF(A404="","",DATE(YEAR(A404),MONTH(A404),1))</f>
        <v/>
      </c>
    </row>
    <row r="405" customFormat="false" ht="15" hidden="false" customHeight="false" outlineLevel="0" collapsed="false">
      <c r="A405" s="21"/>
      <c r="B405" s="4"/>
      <c r="C405" s="22"/>
      <c r="D405" s="5" t="str">
        <f aca="false">IF(B405="","",IFERROR(INDEX(DE_PARA!$B$6:$B$205,MATCH(B405,DE_PARA!$A$6:$A$205,0)),"SEM DE-PARA"))</f>
        <v/>
      </c>
      <c r="E405" s="23" t="str">
        <f aca="false">IF(A405="","",DATE(YEAR(A405),MONTH(A405),1))</f>
        <v/>
      </c>
    </row>
    <row r="406" customFormat="false" ht="15" hidden="false" customHeight="false" outlineLevel="0" collapsed="false">
      <c r="A406" s="21"/>
      <c r="B406" s="4"/>
      <c r="C406" s="22"/>
      <c r="D406" s="5" t="str">
        <f aca="false">IF(B406="","",IFERROR(INDEX(DE_PARA!$B$6:$B$205,MATCH(B406,DE_PARA!$A$6:$A$205,0)),"SEM DE-PARA"))</f>
        <v/>
      </c>
      <c r="E406" s="23" t="str">
        <f aca="false">IF(A406="","",DATE(YEAR(A406),MONTH(A406),1))</f>
        <v/>
      </c>
    </row>
    <row r="407" customFormat="false" ht="15" hidden="false" customHeight="false" outlineLevel="0" collapsed="false">
      <c r="A407" s="21"/>
      <c r="B407" s="4"/>
      <c r="C407" s="22"/>
      <c r="D407" s="5" t="str">
        <f aca="false">IF(B407="","",IFERROR(INDEX(DE_PARA!$B$6:$B$205,MATCH(B407,DE_PARA!$A$6:$A$205,0)),"SEM DE-PARA"))</f>
        <v/>
      </c>
      <c r="E407" s="23" t="str">
        <f aca="false">IF(A407="","",DATE(YEAR(A407),MONTH(A407),1))</f>
        <v/>
      </c>
    </row>
    <row r="408" customFormat="false" ht="15" hidden="false" customHeight="false" outlineLevel="0" collapsed="false">
      <c r="A408" s="21"/>
      <c r="B408" s="4"/>
      <c r="C408" s="22"/>
      <c r="D408" s="5" t="str">
        <f aca="false">IF(B408="","",IFERROR(INDEX(DE_PARA!$B$6:$B$205,MATCH(B408,DE_PARA!$A$6:$A$205,0)),"SEM DE-PARA"))</f>
        <v/>
      </c>
      <c r="E408" s="23" t="str">
        <f aca="false">IF(A408="","",DATE(YEAR(A408),MONTH(A408),1))</f>
        <v/>
      </c>
    </row>
    <row r="409" customFormat="false" ht="15" hidden="false" customHeight="false" outlineLevel="0" collapsed="false">
      <c r="A409" s="21"/>
      <c r="B409" s="4"/>
      <c r="C409" s="22"/>
      <c r="D409" s="5" t="str">
        <f aca="false">IF(B409="","",IFERROR(INDEX(DE_PARA!$B$6:$B$205,MATCH(B409,DE_PARA!$A$6:$A$205,0)),"SEM DE-PARA"))</f>
        <v/>
      </c>
      <c r="E409" s="23" t="str">
        <f aca="false">IF(A409="","",DATE(YEAR(A409),MONTH(A409),1))</f>
        <v/>
      </c>
    </row>
    <row r="410" customFormat="false" ht="15" hidden="false" customHeight="false" outlineLevel="0" collapsed="false">
      <c r="A410" s="21"/>
      <c r="B410" s="4"/>
      <c r="C410" s="22"/>
      <c r="D410" s="5" t="str">
        <f aca="false">IF(B410="","",IFERROR(INDEX(DE_PARA!$B$6:$B$205,MATCH(B410,DE_PARA!$A$6:$A$205,0)),"SEM DE-PARA"))</f>
        <v/>
      </c>
      <c r="E410" s="23" t="str">
        <f aca="false">IF(A410="","",DATE(YEAR(A410),MONTH(A410),1))</f>
        <v/>
      </c>
    </row>
    <row r="411" customFormat="false" ht="15" hidden="false" customHeight="false" outlineLevel="0" collapsed="false">
      <c r="A411" s="21"/>
      <c r="B411" s="4"/>
      <c r="C411" s="22"/>
      <c r="D411" s="5" t="str">
        <f aca="false">IF(B411="","",IFERROR(INDEX(DE_PARA!$B$6:$B$205,MATCH(B411,DE_PARA!$A$6:$A$205,0)),"SEM DE-PARA"))</f>
        <v/>
      </c>
      <c r="E411" s="23" t="str">
        <f aca="false">IF(A411="","",DATE(YEAR(A411),MONTH(A411),1))</f>
        <v/>
      </c>
    </row>
    <row r="412" customFormat="false" ht="15" hidden="false" customHeight="false" outlineLevel="0" collapsed="false">
      <c r="A412" s="21"/>
      <c r="B412" s="4"/>
      <c r="C412" s="22"/>
      <c r="D412" s="5" t="str">
        <f aca="false">IF(B412="","",IFERROR(INDEX(DE_PARA!$B$6:$B$205,MATCH(B412,DE_PARA!$A$6:$A$205,0)),"SEM DE-PARA"))</f>
        <v/>
      </c>
      <c r="E412" s="23" t="str">
        <f aca="false">IF(A412="","",DATE(YEAR(A412),MONTH(A412),1))</f>
        <v/>
      </c>
    </row>
    <row r="413" customFormat="false" ht="15" hidden="false" customHeight="false" outlineLevel="0" collapsed="false">
      <c r="A413" s="21"/>
      <c r="B413" s="4"/>
      <c r="C413" s="22"/>
      <c r="D413" s="5" t="str">
        <f aca="false">IF(B413="","",IFERROR(INDEX(DE_PARA!$B$6:$B$205,MATCH(B413,DE_PARA!$A$6:$A$205,0)),"SEM DE-PARA"))</f>
        <v/>
      </c>
      <c r="E413" s="23" t="str">
        <f aca="false">IF(A413="","",DATE(YEAR(A413),MONTH(A413),1))</f>
        <v/>
      </c>
    </row>
    <row r="414" customFormat="false" ht="15" hidden="false" customHeight="false" outlineLevel="0" collapsed="false">
      <c r="A414" s="21"/>
      <c r="B414" s="4"/>
      <c r="C414" s="22"/>
      <c r="D414" s="5" t="str">
        <f aca="false">IF(B414="","",IFERROR(INDEX(DE_PARA!$B$6:$B$205,MATCH(B414,DE_PARA!$A$6:$A$205,0)),"SEM DE-PARA"))</f>
        <v/>
      </c>
      <c r="E414" s="23" t="str">
        <f aca="false">IF(A414="","",DATE(YEAR(A414),MONTH(A414),1))</f>
        <v/>
      </c>
    </row>
    <row r="415" customFormat="false" ht="15" hidden="false" customHeight="false" outlineLevel="0" collapsed="false">
      <c r="A415" s="21"/>
      <c r="B415" s="4"/>
      <c r="C415" s="22"/>
      <c r="D415" s="5" t="str">
        <f aca="false">IF(B415="","",IFERROR(INDEX(DE_PARA!$B$6:$B$205,MATCH(B415,DE_PARA!$A$6:$A$205,0)),"SEM DE-PARA"))</f>
        <v/>
      </c>
      <c r="E415" s="23" t="str">
        <f aca="false">IF(A415="","",DATE(YEAR(A415),MONTH(A415),1))</f>
        <v/>
      </c>
    </row>
    <row r="416" customFormat="false" ht="15" hidden="false" customHeight="false" outlineLevel="0" collapsed="false">
      <c r="A416" s="21"/>
      <c r="B416" s="4"/>
      <c r="C416" s="22"/>
      <c r="D416" s="5" t="str">
        <f aca="false">IF(B416="","",IFERROR(INDEX(DE_PARA!$B$6:$B$205,MATCH(B416,DE_PARA!$A$6:$A$205,0)),"SEM DE-PARA"))</f>
        <v/>
      </c>
      <c r="E416" s="23" t="str">
        <f aca="false">IF(A416="","",DATE(YEAR(A416),MONTH(A416),1))</f>
        <v/>
      </c>
    </row>
    <row r="417" customFormat="false" ht="15" hidden="false" customHeight="false" outlineLevel="0" collapsed="false">
      <c r="A417" s="21"/>
      <c r="B417" s="4"/>
      <c r="C417" s="22"/>
      <c r="D417" s="5" t="str">
        <f aca="false">IF(B417="","",IFERROR(INDEX(DE_PARA!$B$6:$B$205,MATCH(B417,DE_PARA!$A$6:$A$205,0)),"SEM DE-PARA"))</f>
        <v/>
      </c>
      <c r="E417" s="23" t="str">
        <f aca="false">IF(A417="","",DATE(YEAR(A417),MONTH(A417),1))</f>
        <v/>
      </c>
    </row>
    <row r="418" customFormat="false" ht="15" hidden="false" customHeight="false" outlineLevel="0" collapsed="false">
      <c r="A418" s="21"/>
      <c r="B418" s="4"/>
      <c r="C418" s="22"/>
      <c r="D418" s="5" t="str">
        <f aca="false">IF(B418="","",IFERROR(INDEX(DE_PARA!$B$6:$B$205,MATCH(B418,DE_PARA!$A$6:$A$205,0)),"SEM DE-PARA"))</f>
        <v/>
      </c>
      <c r="E418" s="23" t="str">
        <f aca="false">IF(A418="","",DATE(YEAR(A418),MONTH(A418),1))</f>
        <v/>
      </c>
    </row>
    <row r="419" customFormat="false" ht="15" hidden="false" customHeight="false" outlineLevel="0" collapsed="false">
      <c r="A419" s="21"/>
      <c r="B419" s="4"/>
      <c r="C419" s="22"/>
      <c r="D419" s="5" t="str">
        <f aca="false">IF(B419="","",IFERROR(INDEX(DE_PARA!$B$6:$B$205,MATCH(B419,DE_PARA!$A$6:$A$205,0)),"SEM DE-PARA"))</f>
        <v/>
      </c>
      <c r="E419" s="23" t="str">
        <f aca="false">IF(A419="","",DATE(YEAR(A419),MONTH(A419),1))</f>
        <v/>
      </c>
    </row>
    <row r="420" customFormat="false" ht="15" hidden="false" customHeight="false" outlineLevel="0" collapsed="false">
      <c r="A420" s="21"/>
      <c r="B420" s="4"/>
      <c r="C420" s="22"/>
      <c r="D420" s="5" t="str">
        <f aca="false">IF(B420="","",IFERROR(INDEX(DE_PARA!$B$6:$B$205,MATCH(B420,DE_PARA!$A$6:$A$205,0)),"SEM DE-PARA"))</f>
        <v/>
      </c>
      <c r="E420" s="23" t="str">
        <f aca="false">IF(A420="","",DATE(YEAR(A420),MONTH(A420),1))</f>
        <v/>
      </c>
    </row>
    <row r="421" customFormat="false" ht="15" hidden="false" customHeight="false" outlineLevel="0" collapsed="false">
      <c r="A421" s="21"/>
      <c r="B421" s="4"/>
      <c r="C421" s="22"/>
      <c r="D421" s="5" t="str">
        <f aca="false">IF(B421="","",IFERROR(INDEX(DE_PARA!$B$6:$B$205,MATCH(B421,DE_PARA!$A$6:$A$205,0)),"SEM DE-PARA"))</f>
        <v/>
      </c>
      <c r="E421" s="23" t="str">
        <f aca="false">IF(A421="","",DATE(YEAR(A421),MONTH(A421),1))</f>
        <v/>
      </c>
    </row>
    <row r="422" customFormat="false" ht="15" hidden="false" customHeight="false" outlineLevel="0" collapsed="false">
      <c r="A422" s="21"/>
      <c r="B422" s="4"/>
      <c r="C422" s="22"/>
      <c r="D422" s="5" t="str">
        <f aca="false">IF(B422="","",IFERROR(INDEX(DE_PARA!$B$6:$B$205,MATCH(B422,DE_PARA!$A$6:$A$205,0)),"SEM DE-PARA"))</f>
        <v/>
      </c>
      <c r="E422" s="23" t="str">
        <f aca="false">IF(A422="","",DATE(YEAR(A422),MONTH(A422),1))</f>
        <v/>
      </c>
    </row>
    <row r="423" customFormat="false" ht="15" hidden="false" customHeight="false" outlineLevel="0" collapsed="false">
      <c r="A423" s="21"/>
      <c r="B423" s="4"/>
      <c r="C423" s="22"/>
      <c r="D423" s="5" t="str">
        <f aca="false">IF(B423="","",IFERROR(INDEX(DE_PARA!$B$6:$B$205,MATCH(B423,DE_PARA!$A$6:$A$205,0)),"SEM DE-PARA"))</f>
        <v/>
      </c>
      <c r="E423" s="23" t="str">
        <f aca="false">IF(A423="","",DATE(YEAR(A423),MONTH(A423),1))</f>
        <v/>
      </c>
    </row>
    <row r="424" customFormat="false" ht="15" hidden="false" customHeight="false" outlineLevel="0" collapsed="false">
      <c r="A424" s="21"/>
      <c r="B424" s="4"/>
      <c r="C424" s="22"/>
      <c r="D424" s="5" t="str">
        <f aca="false">IF(B424="","",IFERROR(INDEX(DE_PARA!$B$6:$B$205,MATCH(B424,DE_PARA!$A$6:$A$205,0)),"SEM DE-PARA"))</f>
        <v/>
      </c>
      <c r="E424" s="23" t="str">
        <f aca="false">IF(A424="","",DATE(YEAR(A424),MONTH(A424),1))</f>
        <v/>
      </c>
    </row>
    <row r="425" customFormat="false" ht="15" hidden="false" customHeight="false" outlineLevel="0" collapsed="false">
      <c r="A425" s="21"/>
      <c r="B425" s="4"/>
      <c r="C425" s="22"/>
      <c r="D425" s="5" t="str">
        <f aca="false">IF(B425="","",IFERROR(INDEX(DE_PARA!$B$6:$B$205,MATCH(B425,DE_PARA!$A$6:$A$205,0)),"SEM DE-PARA"))</f>
        <v/>
      </c>
      <c r="E425" s="23" t="str">
        <f aca="false">IF(A425="","",DATE(YEAR(A425),MONTH(A425),1))</f>
        <v/>
      </c>
    </row>
    <row r="426" customFormat="false" ht="15" hidden="false" customHeight="false" outlineLevel="0" collapsed="false">
      <c r="A426" s="21"/>
      <c r="B426" s="4"/>
      <c r="C426" s="22"/>
      <c r="D426" s="5" t="str">
        <f aca="false">IF(B426="","",IFERROR(INDEX(DE_PARA!$B$6:$B$205,MATCH(B426,DE_PARA!$A$6:$A$205,0)),"SEM DE-PARA"))</f>
        <v/>
      </c>
      <c r="E426" s="23" t="str">
        <f aca="false">IF(A426="","",DATE(YEAR(A426),MONTH(A426),1))</f>
        <v/>
      </c>
    </row>
    <row r="427" customFormat="false" ht="15" hidden="false" customHeight="false" outlineLevel="0" collapsed="false">
      <c r="A427" s="21"/>
      <c r="B427" s="4"/>
      <c r="C427" s="22"/>
      <c r="D427" s="5" t="str">
        <f aca="false">IF(B427="","",IFERROR(INDEX(DE_PARA!$B$6:$B$205,MATCH(B427,DE_PARA!$A$6:$A$205,0)),"SEM DE-PARA"))</f>
        <v/>
      </c>
      <c r="E427" s="23" t="str">
        <f aca="false">IF(A427="","",DATE(YEAR(A427),MONTH(A427),1))</f>
        <v/>
      </c>
    </row>
    <row r="428" customFormat="false" ht="15" hidden="false" customHeight="false" outlineLevel="0" collapsed="false">
      <c r="A428" s="21"/>
      <c r="B428" s="4"/>
      <c r="C428" s="22"/>
      <c r="D428" s="5" t="str">
        <f aca="false">IF(B428="","",IFERROR(INDEX(DE_PARA!$B$6:$B$205,MATCH(B428,DE_PARA!$A$6:$A$205,0)),"SEM DE-PARA"))</f>
        <v/>
      </c>
      <c r="E428" s="23" t="str">
        <f aca="false">IF(A428="","",DATE(YEAR(A428),MONTH(A428),1))</f>
        <v/>
      </c>
    </row>
    <row r="429" customFormat="false" ht="15" hidden="false" customHeight="false" outlineLevel="0" collapsed="false">
      <c r="A429" s="21"/>
      <c r="B429" s="4"/>
      <c r="C429" s="22"/>
      <c r="D429" s="5" t="str">
        <f aca="false">IF(B429="","",IFERROR(INDEX(DE_PARA!$B$6:$B$205,MATCH(B429,DE_PARA!$A$6:$A$205,0)),"SEM DE-PARA"))</f>
        <v/>
      </c>
      <c r="E429" s="23" t="str">
        <f aca="false">IF(A429="","",DATE(YEAR(A429),MONTH(A429),1))</f>
        <v/>
      </c>
    </row>
    <row r="430" customFormat="false" ht="15" hidden="false" customHeight="false" outlineLevel="0" collapsed="false">
      <c r="A430" s="21"/>
      <c r="B430" s="4"/>
      <c r="C430" s="22"/>
      <c r="D430" s="5" t="str">
        <f aca="false">IF(B430="","",IFERROR(INDEX(DE_PARA!$B$6:$B$205,MATCH(B430,DE_PARA!$A$6:$A$205,0)),"SEM DE-PARA"))</f>
        <v/>
      </c>
      <c r="E430" s="23" t="str">
        <f aca="false">IF(A430="","",DATE(YEAR(A430),MONTH(A430),1))</f>
        <v/>
      </c>
    </row>
    <row r="431" customFormat="false" ht="15" hidden="false" customHeight="false" outlineLevel="0" collapsed="false">
      <c r="A431" s="21"/>
      <c r="B431" s="4"/>
      <c r="C431" s="22"/>
      <c r="D431" s="5" t="str">
        <f aca="false">IF(B431="","",IFERROR(INDEX(DE_PARA!$B$6:$B$205,MATCH(B431,DE_PARA!$A$6:$A$205,0)),"SEM DE-PARA"))</f>
        <v/>
      </c>
      <c r="E431" s="23" t="str">
        <f aca="false">IF(A431="","",DATE(YEAR(A431),MONTH(A431),1))</f>
        <v/>
      </c>
    </row>
    <row r="432" customFormat="false" ht="15" hidden="false" customHeight="false" outlineLevel="0" collapsed="false">
      <c r="A432" s="21"/>
      <c r="B432" s="4"/>
      <c r="C432" s="22"/>
      <c r="D432" s="5" t="str">
        <f aca="false">IF(B432="","",IFERROR(INDEX(DE_PARA!$B$6:$B$205,MATCH(B432,DE_PARA!$A$6:$A$205,0)),"SEM DE-PARA"))</f>
        <v/>
      </c>
      <c r="E432" s="23" t="str">
        <f aca="false">IF(A432="","",DATE(YEAR(A432),MONTH(A432),1))</f>
        <v/>
      </c>
    </row>
    <row r="433" customFormat="false" ht="15" hidden="false" customHeight="false" outlineLevel="0" collapsed="false">
      <c r="A433" s="21"/>
      <c r="B433" s="4"/>
      <c r="C433" s="22"/>
      <c r="D433" s="5" t="str">
        <f aca="false">IF(B433="","",IFERROR(INDEX(DE_PARA!$B$6:$B$205,MATCH(B433,DE_PARA!$A$6:$A$205,0)),"SEM DE-PARA"))</f>
        <v/>
      </c>
      <c r="E433" s="23" t="str">
        <f aca="false">IF(A433="","",DATE(YEAR(A433),MONTH(A433),1))</f>
        <v/>
      </c>
    </row>
    <row r="434" customFormat="false" ht="15" hidden="false" customHeight="false" outlineLevel="0" collapsed="false">
      <c r="A434" s="21"/>
      <c r="B434" s="4"/>
      <c r="C434" s="22"/>
      <c r="D434" s="5" t="str">
        <f aca="false">IF(B434="","",IFERROR(INDEX(DE_PARA!$B$6:$B$205,MATCH(B434,DE_PARA!$A$6:$A$205,0)),"SEM DE-PARA"))</f>
        <v/>
      </c>
      <c r="E434" s="23" t="str">
        <f aca="false">IF(A434="","",DATE(YEAR(A434),MONTH(A434),1))</f>
        <v/>
      </c>
    </row>
    <row r="435" customFormat="false" ht="15" hidden="false" customHeight="false" outlineLevel="0" collapsed="false">
      <c r="A435" s="21"/>
      <c r="B435" s="4"/>
      <c r="C435" s="22"/>
      <c r="D435" s="5" t="str">
        <f aca="false">IF(B435="","",IFERROR(INDEX(DE_PARA!$B$6:$B$205,MATCH(B435,DE_PARA!$A$6:$A$205,0)),"SEM DE-PARA"))</f>
        <v/>
      </c>
      <c r="E435" s="23" t="str">
        <f aca="false">IF(A435="","",DATE(YEAR(A435),MONTH(A435),1))</f>
        <v/>
      </c>
    </row>
    <row r="436" customFormat="false" ht="15" hidden="false" customHeight="false" outlineLevel="0" collapsed="false">
      <c r="A436" s="21"/>
      <c r="B436" s="4"/>
      <c r="C436" s="22"/>
      <c r="D436" s="5" t="str">
        <f aca="false">IF(B436="","",IFERROR(INDEX(DE_PARA!$B$6:$B$205,MATCH(B436,DE_PARA!$A$6:$A$205,0)),"SEM DE-PARA"))</f>
        <v/>
      </c>
      <c r="E436" s="23" t="str">
        <f aca="false">IF(A436="","",DATE(YEAR(A436),MONTH(A436),1))</f>
        <v/>
      </c>
    </row>
    <row r="437" customFormat="false" ht="15" hidden="false" customHeight="false" outlineLevel="0" collapsed="false">
      <c r="A437" s="21"/>
      <c r="B437" s="4"/>
      <c r="C437" s="22"/>
      <c r="D437" s="5" t="str">
        <f aca="false">IF(B437="","",IFERROR(INDEX(DE_PARA!$B$6:$B$205,MATCH(B437,DE_PARA!$A$6:$A$205,0)),"SEM DE-PARA"))</f>
        <v/>
      </c>
      <c r="E437" s="23" t="str">
        <f aca="false">IF(A437="","",DATE(YEAR(A437),MONTH(A437),1))</f>
        <v/>
      </c>
    </row>
    <row r="438" customFormat="false" ht="15" hidden="false" customHeight="false" outlineLevel="0" collapsed="false">
      <c r="A438" s="21"/>
      <c r="B438" s="4"/>
      <c r="C438" s="22"/>
      <c r="D438" s="5" t="str">
        <f aca="false">IF(B438="","",IFERROR(INDEX(DE_PARA!$B$6:$B$205,MATCH(B438,DE_PARA!$A$6:$A$205,0)),"SEM DE-PARA"))</f>
        <v/>
      </c>
      <c r="E438" s="23" t="str">
        <f aca="false">IF(A438="","",DATE(YEAR(A438),MONTH(A438),1))</f>
        <v/>
      </c>
    </row>
    <row r="439" customFormat="false" ht="15" hidden="false" customHeight="false" outlineLevel="0" collapsed="false">
      <c r="A439" s="21"/>
      <c r="B439" s="4"/>
      <c r="C439" s="22"/>
      <c r="D439" s="5" t="str">
        <f aca="false">IF(B439="","",IFERROR(INDEX(DE_PARA!$B$6:$B$205,MATCH(B439,DE_PARA!$A$6:$A$205,0)),"SEM DE-PARA"))</f>
        <v/>
      </c>
      <c r="E439" s="23" t="str">
        <f aca="false">IF(A439="","",DATE(YEAR(A439),MONTH(A439),1))</f>
        <v/>
      </c>
    </row>
    <row r="440" customFormat="false" ht="15" hidden="false" customHeight="false" outlineLevel="0" collapsed="false">
      <c r="A440" s="21"/>
      <c r="B440" s="4"/>
      <c r="C440" s="22"/>
      <c r="D440" s="5" t="str">
        <f aca="false">IF(B440="","",IFERROR(INDEX(DE_PARA!$B$6:$B$205,MATCH(B440,DE_PARA!$A$6:$A$205,0)),"SEM DE-PARA"))</f>
        <v/>
      </c>
      <c r="E440" s="23" t="str">
        <f aca="false">IF(A440="","",DATE(YEAR(A440),MONTH(A440),1))</f>
        <v/>
      </c>
    </row>
    <row r="441" customFormat="false" ht="15" hidden="false" customHeight="false" outlineLevel="0" collapsed="false">
      <c r="A441" s="21"/>
      <c r="B441" s="4"/>
      <c r="C441" s="22"/>
      <c r="D441" s="5" t="str">
        <f aca="false">IF(B441="","",IFERROR(INDEX(DE_PARA!$B$6:$B$205,MATCH(B441,DE_PARA!$A$6:$A$205,0)),"SEM DE-PARA"))</f>
        <v/>
      </c>
      <c r="E441" s="23" t="str">
        <f aca="false">IF(A441="","",DATE(YEAR(A441),MONTH(A441),1))</f>
        <v/>
      </c>
    </row>
    <row r="442" customFormat="false" ht="15" hidden="false" customHeight="false" outlineLevel="0" collapsed="false">
      <c r="A442" s="21"/>
      <c r="B442" s="4"/>
      <c r="C442" s="22"/>
      <c r="D442" s="5" t="str">
        <f aca="false">IF(B442="","",IFERROR(INDEX(DE_PARA!$B$6:$B$205,MATCH(B442,DE_PARA!$A$6:$A$205,0)),"SEM DE-PARA"))</f>
        <v/>
      </c>
      <c r="E442" s="23" t="str">
        <f aca="false">IF(A442="","",DATE(YEAR(A442),MONTH(A442),1))</f>
        <v/>
      </c>
    </row>
    <row r="443" customFormat="false" ht="15" hidden="false" customHeight="false" outlineLevel="0" collapsed="false">
      <c r="A443" s="21"/>
      <c r="B443" s="4"/>
      <c r="C443" s="22"/>
      <c r="D443" s="5" t="str">
        <f aca="false">IF(B443="","",IFERROR(INDEX(DE_PARA!$B$6:$B$205,MATCH(B443,DE_PARA!$A$6:$A$205,0)),"SEM DE-PARA"))</f>
        <v/>
      </c>
      <c r="E443" s="23" t="str">
        <f aca="false">IF(A443="","",DATE(YEAR(A443),MONTH(A443),1))</f>
        <v/>
      </c>
    </row>
    <row r="444" customFormat="false" ht="15" hidden="false" customHeight="false" outlineLevel="0" collapsed="false">
      <c r="A444" s="21"/>
      <c r="B444" s="4"/>
      <c r="C444" s="22"/>
      <c r="D444" s="5" t="str">
        <f aca="false">IF(B444="","",IFERROR(INDEX(DE_PARA!$B$6:$B$205,MATCH(B444,DE_PARA!$A$6:$A$205,0)),"SEM DE-PARA"))</f>
        <v/>
      </c>
      <c r="E444" s="23" t="str">
        <f aca="false">IF(A444="","",DATE(YEAR(A444),MONTH(A444),1))</f>
        <v/>
      </c>
    </row>
    <row r="445" customFormat="false" ht="15" hidden="false" customHeight="false" outlineLevel="0" collapsed="false">
      <c r="A445" s="21"/>
      <c r="B445" s="4"/>
      <c r="C445" s="22"/>
      <c r="D445" s="5" t="str">
        <f aca="false">IF(B445="","",IFERROR(INDEX(DE_PARA!$B$6:$B$205,MATCH(B445,DE_PARA!$A$6:$A$205,0)),"SEM DE-PARA"))</f>
        <v/>
      </c>
      <c r="E445" s="23" t="str">
        <f aca="false">IF(A445="","",DATE(YEAR(A445),MONTH(A445),1))</f>
        <v/>
      </c>
    </row>
    <row r="446" customFormat="false" ht="15" hidden="false" customHeight="false" outlineLevel="0" collapsed="false">
      <c r="A446" s="21"/>
      <c r="B446" s="4"/>
      <c r="C446" s="22"/>
      <c r="D446" s="5" t="str">
        <f aca="false">IF(B446="","",IFERROR(INDEX(DE_PARA!$B$6:$B$205,MATCH(B446,DE_PARA!$A$6:$A$205,0)),"SEM DE-PARA"))</f>
        <v/>
      </c>
      <c r="E446" s="23" t="str">
        <f aca="false">IF(A446="","",DATE(YEAR(A446),MONTH(A446),1))</f>
        <v/>
      </c>
    </row>
    <row r="447" customFormat="false" ht="15" hidden="false" customHeight="false" outlineLevel="0" collapsed="false">
      <c r="A447" s="21"/>
      <c r="B447" s="4"/>
      <c r="C447" s="22"/>
      <c r="D447" s="5" t="str">
        <f aca="false">IF(B447="","",IFERROR(INDEX(DE_PARA!$B$6:$B$205,MATCH(B447,DE_PARA!$A$6:$A$205,0)),"SEM DE-PARA"))</f>
        <v/>
      </c>
      <c r="E447" s="23" t="str">
        <f aca="false">IF(A447="","",DATE(YEAR(A447),MONTH(A447),1))</f>
        <v/>
      </c>
    </row>
    <row r="448" customFormat="false" ht="15" hidden="false" customHeight="false" outlineLevel="0" collapsed="false">
      <c r="A448" s="21"/>
      <c r="B448" s="4"/>
      <c r="C448" s="22"/>
      <c r="D448" s="5" t="str">
        <f aca="false">IF(B448="","",IFERROR(INDEX(DE_PARA!$B$6:$B$205,MATCH(B448,DE_PARA!$A$6:$A$205,0)),"SEM DE-PARA"))</f>
        <v/>
      </c>
      <c r="E448" s="23" t="str">
        <f aca="false">IF(A448="","",DATE(YEAR(A448),MONTH(A448),1))</f>
        <v/>
      </c>
    </row>
    <row r="449" customFormat="false" ht="15" hidden="false" customHeight="false" outlineLevel="0" collapsed="false">
      <c r="A449" s="21"/>
      <c r="B449" s="4"/>
      <c r="C449" s="22"/>
      <c r="D449" s="5" t="str">
        <f aca="false">IF(B449="","",IFERROR(INDEX(DE_PARA!$B$6:$B$205,MATCH(B449,DE_PARA!$A$6:$A$205,0)),"SEM DE-PARA"))</f>
        <v/>
      </c>
      <c r="E449" s="23" t="str">
        <f aca="false">IF(A449="","",DATE(YEAR(A449),MONTH(A449),1))</f>
        <v/>
      </c>
    </row>
    <row r="450" customFormat="false" ht="15" hidden="false" customHeight="false" outlineLevel="0" collapsed="false">
      <c r="A450" s="21"/>
      <c r="B450" s="4"/>
      <c r="C450" s="22"/>
      <c r="D450" s="5" t="str">
        <f aca="false">IF(B450="","",IFERROR(INDEX(DE_PARA!$B$6:$B$205,MATCH(B450,DE_PARA!$A$6:$A$205,0)),"SEM DE-PARA"))</f>
        <v/>
      </c>
      <c r="E450" s="23" t="str">
        <f aca="false">IF(A450="","",DATE(YEAR(A450),MONTH(A450),1))</f>
        <v/>
      </c>
    </row>
    <row r="451" customFormat="false" ht="15" hidden="false" customHeight="false" outlineLevel="0" collapsed="false">
      <c r="A451" s="21"/>
      <c r="B451" s="4"/>
      <c r="C451" s="22"/>
      <c r="D451" s="5" t="str">
        <f aca="false">IF(B451="","",IFERROR(INDEX(DE_PARA!$B$6:$B$205,MATCH(B451,DE_PARA!$A$6:$A$205,0)),"SEM DE-PARA"))</f>
        <v/>
      </c>
      <c r="E451" s="23" t="str">
        <f aca="false">IF(A451="","",DATE(YEAR(A451),MONTH(A451),1))</f>
        <v/>
      </c>
    </row>
    <row r="452" customFormat="false" ht="15" hidden="false" customHeight="false" outlineLevel="0" collapsed="false">
      <c r="A452" s="21"/>
      <c r="B452" s="4"/>
      <c r="C452" s="22"/>
      <c r="D452" s="5" t="str">
        <f aca="false">IF(B452="","",IFERROR(INDEX(DE_PARA!$B$6:$B$205,MATCH(B452,DE_PARA!$A$6:$A$205,0)),"SEM DE-PARA"))</f>
        <v/>
      </c>
      <c r="E452" s="23" t="str">
        <f aca="false">IF(A452="","",DATE(YEAR(A452),MONTH(A452),1))</f>
        <v/>
      </c>
    </row>
    <row r="453" customFormat="false" ht="15" hidden="false" customHeight="false" outlineLevel="0" collapsed="false">
      <c r="A453" s="21"/>
      <c r="B453" s="4"/>
      <c r="C453" s="22"/>
      <c r="D453" s="5" t="str">
        <f aca="false">IF(B453="","",IFERROR(INDEX(DE_PARA!$B$6:$B$205,MATCH(B453,DE_PARA!$A$6:$A$205,0)),"SEM DE-PARA"))</f>
        <v/>
      </c>
      <c r="E453" s="23" t="str">
        <f aca="false">IF(A453="","",DATE(YEAR(A453),MONTH(A453),1))</f>
        <v/>
      </c>
    </row>
    <row r="454" customFormat="false" ht="15" hidden="false" customHeight="false" outlineLevel="0" collapsed="false">
      <c r="A454" s="21"/>
      <c r="B454" s="4"/>
      <c r="C454" s="22"/>
      <c r="D454" s="5" t="str">
        <f aca="false">IF(B454="","",IFERROR(INDEX(DE_PARA!$B$6:$B$205,MATCH(B454,DE_PARA!$A$6:$A$205,0)),"SEM DE-PARA"))</f>
        <v/>
      </c>
      <c r="E454" s="23" t="str">
        <f aca="false">IF(A454="","",DATE(YEAR(A454),MONTH(A454),1))</f>
        <v/>
      </c>
    </row>
    <row r="455" customFormat="false" ht="15" hidden="false" customHeight="false" outlineLevel="0" collapsed="false">
      <c r="A455" s="21"/>
      <c r="B455" s="4"/>
      <c r="C455" s="22"/>
      <c r="D455" s="5" t="str">
        <f aca="false">IF(B455="","",IFERROR(INDEX(DE_PARA!$B$6:$B$205,MATCH(B455,DE_PARA!$A$6:$A$205,0)),"SEM DE-PARA"))</f>
        <v/>
      </c>
      <c r="E455" s="23" t="str">
        <f aca="false">IF(A455="","",DATE(YEAR(A455),MONTH(A455),1))</f>
        <v/>
      </c>
    </row>
    <row r="456" customFormat="false" ht="15" hidden="false" customHeight="false" outlineLevel="0" collapsed="false">
      <c r="A456" s="21"/>
      <c r="B456" s="4"/>
      <c r="C456" s="22"/>
      <c r="D456" s="5" t="str">
        <f aca="false">IF(B456="","",IFERROR(INDEX(DE_PARA!$B$6:$B$205,MATCH(B456,DE_PARA!$A$6:$A$205,0)),"SEM DE-PARA"))</f>
        <v/>
      </c>
      <c r="E456" s="23" t="str">
        <f aca="false">IF(A456="","",DATE(YEAR(A456),MONTH(A456),1))</f>
        <v/>
      </c>
    </row>
    <row r="457" customFormat="false" ht="15" hidden="false" customHeight="false" outlineLevel="0" collapsed="false">
      <c r="A457" s="21"/>
      <c r="B457" s="4"/>
      <c r="C457" s="22"/>
      <c r="D457" s="5" t="str">
        <f aca="false">IF(B457="","",IFERROR(INDEX(DE_PARA!$B$6:$B$205,MATCH(B457,DE_PARA!$A$6:$A$205,0)),"SEM DE-PARA"))</f>
        <v/>
      </c>
      <c r="E457" s="23" t="str">
        <f aca="false">IF(A457="","",DATE(YEAR(A457),MONTH(A457),1))</f>
        <v/>
      </c>
    </row>
    <row r="458" customFormat="false" ht="15" hidden="false" customHeight="false" outlineLevel="0" collapsed="false">
      <c r="A458" s="21"/>
      <c r="B458" s="4"/>
      <c r="C458" s="22"/>
      <c r="D458" s="5" t="str">
        <f aca="false">IF(B458="","",IFERROR(INDEX(DE_PARA!$B$6:$B$205,MATCH(B458,DE_PARA!$A$6:$A$205,0)),"SEM DE-PARA"))</f>
        <v/>
      </c>
      <c r="E458" s="23" t="str">
        <f aca="false">IF(A458="","",DATE(YEAR(A458),MONTH(A458),1))</f>
        <v/>
      </c>
    </row>
    <row r="459" customFormat="false" ht="15" hidden="false" customHeight="false" outlineLevel="0" collapsed="false">
      <c r="A459" s="21"/>
      <c r="B459" s="4"/>
      <c r="C459" s="22"/>
      <c r="D459" s="5" t="str">
        <f aca="false">IF(B459="","",IFERROR(INDEX(DE_PARA!$B$6:$B$205,MATCH(B459,DE_PARA!$A$6:$A$205,0)),"SEM DE-PARA"))</f>
        <v/>
      </c>
      <c r="E459" s="23" t="str">
        <f aca="false">IF(A459="","",DATE(YEAR(A459),MONTH(A459),1))</f>
        <v/>
      </c>
    </row>
    <row r="460" customFormat="false" ht="15" hidden="false" customHeight="false" outlineLevel="0" collapsed="false">
      <c r="A460" s="21"/>
      <c r="B460" s="4"/>
      <c r="C460" s="22"/>
      <c r="D460" s="5" t="str">
        <f aca="false">IF(B460="","",IFERROR(INDEX(DE_PARA!$B$6:$B$205,MATCH(B460,DE_PARA!$A$6:$A$205,0)),"SEM DE-PARA"))</f>
        <v/>
      </c>
      <c r="E460" s="23" t="str">
        <f aca="false">IF(A460="","",DATE(YEAR(A460),MONTH(A460),1))</f>
        <v/>
      </c>
    </row>
    <row r="461" customFormat="false" ht="15" hidden="false" customHeight="false" outlineLevel="0" collapsed="false">
      <c r="A461" s="21"/>
      <c r="B461" s="4"/>
      <c r="C461" s="22"/>
      <c r="D461" s="5" t="str">
        <f aca="false">IF(B461="","",IFERROR(INDEX(DE_PARA!$B$6:$B$205,MATCH(B461,DE_PARA!$A$6:$A$205,0)),"SEM DE-PARA"))</f>
        <v/>
      </c>
      <c r="E461" s="23" t="str">
        <f aca="false">IF(A461="","",DATE(YEAR(A461),MONTH(A461),1))</f>
        <v/>
      </c>
    </row>
    <row r="462" customFormat="false" ht="15" hidden="false" customHeight="false" outlineLevel="0" collapsed="false">
      <c r="A462" s="21"/>
      <c r="B462" s="4"/>
      <c r="C462" s="22"/>
      <c r="D462" s="5" t="str">
        <f aca="false">IF(B462="","",IFERROR(INDEX(DE_PARA!$B$6:$B$205,MATCH(B462,DE_PARA!$A$6:$A$205,0)),"SEM DE-PARA"))</f>
        <v/>
      </c>
      <c r="E462" s="23" t="str">
        <f aca="false">IF(A462="","",DATE(YEAR(A462),MONTH(A462),1))</f>
        <v/>
      </c>
    </row>
    <row r="463" customFormat="false" ht="15" hidden="false" customHeight="false" outlineLevel="0" collapsed="false">
      <c r="A463" s="21"/>
      <c r="B463" s="4"/>
      <c r="C463" s="22"/>
      <c r="D463" s="5" t="str">
        <f aca="false">IF(B463="","",IFERROR(INDEX(DE_PARA!$B$6:$B$205,MATCH(B463,DE_PARA!$A$6:$A$205,0)),"SEM DE-PARA"))</f>
        <v/>
      </c>
      <c r="E463" s="23" t="str">
        <f aca="false">IF(A463="","",DATE(YEAR(A463),MONTH(A463),1))</f>
        <v/>
      </c>
    </row>
    <row r="464" customFormat="false" ht="15" hidden="false" customHeight="false" outlineLevel="0" collapsed="false">
      <c r="A464" s="21"/>
      <c r="B464" s="4"/>
      <c r="C464" s="22"/>
      <c r="D464" s="5" t="str">
        <f aca="false">IF(B464="","",IFERROR(INDEX(DE_PARA!$B$6:$B$205,MATCH(B464,DE_PARA!$A$6:$A$205,0)),"SEM DE-PARA"))</f>
        <v/>
      </c>
      <c r="E464" s="23" t="str">
        <f aca="false">IF(A464="","",DATE(YEAR(A464),MONTH(A464),1))</f>
        <v/>
      </c>
    </row>
    <row r="465" customFormat="false" ht="15" hidden="false" customHeight="false" outlineLevel="0" collapsed="false">
      <c r="A465" s="21"/>
      <c r="B465" s="4"/>
      <c r="C465" s="22"/>
      <c r="D465" s="5" t="str">
        <f aca="false">IF(B465="","",IFERROR(INDEX(DE_PARA!$B$6:$B$205,MATCH(B465,DE_PARA!$A$6:$A$205,0)),"SEM DE-PARA"))</f>
        <v/>
      </c>
      <c r="E465" s="23" t="str">
        <f aca="false">IF(A465="","",DATE(YEAR(A465),MONTH(A465),1))</f>
        <v/>
      </c>
    </row>
    <row r="466" customFormat="false" ht="15" hidden="false" customHeight="false" outlineLevel="0" collapsed="false">
      <c r="A466" s="21"/>
      <c r="B466" s="4"/>
      <c r="C466" s="22"/>
      <c r="D466" s="5" t="str">
        <f aca="false">IF(B466="","",IFERROR(INDEX(DE_PARA!$B$6:$B$205,MATCH(B466,DE_PARA!$A$6:$A$205,0)),"SEM DE-PARA"))</f>
        <v/>
      </c>
      <c r="E466" s="23" t="str">
        <f aca="false">IF(A466="","",DATE(YEAR(A466),MONTH(A466),1))</f>
        <v/>
      </c>
    </row>
    <row r="467" customFormat="false" ht="15" hidden="false" customHeight="false" outlineLevel="0" collapsed="false">
      <c r="A467" s="21"/>
      <c r="B467" s="4"/>
      <c r="C467" s="22"/>
      <c r="D467" s="5" t="str">
        <f aca="false">IF(B467="","",IFERROR(INDEX(DE_PARA!$B$6:$B$205,MATCH(B467,DE_PARA!$A$6:$A$205,0)),"SEM DE-PARA"))</f>
        <v/>
      </c>
      <c r="E467" s="23" t="str">
        <f aca="false">IF(A467="","",DATE(YEAR(A467),MONTH(A467),1))</f>
        <v/>
      </c>
    </row>
    <row r="468" customFormat="false" ht="15" hidden="false" customHeight="false" outlineLevel="0" collapsed="false">
      <c r="A468" s="21"/>
      <c r="B468" s="4"/>
      <c r="C468" s="22"/>
      <c r="D468" s="5" t="str">
        <f aca="false">IF(B468="","",IFERROR(INDEX(DE_PARA!$B$6:$B$205,MATCH(B468,DE_PARA!$A$6:$A$205,0)),"SEM DE-PARA"))</f>
        <v/>
      </c>
      <c r="E468" s="23" t="str">
        <f aca="false">IF(A468="","",DATE(YEAR(A468),MONTH(A468),1))</f>
        <v/>
      </c>
    </row>
    <row r="469" customFormat="false" ht="15" hidden="false" customHeight="false" outlineLevel="0" collapsed="false">
      <c r="A469" s="21"/>
      <c r="B469" s="4"/>
      <c r="C469" s="22"/>
      <c r="D469" s="5" t="str">
        <f aca="false">IF(B469="","",IFERROR(INDEX(DE_PARA!$B$6:$B$205,MATCH(B469,DE_PARA!$A$6:$A$205,0)),"SEM DE-PARA"))</f>
        <v/>
      </c>
      <c r="E469" s="23" t="str">
        <f aca="false">IF(A469="","",DATE(YEAR(A469),MONTH(A469),1))</f>
        <v/>
      </c>
    </row>
    <row r="470" customFormat="false" ht="15" hidden="false" customHeight="false" outlineLevel="0" collapsed="false">
      <c r="A470" s="21"/>
      <c r="B470" s="4"/>
      <c r="C470" s="22"/>
      <c r="D470" s="5" t="str">
        <f aca="false">IF(B470="","",IFERROR(INDEX(DE_PARA!$B$6:$B$205,MATCH(B470,DE_PARA!$A$6:$A$205,0)),"SEM DE-PARA"))</f>
        <v/>
      </c>
      <c r="E470" s="23" t="str">
        <f aca="false">IF(A470="","",DATE(YEAR(A470),MONTH(A470),1))</f>
        <v/>
      </c>
    </row>
    <row r="471" customFormat="false" ht="15" hidden="false" customHeight="false" outlineLevel="0" collapsed="false">
      <c r="A471" s="21"/>
      <c r="B471" s="4"/>
      <c r="C471" s="22"/>
      <c r="D471" s="5" t="str">
        <f aca="false">IF(B471="","",IFERROR(INDEX(DE_PARA!$B$6:$B$205,MATCH(B471,DE_PARA!$A$6:$A$205,0)),"SEM DE-PARA"))</f>
        <v/>
      </c>
      <c r="E471" s="23" t="str">
        <f aca="false">IF(A471="","",DATE(YEAR(A471),MONTH(A471),1))</f>
        <v/>
      </c>
    </row>
    <row r="472" customFormat="false" ht="15" hidden="false" customHeight="false" outlineLevel="0" collapsed="false">
      <c r="A472" s="21"/>
      <c r="B472" s="4"/>
      <c r="C472" s="22"/>
      <c r="D472" s="5" t="str">
        <f aca="false">IF(B472="","",IFERROR(INDEX(DE_PARA!$B$6:$B$205,MATCH(B472,DE_PARA!$A$6:$A$205,0)),"SEM DE-PARA"))</f>
        <v/>
      </c>
      <c r="E472" s="23" t="str">
        <f aca="false">IF(A472="","",DATE(YEAR(A472),MONTH(A472),1))</f>
        <v/>
      </c>
    </row>
    <row r="473" customFormat="false" ht="15" hidden="false" customHeight="false" outlineLevel="0" collapsed="false">
      <c r="A473" s="21"/>
      <c r="B473" s="4"/>
      <c r="C473" s="22"/>
      <c r="D473" s="5" t="str">
        <f aca="false">IF(B473="","",IFERROR(INDEX(DE_PARA!$B$6:$B$205,MATCH(B473,DE_PARA!$A$6:$A$205,0)),"SEM DE-PARA"))</f>
        <v/>
      </c>
      <c r="E473" s="23" t="str">
        <f aca="false">IF(A473="","",DATE(YEAR(A473),MONTH(A473),1))</f>
        <v/>
      </c>
    </row>
    <row r="474" customFormat="false" ht="15" hidden="false" customHeight="false" outlineLevel="0" collapsed="false">
      <c r="A474" s="21"/>
      <c r="B474" s="4"/>
      <c r="C474" s="22"/>
      <c r="D474" s="5" t="str">
        <f aca="false">IF(B474="","",IFERROR(INDEX(DE_PARA!$B$6:$B$205,MATCH(B474,DE_PARA!$A$6:$A$205,0)),"SEM DE-PARA"))</f>
        <v/>
      </c>
      <c r="E474" s="23" t="str">
        <f aca="false">IF(A474="","",DATE(YEAR(A474),MONTH(A474),1))</f>
        <v/>
      </c>
    </row>
    <row r="475" customFormat="false" ht="15" hidden="false" customHeight="false" outlineLevel="0" collapsed="false">
      <c r="A475" s="21"/>
      <c r="B475" s="4"/>
      <c r="C475" s="22"/>
      <c r="D475" s="5" t="str">
        <f aca="false">IF(B475="","",IFERROR(INDEX(DE_PARA!$B$6:$B$205,MATCH(B475,DE_PARA!$A$6:$A$205,0)),"SEM DE-PARA"))</f>
        <v/>
      </c>
      <c r="E475" s="23" t="str">
        <f aca="false">IF(A475="","",DATE(YEAR(A475),MONTH(A475),1))</f>
        <v/>
      </c>
    </row>
    <row r="476" customFormat="false" ht="15" hidden="false" customHeight="false" outlineLevel="0" collapsed="false">
      <c r="A476" s="21"/>
      <c r="B476" s="4"/>
      <c r="C476" s="22"/>
      <c r="D476" s="5" t="str">
        <f aca="false">IF(B476="","",IFERROR(INDEX(DE_PARA!$B$6:$B$205,MATCH(B476,DE_PARA!$A$6:$A$205,0)),"SEM DE-PARA"))</f>
        <v/>
      </c>
      <c r="E476" s="23" t="str">
        <f aca="false">IF(A476="","",DATE(YEAR(A476),MONTH(A476),1))</f>
        <v/>
      </c>
    </row>
    <row r="477" customFormat="false" ht="15" hidden="false" customHeight="false" outlineLevel="0" collapsed="false">
      <c r="A477" s="21"/>
      <c r="B477" s="4"/>
      <c r="C477" s="22"/>
      <c r="D477" s="5" t="str">
        <f aca="false">IF(B477="","",IFERROR(INDEX(DE_PARA!$B$6:$B$205,MATCH(B477,DE_PARA!$A$6:$A$205,0)),"SEM DE-PARA"))</f>
        <v/>
      </c>
      <c r="E477" s="23" t="str">
        <f aca="false">IF(A477="","",DATE(YEAR(A477),MONTH(A477),1))</f>
        <v/>
      </c>
    </row>
    <row r="478" customFormat="false" ht="15" hidden="false" customHeight="false" outlineLevel="0" collapsed="false">
      <c r="A478" s="21"/>
      <c r="B478" s="4"/>
      <c r="C478" s="22"/>
      <c r="D478" s="5" t="str">
        <f aca="false">IF(B478="","",IFERROR(INDEX(DE_PARA!$B$6:$B$205,MATCH(B478,DE_PARA!$A$6:$A$205,0)),"SEM DE-PARA"))</f>
        <v/>
      </c>
      <c r="E478" s="23" t="str">
        <f aca="false">IF(A478="","",DATE(YEAR(A478),MONTH(A478),1))</f>
        <v/>
      </c>
    </row>
    <row r="479" customFormat="false" ht="15" hidden="false" customHeight="false" outlineLevel="0" collapsed="false">
      <c r="A479" s="21"/>
      <c r="B479" s="4"/>
      <c r="C479" s="22"/>
      <c r="D479" s="5" t="str">
        <f aca="false">IF(B479="","",IFERROR(INDEX(DE_PARA!$B$6:$B$205,MATCH(B479,DE_PARA!$A$6:$A$205,0)),"SEM DE-PARA"))</f>
        <v/>
      </c>
      <c r="E479" s="23" t="str">
        <f aca="false">IF(A479="","",DATE(YEAR(A479),MONTH(A479),1))</f>
        <v/>
      </c>
    </row>
    <row r="480" customFormat="false" ht="15" hidden="false" customHeight="false" outlineLevel="0" collapsed="false">
      <c r="A480" s="21"/>
      <c r="B480" s="4"/>
      <c r="C480" s="22"/>
      <c r="D480" s="5" t="str">
        <f aca="false">IF(B480="","",IFERROR(INDEX(DE_PARA!$B$6:$B$205,MATCH(B480,DE_PARA!$A$6:$A$205,0)),"SEM DE-PARA"))</f>
        <v/>
      </c>
      <c r="E480" s="23" t="str">
        <f aca="false">IF(A480="","",DATE(YEAR(A480),MONTH(A480),1))</f>
        <v/>
      </c>
    </row>
    <row r="481" customFormat="false" ht="15" hidden="false" customHeight="false" outlineLevel="0" collapsed="false">
      <c r="A481" s="21"/>
      <c r="B481" s="4"/>
      <c r="C481" s="22"/>
      <c r="D481" s="5" t="str">
        <f aca="false">IF(B481="","",IFERROR(INDEX(DE_PARA!$B$6:$B$205,MATCH(B481,DE_PARA!$A$6:$A$205,0)),"SEM DE-PARA"))</f>
        <v/>
      </c>
      <c r="E481" s="23" t="str">
        <f aca="false">IF(A481="","",DATE(YEAR(A481),MONTH(A481),1))</f>
        <v/>
      </c>
    </row>
    <row r="482" customFormat="false" ht="15" hidden="false" customHeight="false" outlineLevel="0" collapsed="false">
      <c r="A482" s="21"/>
      <c r="B482" s="4"/>
      <c r="C482" s="22"/>
      <c r="D482" s="5" t="str">
        <f aca="false">IF(B482="","",IFERROR(INDEX(DE_PARA!$B$6:$B$205,MATCH(B482,DE_PARA!$A$6:$A$205,0)),"SEM DE-PARA"))</f>
        <v/>
      </c>
      <c r="E482" s="23" t="str">
        <f aca="false">IF(A482="","",DATE(YEAR(A482),MONTH(A482),1))</f>
        <v/>
      </c>
    </row>
    <row r="483" customFormat="false" ht="15" hidden="false" customHeight="false" outlineLevel="0" collapsed="false">
      <c r="A483" s="21"/>
      <c r="B483" s="4"/>
      <c r="C483" s="22"/>
      <c r="D483" s="5" t="str">
        <f aca="false">IF(B483="","",IFERROR(INDEX(DE_PARA!$B$6:$B$205,MATCH(B483,DE_PARA!$A$6:$A$205,0)),"SEM DE-PARA"))</f>
        <v/>
      </c>
      <c r="E483" s="23" t="str">
        <f aca="false">IF(A483="","",DATE(YEAR(A483),MONTH(A483),1))</f>
        <v/>
      </c>
    </row>
    <row r="484" customFormat="false" ht="15" hidden="false" customHeight="false" outlineLevel="0" collapsed="false">
      <c r="A484" s="21"/>
      <c r="B484" s="4"/>
      <c r="C484" s="22"/>
      <c r="D484" s="5" t="str">
        <f aca="false">IF(B484="","",IFERROR(INDEX(DE_PARA!$B$6:$B$205,MATCH(B484,DE_PARA!$A$6:$A$205,0)),"SEM DE-PARA"))</f>
        <v/>
      </c>
      <c r="E484" s="23" t="str">
        <f aca="false">IF(A484="","",DATE(YEAR(A484),MONTH(A484),1))</f>
        <v/>
      </c>
    </row>
    <row r="485" customFormat="false" ht="15" hidden="false" customHeight="false" outlineLevel="0" collapsed="false">
      <c r="A485" s="21"/>
      <c r="B485" s="4"/>
      <c r="C485" s="22"/>
      <c r="D485" s="5" t="str">
        <f aca="false">IF(B485="","",IFERROR(INDEX(DE_PARA!$B$6:$B$205,MATCH(B485,DE_PARA!$A$6:$A$205,0)),"SEM DE-PARA"))</f>
        <v/>
      </c>
      <c r="E485" s="23" t="str">
        <f aca="false">IF(A485="","",DATE(YEAR(A485),MONTH(A485),1))</f>
        <v/>
      </c>
    </row>
    <row r="486" customFormat="false" ht="15" hidden="false" customHeight="false" outlineLevel="0" collapsed="false">
      <c r="A486" s="21"/>
      <c r="B486" s="4"/>
      <c r="C486" s="22"/>
      <c r="D486" s="5" t="str">
        <f aca="false">IF(B486="","",IFERROR(INDEX(DE_PARA!$B$6:$B$205,MATCH(B486,DE_PARA!$A$6:$A$205,0)),"SEM DE-PARA"))</f>
        <v/>
      </c>
      <c r="E486" s="23" t="str">
        <f aca="false">IF(A486="","",DATE(YEAR(A486),MONTH(A486),1))</f>
        <v/>
      </c>
    </row>
    <row r="487" customFormat="false" ht="15" hidden="false" customHeight="false" outlineLevel="0" collapsed="false">
      <c r="A487" s="21"/>
      <c r="B487" s="4"/>
      <c r="C487" s="22"/>
      <c r="D487" s="5" t="str">
        <f aca="false">IF(B487="","",IFERROR(INDEX(DE_PARA!$B$6:$B$205,MATCH(B487,DE_PARA!$A$6:$A$205,0)),"SEM DE-PARA"))</f>
        <v/>
      </c>
      <c r="E487" s="23" t="str">
        <f aca="false">IF(A487="","",DATE(YEAR(A487),MONTH(A487),1))</f>
        <v/>
      </c>
    </row>
    <row r="488" customFormat="false" ht="15" hidden="false" customHeight="false" outlineLevel="0" collapsed="false">
      <c r="A488" s="21"/>
      <c r="B488" s="4"/>
      <c r="C488" s="22"/>
      <c r="D488" s="5" t="str">
        <f aca="false">IF(B488="","",IFERROR(INDEX(DE_PARA!$B$6:$B$205,MATCH(B488,DE_PARA!$A$6:$A$205,0)),"SEM DE-PARA"))</f>
        <v/>
      </c>
      <c r="E488" s="23" t="str">
        <f aca="false">IF(A488="","",DATE(YEAR(A488),MONTH(A488),1))</f>
        <v/>
      </c>
    </row>
    <row r="489" customFormat="false" ht="15" hidden="false" customHeight="false" outlineLevel="0" collapsed="false">
      <c r="A489" s="21"/>
      <c r="B489" s="4"/>
      <c r="C489" s="22"/>
      <c r="D489" s="5" t="str">
        <f aca="false">IF(B489="","",IFERROR(INDEX(DE_PARA!$B$6:$B$205,MATCH(B489,DE_PARA!$A$6:$A$205,0)),"SEM DE-PARA"))</f>
        <v/>
      </c>
      <c r="E489" s="23" t="str">
        <f aca="false">IF(A489="","",DATE(YEAR(A489),MONTH(A489),1))</f>
        <v/>
      </c>
    </row>
    <row r="490" customFormat="false" ht="15" hidden="false" customHeight="false" outlineLevel="0" collapsed="false">
      <c r="A490" s="21"/>
      <c r="B490" s="4"/>
      <c r="C490" s="22"/>
      <c r="D490" s="5" t="str">
        <f aca="false">IF(B490="","",IFERROR(INDEX(DE_PARA!$B$6:$B$205,MATCH(B490,DE_PARA!$A$6:$A$205,0)),"SEM DE-PARA"))</f>
        <v/>
      </c>
      <c r="E490" s="23" t="str">
        <f aca="false">IF(A490="","",DATE(YEAR(A490),MONTH(A490),1))</f>
        <v/>
      </c>
    </row>
    <row r="491" customFormat="false" ht="15" hidden="false" customHeight="false" outlineLevel="0" collapsed="false">
      <c r="A491" s="21"/>
      <c r="B491" s="4"/>
      <c r="C491" s="22"/>
      <c r="D491" s="5" t="str">
        <f aca="false">IF(B491="","",IFERROR(INDEX(DE_PARA!$B$6:$B$205,MATCH(B491,DE_PARA!$A$6:$A$205,0)),"SEM DE-PARA"))</f>
        <v/>
      </c>
      <c r="E491" s="23" t="str">
        <f aca="false">IF(A491="","",DATE(YEAR(A491),MONTH(A491),1))</f>
        <v/>
      </c>
    </row>
    <row r="492" customFormat="false" ht="15" hidden="false" customHeight="false" outlineLevel="0" collapsed="false">
      <c r="A492" s="21"/>
      <c r="B492" s="4"/>
      <c r="C492" s="22"/>
      <c r="D492" s="5" t="str">
        <f aca="false">IF(B492="","",IFERROR(INDEX(DE_PARA!$B$6:$B$205,MATCH(B492,DE_PARA!$A$6:$A$205,0)),"SEM DE-PARA"))</f>
        <v/>
      </c>
      <c r="E492" s="23" t="str">
        <f aca="false">IF(A492="","",DATE(YEAR(A492),MONTH(A492),1))</f>
        <v/>
      </c>
    </row>
    <row r="493" customFormat="false" ht="15" hidden="false" customHeight="false" outlineLevel="0" collapsed="false">
      <c r="A493" s="21"/>
      <c r="B493" s="4"/>
      <c r="C493" s="22"/>
      <c r="D493" s="5" t="str">
        <f aca="false">IF(B493="","",IFERROR(INDEX(DE_PARA!$B$6:$B$205,MATCH(B493,DE_PARA!$A$6:$A$205,0)),"SEM DE-PARA"))</f>
        <v/>
      </c>
      <c r="E493" s="23" t="str">
        <f aca="false">IF(A493="","",DATE(YEAR(A493),MONTH(A493),1))</f>
        <v/>
      </c>
    </row>
    <row r="494" customFormat="false" ht="15" hidden="false" customHeight="false" outlineLevel="0" collapsed="false">
      <c r="A494" s="21"/>
      <c r="B494" s="4"/>
      <c r="C494" s="22"/>
      <c r="D494" s="5" t="str">
        <f aca="false">IF(B494="","",IFERROR(INDEX(DE_PARA!$B$6:$B$205,MATCH(B494,DE_PARA!$A$6:$A$205,0)),"SEM DE-PARA"))</f>
        <v/>
      </c>
      <c r="E494" s="23" t="str">
        <f aca="false">IF(A494="","",DATE(YEAR(A494),MONTH(A494),1))</f>
        <v/>
      </c>
    </row>
    <row r="495" customFormat="false" ht="15" hidden="false" customHeight="false" outlineLevel="0" collapsed="false">
      <c r="A495" s="21"/>
      <c r="B495" s="4"/>
      <c r="C495" s="22"/>
      <c r="D495" s="5" t="str">
        <f aca="false">IF(B495="","",IFERROR(INDEX(DE_PARA!$B$6:$B$205,MATCH(B495,DE_PARA!$A$6:$A$205,0)),"SEM DE-PARA"))</f>
        <v/>
      </c>
      <c r="E495" s="23" t="str">
        <f aca="false">IF(A495="","",DATE(YEAR(A495),MONTH(A495),1))</f>
        <v/>
      </c>
    </row>
    <row r="496" customFormat="false" ht="15" hidden="false" customHeight="false" outlineLevel="0" collapsed="false">
      <c r="A496" s="21"/>
      <c r="B496" s="4"/>
      <c r="C496" s="22"/>
      <c r="D496" s="5" t="str">
        <f aca="false">IF(B496="","",IFERROR(INDEX(DE_PARA!$B$6:$B$205,MATCH(B496,DE_PARA!$A$6:$A$205,0)),"SEM DE-PARA"))</f>
        <v/>
      </c>
      <c r="E496" s="23" t="str">
        <f aca="false">IF(A496="","",DATE(YEAR(A496),MONTH(A496),1))</f>
        <v/>
      </c>
    </row>
    <row r="497" customFormat="false" ht="15" hidden="false" customHeight="false" outlineLevel="0" collapsed="false">
      <c r="A497" s="21"/>
      <c r="B497" s="4"/>
      <c r="C497" s="22"/>
      <c r="D497" s="5" t="str">
        <f aca="false">IF(B497="","",IFERROR(INDEX(DE_PARA!$B$6:$B$205,MATCH(B497,DE_PARA!$A$6:$A$205,0)),"SEM DE-PARA"))</f>
        <v/>
      </c>
      <c r="E497" s="23" t="str">
        <f aca="false">IF(A497="","",DATE(YEAR(A497),MONTH(A497),1))</f>
        <v/>
      </c>
    </row>
    <row r="498" customFormat="false" ht="15" hidden="false" customHeight="false" outlineLevel="0" collapsed="false">
      <c r="A498" s="21"/>
      <c r="B498" s="4"/>
      <c r="C498" s="22"/>
      <c r="D498" s="5" t="str">
        <f aca="false">IF(B498="","",IFERROR(INDEX(DE_PARA!$B$6:$B$205,MATCH(B498,DE_PARA!$A$6:$A$205,0)),"SEM DE-PARA"))</f>
        <v/>
      </c>
      <c r="E498" s="23" t="str">
        <f aca="false">IF(A498="","",DATE(YEAR(A498),MONTH(A498),1))</f>
        <v/>
      </c>
    </row>
    <row r="499" customFormat="false" ht="15" hidden="false" customHeight="false" outlineLevel="0" collapsed="false">
      <c r="A499" s="21"/>
      <c r="B499" s="4"/>
      <c r="C499" s="22"/>
      <c r="D499" s="5" t="str">
        <f aca="false">IF(B499="","",IFERROR(INDEX(DE_PARA!$B$6:$B$205,MATCH(B499,DE_PARA!$A$6:$A$205,0)),"SEM DE-PARA"))</f>
        <v/>
      </c>
      <c r="E499" s="23" t="str">
        <f aca="false">IF(A499="","",DATE(YEAR(A499),MONTH(A499),1))</f>
        <v/>
      </c>
    </row>
    <row r="500" customFormat="false" ht="15" hidden="false" customHeight="false" outlineLevel="0" collapsed="false">
      <c r="A500" s="21"/>
      <c r="B500" s="4"/>
      <c r="C500" s="22"/>
      <c r="D500" s="5" t="str">
        <f aca="false">IF(B500="","",IFERROR(INDEX(DE_PARA!$B$6:$B$205,MATCH(B500,DE_PARA!$A$6:$A$205,0)),"SEM DE-PARA"))</f>
        <v/>
      </c>
      <c r="E500" s="23" t="str">
        <f aca="false">IF(A500="","",DATE(YEAR(A500),MONTH(A500),1))</f>
        <v/>
      </c>
    </row>
    <row r="501" customFormat="false" ht="15" hidden="false" customHeight="false" outlineLevel="0" collapsed="false">
      <c r="A501" s="21"/>
      <c r="B501" s="4"/>
      <c r="C501" s="22"/>
      <c r="D501" s="5" t="str">
        <f aca="false">IF(B501="","",IFERROR(INDEX(DE_PARA!$B$6:$B$205,MATCH(B501,DE_PARA!$A$6:$A$205,0)),"SEM DE-PARA"))</f>
        <v/>
      </c>
      <c r="E501" s="23" t="str">
        <f aca="false">IF(A501="","",DATE(YEAR(A501),MONTH(A501),1))</f>
        <v/>
      </c>
    </row>
    <row r="502" customFormat="false" ht="15" hidden="false" customHeight="false" outlineLevel="0" collapsed="false">
      <c r="A502" s="21"/>
      <c r="B502" s="4"/>
      <c r="C502" s="22"/>
      <c r="D502" s="5" t="str">
        <f aca="false">IF(B502="","",IFERROR(INDEX(DE_PARA!$B$6:$B$205,MATCH(B502,DE_PARA!$A$6:$A$205,0)),"SEM DE-PARA"))</f>
        <v/>
      </c>
      <c r="E502" s="23" t="str">
        <f aca="false">IF(A502="","",DATE(YEAR(A502),MONTH(A502),1))</f>
        <v/>
      </c>
    </row>
    <row r="503" customFormat="false" ht="15" hidden="false" customHeight="false" outlineLevel="0" collapsed="false">
      <c r="A503" s="21"/>
      <c r="B503" s="4"/>
      <c r="C503" s="22"/>
      <c r="D503" s="5" t="str">
        <f aca="false">IF(B503="","",IFERROR(INDEX(DE_PARA!$B$6:$B$205,MATCH(B503,DE_PARA!$A$6:$A$205,0)),"SEM DE-PARA"))</f>
        <v/>
      </c>
      <c r="E503" s="23" t="str">
        <f aca="false">IF(A503="","",DATE(YEAR(A503),MONTH(A503),1))</f>
        <v/>
      </c>
    </row>
    <row r="504" customFormat="false" ht="15" hidden="false" customHeight="false" outlineLevel="0" collapsed="false">
      <c r="A504" s="21"/>
      <c r="B504" s="4"/>
      <c r="C504" s="22"/>
      <c r="D504" s="5" t="str">
        <f aca="false">IF(B504="","",IFERROR(INDEX(DE_PARA!$B$6:$B$205,MATCH(B504,DE_PARA!$A$6:$A$205,0)),"SEM DE-PARA"))</f>
        <v/>
      </c>
      <c r="E504" s="23" t="str">
        <f aca="false">IF(A504="","",DATE(YEAR(A504),MONTH(A504),1))</f>
        <v/>
      </c>
    </row>
    <row r="505" customFormat="false" ht="15" hidden="false" customHeight="false" outlineLevel="0" collapsed="false">
      <c r="A505" s="21"/>
      <c r="B505" s="4"/>
      <c r="C505" s="22"/>
      <c r="D505" s="5" t="str">
        <f aca="false">IF(B505="","",IFERROR(INDEX(DE_PARA!$B$6:$B$205,MATCH(B505,DE_PARA!$A$6:$A$205,0)),"SEM DE-PARA"))</f>
        <v/>
      </c>
      <c r="E505" s="23" t="str">
        <f aca="false">IF(A505="","",DATE(YEAR(A505),MONTH(A505),1))</f>
        <v/>
      </c>
    </row>
    <row r="506" customFormat="false" ht="15" hidden="false" customHeight="false" outlineLevel="0" collapsed="false">
      <c r="A506" s="21"/>
      <c r="B506" s="4"/>
      <c r="C506" s="22"/>
      <c r="D506" s="5" t="str">
        <f aca="false">IF(B506="","",IFERROR(INDEX(DE_PARA!$B$6:$B$205,MATCH(B506,DE_PARA!$A$6:$A$205,0)),"SEM DE-PARA"))</f>
        <v/>
      </c>
      <c r="E506" s="23" t="str">
        <f aca="false">IF(A506="","",DATE(YEAR(A506),MONTH(A506),1))</f>
        <v/>
      </c>
    </row>
    <row r="507" customFormat="false" ht="15" hidden="false" customHeight="false" outlineLevel="0" collapsed="false">
      <c r="A507" s="21"/>
      <c r="B507" s="4"/>
      <c r="C507" s="22"/>
      <c r="D507" s="5" t="str">
        <f aca="false">IF(B507="","",IFERROR(INDEX(DE_PARA!$B$6:$B$205,MATCH(B507,DE_PARA!$A$6:$A$205,0)),"SEM DE-PARA"))</f>
        <v/>
      </c>
      <c r="E507" s="23" t="str">
        <f aca="false">IF(A507="","",DATE(YEAR(A507),MONTH(A507),1))</f>
        <v/>
      </c>
    </row>
    <row r="508" customFormat="false" ht="15" hidden="false" customHeight="false" outlineLevel="0" collapsed="false">
      <c r="A508" s="21"/>
      <c r="B508" s="4"/>
      <c r="C508" s="22"/>
      <c r="D508" s="5" t="str">
        <f aca="false">IF(B508="","",IFERROR(INDEX(DE_PARA!$B$6:$B$205,MATCH(B508,DE_PARA!$A$6:$A$205,0)),"SEM DE-PARA"))</f>
        <v/>
      </c>
      <c r="E508" s="23" t="str">
        <f aca="false">IF(A508="","",DATE(YEAR(A508),MONTH(A508),1))</f>
        <v/>
      </c>
    </row>
    <row r="509" customFormat="false" ht="15" hidden="false" customHeight="false" outlineLevel="0" collapsed="false">
      <c r="A509" s="21"/>
      <c r="B509" s="4"/>
      <c r="C509" s="22"/>
      <c r="D509" s="5" t="str">
        <f aca="false">IF(B509="","",IFERROR(INDEX(DE_PARA!$B$6:$B$205,MATCH(B509,DE_PARA!$A$6:$A$205,0)),"SEM DE-PARA"))</f>
        <v/>
      </c>
      <c r="E509" s="23" t="str">
        <f aca="false">IF(A509="","",DATE(YEAR(A509),MONTH(A509),1))</f>
        <v/>
      </c>
    </row>
    <row r="510" customFormat="false" ht="15" hidden="false" customHeight="false" outlineLevel="0" collapsed="false">
      <c r="A510" s="21"/>
      <c r="B510" s="4"/>
      <c r="C510" s="22"/>
      <c r="D510" s="5" t="str">
        <f aca="false">IF(B510="","",IFERROR(INDEX(DE_PARA!$B$6:$B$205,MATCH(B510,DE_PARA!$A$6:$A$205,0)),"SEM DE-PARA"))</f>
        <v/>
      </c>
      <c r="E510" s="23" t="str">
        <f aca="false">IF(A510="","",DATE(YEAR(A510),MONTH(A510),1))</f>
        <v/>
      </c>
    </row>
    <row r="511" customFormat="false" ht="15" hidden="false" customHeight="false" outlineLevel="0" collapsed="false">
      <c r="A511" s="21"/>
      <c r="B511" s="4"/>
      <c r="C511" s="22"/>
      <c r="D511" s="5" t="str">
        <f aca="false">IF(B511="","",IFERROR(INDEX(DE_PARA!$B$6:$B$205,MATCH(B511,DE_PARA!$A$6:$A$205,0)),"SEM DE-PARA"))</f>
        <v/>
      </c>
      <c r="E511" s="23" t="str">
        <f aca="false">IF(A511="","",DATE(YEAR(A511),MONTH(A511),1))</f>
        <v/>
      </c>
    </row>
    <row r="512" customFormat="false" ht="15" hidden="false" customHeight="false" outlineLevel="0" collapsed="false">
      <c r="A512" s="21"/>
      <c r="B512" s="4"/>
      <c r="C512" s="22"/>
      <c r="D512" s="5" t="str">
        <f aca="false">IF(B512="","",IFERROR(INDEX(DE_PARA!$B$6:$B$205,MATCH(B512,DE_PARA!$A$6:$A$205,0)),"SEM DE-PARA"))</f>
        <v/>
      </c>
      <c r="E512" s="23" t="str">
        <f aca="false">IF(A512="","",DATE(YEAR(A512),MONTH(A512),1))</f>
        <v/>
      </c>
    </row>
    <row r="513" customFormat="false" ht="15" hidden="false" customHeight="false" outlineLevel="0" collapsed="false">
      <c r="A513" s="21"/>
      <c r="B513" s="4"/>
      <c r="C513" s="22"/>
      <c r="D513" s="5" t="str">
        <f aca="false">IF(B513="","",IFERROR(INDEX(DE_PARA!$B$6:$B$205,MATCH(B513,DE_PARA!$A$6:$A$205,0)),"SEM DE-PARA"))</f>
        <v/>
      </c>
      <c r="E513" s="23" t="str">
        <f aca="false">IF(A513="","",DATE(YEAR(A513),MONTH(A513),1))</f>
        <v/>
      </c>
    </row>
    <row r="514" customFormat="false" ht="15" hidden="false" customHeight="false" outlineLevel="0" collapsed="false">
      <c r="A514" s="21"/>
      <c r="B514" s="4"/>
      <c r="C514" s="22"/>
      <c r="D514" s="5" t="str">
        <f aca="false">IF(B514="","",IFERROR(INDEX(DE_PARA!$B$6:$B$205,MATCH(B514,DE_PARA!$A$6:$A$205,0)),"SEM DE-PARA"))</f>
        <v/>
      </c>
      <c r="E514" s="23" t="str">
        <f aca="false">IF(A514="","",DATE(YEAR(A514),MONTH(A514),1))</f>
        <v/>
      </c>
    </row>
    <row r="515" customFormat="false" ht="15" hidden="false" customHeight="false" outlineLevel="0" collapsed="false">
      <c r="A515" s="21"/>
      <c r="B515" s="4"/>
      <c r="C515" s="22"/>
      <c r="D515" s="5" t="str">
        <f aca="false">IF(B515="","",IFERROR(INDEX(DE_PARA!$B$6:$B$205,MATCH(B515,DE_PARA!$A$6:$A$205,0)),"SEM DE-PARA"))</f>
        <v/>
      </c>
      <c r="E515" s="23" t="str">
        <f aca="false">IF(A515="","",DATE(YEAR(A515),MONTH(A515),1))</f>
        <v/>
      </c>
    </row>
    <row r="516" customFormat="false" ht="15" hidden="false" customHeight="false" outlineLevel="0" collapsed="false">
      <c r="A516" s="21"/>
      <c r="B516" s="4"/>
      <c r="C516" s="22"/>
      <c r="D516" s="5" t="str">
        <f aca="false">IF(B516="","",IFERROR(INDEX(DE_PARA!$B$6:$B$205,MATCH(B516,DE_PARA!$A$6:$A$205,0)),"SEM DE-PARA"))</f>
        <v/>
      </c>
      <c r="E516" s="23" t="str">
        <f aca="false">IF(A516="","",DATE(YEAR(A516),MONTH(A516),1))</f>
        <v/>
      </c>
    </row>
    <row r="517" customFormat="false" ht="15" hidden="false" customHeight="false" outlineLevel="0" collapsed="false">
      <c r="A517" s="21"/>
      <c r="B517" s="4"/>
      <c r="C517" s="22"/>
      <c r="D517" s="5" t="str">
        <f aca="false">IF(B517="","",IFERROR(INDEX(DE_PARA!$B$6:$B$205,MATCH(B517,DE_PARA!$A$6:$A$205,0)),"SEM DE-PARA"))</f>
        <v/>
      </c>
      <c r="E517" s="23" t="str">
        <f aca="false">IF(A517="","",DATE(YEAR(A517),MONTH(A517),1))</f>
        <v/>
      </c>
    </row>
    <row r="518" customFormat="false" ht="15" hidden="false" customHeight="false" outlineLevel="0" collapsed="false">
      <c r="A518" s="21"/>
      <c r="B518" s="4"/>
      <c r="C518" s="22"/>
      <c r="D518" s="5" t="str">
        <f aca="false">IF(B518="","",IFERROR(INDEX(DE_PARA!$B$6:$B$205,MATCH(B518,DE_PARA!$A$6:$A$205,0)),"SEM DE-PARA"))</f>
        <v/>
      </c>
      <c r="E518" s="23" t="str">
        <f aca="false">IF(A518="","",DATE(YEAR(A518),MONTH(A518),1))</f>
        <v/>
      </c>
    </row>
    <row r="519" customFormat="false" ht="15" hidden="false" customHeight="false" outlineLevel="0" collapsed="false">
      <c r="A519" s="21"/>
      <c r="B519" s="4"/>
      <c r="C519" s="22"/>
      <c r="D519" s="5" t="str">
        <f aca="false">IF(B519="","",IFERROR(INDEX(DE_PARA!$B$6:$B$205,MATCH(B519,DE_PARA!$A$6:$A$205,0)),"SEM DE-PARA"))</f>
        <v/>
      </c>
      <c r="E519" s="23" t="str">
        <f aca="false">IF(A519="","",DATE(YEAR(A519),MONTH(A519),1))</f>
        <v/>
      </c>
    </row>
    <row r="520" customFormat="false" ht="15" hidden="false" customHeight="false" outlineLevel="0" collapsed="false">
      <c r="A520" s="21"/>
      <c r="B520" s="4"/>
      <c r="C520" s="22"/>
      <c r="D520" s="5" t="str">
        <f aca="false">IF(B520="","",IFERROR(INDEX(DE_PARA!$B$6:$B$205,MATCH(B520,DE_PARA!$A$6:$A$205,0)),"SEM DE-PARA"))</f>
        <v/>
      </c>
      <c r="E520" s="23" t="str">
        <f aca="false">IF(A520="","",DATE(YEAR(A520),MONTH(A520),1))</f>
        <v/>
      </c>
    </row>
    <row r="521" customFormat="false" ht="15" hidden="false" customHeight="false" outlineLevel="0" collapsed="false">
      <c r="A521" s="21"/>
      <c r="B521" s="4"/>
      <c r="C521" s="22"/>
      <c r="D521" s="5" t="str">
        <f aca="false">IF(B521="","",IFERROR(INDEX(DE_PARA!$B$6:$B$205,MATCH(B521,DE_PARA!$A$6:$A$205,0)),"SEM DE-PARA"))</f>
        <v/>
      </c>
      <c r="E521" s="23" t="str">
        <f aca="false">IF(A521="","",DATE(YEAR(A521),MONTH(A521),1))</f>
        <v/>
      </c>
    </row>
    <row r="522" customFormat="false" ht="15" hidden="false" customHeight="false" outlineLevel="0" collapsed="false">
      <c r="A522" s="21"/>
      <c r="B522" s="4"/>
      <c r="C522" s="22"/>
      <c r="D522" s="5" t="str">
        <f aca="false">IF(B522="","",IFERROR(INDEX(DE_PARA!$B$6:$B$205,MATCH(B522,DE_PARA!$A$6:$A$205,0)),"SEM DE-PARA"))</f>
        <v/>
      </c>
      <c r="E522" s="23" t="str">
        <f aca="false">IF(A522="","",DATE(YEAR(A522),MONTH(A522),1))</f>
        <v/>
      </c>
    </row>
    <row r="523" customFormat="false" ht="15" hidden="false" customHeight="false" outlineLevel="0" collapsed="false">
      <c r="A523" s="21"/>
      <c r="B523" s="4"/>
      <c r="C523" s="22"/>
      <c r="D523" s="5" t="str">
        <f aca="false">IF(B523="","",IFERROR(INDEX(DE_PARA!$B$6:$B$205,MATCH(B523,DE_PARA!$A$6:$A$205,0)),"SEM DE-PARA"))</f>
        <v/>
      </c>
      <c r="E523" s="23" t="str">
        <f aca="false">IF(A523="","",DATE(YEAR(A523),MONTH(A523),1))</f>
        <v/>
      </c>
    </row>
    <row r="524" customFormat="false" ht="15" hidden="false" customHeight="false" outlineLevel="0" collapsed="false">
      <c r="A524" s="21"/>
      <c r="B524" s="4"/>
      <c r="C524" s="22"/>
      <c r="D524" s="5" t="str">
        <f aca="false">IF(B524="","",IFERROR(INDEX(DE_PARA!$B$6:$B$205,MATCH(B524,DE_PARA!$A$6:$A$205,0)),"SEM DE-PARA"))</f>
        <v/>
      </c>
      <c r="E524" s="23" t="str">
        <f aca="false">IF(A524="","",DATE(YEAR(A524),MONTH(A524),1))</f>
        <v/>
      </c>
    </row>
    <row r="525" customFormat="false" ht="15" hidden="false" customHeight="false" outlineLevel="0" collapsed="false">
      <c r="A525" s="21"/>
      <c r="B525" s="4"/>
      <c r="C525" s="22"/>
      <c r="D525" s="5" t="str">
        <f aca="false">IF(B525="","",IFERROR(INDEX(DE_PARA!$B$6:$B$205,MATCH(B525,DE_PARA!$A$6:$A$205,0)),"SEM DE-PARA"))</f>
        <v/>
      </c>
      <c r="E525" s="23" t="str">
        <f aca="false">IF(A525="","",DATE(YEAR(A525),MONTH(A525),1))</f>
        <v/>
      </c>
    </row>
    <row r="526" customFormat="false" ht="15" hidden="false" customHeight="false" outlineLevel="0" collapsed="false">
      <c r="A526" s="21"/>
      <c r="B526" s="4"/>
      <c r="C526" s="22"/>
      <c r="D526" s="5" t="str">
        <f aca="false">IF(B526="","",IFERROR(INDEX(DE_PARA!$B$6:$B$205,MATCH(B526,DE_PARA!$A$6:$A$205,0)),"SEM DE-PARA"))</f>
        <v/>
      </c>
      <c r="E526" s="23" t="str">
        <f aca="false">IF(A526="","",DATE(YEAR(A526),MONTH(A526),1))</f>
        <v/>
      </c>
    </row>
    <row r="527" customFormat="false" ht="15" hidden="false" customHeight="false" outlineLevel="0" collapsed="false">
      <c r="A527" s="21"/>
      <c r="B527" s="4"/>
      <c r="C527" s="22"/>
      <c r="D527" s="5" t="str">
        <f aca="false">IF(B527="","",IFERROR(INDEX(DE_PARA!$B$6:$B$205,MATCH(B527,DE_PARA!$A$6:$A$205,0)),"SEM DE-PARA"))</f>
        <v/>
      </c>
      <c r="E527" s="23" t="str">
        <f aca="false">IF(A527="","",DATE(YEAR(A527),MONTH(A527),1))</f>
        <v/>
      </c>
    </row>
    <row r="528" customFormat="false" ht="15" hidden="false" customHeight="false" outlineLevel="0" collapsed="false">
      <c r="A528" s="21"/>
      <c r="B528" s="4"/>
      <c r="C528" s="22"/>
      <c r="D528" s="5" t="str">
        <f aca="false">IF(B528="","",IFERROR(INDEX(DE_PARA!$B$6:$B$205,MATCH(B528,DE_PARA!$A$6:$A$205,0)),"SEM DE-PARA"))</f>
        <v/>
      </c>
      <c r="E528" s="23" t="str">
        <f aca="false">IF(A528="","",DATE(YEAR(A528),MONTH(A528),1))</f>
        <v/>
      </c>
    </row>
    <row r="529" customFormat="false" ht="15" hidden="false" customHeight="false" outlineLevel="0" collapsed="false">
      <c r="A529" s="21"/>
      <c r="B529" s="4"/>
      <c r="C529" s="22"/>
      <c r="D529" s="5" t="str">
        <f aca="false">IF(B529="","",IFERROR(INDEX(DE_PARA!$B$6:$B$205,MATCH(B529,DE_PARA!$A$6:$A$205,0)),"SEM DE-PARA"))</f>
        <v/>
      </c>
      <c r="E529" s="23" t="str">
        <f aca="false">IF(A529="","",DATE(YEAR(A529),MONTH(A529),1))</f>
        <v/>
      </c>
    </row>
    <row r="530" customFormat="false" ht="15" hidden="false" customHeight="false" outlineLevel="0" collapsed="false">
      <c r="A530" s="21"/>
      <c r="B530" s="4"/>
      <c r="C530" s="22"/>
      <c r="D530" s="5" t="str">
        <f aca="false">IF(B530="","",IFERROR(INDEX(DE_PARA!$B$6:$B$205,MATCH(B530,DE_PARA!$A$6:$A$205,0)),"SEM DE-PARA"))</f>
        <v/>
      </c>
      <c r="E530" s="23" t="str">
        <f aca="false">IF(A530="","",DATE(YEAR(A530),MONTH(A530),1))</f>
        <v/>
      </c>
    </row>
    <row r="531" customFormat="false" ht="15" hidden="false" customHeight="false" outlineLevel="0" collapsed="false">
      <c r="A531" s="21"/>
      <c r="B531" s="4"/>
      <c r="C531" s="22"/>
      <c r="D531" s="5" t="str">
        <f aca="false">IF(B531="","",IFERROR(INDEX(DE_PARA!$B$6:$B$205,MATCH(B531,DE_PARA!$A$6:$A$205,0)),"SEM DE-PARA"))</f>
        <v/>
      </c>
      <c r="E531" s="23" t="str">
        <f aca="false">IF(A531="","",DATE(YEAR(A531),MONTH(A531),1))</f>
        <v/>
      </c>
    </row>
    <row r="532" customFormat="false" ht="15" hidden="false" customHeight="false" outlineLevel="0" collapsed="false">
      <c r="A532" s="21"/>
      <c r="B532" s="4"/>
      <c r="C532" s="22"/>
      <c r="D532" s="5" t="str">
        <f aca="false">IF(B532="","",IFERROR(INDEX(DE_PARA!$B$6:$B$205,MATCH(B532,DE_PARA!$A$6:$A$205,0)),"SEM DE-PARA"))</f>
        <v/>
      </c>
      <c r="E532" s="23" t="str">
        <f aca="false">IF(A532="","",DATE(YEAR(A532),MONTH(A532),1))</f>
        <v/>
      </c>
    </row>
    <row r="533" customFormat="false" ht="15" hidden="false" customHeight="false" outlineLevel="0" collapsed="false">
      <c r="A533" s="21"/>
      <c r="B533" s="4"/>
      <c r="C533" s="22"/>
      <c r="D533" s="5" t="str">
        <f aca="false">IF(B533="","",IFERROR(INDEX(DE_PARA!$B$6:$B$205,MATCH(B533,DE_PARA!$A$6:$A$205,0)),"SEM DE-PARA"))</f>
        <v/>
      </c>
      <c r="E533" s="23" t="str">
        <f aca="false">IF(A533="","",DATE(YEAR(A533),MONTH(A533),1))</f>
        <v/>
      </c>
    </row>
    <row r="534" customFormat="false" ht="15" hidden="false" customHeight="false" outlineLevel="0" collapsed="false">
      <c r="A534" s="21"/>
      <c r="B534" s="4"/>
      <c r="C534" s="22"/>
      <c r="D534" s="5" t="str">
        <f aca="false">IF(B534="","",IFERROR(INDEX(DE_PARA!$B$6:$B$205,MATCH(B534,DE_PARA!$A$6:$A$205,0)),"SEM DE-PARA"))</f>
        <v/>
      </c>
      <c r="E534" s="23" t="str">
        <f aca="false">IF(A534="","",DATE(YEAR(A534),MONTH(A534),1))</f>
        <v/>
      </c>
    </row>
    <row r="535" customFormat="false" ht="15" hidden="false" customHeight="false" outlineLevel="0" collapsed="false">
      <c r="A535" s="21"/>
      <c r="B535" s="4"/>
      <c r="C535" s="22"/>
      <c r="D535" s="5" t="str">
        <f aca="false">IF(B535="","",IFERROR(INDEX(DE_PARA!$B$6:$B$205,MATCH(B535,DE_PARA!$A$6:$A$205,0)),"SEM DE-PARA"))</f>
        <v/>
      </c>
      <c r="E535" s="23" t="str">
        <f aca="false">IF(A535="","",DATE(YEAR(A535),MONTH(A535),1))</f>
        <v/>
      </c>
    </row>
    <row r="536" customFormat="false" ht="15" hidden="false" customHeight="false" outlineLevel="0" collapsed="false">
      <c r="A536" s="21"/>
      <c r="B536" s="4"/>
      <c r="C536" s="22"/>
      <c r="D536" s="5" t="str">
        <f aca="false">IF(B536="","",IFERROR(INDEX(DE_PARA!$B$6:$B$205,MATCH(B536,DE_PARA!$A$6:$A$205,0)),"SEM DE-PARA"))</f>
        <v/>
      </c>
      <c r="E536" s="23" t="str">
        <f aca="false">IF(A536="","",DATE(YEAR(A536),MONTH(A536),1))</f>
        <v/>
      </c>
    </row>
    <row r="537" customFormat="false" ht="15" hidden="false" customHeight="false" outlineLevel="0" collapsed="false">
      <c r="A537" s="21"/>
      <c r="B537" s="4"/>
      <c r="C537" s="22"/>
      <c r="D537" s="5" t="str">
        <f aca="false">IF(B537="","",IFERROR(INDEX(DE_PARA!$B$6:$B$205,MATCH(B537,DE_PARA!$A$6:$A$205,0)),"SEM DE-PARA"))</f>
        <v/>
      </c>
      <c r="E537" s="23" t="str">
        <f aca="false">IF(A537="","",DATE(YEAR(A537),MONTH(A537),1))</f>
        <v/>
      </c>
    </row>
    <row r="538" customFormat="false" ht="15" hidden="false" customHeight="false" outlineLevel="0" collapsed="false">
      <c r="A538" s="21"/>
      <c r="B538" s="4"/>
      <c r="C538" s="22"/>
      <c r="D538" s="5" t="str">
        <f aca="false">IF(B538="","",IFERROR(INDEX(DE_PARA!$B$6:$B$205,MATCH(B538,DE_PARA!$A$6:$A$205,0)),"SEM DE-PARA"))</f>
        <v/>
      </c>
      <c r="E538" s="23" t="str">
        <f aca="false">IF(A538="","",DATE(YEAR(A538),MONTH(A538),1))</f>
        <v/>
      </c>
    </row>
    <row r="539" customFormat="false" ht="15" hidden="false" customHeight="false" outlineLevel="0" collapsed="false">
      <c r="A539" s="21"/>
      <c r="B539" s="4"/>
      <c r="C539" s="22"/>
      <c r="D539" s="5" t="str">
        <f aca="false">IF(B539="","",IFERROR(INDEX(DE_PARA!$B$6:$B$205,MATCH(B539,DE_PARA!$A$6:$A$205,0)),"SEM DE-PARA"))</f>
        <v/>
      </c>
      <c r="E539" s="23" t="str">
        <f aca="false">IF(A539="","",DATE(YEAR(A539),MONTH(A539),1))</f>
        <v/>
      </c>
    </row>
    <row r="540" customFormat="false" ht="15" hidden="false" customHeight="false" outlineLevel="0" collapsed="false">
      <c r="A540" s="21"/>
      <c r="B540" s="4"/>
      <c r="C540" s="22"/>
      <c r="D540" s="5" t="str">
        <f aca="false">IF(B540="","",IFERROR(INDEX(DE_PARA!$B$6:$B$205,MATCH(B540,DE_PARA!$A$6:$A$205,0)),"SEM DE-PARA"))</f>
        <v/>
      </c>
      <c r="E540" s="23" t="str">
        <f aca="false">IF(A540="","",DATE(YEAR(A540),MONTH(A540),1))</f>
        <v/>
      </c>
    </row>
    <row r="541" customFormat="false" ht="15" hidden="false" customHeight="false" outlineLevel="0" collapsed="false">
      <c r="A541" s="21"/>
      <c r="B541" s="4"/>
      <c r="C541" s="22"/>
      <c r="D541" s="5" t="str">
        <f aca="false">IF(B541="","",IFERROR(INDEX(DE_PARA!$B$6:$B$205,MATCH(B541,DE_PARA!$A$6:$A$205,0)),"SEM DE-PARA"))</f>
        <v/>
      </c>
      <c r="E541" s="23" t="str">
        <f aca="false">IF(A541="","",DATE(YEAR(A541),MONTH(A541),1))</f>
        <v/>
      </c>
    </row>
    <row r="542" customFormat="false" ht="15" hidden="false" customHeight="false" outlineLevel="0" collapsed="false">
      <c r="A542" s="21"/>
      <c r="B542" s="4"/>
      <c r="C542" s="22"/>
      <c r="D542" s="5" t="str">
        <f aca="false">IF(B542="","",IFERROR(INDEX(DE_PARA!$B$6:$B$205,MATCH(B542,DE_PARA!$A$6:$A$205,0)),"SEM DE-PARA"))</f>
        <v/>
      </c>
      <c r="E542" s="23" t="str">
        <f aca="false">IF(A542="","",DATE(YEAR(A542),MONTH(A542),1))</f>
        <v/>
      </c>
    </row>
    <row r="543" customFormat="false" ht="15" hidden="false" customHeight="false" outlineLevel="0" collapsed="false">
      <c r="A543" s="21"/>
      <c r="B543" s="4"/>
      <c r="C543" s="22"/>
      <c r="D543" s="5" t="str">
        <f aca="false">IF(B543="","",IFERROR(INDEX(DE_PARA!$B$6:$B$205,MATCH(B543,DE_PARA!$A$6:$A$205,0)),"SEM DE-PARA"))</f>
        <v/>
      </c>
      <c r="E543" s="23" t="str">
        <f aca="false">IF(A543="","",DATE(YEAR(A543),MONTH(A543),1))</f>
        <v/>
      </c>
    </row>
    <row r="544" customFormat="false" ht="15" hidden="false" customHeight="false" outlineLevel="0" collapsed="false">
      <c r="A544" s="21"/>
      <c r="B544" s="4"/>
      <c r="C544" s="22"/>
      <c r="D544" s="5" t="str">
        <f aca="false">IF(B544="","",IFERROR(INDEX(DE_PARA!$B$6:$B$205,MATCH(B544,DE_PARA!$A$6:$A$205,0)),"SEM DE-PARA"))</f>
        <v/>
      </c>
      <c r="E544" s="23" t="str">
        <f aca="false">IF(A544="","",DATE(YEAR(A544),MONTH(A544),1))</f>
        <v/>
      </c>
    </row>
    <row r="545" customFormat="false" ht="15" hidden="false" customHeight="false" outlineLevel="0" collapsed="false">
      <c r="A545" s="21"/>
      <c r="B545" s="4"/>
      <c r="C545" s="22"/>
      <c r="D545" s="5" t="str">
        <f aca="false">IF(B545="","",IFERROR(INDEX(DE_PARA!$B$6:$B$205,MATCH(B545,DE_PARA!$A$6:$A$205,0)),"SEM DE-PARA"))</f>
        <v/>
      </c>
      <c r="E545" s="23" t="str">
        <f aca="false">IF(A545="","",DATE(YEAR(A545),MONTH(A545),1))</f>
        <v/>
      </c>
    </row>
    <row r="546" customFormat="false" ht="15" hidden="false" customHeight="false" outlineLevel="0" collapsed="false">
      <c r="A546" s="21"/>
      <c r="B546" s="4"/>
      <c r="C546" s="22"/>
      <c r="D546" s="5" t="str">
        <f aca="false">IF(B546="","",IFERROR(INDEX(DE_PARA!$B$6:$B$205,MATCH(B546,DE_PARA!$A$6:$A$205,0)),"SEM DE-PARA"))</f>
        <v/>
      </c>
      <c r="E546" s="23" t="str">
        <f aca="false">IF(A546="","",DATE(YEAR(A546),MONTH(A546),1))</f>
        <v/>
      </c>
    </row>
    <row r="547" customFormat="false" ht="15" hidden="false" customHeight="false" outlineLevel="0" collapsed="false">
      <c r="A547" s="21"/>
      <c r="B547" s="4"/>
      <c r="C547" s="22"/>
      <c r="D547" s="5" t="str">
        <f aca="false">IF(B547="","",IFERROR(INDEX(DE_PARA!$B$6:$B$205,MATCH(B547,DE_PARA!$A$6:$A$205,0)),"SEM DE-PARA"))</f>
        <v/>
      </c>
      <c r="E547" s="23" t="str">
        <f aca="false">IF(A547="","",DATE(YEAR(A547),MONTH(A547),1))</f>
        <v/>
      </c>
    </row>
    <row r="548" customFormat="false" ht="15" hidden="false" customHeight="false" outlineLevel="0" collapsed="false">
      <c r="A548" s="21"/>
      <c r="B548" s="4"/>
      <c r="C548" s="22"/>
      <c r="D548" s="5" t="str">
        <f aca="false">IF(B548="","",IFERROR(INDEX(DE_PARA!$B$6:$B$205,MATCH(B548,DE_PARA!$A$6:$A$205,0)),"SEM DE-PARA"))</f>
        <v/>
      </c>
      <c r="E548" s="23" t="str">
        <f aca="false">IF(A548="","",DATE(YEAR(A548),MONTH(A548),1))</f>
        <v/>
      </c>
    </row>
    <row r="549" customFormat="false" ht="15" hidden="false" customHeight="false" outlineLevel="0" collapsed="false">
      <c r="A549" s="21"/>
      <c r="B549" s="4"/>
      <c r="C549" s="22"/>
      <c r="D549" s="5" t="str">
        <f aca="false">IF(B549="","",IFERROR(INDEX(DE_PARA!$B$6:$B$205,MATCH(B549,DE_PARA!$A$6:$A$205,0)),"SEM DE-PARA"))</f>
        <v/>
      </c>
      <c r="E549" s="23" t="str">
        <f aca="false">IF(A549="","",DATE(YEAR(A549),MONTH(A549),1))</f>
        <v/>
      </c>
    </row>
    <row r="550" customFormat="false" ht="15" hidden="false" customHeight="false" outlineLevel="0" collapsed="false">
      <c r="A550" s="21"/>
      <c r="B550" s="4"/>
      <c r="C550" s="22"/>
      <c r="D550" s="5" t="str">
        <f aca="false">IF(B550="","",IFERROR(INDEX(DE_PARA!$B$6:$B$205,MATCH(B550,DE_PARA!$A$6:$A$205,0)),"SEM DE-PARA"))</f>
        <v/>
      </c>
      <c r="E550" s="23" t="str">
        <f aca="false">IF(A550="","",DATE(YEAR(A550),MONTH(A550),1))</f>
        <v/>
      </c>
    </row>
    <row r="551" customFormat="false" ht="15" hidden="false" customHeight="false" outlineLevel="0" collapsed="false">
      <c r="A551" s="21"/>
      <c r="B551" s="4"/>
      <c r="C551" s="22"/>
      <c r="D551" s="5" t="str">
        <f aca="false">IF(B551="","",IFERROR(INDEX(DE_PARA!$B$6:$B$205,MATCH(B551,DE_PARA!$A$6:$A$205,0)),"SEM DE-PARA"))</f>
        <v/>
      </c>
      <c r="E551" s="23" t="str">
        <f aca="false">IF(A551="","",DATE(YEAR(A551),MONTH(A551),1))</f>
        <v/>
      </c>
    </row>
    <row r="552" customFormat="false" ht="15" hidden="false" customHeight="false" outlineLevel="0" collapsed="false">
      <c r="A552" s="21"/>
      <c r="B552" s="4"/>
      <c r="C552" s="22"/>
      <c r="D552" s="5" t="str">
        <f aca="false">IF(B552="","",IFERROR(INDEX(DE_PARA!$B$6:$B$205,MATCH(B552,DE_PARA!$A$6:$A$205,0)),"SEM DE-PARA"))</f>
        <v/>
      </c>
      <c r="E552" s="23" t="str">
        <f aca="false">IF(A552="","",DATE(YEAR(A552),MONTH(A552),1))</f>
        <v/>
      </c>
    </row>
    <row r="553" customFormat="false" ht="15" hidden="false" customHeight="false" outlineLevel="0" collapsed="false">
      <c r="A553" s="21"/>
      <c r="B553" s="4"/>
      <c r="C553" s="22"/>
      <c r="D553" s="5" t="str">
        <f aca="false">IF(B553="","",IFERROR(INDEX(DE_PARA!$B$6:$B$205,MATCH(B553,DE_PARA!$A$6:$A$205,0)),"SEM DE-PARA"))</f>
        <v/>
      </c>
      <c r="E553" s="23" t="str">
        <f aca="false">IF(A553="","",DATE(YEAR(A553),MONTH(A553),1))</f>
        <v/>
      </c>
    </row>
    <row r="554" customFormat="false" ht="15" hidden="false" customHeight="false" outlineLevel="0" collapsed="false">
      <c r="A554" s="21"/>
      <c r="B554" s="4"/>
      <c r="C554" s="22"/>
      <c r="D554" s="5" t="str">
        <f aca="false">IF(B554="","",IFERROR(INDEX(DE_PARA!$B$6:$B$205,MATCH(B554,DE_PARA!$A$6:$A$205,0)),"SEM DE-PARA"))</f>
        <v/>
      </c>
      <c r="E554" s="23" t="str">
        <f aca="false">IF(A554="","",DATE(YEAR(A554),MONTH(A554),1))</f>
        <v/>
      </c>
    </row>
    <row r="555" customFormat="false" ht="15" hidden="false" customHeight="false" outlineLevel="0" collapsed="false">
      <c r="A555" s="21"/>
      <c r="B555" s="4"/>
      <c r="C555" s="22"/>
      <c r="D555" s="5" t="str">
        <f aca="false">IF(B555="","",IFERROR(INDEX(DE_PARA!$B$6:$B$205,MATCH(B555,DE_PARA!$A$6:$A$205,0)),"SEM DE-PARA"))</f>
        <v/>
      </c>
      <c r="E555" s="23" t="str">
        <f aca="false">IF(A555="","",DATE(YEAR(A555),MONTH(A555),1))</f>
        <v/>
      </c>
    </row>
    <row r="556" customFormat="false" ht="15" hidden="false" customHeight="false" outlineLevel="0" collapsed="false">
      <c r="A556" s="21"/>
      <c r="B556" s="4"/>
      <c r="C556" s="22"/>
      <c r="D556" s="5" t="str">
        <f aca="false">IF(B556="","",IFERROR(INDEX(DE_PARA!$B$6:$B$205,MATCH(B556,DE_PARA!$A$6:$A$205,0)),"SEM DE-PARA"))</f>
        <v/>
      </c>
      <c r="E556" s="23" t="str">
        <f aca="false">IF(A556="","",DATE(YEAR(A556),MONTH(A556),1))</f>
        <v/>
      </c>
    </row>
    <row r="557" customFormat="false" ht="15" hidden="false" customHeight="false" outlineLevel="0" collapsed="false">
      <c r="A557" s="21"/>
      <c r="B557" s="4"/>
      <c r="C557" s="22"/>
      <c r="D557" s="5" t="str">
        <f aca="false">IF(B557="","",IFERROR(INDEX(DE_PARA!$B$6:$B$205,MATCH(B557,DE_PARA!$A$6:$A$205,0)),"SEM DE-PARA"))</f>
        <v/>
      </c>
      <c r="E557" s="23" t="str">
        <f aca="false">IF(A557="","",DATE(YEAR(A557),MONTH(A557),1))</f>
        <v/>
      </c>
    </row>
    <row r="558" customFormat="false" ht="15" hidden="false" customHeight="false" outlineLevel="0" collapsed="false">
      <c r="A558" s="21"/>
      <c r="B558" s="4"/>
      <c r="C558" s="22"/>
      <c r="D558" s="5" t="str">
        <f aca="false">IF(B558="","",IFERROR(INDEX(DE_PARA!$B$6:$B$205,MATCH(B558,DE_PARA!$A$6:$A$205,0)),"SEM DE-PARA"))</f>
        <v/>
      </c>
      <c r="E558" s="23" t="str">
        <f aca="false">IF(A558="","",DATE(YEAR(A558),MONTH(A558),1))</f>
        <v/>
      </c>
    </row>
    <row r="559" customFormat="false" ht="15" hidden="false" customHeight="false" outlineLevel="0" collapsed="false">
      <c r="A559" s="21"/>
      <c r="B559" s="4"/>
      <c r="C559" s="22"/>
      <c r="D559" s="5" t="str">
        <f aca="false">IF(B559="","",IFERROR(INDEX(DE_PARA!$B$6:$B$205,MATCH(B559,DE_PARA!$A$6:$A$205,0)),"SEM DE-PARA"))</f>
        <v/>
      </c>
      <c r="E559" s="23" t="str">
        <f aca="false">IF(A559="","",DATE(YEAR(A559),MONTH(A559),1))</f>
        <v/>
      </c>
    </row>
    <row r="560" customFormat="false" ht="15" hidden="false" customHeight="false" outlineLevel="0" collapsed="false">
      <c r="A560" s="21"/>
      <c r="B560" s="4"/>
      <c r="C560" s="22"/>
      <c r="D560" s="5" t="str">
        <f aca="false">IF(B560="","",IFERROR(INDEX(DE_PARA!$B$6:$B$205,MATCH(B560,DE_PARA!$A$6:$A$205,0)),"SEM DE-PARA"))</f>
        <v/>
      </c>
      <c r="E560" s="23" t="str">
        <f aca="false">IF(A560="","",DATE(YEAR(A560),MONTH(A560),1))</f>
        <v/>
      </c>
    </row>
    <row r="561" customFormat="false" ht="15" hidden="false" customHeight="false" outlineLevel="0" collapsed="false">
      <c r="A561" s="21"/>
      <c r="B561" s="4"/>
      <c r="C561" s="22"/>
      <c r="D561" s="5" t="str">
        <f aca="false">IF(B561="","",IFERROR(INDEX(DE_PARA!$B$6:$B$205,MATCH(B561,DE_PARA!$A$6:$A$205,0)),"SEM DE-PARA"))</f>
        <v/>
      </c>
      <c r="E561" s="23" t="str">
        <f aca="false">IF(A561="","",DATE(YEAR(A561),MONTH(A561),1))</f>
        <v/>
      </c>
    </row>
    <row r="562" customFormat="false" ht="15" hidden="false" customHeight="false" outlineLevel="0" collapsed="false">
      <c r="A562" s="21"/>
      <c r="B562" s="4"/>
      <c r="C562" s="22"/>
      <c r="D562" s="5" t="str">
        <f aca="false">IF(B562="","",IFERROR(INDEX(DE_PARA!$B$6:$B$205,MATCH(B562,DE_PARA!$A$6:$A$205,0)),"SEM DE-PARA"))</f>
        <v/>
      </c>
      <c r="E562" s="23" t="str">
        <f aca="false">IF(A562="","",DATE(YEAR(A562),MONTH(A562),1))</f>
        <v/>
      </c>
    </row>
    <row r="563" customFormat="false" ht="15" hidden="false" customHeight="false" outlineLevel="0" collapsed="false">
      <c r="A563" s="21"/>
      <c r="B563" s="4"/>
      <c r="C563" s="22"/>
      <c r="D563" s="5" t="str">
        <f aca="false">IF(B563="","",IFERROR(INDEX(DE_PARA!$B$6:$B$205,MATCH(B563,DE_PARA!$A$6:$A$205,0)),"SEM DE-PARA"))</f>
        <v/>
      </c>
      <c r="E563" s="23" t="str">
        <f aca="false">IF(A563="","",DATE(YEAR(A563),MONTH(A563),1))</f>
        <v/>
      </c>
    </row>
    <row r="564" customFormat="false" ht="15" hidden="false" customHeight="false" outlineLevel="0" collapsed="false">
      <c r="A564" s="21"/>
      <c r="B564" s="4"/>
      <c r="C564" s="22"/>
      <c r="D564" s="5" t="str">
        <f aca="false">IF(B564="","",IFERROR(INDEX(DE_PARA!$B$6:$B$205,MATCH(B564,DE_PARA!$A$6:$A$205,0)),"SEM DE-PARA"))</f>
        <v/>
      </c>
      <c r="E564" s="23" t="str">
        <f aca="false">IF(A564="","",DATE(YEAR(A564),MONTH(A564),1))</f>
        <v/>
      </c>
    </row>
    <row r="565" customFormat="false" ht="15" hidden="false" customHeight="false" outlineLevel="0" collapsed="false">
      <c r="A565" s="21"/>
      <c r="B565" s="4"/>
      <c r="C565" s="22"/>
      <c r="D565" s="5" t="str">
        <f aca="false">IF(B565="","",IFERROR(INDEX(DE_PARA!$B$6:$B$205,MATCH(B565,DE_PARA!$A$6:$A$205,0)),"SEM DE-PARA"))</f>
        <v/>
      </c>
      <c r="E565" s="23" t="str">
        <f aca="false">IF(A565="","",DATE(YEAR(A565),MONTH(A565),1))</f>
        <v/>
      </c>
    </row>
    <row r="566" customFormat="false" ht="15" hidden="false" customHeight="false" outlineLevel="0" collapsed="false">
      <c r="A566" s="21"/>
      <c r="B566" s="4"/>
      <c r="C566" s="22"/>
      <c r="D566" s="5" t="str">
        <f aca="false">IF(B566="","",IFERROR(INDEX(DE_PARA!$B$6:$B$205,MATCH(B566,DE_PARA!$A$6:$A$205,0)),"SEM DE-PARA"))</f>
        <v/>
      </c>
      <c r="E566" s="23" t="str">
        <f aca="false">IF(A566="","",DATE(YEAR(A566),MONTH(A566),1))</f>
        <v/>
      </c>
    </row>
    <row r="567" customFormat="false" ht="15" hidden="false" customHeight="false" outlineLevel="0" collapsed="false">
      <c r="A567" s="21"/>
      <c r="B567" s="4"/>
      <c r="C567" s="22"/>
      <c r="D567" s="5" t="str">
        <f aca="false">IF(B567="","",IFERROR(INDEX(DE_PARA!$B$6:$B$205,MATCH(B567,DE_PARA!$A$6:$A$205,0)),"SEM DE-PARA"))</f>
        <v/>
      </c>
      <c r="E567" s="23" t="str">
        <f aca="false">IF(A567="","",DATE(YEAR(A567),MONTH(A567),1))</f>
        <v/>
      </c>
    </row>
    <row r="568" customFormat="false" ht="15" hidden="false" customHeight="false" outlineLevel="0" collapsed="false">
      <c r="A568" s="21"/>
      <c r="B568" s="4"/>
      <c r="C568" s="22"/>
      <c r="D568" s="5" t="str">
        <f aca="false">IF(B568="","",IFERROR(INDEX(DE_PARA!$B$6:$B$205,MATCH(B568,DE_PARA!$A$6:$A$205,0)),"SEM DE-PARA"))</f>
        <v/>
      </c>
      <c r="E568" s="23" t="str">
        <f aca="false">IF(A568="","",DATE(YEAR(A568),MONTH(A568),1))</f>
        <v/>
      </c>
    </row>
    <row r="569" customFormat="false" ht="15" hidden="false" customHeight="false" outlineLevel="0" collapsed="false">
      <c r="A569" s="21"/>
      <c r="B569" s="4"/>
      <c r="C569" s="22"/>
      <c r="D569" s="5" t="str">
        <f aca="false">IF(B569="","",IFERROR(INDEX(DE_PARA!$B$6:$B$205,MATCH(B569,DE_PARA!$A$6:$A$205,0)),"SEM DE-PARA"))</f>
        <v/>
      </c>
      <c r="E569" s="23" t="str">
        <f aca="false">IF(A569="","",DATE(YEAR(A569),MONTH(A569),1))</f>
        <v/>
      </c>
    </row>
    <row r="570" customFormat="false" ht="15" hidden="false" customHeight="false" outlineLevel="0" collapsed="false">
      <c r="A570" s="21"/>
      <c r="B570" s="4"/>
      <c r="C570" s="22"/>
      <c r="D570" s="5" t="str">
        <f aca="false">IF(B570="","",IFERROR(INDEX(DE_PARA!$B$6:$B$205,MATCH(B570,DE_PARA!$A$6:$A$205,0)),"SEM DE-PARA"))</f>
        <v/>
      </c>
      <c r="E570" s="23" t="str">
        <f aca="false">IF(A570="","",DATE(YEAR(A570),MONTH(A570),1))</f>
        <v/>
      </c>
    </row>
    <row r="571" customFormat="false" ht="15" hidden="false" customHeight="false" outlineLevel="0" collapsed="false">
      <c r="A571" s="21"/>
      <c r="B571" s="4"/>
      <c r="C571" s="22"/>
      <c r="D571" s="5" t="str">
        <f aca="false">IF(B571="","",IFERROR(INDEX(DE_PARA!$B$6:$B$205,MATCH(B571,DE_PARA!$A$6:$A$205,0)),"SEM DE-PARA"))</f>
        <v/>
      </c>
      <c r="E571" s="23" t="str">
        <f aca="false">IF(A571="","",DATE(YEAR(A571),MONTH(A571),1))</f>
        <v/>
      </c>
    </row>
    <row r="572" customFormat="false" ht="15" hidden="false" customHeight="false" outlineLevel="0" collapsed="false">
      <c r="A572" s="21"/>
      <c r="B572" s="4"/>
      <c r="C572" s="22"/>
      <c r="D572" s="5" t="str">
        <f aca="false">IF(B572="","",IFERROR(INDEX(DE_PARA!$B$6:$B$205,MATCH(B572,DE_PARA!$A$6:$A$205,0)),"SEM DE-PARA"))</f>
        <v/>
      </c>
      <c r="E572" s="23" t="str">
        <f aca="false">IF(A572="","",DATE(YEAR(A572),MONTH(A572),1))</f>
        <v/>
      </c>
    </row>
    <row r="573" customFormat="false" ht="15" hidden="false" customHeight="false" outlineLevel="0" collapsed="false">
      <c r="A573" s="21"/>
      <c r="B573" s="4"/>
      <c r="C573" s="22"/>
      <c r="D573" s="5" t="str">
        <f aca="false">IF(B573="","",IFERROR(INDEX(DE_PARA!$B$6:$B$205,MATCH(B573,DE_PARA!$A$6:$A$205,0)),"SEM DE-PARA"))</f>
        <v/>
      </c>
      <c r="E573" s="23" t="str">
        <f aca="false">IF(A573="","",DATE(YEAR(A573),MONTH(A573),1))</f>
        <v/>
      </c>
    </row>
    <row r="574" customFormat="false" ht="15" hidden="false" customHeight="false" outlineLevel="0" collapsed="false">
      <c r="A574" s="21"/>
      <c r="B574" s="4"/>
      <c r="C574" s="22"/>
      <c r="D574" s="5" t="str">
        <f aca="false">IF(B574="","",IFERROR(INDEX(DE_PARA!$B$6:$B$205,MATCH(B574,DE_PARA!$A$6:$A$205,0)),"SEM DE-PARA"))</f>
        <v/>
      </c>
      <c r="E574" s="23" t="str">
        <f aca="false">IF(A574="","",DATE(YEAR(A574),MONTH(A574),1))</f>
        <v/>
      </c>
    </row>
    <row r="575" customFormat="false" ht="15" hidden="false" customHeight="false" outlineLevel="0" collapsed="false">
      <c r="A575" s="21"/>
      <c r="B575" s="4"/>
      <c r="C575" s="22"/>
      <c r="D575" s="5" t="str">
        <f aca="false">IF(B575="","",IFERROR(INDEX(DE_PARA!$B$6:$B$205,MATCH(B575,DE_PARA!$A$6:$A$205,0)),"SEM DE-PARA"))</f>
        <v/>
      </c>
      <c r="E575" s="23" t="str">
        <f aca="false">IF(A575="","",DATE(YEAR(A575),MONTH(A575),1))</f>
        <v/>
      </c>
    </row>
    <row r="576" customFormat="false" ht="15" hidden="false" customHeight="false" outlineLevel="0" collapsed="false">
      <c r="A576" s="21"/>
      <c r="B576" s="4"/>
      <c r="C576" s="22"/>
      <c r="D576" s="5" t="str">
        <f aca="false">IF(B576="","",IFERROR(INDEX(DE_PARA!$B$6:$B$205,MATCH(B576,DE_PARA!$A$6:$A$205,0)),"SEM DE-PARA"))</f>
        <v/>
      </c>
      <c r="E576" s="23" t="str">
        <f aca="false">IF(A576="","",DATE(YEAR(A576),MONTH(A576),1))</f>
        <v/>
      </c>
    </row>
    <row r="577" customFormat="false" ht="15" hidden="false" customHeight="false" outlineLevel="0" collapsed="false">
      <c r="A577" s="21"/>
      <c r="B577" s="4"/>
      <c r="C577" s="22"/>
      <c r="D577" s="5" t="str">
        <f aca="false">IF(B577="","",IFERROR(INDEX(DE_PARA!$B$6:$B$205,MATCH(B577,DE_PARA!$A$6:$A$205,0)),"SEM DE-PARA"))</f>
        <v/>
      </c>
      <c r="E577" s="23" t="str">
        <f aca="false">IF(A577="","",DATE(YEAR(A577),MONTH(A577),1))</f>
        <v/>
      </c>
    </row>
    <row r="578" customFormat="false" ht="15" hidden="false" customHeight="false" outlineLevel="0" collapsed="false">
      <c r="A578" s="21"/>
      <c r="B578" s="4"/>
      <c r="C578" s="22"/>
      <c r="D578" s="5" t="str">
        <f aca="false">IF(B578="","",IFERROR(INDEX(DE_PARA!$B$6:$B$205,MATCH(B578,DE_PARA!$A$6:$A$205,0)),"SEM DE-PARA"))</f>
        <v/>
      </c>
      <c r="E578" s="23" t="str">
        <f aca="false">IF(A578="","",DATE(YEAR(A578),MONTH(A578),1))</f>
        <v/>
      </c>
    </row>
    <row r="579" customFormat="false" ht="15" hidden="false" customHeight="false" outlineLevel="0" collapsed="false">
      <c r="A579" s="21"/>
      <c r="B579" s="4"/>
      <c r="C579" s="22"/>
      <c r="D579" s="5" t="str">
        <f aca="false">IF(B579="","",IFERROR(INDEX(DE_PARA!$B$6:$B$205,MATCH(B579,DE_PARA!$A$6:$A$205,0)),"SEM DE-PARA"))</f>
        <v/>
      </c>
      <c r="E579" s="23" t="str">
        <f aca="false">IF(A579="","",DATE(YEAR(A579),MONTH(A579),1))</f>
        <v/>
      </c>
    </row>
    <row r="580" customFormat="false" ht="15" hidden="false" customHeight="false" outlineLevel="0" collapsed="false">
      <c r="A580" s="21"/>
      <c r="B580" s="4"/>
      <c r="C580" s="22"/>
      <c r="D580" s="5" t="str">
        <f aca="false">IF(B580="","",IFERROR(INDEX(DE_PARA!$B$6:$B$205,MATCH(B580,DE_PARA!$A$6:$A$205,0)),"SEM DE-PARA"))</f>
        <v/>
      </c>
      <c r="E580" s="23" t="str">
        <f aca="false">IF(A580="","",DATE(YEAR(A580),MONTH(A580),1))</f>
        <v/>
      </c>
    </row>
    <row r="581" customFormat="false" ht="15" hidden="false" customHeight="false" outlineLevel="0" collapsed="false">
      <c r="A581" s="21"/>
      <c r="B581" s="4"/>
      <c r="C581" s="22"/>
      <c r="D581" s="5" t="str">
        <f aca="false">IF(B581="","",IFERROR(INDEX(DE_PARA!$B$6:$B$205,MATCH(B581,DE_PARA!$A$6:$A$205,0)),"SEM DE-PARA"))</f>
        <v/>
      </c>
      <c r="E581" s="23" t="str">
        <f aca="false">IF(A581="","",DATE(YEAR(A581),MONTH(A581),1))</f>
        <v/>
      </c>
    </row>
    <row r="582" customFormat="false" ht="15" hidden="false" customHeight="false" outlineLevel="0" collapsed="false">
      <c r="A582" s="21"/>
      <c r="B582" s="4"/>
      <c r="C582" s="22"/>
      <c r="D582" s="5" t="str">
        <f aca="false">IF(B582="","",IFERROR(INDEX(DE_PARA!$B$6:$B$205,MATCH(B582,DE_PARA!$A$6:$A$205,0)),"SEM DE-PARA"))</f>
        <v/>
      </c>
      <c r="E582" s="23" t="str">
        <f aca="false">IF(A582="","",DATE(YEAR(A582),MONTH(A582),1))</f>
        <v/>
      </c>
    </row>
    <row r="583" customFormat="false" ht="15" hidden="false" customHeight="false" outlineLevel="0" collapsed="false">
      <c r="A583" s="21"/>
      <c r="B583" s="4"/>
      <c r="C583" s="22"/>
      <c r="D583" s="5" t="str">
        <f aca="false">IF(B583="","",IFERROR(INDEX(DE_PARA!$B$6:$B$205,MATCH(B583,DE_PARA!$A$6:$A$205,0)),"SEM DE-PARA"))</f>
        <v/>
      </c>
      <c r="E583" s="23" t="str">
        <f aca="false">IF(A583="","",DATE(YEAR(A583),MONTH(A583),1))</f>
        <v/>
      </c>
    </row>
    <row r="584" customFormat="false" ht="15" hidden="false" customHeight="false" outlineLevel="0" collapsed="false">
      <c r="A584" s="21"/>
      <c r="B584" s="4"/>
      <c r="C584" s="22"/>
      <c r="D584" s="5" t="str">
        <f aca="false">IF(B584="","",IFERROR(INDEX(DE_PARA!$B$6:$B$205,MATCH(B584,DE_PARA!$A$6:$A$205,0)),"SEM DE-PARA"))</f>
        <v/>
      </c>
      <c r="E584" s="23" t="str">
        <f aca="false">IF(A584="","",DATE(YEAR(A584),MONTH(A584),1))</f>
        <v/>
      </c>
    </row>
    <row r="585" customFormat="false" ht="15" hidden="false" customHeight="false" outlineLevel="0" collapsed="false">
      <c r="A585" s="21"/>
      <c r="B585" s="4"/>
      <c r="C585" s="22"/>
      <c r="D585" s="5" t="str">
        <f aca="false">IF(B585="","",IFERROR(INDEX(DE_PARA!$B$6:$B$205,MATCH(B585,DE_PARA!$A$6:$A$205,0)),"SEM DE-PARA"))</f>
        <v/>
      </c>
      <c r="E585" s="23" t="str">
        <f aca="false">IF(A585="","",DATE(YEAR(A585),MONTH(A585),1))</f>
        <v/>
      </c>
    </row>
    <row r="586" customFormat="false" ht="15" hidden="false" customHeight="false" outlineLevel="0" collapsed="false">
      <c r="A586" s="21"/>
      <c r="B586" s="4"/>
      <c r="C586" s="22"/>
      <c r="D586" s="5" t="str">
        <f aca="false">IF(B586="","",IFERROR(INDEX(DE_PARA!$B$6:$B$205,MATCH(B586,DE_PARA!$A$6:$A$205,0)),"SEM DE-PARA"))</f>
        <v/>
      </c>
      <c r="E586" s="23" t="str">
        <f aca="false">IF(A586="","",DATE(YEAR(A586),MONTH(A586),1))</f>
        <v/>
      </c>
    </row>
    <row r="587" customFormat="false" ht="15" hidden="false" customHeight="false" outlineLevel="0" collapsed="false">
      <c r="A587" s="21"/>
      <c r="B587" s="4"/>
      <c r="C587" s="22"/>
      <c r="D587" s="5" t="str">
        <f aca="false">IF(B587="","",IFERROR(INDEX(DE_PARA!$B$6:$B$205,MATCH(B587,DE_PARA!$A$6:$A$205,0)),"SEM DE-PARA"))</f>
        <v/>
      </c>
      <c r="E587" s="23" t="str">
        <f aca="false">IF(A587="","",DATE(YEAR(A587),MONTH(A587),1))</f>
        <v/>
      </c>
    </row>
    <row r="588" customFormat="false" ht="15" hidden="false" customHeight="false" outlineLevel="0" collapsed="false">
      <c r="A588" s="21"/>
      <c r="B588" s="4"/>
      <c r="C588" s="22"/>
      <c r="D588" s="5" t="str">
        <f aca="false">IF(B588="","",IFERROR(INDEX(DE_PARA!$B$6:$B$205,MATCH(B588,DE_PARA!$A$6:$A$205,0)),"SEM DE-PARA"))</f>
        <v/>
      </c>
      <c r="E588" s="23" t="str">
        <f aca="false">IF(A588="","",DATE(YEAR(A588),MONTH(A588),1))</f>
        <v/>
      </c>
    </row>
    <row r="589" customFormat="false" ht="15" hidden="false" customHeight="false" outlineLevel="0" collapsed="false">
      <c r="A589" s="21"/>
      <c r="B589" s="4"/>
      <c r="C589" s="22"/>
      <c r="D589" s="5" t="str">
        <f aca="false">IF(B589="","",IFERROR(INDEX(DE_PARA!$B$6:$B$205,MATCH(B589,DE_PARA!$A$6:$A$205,0)),"SEM DE-PARA"))</f>
        <v/>
      </c>
      <c r="E589" s="23" t="str">
        <f aca="false">IF(A589="","",DATE(YEAR(A589),MONTH(A589),1))</f>
        <v/>
      </c>
    </row>
    <row r="590" customFormat="false" ht="15" hidden="false" customHeight="false" outlineLevel="0" collapsed="false">
      <c r="A590" s="21"/>
      <c r="B590" s="4"/>
      <c r="C590" s="22"/>
      <c r="D590" s="5" t="str">
        <f aca="false">IF(B590="","",IFERROR(INDEX(DE_PARA!$B$6:$B$205,MATCH(B590,DE_PARA!$A$6:$A$205,0)),"SEM DE-PARA"))</f>
        <v/>
      </c>
      <c r="E590" s="23" t="str">
        <f aca="false">IF(A590="","",DATE(YEAR(A590),MONTH(A590),1))</f>
        <v/>
      </c>
    </row>
    <row r="591" customFormat="false" ht="15" hidden="false" customHeight="false" outlineLevel="0" collapsed="false">
      <c r="A591" s="21"/>
      <c r="B591" s="4"/>
      <c r="C591" s="22"/>
      <c r="D591" s="5" t="str">
        <f aca="false">IF(B591="","",IFERROR(INDEX(DE_PARA!$B$6:$B$205,MATCH(B591,DE_PARA!$A$6:$A$205,0)),"SEM DE-PARA"))</f>
        <v/>
      </c>
      <c r="E591" s="23" t="str">
        <f aca="false">IF(A591="","",DATE(YEAR(A591),MONTH(A591),1))</f>
        <v/>
      </c>
    </row>
    <row r="592" customFormat="false" ht="15" hidden="false" customHeight="false" outlineLevel="0" collapsed="false">
      <c r="A592" s="21"/>
      <c r="B592" s="4"/>
      <c r="C592" s="22"/>
      <c r="D592" s="5" t="str">
        <f aca="false">IF(B592="","",IFERROR(INDEX(DE_PARA!$B$6:$B$205,MATCH(B592,DE_PARA!$A$6:$A$205,0)),"SEM DE-PARA"))</f>
        <v/>
      </c>
      <c r="E592" s="23" t="str">
        <f aca="false">IF(A592="","",DATE(YEAR(A592),MONTH(A592),1))</f>
        <v/>
      </c>
    </row>
    <row r="593" customFormat="false" ht="15" hidden="false" customHeight="false" outlineLevel="0" collapsed="false">
      <c r="A593" s="21"/>
      <c r="B593" s="4"/>
      <c r="C593" s="22"/>
      <c r="D593" s="5" t="str">
        <f aca="false">IF(B593="","",IFERROR(INDEX(DE_PARA!$B$6:$B$205,MATCH(B593,DE_PARA!$A$6:$A$205,0)),"SEM DE-PARA"))</f>
        <v/>
      </c>
      <c r="E593" s="23" t="str">
        <f aca="false">IF(A593="","",DATE(YEAR(A593),MONTH(A593),1))</f>
        <v/>
      </c>
    </row>
    <row r="594" customFormat="false" ht="15" hidden="false" customHeight="false" outlineLevel="0" collapsed="false">
      <c r="A594" s="21"/>
      <c r="B594" s="4"/>
      <c r="C594" s="22"/>
      <c r="D594" s="5" t="str">
        <f aca="false">IF(B594="","",IFERROR(INDEX(DE_PARA!$B$6:$B$205,MATCH(B594,DE_PARA!$A$6:$A$205,0)),"SEM DE-PARA"))</f>
        <v/>
      </c>
      <c r="E594" s="23" t="str">
        <f aca="false">IF(A594="","",DATE(YEAR(A594),MONTH(A594),1))</f>
        <v/>
      </c>
    </row>
    <row r="595" customFormat="false" ht="15" hidden="false" customHeight="false" outlineLevel="0" collapsed="false">
      <c r="A595" s="21"/>
      <c r="B595" s="4"/>
      <c r="C595" s="22"/>
      <c r="D595" s="5" t="str">
        <f aca="false">IF(B595="","",IFERROR(INDEX(DE_PARA!$B$6:$B$205,MATCH(B595,DE_PARA!$A$6:$A$205,0)),"SEM DE-PARA"))</f>
        <v/>
      </c>
      <c r="E595" s="23" t="str">
        <f aca="false">IF(A595="","",DATE(YEAR(A595),MONTH(A595),1))</f>
        <v/>
      </c>
    </row>
    <row r="596" customFormat="false" ht="15" hidden="false" customHeight="false" outlineLevel="0" collapsed="false">
      <c r="A596" s="21"/>
      <c r="B596" s="4"/>
      <c r="C596" s="22"/>
      <c r="D596" s="5" t="str">
        <f aca="false">IF(B596="","",IFERROR(INDEX(DE_PARA!$B$6:$B$205,MATCH(B596,DE_PARA!$A$6:$A$205,0)),"SEM DE-PARA"))</f>
        <v/>
      </c>
      <c r="E596" s="23" t="str">
        <f aca="false">IF(A596="","",DATE(YEAR(A596),MONTH(A596),1))</f>
        <v/>
      </c>
    </row>
    <row r="597" customFormat="false" ht="15" hidden="false" customHeight="false" outlineLevel="0" collapsed="false">
      <c r="A597" s="21"/>
      <c r="B597" s="4"/>
      <c r="C597" s="22"/>
      <c r="D597" s="5" t="str">
        <f aca="false">IF(B597="","",IFERROR(INDEX(DE_PARA!$B$6:$B$205,MATCH(B597,DE_PARA!$A$6:$A$205,0)),"SEM DE-PARA"))</f>
        <v/>
      </c>
      <c r="E597" s="23" t="str">
        <f aca="false">IF(A597="","",DATE(YEAR(A597),MONTH(A597),1))</f>
        <v/>
      </c>
    </row>
    <row r="598" customFormat="false" ht="15" hidden="false" customHeight="false" outlineLevel="0" collapsed="false">
      <c r="A598" s="21"/>
      <c r="B598" s="4"/>
      <c r="C598" s="22"/>
      <c r="D598" s="5" t="str">
        <f aca="false">IF(B598="","",IFERROR(INDEX(DE_PARA!$B$6:$B$205,MATCH(B598,DE_PARA!$A$6:$A$205,0)),"SEM DE-PARA"))</f>
        <v/>
      </c>
      <c r="E598" s="23" t="str">
        <f aca="false">IF(A598="","",DATE(YEAR(A598),MONTH(A598),1))</f>
        <v/>
      </c>
    </row>
    <row r="599" customFormat="false" ht="15" hidden="false" customHeight="false" outlineLevel="0" collapsed="false">
      <c r="A599" s="21"/>
      <c r="B599" s="4"/>
      <c r="C599" s="22"/>
      <c r="D599" s="5" t="str">
        <f aca="false">IF(B599="","",IFERROR(INDEX(DE_PARA!$B$6:$B$205,MATCH(B599,DE_PARA!$A$6:$A$205,0)),"SEM DE-PARA"))</f>
        <v/>
      </c>
      <c r="E599" s="23" t="str">
        <f aca="false">IF(A599="","",DATE(YEAR(A599),MONTH(A599),1))</f>
        <v/>
      </c>
    </row>
    <row r="600" customFormat="false" ht="15" hidden="false" customHeight="false" outlineLevel="0" collapsed="false">
      <c r="A600" s="21"/>
      <c r="B600" s="4"/>
      <c r="C600" s="22"/>
      <c r="D600" s="5" t="str">
        <f aca="false">IF(B600="","",IFERROR(INDEX(DE_PARA!$B$6:$B$205,MATCH(B600,DE_PARA!$A$6:$A$205,0)),"SEM DE-PARA"))</f>
        <v/>
      </c>
      <c r="E600" s="23" t="str">
        <f aca="false">IF(A600="","",DATE(YEAR(A600),MONTH(A600),1))</f>
        <v/>
      </c>
    </row>
    <row r="601" customFormat="false" ht="15" hidden="false" customHeight="false" outlineLevel="0" collapsed="false">
      <c r="A601" s="21"/>
      <c r="B601" s="4"/>
      <c r="C601" s="22"/>
      <c r="D601" s="5" t="str">
        <f aca="false">IF(B601="","",IFERROR(INDEX(DE_PARA!$B$6:$B$205,MATCH(B601,DE_PARA!$A$6:$A$205,0)),"SEM DE-PARA"))</f>
        <v/>
      </c>
      <c r="E601" s="23" t="str">
        <f aca="false">IF(A601="","",DATE(YEAR(A601),MONTH(A601),1))</f>
        <v/>
      </c>
    </row>
    <row r="602" customFormat="false" ht="15" hidden="false" customHeight="false" outlineLevel="0" collapsed="false">
      <c r="A602" s="21"/>
      <c r="B602" s="4"/>
      <c r="C602" s="22"/>
      <c r="D602" s="5" t="str">
        <f aca="false">IF(B602="","",IFERROR(INDEX(DE_PARA!$B$6:$B$205,MATCH(B602,DE_PARA!$A$6:$A$205,0)),"SEM DE-PARA"))</f>
        <v/>
      </c>
      <c r="E602" s="23" t="str">
        <f aca="false">IF(A602="","",DATE(YEAR(A602),MONTH(A602),1))</f>
        <v/>
      </c>
    </row>
    <row r="603" customFormat="false" ht="15" hidden="false" customHeight="false" outlineLevel="0" collapsed="false">
      <c r="A603" s="21"/>
      <c r="B603" s="4"/>
      <c r="C603" s="22"/>
      <c r="D603" s="5" t="str">
        <f aca="false">IF(B603="","",IFERROR(INDEX(DE_PARA!$B$6:$B$205,MATCH(B603,DE_PARA!$A$6:$A$205,0)),"SEM DE-PARA"))</f>
        <v/>
      </c>
      <c r="E603" s="23" t="str">
        <f aca="false">IF(A603="","",DATE(YEAR(A603),MONTH(A603),1))</f>
        <v/>
      </c>
    </row>
    <row r="604" customFormat="false" ht="15" hidden="false" customHeight="false" outlineLevel="0" collapsed="false">
      <c r="A604" s="21"/>
      <c r="B604" s="4"/>
      <c r="C604" s="22"/>
      <c r="D604" s="5" t="str">
        <f aca="false">IF(B604="","",IFERROR(INDEX(DE_PARA!$B$6:$B$205,MATCH(B604,DE_PARA!$A$6:$A$205,0)),"SEM DE-PARA"))</f>
        <v/>
      </c>
      <c r="E604" s="23" t="str">
        <f aca="false">IF(A604="","",DATE(YEAR(A604),MONTH(A604),1))</f>
        <v/>
      </c>
    </row>
    <row r="605" customFormat="false" ht="15" hidden="false" customHeight="false" outlineLevel="0" collapsed="false">
      <c r="A605" s="21"/>
      <c r="B605" s="4"/>
      <c r="C605" s="22"/>
      <c r="D605" s="5" t="str">
        <f aca="false">IF(B605="","",IFERROR(INDEX(DE_PARA!$B$6:$B$205,MATCH(B605,DE_PARA!$A$6:$A$205,0)),"SEM DE-PARA"))</f>
        <v/>
      </c>
      <c r="E605" s="23" t="str">
        <f aca="false">IF(A605="","",DATE(YEAR(A605),MONTH(A605),1))</f>
        <v/>
      </c>
    </row>
    <row r="606" customFormat="false" ht="15" hidden="false" customHeight="false" outlineLevel="0" collapsed="false">
      <c r="A606" s="21"/>
      <c r="B606" s="4"/>
      <c r="C606" s="22"/>
      <c r="D606" s="5" t="str">
        <f aca="false">IF(B606="","",IFERROR(INDEX(DE_PARA!$B$6:$B$205,MATCH(B606,DE_PARA!$A$6:$A$205,0)),"SEM DE-PARA"))</f>
        <v/>
      </c>
      <c r="E606" s="23" t="str">
        <f aca="false">IF(A606="","",DATE(YEAR(A606),MONTH(A606),1))</f>
        <v/>
      </c>
    </row>
    <row r="607" customFormat="false" ht="15" hidden="false" customHeight="false" outlineLevel="0" collapsed="false">
      <c r="A607" s="21"/>
      <c r="B607" s="4"/>
      <c r="C607" s="22"/>
      <c r="D607" s="5" t="str">
        <f aca="false">IF(B607="","",IFERROR(INDEX(DE_PARA!$B$6:$B$205,MATCH(B607,DE_PARA!$A$6:$A$205,0)),"SEM DE-PARA"))</f>
        <v/>
      </c>
      <c r="E607" s="23" t="str">
        <f aca="false">IF(A607="","",DATE(YEAR(A607),MONTH(A607),1))</f>
        <v/>
      </c>
    </row>
    <row r="608" customFormat="false" ht="15" hidden="false" customHeight="false" outlineLevel="0" collapsed="false">
      <c r="A608" s="21"/>
      <c r="B608" s="4"/>
      <c r="C608" s="22"/>
      <c r="D608" s="5" t="str">
        <f aca="false">IF(B608="","",IFERROR(INDEX(DE_PARA!$B$6:$B$205,MATCH(B608,DE_PARA!$A$6:$A$205,0)),"SEM DE-PARA"))</f>
        <v/>
      </c>
      <c r="E608" s="23" t="str">
        <f aca="false">IF(A608="","",DATE(YEAR(A608),MONTH(A608),1))</f>
        <v/>
      </c>
    </row>
    <row r="609" customFormat="false" ht="15" hidden="false" customHeight="false" outlineLevel="0" collapsed="false">
      <c r="A609" s="21"/>
      <c r="B609" s="4"/>
      <c r="C609" s="22"/>
      <c r="D609" s="5" t="str">
        <f aca="false">IF(B609="","",IFERROR(INDEX(DE_PARA!$B$6:$B$205,MATCH(B609,DE_PARA!$A$6:$A$205,0)),"SEM DE-PARA"))</f>
        <v/>
      </c>
      <c r="E609" s="23" t="str">
        <f aca="false">IF(A609="","",DATE(YEAR(A609),MONTH(A609),1))</f>
        <v/>
      </c>
    </row>
    <row r="610" customFormat="false" ht="15" hidden="false" customHeight="false" outlineLevel="0" collapsed="false">
      <c r="A610" s="21"/>
      <c r="B610" s="4"/>
      <c r="C610" s="22"/>
      <c r="D610" s="5" t="str">
        <f aca="false">IF(B610="","",IFERROR(INDEX(DE_PARA!$B$6:$B$205,MATCH(B610,DE_PARA!$A$6:$A$205,0)),"SEM DE-PARA"))</f>
        <v/>
      </c>
      <c r="E610" s="23" t="str">
        <f aca="false">IF(A610="","",DATE(YEAR(A610),MONTH(A610),1))</f>
        <v/>
      </c>
    </row>
    <row r="611" customFormat="false" ht="15" hidden="false" customHeight="false" outlineLevel="0" collapsed="false">
      <c r="A611" s="21"/>
      <c r="B611" s="4"/>
      <c r="C611" s="22"/>
      <c r="D611" s="5" t="str">
        <f aca="false">IF(B611="","",IFERROR(INDEX(DE_PARA!$B$6:$B$205,MATCH(B611,DE_PARA!$A$6:$A$205,0)),"SEM DE-PARA"))</f>
        <v/>
      </c>
      <c r="E611" s="23" t="str">
        <f aca="false">IF(A611="","",DATE(YEAR(A611),MONTH(A611),1))</f>
        <v/>
      </c>
    </row>
    <row r="612" customFormat="false" ht="15" hidden="false" customHeight="false" outlineLevel="0" collapsed="false">
      <c r="A612" s="21"/>
      <c r="B612" s="4"/>
      <c r="C612" s="22"/>
      <c r="D612" s="5" t="str">
        <f aca="false">IF(B612="","",IFERROR(INDEX(DE_PARA!$B$6:$B$205,MATCH(B612,DE_PARA!$A$6:$A$205,0)),"SEM DE-PARA"))</f>
        <v/>
      </c>
      <c r="E612" s="23" t="str">
        <f aca="false">IF(A612="","",DATE(YEAR(A612),MONTH(A612),1))</f>
        <v/>
      </c>
    </row>
    <row r="613" customFormat="false" ht="15" hidden="false" customHeight="false" outlineLevel="0" collapsed="false">
      <c r="A613" s="21"/>
      <c r="B613" s="4"/>
      <c r="C613" s="22"/>
      <c r="D613" s="5" t="str">
        <f aca="false">IF(B613="","",IFERROR(INDEX(DE_PARA!$B$6:$B$205,MATCH(B613,DE_PARA!$A$6:$A$205,0)),"SEM DE-PARA"))</f>
        <v/>
      </c>
      <c r="E613" s="23" t="str">
        <f aca="false">IF(A613="","",DATE(YEAR(A613),MONTH(A613),1))</f>
        <v/>
      </c>
    </row>
    <row r="614" customFormat="false" ht="15" hidden="false" customHeight="false" outlineLevel="0" collapsed="false">
      <c r="A614" s="21"/>
      <c r="B614" s="4"/>
      <c r="C614" s="22"/>
      <c r="D614" s="5" t="str">
        <f aca="false">IF(B614="","",IFERROR(INDEX(DE_PARA!$B$6:$B$205,MATCH(B614,DE_PARA!$A$6:$A$205,0)),"SEM DE-PARA"))</f>
        <v/>
      </c>
      <c r="E614" s="23" t="str">
        <f aca="false">IF(A614="","",DATE(YEAR(A614),MONTH(A614),1))</f>
        <v/>
      </c>
    </row>
    <row r="615" customFormat="false" ht="15" hidden="false" customHeight="false" outlineLevel="0" collapsed="false">
      <c r="A615" s="21"/>
      <c r="B615" s="4"/>
      <c r="C615" s="22"/>
      <c r="D615" s="5" t="str">
        <f aca="false">IF(B615="","",IFERROR(INDEX(DE_PARA!$B$6:$B$205,MATCH(B615,DE_PARA!$A$6:$A$205,0)),"SEM DE-PARA"))</f>
        <v/>
      </c>
      <c r="E615" s="23" t="str">
        <f aca="false">IF(A615="","",DATE(YEAR(A615),MONTH(A615),1))</f>
        <v/>
      </c>
    </row>
    <row r="616" customFormat="false" ht="15" hidden="false" customHeight="false" outlineLevel="0" collapsed="false">
      <c r="A616" s="21"/>
      <c r="B616" s="4"/>
      <c r="C616" s="22"/>
      <c r="D616" s="5" t="str">
        <f aca="false">IF(B616="","",IFERROR(INDEX(DE_PARA!$B$6:$B$205,MATCH(B616,DE_PARA!$A$6:$A$205,0)),"SEM DE-PARA"))</f>
        <v/>
      </c>
      <c r="E616" s="23" t="str">
        <f aca="false">IF(A616="","",DATE(YEAR(A616),MONTH(A616),1))</f>
        <v/>
      </c>
    </row>
    <row r="617" customFormat="false" ht="15" hidden="false" customHeight="false" outlineLevel="0" collapsed="false">
      <c r="A617" s="21"/>
      <c r="B617" s="4"/>
      <c r="C617" s="22"/>
      <c r="D617" s="5" t="str">
        <f aca="false">IF(B617="","",IFERROR(INDEX(DE_PARA!$B$6:$B$205,MATCH(B617,DE_PARA!$A$6:$A$205,0)),"SEM DE-PARA"))</f>
        <v/>
      </c>
      <c r="E617" s="23" t="str">
        <f aca="false">IF(A617="","",DATE(YEAR(A617),MONTH(A617),1))</f>
        <v/>
      </c>
    </row>
    <row r="618" customFormat="false" ht="15" hidden="false" customHeight="false" outlineLevel="0" collapsed="false">
      <c r="A618" s="21"/>
      <c r="B618" s="4"/>
      <c r="C618" s="22"/>
      <c r="D618" s="5" t="str">
        <f aca="false">IF(B618="","",IFERROR(INDEX(DE_PARA!$B$6:$B$205,MATCH(B618,DE_PARA!$A$6:$A$205,0)),"SEM DE-PARA"))</f>
        <v/>
      </c>
      <c r="E618" s="23" t="str">
        <f aca="false">IF(A618="","",DATE(YEAR(A618),MONTH(A618),1))</f>
        <v/>
      </c>
    </row>
    <row r="619" customFormat="false" ht="15" hidden="false" customHeight="false" outlineLevel="0" collapsed="false">
      <c r="A619" s="21"/>
      <c r="B619" s="4"/>
      <c r="C619" s="22"/>
      <c r="D619" s="5" t="str">
        <f aca="false">IF(B619="","",IFERROR(INDEX(DE_PARA!$B$6:$B$205,MATCH(B619,DE_PARA!$A$6:$A$205,0)),"SEM DE-PARA"))</f>
        <v/>
      </c>
      <c r="E619" s="23" t="str">
        <f aca="false">IF(A619="","",DATE(YEAR(A619),MONTH(A619),1))</f>
        <v/>
      </c>
    </row>
    <row r="620" customFormat="false" ht="15" hidden="false" customHeight="false" outlineLevel="0" collapsed="false">
      <c r="A620" s="21"/>
      <c r="B620" s="4"/>
      <c r="C620" s="22"/>
      <c r="D620" s="5" t="str">
        <f aca="false">IF(B620="","",IFERROR(INDEX(DE_PARA!$B$6:$B$205,MATCH(B620,DE_PARA!$A$6:$A$205,0)),"SEM DE-PARA"))</f>
        <v/>
      </c>
      <c r="E620" s="23" t="str">
        <f aca="false">IF(A620="","",DATE(YEAR(A620),MONTH(A620),1))</f>
        <v/>
      </c>
    </row>
    <row r="621" customFormat="false" ht="15" hidden="false" customHeight="false" outlineLevel="0" collapsed="false">
      <c r="A621" s="21"/>
      <c r="B621" s="4"/>
      <c r="C621" s="22"/>
      <c r="D621" s="5" t="str">
        <f aca="false">IF(B621="","",IFERROR(INDEX(DE_PARA!$B$6:$B$205,MATCH(B621,DE_PARA!$A$6:$A$205,0)),"SEM DE-PARA"))</f>
        <v/>
      </c>
      <c r="E621" s="23" t="str">
        <f aca="false">IF(A621="","",DATE(YEAR(A621),MONTH(A621),1))</f>
        <v/>
      </c>
    </row>
    <row r="622" customFormat="false" ht="15" hidden="false" customHeight="false" outlineLevel="0" collapsed="false">
      <c r="A622" s="21"/>
      <c r="B622" s="4"/>
      <c r="C622" s="22"/>
      <c r="D622" s="5" t="str">
        <f aca="false">IF(B622="","",IFERROR(INDEX(DE_PARA!$B$6:$B$205,MATCH(B622,DE_PARA!$A$6:$A$205,0)),"SEM DE-PARA"))</f>
        <v/>
      </c>
      <c r="E622" s="23" t="str">
        <f aca="false">IF(A622="","",DATE(YEAR(A622),MONTH(A622),1))</f>
        <v/>
      </c>
    </row>
    <row r="623" customFormat="false" ht="15" hidden="false" customHeight="false" outlineLevel="0" collapsed="false">
      <c r="A623" s="21"/>
      <c r="B623" s="4"/>
      <c r="C623" s="22"/>
      <c r="D623" s="5" t="str">
        <f aca="false">IF(B623="","",IFERROR(INDEX(DE_PARA!$B$6:$B$205,MATCH(B623,DE_PARA!$A$6:$A$205,0)),"SEM DE-PARA"))</f>
        <v/>
      </c>
      <c r="E623" s="23" t="str">
        <f aca="false">IF(A623="","",DATE(YEAR(A623),MONTH(A623),1))</f>
        <v/>
      </c>
    </row>
    <row r="624" customFormat="false" ht="15" hidden="false" customHeight="false" outlineLevel="0" collapsed="false">
      <c r="A624" s="21"/>
      <c r="B624" s="4"/>
      <c r="C624" s="22"/>
      <c r="D624" s="5" t="str">
        <f aca="false">IF(B624="","",IFERROR(INDEX(DE_PARA!$B$6:$B$205,MATCH(B624,DE_PARA!$A$6:$A$205,0)),"SEM DE-PARA"))</f>
        <v/>
      </c>
      <c r="E624" s="23" t="str">
        <f aca="false">IF(A624="","",DATE(YEAR(A624),MONTH(A624),1))</f>
        <v/>
      </c>
    </row>
    <row r="625" customFormat="false" ht="15" hidden="false" customHeight="false" outlineLevel="0" collapsed="false">
      <c r="A625" s="21"/>
      <c r="B625" s="4"/>
      <c r="C625" s="22"/>
      <c r="D625" s="5" t="str">
        <f aca="false">IF(B625="","",IFERROR(INDEX(DE_PARA!$B$6:$B$205,MATCH(B625,DE_PARA!$A$6:$A$205,0)),"SEM DE-PARA"))</f>
        <v/>
      </c>
      <c r="E625" s="23" t="str">
        <f aca="false">IF(A625="","",DATE(YEAR(A625),MONTH(A625),1))</f>
        <v/>
      </c>
    </row>
    <row r="626" customFormat="false" ht="15" hidden="false" customHeight="false" outlineLevel="0" collapsed="false">
      <c r="A626" s="21"/>
      <c r="B626" s="4"/>
      <c r="C626" s="22"/>
      <c r="D626" s="5" t="str">
        <f aca="false">IF(B626="","",IFERROR(INDEX(DE_PARA!$B$6:$B$205,MATCH(B626,DE_PARA!$A$6:$A$205,0)),"SEM DE-PARA"))</f>
        <v/>
      </c>
      <c r="E626" s="23" t="str">
        <f aca="false">IF(A626="","",DATE(YEAR(A626),MONTH(A626),1))</f>
        <v/>
      </c>
    </row>
    <row r="627" customFormat="false" ht="15" hidden="false" customHeight="false" outlineLevel="0" collapsed="false">
      <c r="A627" s="21"/>
      <c r="B627" s="4"/>
      <c r="C627" s="22"/>
      <c r="D627" s="5" t="str">
        <f aca="false">IF(B627="","",IFERROR(INDEX(DE_PARA!$B$6:$B$205,MATCH(B627,DE_PARA!$A$6:$A$205,0)),"SEM DE-PARA"))</f>
        <v/>
      </c>
      <c r="E627" s="23" t="str">
        <f aca="false">IF(A627="","",DATE(YEAR(A627),MONTH(A627),1))</f>
        <v/>
      </c>
    </row>
    <row r="628" customFormat="false" ht="15" hidden="false" customHeight="false" outlineLevel="0" collapsed="false">
      <c r="A628" s="21"/>
      <c r="B628" s="4"/>
      <c r="C628" s="22"/>
      <c r="D628" s="5" t="str">
        <f aca="false">IF(B628="","",IFERROR(INDEX(DE_PARA!$B$6:$B$205,MATCH(B628,DE_PARA!$A$6:$A$205,0)),"SEM DE-PARA"))</f>
        <v/>
      </c>
      <c r="E628" s="23" t="str">
        <f aca="false">IF(A628="","",DATE(YEAR(A628),MONTH(A628),1))</f>
        <v/>
      </c>
    </row>
    <row r="629" customFormat="false" ht="15" hidden="false" customHeight="false" outlineLevel="0" collapsed="false">
      <c r="A629" s="21"/>
      <c r="B629" s="4"/>
      <c r="C629" s="22"/>
      <c r="D629" s="5" t="str">
        <f aca="false">IF(B629="","",IFERROR(INDEX(DE_PARA!$B$6:$B$205,MATCH(B629,DE_PARA!$A$6:$A$205,0)),"SEM DE-PARA"))</f>
        <v/>
      </c>
      <c r="E629" s="23" t="str">
        <f aca="false">IF(A629="","",DATE(YEAR(A629),MONTH(A629),1))</f>
        <v/>
      </c>
    </row>
    <row r="630" customFormat="false" ht="15" hidden="false" customHeight="false" outlineLevel="0" collapsed="false">
      <c r="A630" s="21"/>
      <c r="B630" s="4"/>
      <c r="C630" s="22"/>
      <c r="D630" s="5" t="str">
        <f aca="false">IF(B630="","",IFERROR(INDEX(DE_PARA!$B$6:$B$205,MATCH(B630,DE_PARA!$A$6:$A$205,0)),"SEM DE-PARA"))</f>
        <v/>
      </c>
      <c r="E630" s="23" t="str">
        <f aca="false">IF(A630="","",DATE(YEAR(A630),MONTH(A630),1))</f>
        <v/>
      </c>
    </row>
    <row r="631" customFormat="false" ht="15" hidden="false" customHeight="false" outlineLevel="0" collapsed="false">
      <c r="A631" s="21"/>
      <c r="B631" s="4"/>
      <c r="C631" s="22"/>
      <c r="D631" s="5" t="str">
        <f aca="false">IF(B631="","",IFERROR(INDEX(DE_PARA!$B$6:$B$205,MATCH(B631,DE_PARA!$A$6:$A$205,0)),"SEM DE-PARA"))</f>
        <v/>
      </c>
      <c r="E631" s="23" t="str">
        <f aca="false">IF(A631="","",DATE(YEAR(A631),MONTH(A631),1))</f>
        <v/>
      </c>
    </row>
    <row r="632" customFormat="false" ht="15" hidden="false" customHeight="false" outlineLevel="0" collapsed="false">
      <c r="A632" s="21"/>
      <c r="B632" s="4"/>
      <c r="C632" s="22"/>
      <c r="D632" s="5" t="str">
        <f aca="false">IF(B632="","",IFERROR(INDEX(DE_PARA!$B$6:$B$205,MATCH(B632,DE_PARA!$A$6:$A$205,0)),"SEM DE-PARA"))</f>
        <v/>
      </c>
      <c r="E632" s="23" t="str">
        <f aca="false">IF(A632="","",DATE(YEAR(A632),MONTH(A632),1))</f>
        <v/>
      </c>
    </row>
    <row r="633" customFormat="false" ht="15" hidden="false" customHeight="false" outlineLevel="0" collapsed="false">
      <c r="A633" s="21"/>
      <c r="B633" s="4"/>
      <c r="C633" s="22"/>
      <c r="D633" s="5" t="str">
        <f aca="false">IF(B633="","",IFERROR(INDEX(DE_PARA!$B$6:$B$205,MATCH(B633,DE_PARA!$A$6:$A$205,0)),"SEM DE-PARA"))</f>
        <v/>
      </c>
      <c r="E633" s="23" t="str">
        <f aca="false">IF(A633="","",DATE(YEAR(A633),MONTH(A633),1))</f>
        <v/>
      </c>
    </row>
    <row r="634" customFormat="false" ht="15" hidden="false" customHeight="false" outlineLevel="0" collapsed="false">
      <c r="A634" s="21"/>
      <c r="B634" s="4"/>
      <c r="C634" s="22"/>
      <c r="D634" s="5" t="str">
        <f aca="false">IF(B634="","",IFERROR(INDEX(DE_PARA!$B$6:$B$205,MATCH(B634,DE_PARA!$A$6:$A$205,0)),"SEM DE-PARA"))</f>
        <v/>
      </c>
      <c r="E634" s="23" t="str">
        <f aca="false">IF(A634="","",DATE(YEAR(A634),MONTH(A634),1))</f>
        <v/>
      </c>
    </row>
    <row r="635" customFormat="false" ht="15" hidden="false" customHeight="false" outlineLevel="0" collapsed="false">
      <c r="A635" s="21"/>
      <c r="B635" s="4"/>
      <c r="C635" s="22"/>
      <c r="D635" s="5" t="str">
        <f aca="false">IF(B635="","",IFERROR(INDEX(DE_PARA!$B$6:$B$205,MATCH(B635,DE_PARA!$A$6:$A$205,0)),"SEM DE-PARA"))</f>
        <v/>
      </c>
      <c r="E635" s="23" t="str">
        <f aca="false">IF(A635="","",DATE(YEAR(A635),MONTH(A635),1))</f>
        <v/>
      </c>
    </row>
    <row r="636" customFormat="false" ht="15" hidden="false" customHeight="false" outlineLevel="0" collapsed="false">
      <c r="A636" s="21"/>
      <c r="B636" s="4"/>
      <c r="C636" s="22"/>
      <c r="D636" s="5" t="str">
        <f aca="false">IF(B636="","",IFERROR(INDEX(DE_PARA!$B$6:$B$205,MATCH(B636,DE_PARA!$A$6:$A$205,0)),"SEM DE-PARA"))</f>
        <v/>
      </c>
      <c r="E636" s="23" t="str">
        <f aca="false">IF(A636="","",DATE(YEAR(A636),MONTH(A636),1))</f>
        <v/>
      </c>
    </row>
    <row r="637" customFormat="false" ht="15" hidden="false" customHeight="false" outlineLevel="0" collapsed="false">
      <c r="A637" s="21"/>
      <c r="B637" s="4"/>
      <c r="C637" s="22"/>
      <c r="D637" s="5" t="str">
        <f aca="false">IF(B637="","",IFERROR(INDEX(DE_PARA!$B$6:$B$205,MATCH(B637,DE_PARA!$A$6:$A$205,0)),"SEM DE-PARA"))</f>
        <v/>
      </c>
      <c r="E637" s="23" t="str">
        <f aca="false">IF(A637="","",DATE(YEAR(A637),MONTH(A637),1))</f>
        <v/>
      </c>
    </row>
    <row r="638" customFormat="false" ht="15" hidden="false" customHeight="false" outlineLevel="0" collapsed="false">
      <c r="A638" s="21"/>
      <c r="B638" s="4"/>
      <c r="C638" s="22"/>
      <c r="D638" s="5" t="str">
        <f aca="false">IF(B638="","",IFERROR(INDEX(DE_PARA!$B$6:$B$205,MATCH(B638,DE_PARA!$A$6:$A$205,0)),"SEM DE-PARA"))</f>
        <v/>
      </c>
      <c r="E638" s="23" t="str">
        <f aca="false">IF(A638="","",DATE(YEAR(A638),MONTH(A638),1))</f>
        <v/>
      </c>
    </row>
    <row r="639" customFormat="false" ht="15" hidden="false" customHeight="false" outlineLevel="0" collapsed="false">
      <c r="A639" s="21"/>
      <c r="B639" s="4"/>
      <c r="C639" s="22"/>
      <c r="D639" s="5" t="str">
        <f aca="false">IF(B639="","",IFERROR(INDEX(DE_PARA!$B$6:$B$205,MATCH(B639,DE_PARA!$A$6:$A$205,0)),"SEM DE-PARA"))</f>
        <v/>
      </c>
      <c r="E639" s="23" t="str">
        <f aca="false">IF(A639="","",DATE(YEAR(A639),MONTH(A639),1))</f>
        <v/>
      </c>
    </row>
    <row r="640" customFormat="false" ht="15" hidden="false" customHeight="false" outlineLevel="0" collapsed="false">
      <c r="A640" s="21"/>
      <c r="B640" s="4"/>
      <c r="C640" s="22"/>
      <c r="D640" s="5" t="str">
        <f aca="false">IF(B640="","",IFERROR(INDEX(DE_PARA!$B$6:$B$205,MATCH(B640,DE_PARA!$A$6:$A$205,0)),"SEM DE-PARA"))</f>
        <v/>
      </c>
      <c r="E640" s="23" t="str">
        <f aca="false">IF(A640="","",DATE(YEAR(A640),MONTH(A640),1))</f>
        <v/>
      </c>
    </row>
    <row r="641" customFormat="false" ht="15" hidden="false" customHeight="false" outlineLevel="0" collapsed="false">
      <c r="A641" s="21"/>
      <c r="B641" s="4"/>
      <c r="C641" s="22"/>
      <c r="D641" s="5" t="str">
        <f aca="false">IF(B641="","",IFERROR(INDEX(DE_PARA!$B$6:$B$205,MATCH(B641,DE_PARA!$A$6:$A$205,0)),"SEM DE-PARA"))</f>
        <v/>
      </c>
      <c r="E641" s="23" t="str">
        <f aca="false">IF(A641="","",DATE(YEAR(A641),MONTH(A641),1))</f>
        <v/>
      </c>
    </row>
    <row r="642" customFormat="false" ht="15" hidden="false" customHeight="false" outlineLevel="0" collapsed="false">
      <c r="A642" s="21"/>
      <c r="B642" s="4"/>
      <c r="C642" s="22"/>
      <c r="D642" s="5" t="str">
        <f aca="false">IF(B642="","",IFERROR(INDEX(DE_PARA!$B$6:$B$205,MATCH(B642,DE_PARA!$A$6:$A$205,0)),"SEM DE-PARA"))</f>
        <v/>
      </c>
      <c r="E642" s="23" t="str">
        <f aca="false">IF(A642="","",DATE(YEAR(A642),MONTH(A642),1))</f>
        <v/>
      </c>
    </row>
    <row r="643" customFormat="false" ht="15" hidden="false" customHeight="false" outlineLevel="0" collapsed="false">
      <c r="A643" s="21"/>
      <c r="B643" s="4"/>
      <c r="C643" s="22"/>
      <c r="D643" s="5" t="str">
        <f aca="false">IF(B643="","",IFERROR(INDEX(DE_PARA!$B$6:$B$205,MATCH(B643,DE_PARA!$A$6:$A$205,0)),"SEM DE-PARA"))</f>
        <v/>
      </c>
      <c r="E643" s="23" t="str">
        <f aca="false">IF(A643="","",DATE(YEAR(A643),MONTH(A643),1))</f>
        <v/>
      </c>
    </row>
    <row r="644" customFormat="false" ht="15" hidden="false" customHeight="false" outlineLevel="0" collapsed="false">
      <c r="A644" s="21"/>
      <c r="B644" s="4"/>
      <c r="C644" s="22"/>
      <c r="D644" s="5" t="str">
        <f aca="false">IF(B644="","",IFERROR(INDEX(DE_PARA!$B$6:$B$205,MATCH(B644,DE_PARA!$A$6:$A$205,0)),"SEM DE-PARA"))</f>
        <v/>
      </c>
      <c r="E644" s="23" t="str">
        <f aca="false">IF(A644="","",DATE(YEAR(A644),MONTH(A644),1))</f>
        <v/>
      </c>
    </row>
    <row r="645" customFormat="false" ht="15" hidden="false" customHeight="false" outlineLevel="0" collapsed="false">
      <c r="A645" s="21"/>
      <c r="B645" s="4"/>
      <c r="C645" s="22"/>
      <c r="D645" s="5" t="str">
        <f aca="false">IF(B645="","",IFERROR(INDEX(DE_PARA!$B$6:$B$205,MATCH(B645,DE_PARA!$A$6:$A$205,0)),"SEM DE-PARA"))</f>
        <v/>
      </c>
      <c r="E645" s="23" t="str">
        <f aca="false">IF(A645="","",DATE(YEAR(A645),MONTH(A645),1))</f>
        <v/>
      </c>
    </row>
    <row r="646" customFormat="false" ht="15" hidden="false" customHeight="false" outlineLevel="0" collapsed="false">
      <c r="A646" s="21"/>
      <c r="B646" s="4"/>
      <c r="C646" s="22"/>
      <c r="D646" s="5" t="str">
        <f aca="false">IF(B646="","",IFERROR(INDEX(DE_PARA!$B$6:$B$205,MATCH(B646,DE_PARA!$A$6:$A$205,0)),"SEM DE-PARA"))</f>
        <v/>
      </c>
      <c r="E646" s="23" t="str">
        <f aca="false">IF(A646="","",DATE(YEAR(A646),MONTH(A646),1))</f>
        <v/>
      </c>
    </row>
    <row r="647" customFormat="false" ht="15" hidden="false" customHeight="false" outlineLevel="0" collapsed="false">
      <c r="A647" s="21"/>
      <c r="B647" s="4"/>
      <c r="C647" s="22"/>
      <c r="D647" s="5" t="str">
        <f aca="false">IF(B647="","",IFERROR(INDEX(DE_PARA!$B$6:$B$205,MATCH(B647,DE_PARA!$A$6:$A$205,0)),"SEM DE-PARA"))</f>
        <v/>
      </c>
      <c r="E647" s="23" t="str">
        <f aca="false">IF(A647="","",DATE(YEAR(A647),MONTH(A647),1))</f>
        <v/>
      </c>
    </row>
    <row r="648" customFormat="false" ht="15" hidden="false" customHeight="false" outlineLevel="0" collapsed="false">
      <c r="A648" s="21"/>
      <c r="B648" s="4"/>
      <c r="C648" s="22"/>
      <c r="D648" s="5" t="str">
        <f aca="false">IF(B648="","",IFERROR(INDEX(DE_PARA!$B$6:$B$205,MATCH(B648,DE_PARA!$A$6:$A$205,0)),"SEM DE-PARA"))</f>
        <v/>
      </c>
      <c r="E648" s="23" t="str">
        <f aca="false">IF(A648="","",DATE(YEAR(A648),MONTH(A648),1))</f>
        <v/>
      </c>
    </row>
    <row r="649" customFormat="false" ht="15" hidden="false" customHeight="false" outlineLevel="0" collapsed="false">
      <c r="A649" s="21"/>
      <c r="B649" s="4"/>
      <c r="C649" s="22"/>
      <c r="D649" s="5" t="str">
        <f aca="false">IF(B649="","",IFERROR(INDEX(DE_PARA!$B$6:$B$205,MATCH(B649,DE_PARA!$A$6:$A$205,0)),"SEM DE-PARA"))</f>
        <v/>
      </c>
      <c r="E649" s="23" t="str">
        <f aca="false">IF(A649="","",DATE(YEAR(A649),MONTH(A649),1))</f>
        <v/>
      </c>
    </row>
    <row r="650" customFormat="false" ht="15" hidden="false" customHeight="false" outlineLevel="0" collapsed="false">
      <c r="A650" s="21"/>
      <c r="B650" s="4"/>
      <c r="C650" s="22"/>
      <c r="D650" s="5" t="str">
        <f aca="false">IF(B650="","",IFERROR(INDEX(DE_PARA!$B$6:$B$205,MATCH(B650,DE_PARA!$A$6:$A$205,0)),"SEM DE-PARA"))</f>
        <v/>
      </c>
      <c r="E650" s="23" t="str">
        <f aca="false">IF(A650="","",DATE(YEAR(A650),MONTH(A650),1))</f>
        <v/>
      </c>
    </row>
    <row r="651" customFormat="false" ht="15" hidden="false" customHeight="false" outlineLevel="0" collapsed="false">
      <c r="A651" s="21"/>
      <c r="B651" s="4"/>
      <c r="C651" s="22"/>
      <c r="D651" s="5" t="str">
        <f aca="false">IF(B651="","",IFERROR(INDEX(DE_PARA!$B$6:$B$205,MATCH(B651,DE_PARA!$A$6:$A$205,0)),"SEM DE-PARA"))</f>
        <v/>
      </c>
      <c r="E651" s="23" t="str">
        <f aca="false">IF(A651="","",DATE(YEAR(A651),MONTH(A651),1))</f>
        <v/>
      </c>
    </row>
    <row r="652" customFormat="false" ht="15" hidden="false" customHeight="false" outlineLevel="0" collapsed="false">
      <c r="A652" s="21"/>
      <c r="B652" s="4"/>
      <c r="C652" s="22"/>
      <c r="D652" s="5" t="str">
        <f aca="false">IF(B652="","",IFERROR(INDEX(DE_PARA!$B$6:$B$205,MATCH(B652,DE_PARA!$A$6:$A$205,0)),"SEM DE-PARA"))</f>
        <v/>
      </c>
      <c r="E652" s="23" t="str">
        <f aca="false">IF(A652="","",DATE(YEAR(A652),MONTH(A652),1))</f>
        <v/>
      </c>
    </row>
    <row r="653" customFormat="false" ht="15" hidden="false" customHeight="false" outlineLevel="0" collapsed="false">
      <c r="A653" s="21"/>
      <c r="B653" s="4"/>
      <c r="C653" s="22"/>
      <c r="D653" s="5" t="str">
        <f aca="false">IF(B653="","",IFERROR(INDEX(DE_PARA!$B$6:$B$205,MATCH(B653,DE_PARA!$A$6:$A$205,0)),"SEM DE-PARA"))</f>
        <v/>
      </c>
      <c r="E653" s="23" t="str">
        <f aca="false">IF(A653="","",DATE(YEAR(A653),MONTH(A653),1))</f>
        <v/>
      </c>
    </row>
    <row r="654" customFormat="false" ht="15" hidden="false" customHeight="false" outlineLevel="0" collapsed="false">
      <c r="A654" s="21"/>
      <c r="B654" s="4"/>
      <c r="C654" s="22"/>
      <c r="D654" s="5" t="str">
        <f aca="false">IF(B654="","",IFERROR(INDEX(DE_PARA!$B$6:$B$205,MATCH(B654,DE_PARA!$A$6:$A$205,0)),"SEM DE-PARA"))</f>
        <v/>
      </c>
      <c r="E654" s="23" t="str">
        <f aca="false">IF(A654="","",DATE(YEAR(A654),MONTH(A654),1))</f>
        <v/>
      </c>
    </row>
    <row r="655" customFormat="false" ht="15" hidden="false" customHeight="false" outlineLevel="0" collapsed="false">
      <c r="A655" s="21"/>
      <c r="B655" s="4"/>
      <c r="C655" s="22"/>
      <c r="D655" s="5" t="str">
        <f aca="false">IF(B655="","",IFERROR(INDEX(DE_PARA!$B$6:$B$205,MATCH(B655,DE_PARA!$A$6:$A$205,0)),"SEM DE-PARA"))</f>
        <v/>
      </c>
      <c r="E655" s="23" t="str">
        <f aca="false">IF(A655="","",DATE(YEAR(A655),MONTH(A655),1))</f>
        <v/>
      </c>
    </row>
    <row r="656" customFormat="false" ht="15" hidden="false" customHeight="false" outlineLevel="0" collapsed="false">
      <c r="A656" s="21"/>
      <c r="B656" s="4"/>
      <c r="C656" s="22"/>
      <c r="D656" s="5" t="str">
        <f aca="false">IF(B656="","",IFERROR(INDEX(DE_PARA!$B$6:$B$205,MATCH(B656,DE_PARA!$A$6:$A$205,0)),"SEM DE-PARA"))</f>
        <v/>
      </c>
      <c r="E656" s="23" t="str">
        <f aca="false">IF(A656="","",DATE(YEAR(A656),MONTH(A656),1))</f>
        <v/>
      </c>
    </row>
    <row r="657" customFormat="false" ht="15" hidden="false" customHeight="false" outlineLevel="0" collapsed="false">
      <c r="A657" s="21"/>
      <c r="B657" s="4"/>
      <c r="C657" s="22"/>
      <c r="D657" s="5" t="str">
        <f aca="false">IF(B657="","",IFERROR(INDEX(DE_PARA!$B$6:$B$205,MATCH(B657,DE_PARA!$A$6:$A$205,0)),"SEM DE-PARA"))</f>
        <v/>
      </c>
      <c r="E657" s="23" t="str">
        <f aca="false">IF(A657="","",DATE(YEAR(A657),MONTH(A657),1))</f>
        <v/>
      </c>
    </row>
    <row r="658" customFormat="false" ht="15" hidden="false" customHeight="false" outlineLevel="0" collapsed="false">
      <c r="A658" s="21"/>
      <c r="B658" s="4"/>
      <c r="C658" s="22"/>
      <c r="D658" s="5" t="str">
        <f aca="false">IF(B658="","",IFERROR(INDEX(DE_PARA!$B$6:$B$205,MATCH(B658,DE_PARA!$A$6:$A$205,0)),"SEM DE-PARA"))</f>
        <v/>
      </c>
      <c r="E658" s="23" t="str">
        <f aca="false">IF(A658="","",DATE(YEAR(A658),MONTH(A658),1))</f>
        <v/>
      </c>
    </row>
    <row r="659" customFormat="false" ht="15" hidden="false" customHeight="false" outlineLevel="0" collapsed="false">
      <c r="A659" s="21"/>
      <c r="B659" s="4"/>
      <c r="C659" s="22"/>
      <c r="D659" s="5" t="str">
        <f aca="false">IF(B659="","",IFERROR(INDEX(DE_PARA!$B$6:$B$205,MATCH(B659,DE_PARA!$A$6:$A$205,0)),"SEM DE-PARA"))</f>
        <v/>
      </c>
      <c r="E659" s="23" t="str">
        <f aca="false">IF(A659="","",DATE(YEAR(A659),MONTH(A659),1))</f>
        <v/>
      </c>
    </row>
    <row r="660" customFormat="false" ht="15" hidden="false" customHeight="false" outlineLevel="0" collapsed="false">
      <c r="A660" s="21"/>
      <c r="B660" s="4"/>
      <c r="C660" s="22"/>
      <c r="D660" s="5" t="str">
        <f aca="false">IF(B660="","",IFERROR(INDEX(DE_PARA!$B$6:$B$205,MATCH(B660,DE_PARA!$A$6:$A$205,0)),"SEM DE-PARA"))</f>
        <v/>
      </c>
      <c r="E660" s="23" t="str">
        <f aca="false">IF(A660="","",DATE(YEAR(A660),MONTH(A660),1))</f>
        <v/>
      </c>
    </row>
    <row r="661" customFormat="false" ht="15" hidden="false" customHeight="false" outlineLevel="0" collapsed="false">
      <c r="A661" s="21"/>
      <c r="B661" s="4"/>
      <c r="C661" s="22"/>
      <c r="D661" s="5" t="str">
        <f aca="false">IF(B661="","",IFERROR(INDEX(DE_PARA!$B$6:$B$205,MATCH(B661,DE_PARA!$A$6:$A$205,0)),"SEM DE-PARA"))</f>
        <v/>
      </c>
      <c r="E661" s="23" t="str">
        <f aca="false">IF(A661="","",DATE(YEAR(A661),MONTH(A661),1))</f>
        <v/>
      </c>
    </row>
    <row r="662" customFormat="false" ht="15" hidden="false" customHeight="false" outlineLevel="0" collapsed="false">
      <c r="A662" s="21"/>
      <c r="B662" s="4"/>
      <c r="C662" s="22"/>
      <c r="D662" s="5" t="str">
        <f aca="false">IF(B662="","",IFERROR(INDEX(DE_PARA!$B$6:$B$205,MATCH(B662,DE_PARA!$A$6:$A$205,0)),"SEM DE-PARA"))</f>
        <v/>
      </c>
      <c r="E662" s="23" t="str">
        <f aca="false">IF(A662="","",DATE(YEAR(A662),MONTH(A662),1))</f>
        <v/>
      </c>
    </row>
    <row r="663" customFormat="false" ht="15" hidden="false" customHeight="false" outlineLevel="0" collapsed="false">
      <c r="A663" s="21"/>
      <c r="B663" s="4"/>
      <c r="C663" s="22"/>
      <c r="D663" s="5" t="str">
        <f aca="false">IF(B663="","",IFERROR(INDEX(DE_PARA!$B$6:$B$205,MATCH(B663,DE_PARA!$A$6:$A$205,0)),"SEM DE-PARA"))</f>
        <v/>
      </c>
      <c r="E663" s="23" t="str">
        <f aca="false">IF(A663="","",DATE(YEAR(A663),MONTH(A663),1))</f>
        <v/>
      </c>
    </row>
    <row r="664" customFormat="false" ht="15" hidden="false" customHeight="false" outlineLevel="0" collapsed="false">
      <c r="A664" s="21"/>
      <c r="B664" s="4"/>
      <c r="C664" s="22"/>
      <c r="D664" s="5" t="str">
        <f aca="false">IF(B664="","",IFERROR(INDEX(DE_PARA!$B$6:$B$205,MATCH(B664,DE_PARA!$A$6:$A$205,0)),"SEM DE-PARA"))</f>
        <v/>
      </c>
      <c r="E664" s="23" t="str">
        <f aca="false">IF(A664="","",DATE(YEAR(A664),MONTH(A664),1))</f>
        <v/>
      </c>
    </row>
    <row r="665" customFormat="false" ht="15" hidden="false" customHeight="false" outlineLevel="0" collapsed="false">
      <c r="A665" s="21"/>
      <c r="B665" s="4"/>
      <c r="C665" s="22"/>
      <c r="D665" s="5" t="str">
        <f aca="false">IF(B665="","",IFERROR(INDEX(DE_PARA!$B$6:$B$205,MATCH(B665,DE_PARA!$A$6:$A$205,0)),"SEM DE-PARA"))</f>
        <v/>
      </c>
      <c r="E665" s="23" t="str">
        <f aca="false">IF(A665="","",DATE(YEAR(A665),MONTH(A665),1))</f>
        <v/>
      </c>
    </row>
    <row r="666" customFormat="false" ht="15" hidden="false" customHeight="false" outlineLevel="0" collapsed="false">
      <c r="A666" s="21"/>
      <c r="B666" s="4"/>
      <c r="C666" s="22"/>
      <c r="D666" s="5" t="str">
        <f aca="false">IF(B666="","",IFERROR(INDEX(DE_PARA!$B$6:$B$205,MATCH(B666,DE_PARA!$A$6:$A$205,0)),"SEM DE-PARA"))</f>
        <v/>
      </c>
      <c r="E666" s="23" t="str">
        <f aca="false">IF(A666="","",DATE(YEAR(A666),MONTH(A666),1))</f>
        <v/>
      </c>
    </row>
    <row r="667" customFormat="false" ht="15" hidden="false" customHeight="false" outlineLevel="0" collapsed="false">
      <c r="A667" s="21"/>
      <c r="B667" s="4"/>
      <c r="C667" s="22"/>
      <c r="D667" s="5" t="str">
        <f aca="false">IF(B667="","",IFERROR(INDEX(DE_PARA!$B$6:$B$205,MATCH(B667,DE_PARA!$A$6:$A$205,0)),"SEM DE-PARA"))</f>
        <v/>
      </c>
      <c r="E667" s="23" t="str">
        <f aca="false">IF(A667="","",DATE(YEAR(A667),MONTH(A667),1))</f>
        <v/>
      </c>
    </row>
    <row r="668" customFormat="false" ht="15" hidden="false" customHeight="false" outlineLevel="0" collapsed="false">
      <c r="A668" s="21"/>
      <c r="B668" s="4"/>
      <c r="C668" s="22"/>
      <c r="D668" s="5" t="str">
        <f aca="false">IF(B668="","",IFERROR(INDEX(DE_PARA!$B$6:$B$205,MATCH(B668,DE_PARA!$A$6:$A$205,0)),"SEM DE-PARA"))</f>
        <v/>
      </c>
      <c r="E668" s="23" t="str">
        <f aca="false">IF(A668="","",DATE(YEAR(A668),MONTH(A668),1))</f>
        <v/>
      </c>
    </row>
    <row r="669" customFormat="false" ht="15" hidden="false" customHeight="false" outlineLevel="0" collapsed="false">
      <c r="A669" s="21"/>
      <c r="B669" s="4"/>
      <c r="C669" s="22"/>
      <c r="D669" s="5" t="str">
        <f aca="false">IF(B669="","",IFERROR(INDEX(DE_PARA!$B$6:$B$205,MATCH(B669,DE_PARA!$A$6:$A$205,0)),"SEM DE-PARA"))</f>
        <v/>
      </c>
      <c r="E669" s="23" t="str">
        <f aca="false">IF(A669="","",DATE(YEAR(A669),MONTH(A669),1))</f>
        <v/>
      </c>
    </row>
    <row r="670" customFormat="false" ht="15" hidden="false" customHeight="false" outlineLevel="0" collapsed="false">
      <c r="A670" s="21"/>
      <c r="B670" s="4"/>
      <c r="C670" s="22"/>
      <c r="D670" s="5" t="str">
        <f aca="false">IF(B670="","",IFERROR(INDEX(DE_PARA!$B$6:$B$205,MATCH(B670,DE_PARA!$A$6:$A$205,0)),"SEM DE-PARA"))</f>
        <v/>
      </c>
      <c r="E670" s="23" t="str">
        <f aca="false">IF(A670="","",DATE(YEAR(A670),MONTH(A670),1))</f>
        <v/>
      </c>
    </row>
    <row r="671" customFormat="false" ht="15" hidden="false" customHeight="false" outlineLevel="0" collapsed="false">
      <c r="A671" s="21"/>
      <c r="B671" s="4"/>
      <c r="C671" s="22"/>
      <c r="D671" s="5" t="str">
        <f aca="false">IF(B671="","",IFERROR(INDEX(DE_PARA!$B$6:$B$205,MATCH(B671,DE_PARA!$A$6:$A$205,0)),"SEM DE-PARA"))</f>
        <v/>
      </c>
      <c r="E671" s="23" t="str">
        <f aca="false">IF(A671="","",DATE(YEAR(A671),MONTH(A671),1))</f>
        <v/>
      </c>
    </row>
    <row r="672" customFormat="false" ht="15" hidden="false" customHeight="false" outlineLevel="0" collapsed="false">
      <c r="A672" s="21"/>
      <c r="B672" s="4"/>
      <c r="C672" s="22"/>
      <c r="D672" s="5" t="str">
        <f aca="false">IF(B672="","",IFERROR(INDEX(DE_PARA!$B$6:$B$205,MATCH(B672,DE_PARA!$A$6:$A$205,0)),"SEM DE-PARA"))</f>
        <v/>
      </c>
      <c r="E672" s="23" t="str">
        <f aca="false">IF(A672="","",DATE(YEAR(A672),MONTH(A672),1))</f>
        <v/>
      </c>
    </row>
    <row r="673" customFormat="false" ht="15" hidden="false" customHeight="false" outlineLevel="0" collapsed="false">
      <c r="A673" s="21"/>
      <c r="B673" s="4"/>
      <c r="C673" s="22"/>
      <c r="D673" s="5" t="str">
        <f aca="false">IF(B673="","",IFERROR(INDEX(DE_PARA!$B$6:$B$205,MATCH(B673,DE_PARA!$A$6:$A$205,0)),"SEM DE-PARA"))</f>
        <v/>
      </c>
      <c r="E673" s="23" t="str">
        <f aca="false">IF(A673="","",DATE(YEAR(A673),MONTH(A673),1))</f>
        <v/>
      </c>
    </row>
    <row r="674" customFormat="false" ht="15" hidden="false" customHeight="false" outlineLevel="0" collapsed="false">
      <c r="A674" s="21"/>
      <c r="B674" s="4"/>
      <c r="C674" s="22"/>
      <c r="D674" s="5" t="str">
        <f aca="false">IF(B674="","",IFERROR(INDEX(DE_PARA!$B$6:$B$205,MATCH(B674,DE_PARA!$A$6:$A$205,0)),"SEM DE-PARA"))</f>
        <v/>
      </c>
      <c r="E674" s="23" t="str">
        <f aca="false">IF(A674="","",DATE(YEAR(A674),MONTH(A674),1))</f>
        <v/>
      </c>
    </row>
    <row r="675" customFormat="false" ht="15" hidden="false" customHeight="false" outlineLevel="0" collapsed="false">
      <c r="A675" s="21"/>
      <c r="B675" s="4"/>
      <c r="C675" s="22"/>
      <c r="D675" s="5" t="str">
        <f aca="false">IF(B675="","",IFERROR(INDEX(DE_PARA!$B$6:$B$205,MATCH(B675,DE_PARA!$A$6:$A$205,0)),"SEM DE-PARA"))</f>
        <v/>
      </c>
      <c r="E675" s="23" t="str">
        <f aca="false">IF(A675="","",DATE(YEAR(A675),MONTH(A675),1))</f>
        <v/>
      </c>
    </row>
    <row r="676" customFormat="false" ht="15" hidden="false" customHeight="false" outlineLevel="0" collapsed="false">
      <c r="A676" s="21"/>
      <c r="B676" s="4"/>
      <c r="C676" s="22"/>
      <c r="D676" s="5" t="str">
        <f aca="false">IF(B676="","",IFERROR(INDEX(DE_PARA!$B$6:$B$205,MATCH(B676,DE_PARA!$A$6:$A$205,0)),"SEM DE-PARA"))</f>
        <v/>
      </c>
      <c r="E676" s="23" t="str">
        <f aca="false">IF(A676="","",DATE(YEAR(A676),MONTH(A676),1))</f>
        <v/>
      </c>
    </row>
    <row r="677" customFormat="false" ht="15" hidden="false" customHeight="false" outlineLevel="0" collapsed="false">
      <c r="A677" s="21"/>
      <c r="B677" s="4"/>
      <c r="C677" s="22"/>
      <c r="D677" s="5" t="str">
        <f aca="false">IF(B677="","",IFERROR(INDEX(DE_PARA!$B$6:$B$205,MATCH(B677,DE_PARA!$A$6:$A$205,0)),"SEM DE-PARA"))</f>
        <v/>
      </c>
      <c r="E677" s="23" t="str">
        <f aca="false">IF(A677="","",DATE(YEAR(A677),MONTH(A677),1))</f>
        <v/>
      </c>
    </row>
    <row r="678" customFormat="false" ht="15" hidden="false" customHeight="false" outlineLevel="0" collapsed="false">
      <c r="A678" s="21"/>
      <c r="B678" s="4"/>
      <c r="C678" s="22"/>
      <c r="D678" s="5" t="str">
        <f aca="false">IF(B678="","",IFERROR(INDEX(DE_PARA!$B$6:$B$205,MATCH(B678,DE_PARA!$A$6:$A$205,0)),"SEM DE-PARA"))</f>
        <v/>
      </c>
      <c r="E678" s="23" t="str">
        <f aca="false">IF(A678="","",DATE(YEAR(A678),MONTH(A678),1))</f>
        <v/>
      </c>
    </row>
    <row r="679" customFormat="false" ht="15" hidden="false" customHeight="false" outlineLevel="0" collapsed="false">
      <c r="A679" s="21"/>
      <c r="B679" s="4"/>
      <c r="C679" s="22"/>
      <c r="D679" s="5" t="str">
        <f aca="false">IF(B679="","",IFERROR(INDEX(DE_PARA!$B$6:$B$205,MATCH(B679,DE_PARA!$A$6:$A$205,0)),"SEM DE-PARA"))</f>
        <v/>
      </c>
      <c r="E679" s="23" t="str">
        <f aca="false">IF(A679="","",DATE(YEAR(A679),MONTH(A679),1))</f>
        <v/>
      </c>
    </row>
    <row r="680" customFormat="false" ht="15" hidden="false" customHeight="false" outlineLevel="0" collapsed="false">
      <c r="A680" s="21"/>
      <c r="B680" s="4"/>
      <c r="C680" s="22"/>
      <c r="D680" s="5" t="str">
        <f aca="false">IF(B680="","",IFERROR(INDEX(DE_PARA!$B$6:$B$205,MATCH(B680,DE_PARA!$A$6:$A$205,0)),"SEM DE-PARA"))</f>
        <v/>
      </c>
      <c r="E680" s="23" t="str">
        <f aca="false">IF(A680="","",DATE(YEAR(A680),MONTH(A680),1))</f>
        <v/>
      </c>
    </row>
    <row r="681" customFormat="false" ht="15" hidden="false" customHeight="false" outlineLevel="0" collapsed="false">
      <c r="A681" s="21"/>
      <c r="B681" s="4"/>
      <c r="C681" s="22"/>
      <c r="D681" s="5" t="str">
        <f aca="false">IF(B681="","",IFERROR(INDEX(DE_PARA!$B$6:$B$205,MATCH(B681,DE_PARA!$A$6:$A$205,0)),"SEM DE-PARA"))</f>
        <v/>
      </c>
      <c r="E681" s="23" t="str">
        <f aca="false">IF(A681="","",DATE(YEAR(A681),MONTH(A681),1))</f>
        <v/>
      </c>
    </row>
    <row r="682" customFormat="false" ht="15" hidden="false" customHeight="false" outlineLevel="0" collapsed="false">
      <c r="A682" s="21"/>
      <c r="B682" s="4"/>
      <c r="C682" s="22"/>
      <c r="D682" s="5" t="str">
        <f aca="false">IF(B682="","",IFERROR(INDEX(DE_PARA!$B$6:$B$205,MATCH(B682,DE_PARA!$A$6:$A$205,0)),"SEM DE-PARA"))</f>
        <v/>
      </c>
      <c r="E682" s="23" t="str">
        <f aca="false">IF(A682="","",DATE(YEAR(A682),MONTH(A682),1))</f>
        <v/>
      </c>
    </row>
    <row r="683" customFormat="false" ht="15" hidden="false" customHeight="false" outlineLevel="0" collapsed="false">
      <c r="A683" s="21"/>
      <c r="B683" s="4"/>
      <c r="C683" s="22"/>
      <c r="D683" s="5" t="str">
        <f aca="false">IF(B683="","",IFERROR(INDEX(DE_PARA!$B$6:$B$205,MATCH(B683,DE_PARA!$A$6:$A$205,0)),"SEM DE-PARA"))</f>
        <v/>
      </c>
      <c r="E683" s="23" t="str">
        <f aca="false">IF(A683="","",DATE(YEAR(A683),MONTH(A683),1))</f>
        <v/>
      </c>
    </row>
    <row r="684" customFormat="false" ht="15" hidden="false" customHeight="false" outlineLevel="0" collapsed="false">
      <c r="A684" s="21"/>
      <c r="B684" s="4"/>
      <c r="C684" s="22"/>
      <c r="D684" s="5" t="str">
        <f aca="false">IF(B684="","",IFERROR(INDEX(DE_PARA!$B$6:$B$205,MATCH(B684,DE_PARA!$A$6:$A$205,0)),"SEM DE-PARA"))</f>
        <v/>
      </c>
      <c r="E684" s="23" t="str">
        <f aca="false">IF(A684="","",DATE(YEAR(A684),MONTH(A684),1))</f>
        <v/>
      </c>
    </row>
    <row r="685" customFormat="false" ht="15" hidden="false" customHeight="false" outlineLevel="0" collapsed="false">
      <c r="A685" s="21"/>
      <c r="B685" s="4"/>
      <c r="C685" s="22"/>
      <c r="D685" s="5" t="str">
        <f aca="false">IF(B685="","",IFERROR(INDEX(DE_PARA!$B$6:$B$205,MATCH(B685,DE_PARA!$A$6:$A$205,0)),"SEM DE-PARA"))</f>
        <v/>
      </c>
      <c r="E685" s="23" t="str">
        <f aca="false">IF(A685="","",DATE(YEAR(A685),MONTH(A685),1))</f>
        <v/>
      </c>
    </row>
    <row r="686" customFormat="false" ht="15" hidden="false" customHeight="false" outlineLevel="0" collapsed="false">
      <c r="A686" s="21"/>
      <c r="B686" s="4"/>
      <c r="C686" s="22"/>
      <c r="D686" s="5" t="str">
        <f aca="false">IF(B686="","",IFERROR(INDEX(DE_PARA!$B$6:$B$205,MATCH(B686,DE_PARA!$A$6:$A$205,0)),"SEM DE-PARA"))</f>
        <v/>
      </c>
      <c r="E686" s="23" t="str">
        <f aca="false">IF(A686="","",DATE(YEAR(A686),MONTH(A686),1))</f>
        <v/>
      </c>
    </row>
    <row r="687" customFormat="false" ht="15" hidden="false" customHeight="false" outlineLevel="0" collapsed="false">
      <c r="A687" s="21"/>
      <c r="B687" s="4"/>
      <c r="C687" s="22"/>
      <c r="D687" s="5" t="str">
        <f aca="false">IF(B687="","",IFERROR(INDEX(DE_PARA!$B$6:$B$205,MATCH(B687,DE_PARA!$A$6:$A$205,0)),"SEM DE-PARA"))</f>
        <v/>
      </c>
      <c r="E687" s="23" t="str">
        <f aca="false">IF(A687="","",DATE(YEAR(A687),MONTH(A687),1))</f>
        <v/>
      </c>
    </row>
    <row r="688" customFormat="false" ht="15" hidden="false" customHeight="false" outlineLevel="0" collapsed="false">
      <c r="A688" s="21"/>
      <c r="B688" s="4"/>
      <c r="C688" s="22"/>
      <c r="D688" s="5" t="str">
        <f aca="false">IF(B688="","",IFERROR(INDEX(DE_PARA!$B$6:$B$205,MATCH(B688,DE_PARA!$A$6:$A$205,0)),"SEM DE-PARA"))</f>
        <v/>
      </c>
      <c r="E688" s="23" t="str">
        <f aca="false">IF(A688="","",DATE(YEAR(A688),MONTH(A688),1))</f>
        <v/>
      </c>
    </row>
    <row r="689" customFormat="false" ht="15" hidden="false" customHeight="false" outlineLevel="0" collapsed="false">
      <c r="A689" s="21"/>
      <c r="B689" s="4"/>
      <c r="C689" s="22"/>
      <c r="D689" s="5" t="str">
        <f aca="false">IF(B689="","",IFERROR(INDEX(DE_PARA!$B$6:$B$205,MATCH(B689,DE_PARA!$A$6:$A$205,0)),"SEM DE-PARA"))</f>
        <v/>
      </c>
      <c r="E689" s="23" t="str">
        <f aca="false">IF(A689="","",DATE(YEAR(A689),MONTH(A689),1))</f>
        <v/>
      </c>
    </row>
    <row r="690" customFormat="false" ht="15" hidden="false" customHeight="false" outlineLevel="0" collapsed="false">
      <c r="A690" s="21"/>
      <c r="B690" s="4"/>
      <c r="C690" s="22"/>
      <c r="D690" s="5" t="str">
        <f aca="false">IF(B690="","",IFERROR(INDEX(DE_PARA!$B$6:$B$205,MATCH(B690,DE_PARA!$A$6:$A$205,0)),"SEM DE-PARA"))</f>
        <v/>
      </c>
      <c r="E690" s="23" t="str">
        <f aca="false">IF(A690="","",DATE(YEAR(A690),MONTH(A690),1))</f>
        <v/>
      </c>
    </row>
    <row r="691" customFormat="false" ht="15" hidden="false" customHeight="false" outlineLevel="0" collapsed="false">
      <c r="A691" s="21"/>
      <c r="B691" s="4"/>
      <c r="C691" s="22"/>
      <c r="D691" s="5" t="str">
        <f aca="false">IF(B691="","",IFERROR(INDEX(DE_PARA!$B$6:$B$205,MATCH(B691,DE_PARA!$A$6:$A$205,0)),"SEM DE-PARA"))</f>
        <v/>
      </c>
      <c r="E691" s="23" t="str">
        <f aca="false">IF(A691="","",DATE(YEAR(A691),MONTH(A691),1))</f>
        <v/>
      </c>
    </row>
    <row r="692" customFormat="false" ht="15" hidden="false" customHeight="false" outlineLevel="0" collapsed="false">
      <c r="A692" s="21"/>
      <c r="B692" s="4"/>
      <c r="C692" s="22"/>
      <c r="D692" s="5" t="str">
        <f aca="false">IF(B692="","",IFERROR(INDEX(DE_PARA!$B$6:$B$205,MATCH(B692,DE_PARA!$A$6:$A$205,0)),"SEM DE-PARA"))</f>
        <v/>
      </c>
      <c r="E692" s="23" t="str">
        <f aca="false">IF(A692="","",DATE(YEAR(A692),MONTH(A692),1))</f>
        <v/>
      </c>
    </row>
    <row r="693" customFormat="false" ht="15" hidden="false" customHeight="false" outlineLevel="0" collapsed="false">
      <c r="A693" s="21"/>
      <c r="B693" s="4"/>
      <c r="C693" s="22"/>
      <c r="D693" s="5" t="str">
        <f aca="false">IF(B693="","",IFERROR(INDEX(DE_PARA!$B$6:$B$205,MATCH(B693,DE_PARA!$A$6:$A$205,0)),"SEM DE-PARA"))</f>
        <v/>
      </c>
      <c r="E693" s="23" t="str">
        <f aca="false">IF(A693="","",DATE(YEAR(A693),MONTH(A693),1))</f>
        <v/>
      </c>
    </row>
    <row r="694" customFormat="false" ht="15" hidden="false" customHeight="false" outlineLevel="0" collapsed="false">
      <c r="A694" s="21"/>
      <c r="B694" s="4"/>
      <c r="C694" s="22"/>
      <c r="D694" s="5" t="str">
        <f aca="false">IF(B694="","",IFERROR(INDEX(DE_PARA!$B$6:$B$205,MATCH(B694,DE_PARA!$A$6:$A$205,0)),"SEM DE-PARA"))</f>
        <v/>
      </c>
      <c r="E694" s="23" t="str">
        <f aca="false">IF(A694="","",DATE(YEAR(A694),MONTH(A694),1))</f>
        <v/>
      </c>
    </row>
    <row r="695" customFormat="false" ht="15" hidden="false" customHeight="false" outlineLevel="0" collapsed="false">
      <c r="A695" s="21"/>
      <c r="B695" s="4"/>
      <c r="C695" s="22"/>
      <c r="D695" s="5" t="str">
        <f aca="false">IF(B695="","",IFERROR(INDEX(DE_PARA!$B$6:$B$205,MATCH(B695,DE_PARA!$A$6:$A$205,0)),"SEM DE-PARA"))</f>
        <v/>
      </c>
      <c r="E695" s="23" t="str">
        <f aca="false">IF(A695="","",DATE(YEAR(A695),MONTH(A695),1))</f>
        <v/>
      </c>
    </row>
    <row r="696" customFormat="false" ht="15" hidden="false" customHeight="false" outlineLevel="0" collapsed="false">
      <c r="A696" s="21"/>
      <c r="B696" s="4"/>
      <c r="C696" s="22"/>
      <c r="D696" s="5" t="str">
        <f aca="false">IF(B696="","",IFERROR(INDEX(DE_PARA!$B$6:$B$205,MATCH(B696,DE_PARA!$A$6:$A$205,0)),"SEM DE-PARA"))</f>
        <v/>
      </c>
      <c r="E696" s="23" t="str">
        <f aca="false">IF(A696="","",DATE(YEAR(A696),MONTH(A696),1))</f>
        <v/>
      </c>
    </row>
    <row r="697" customFormat="false" ht="15" hidden="false" customHeight="false" outlineLevel="0" collapsed="false">
      <c r="A697" s="21"/>
      <c r="B697" s="4"/>
      <c r="C697" s="22"/>
      <c r="D697" s="5" t="str">
        <f aca="false">IF(B697="","",IFERROR(INDEX(DE_PARA!$B$6:$B$205,MATCH(B697,DE_PARA!$A$6:$A$205,0)),"SEM DE-PARA"))</f>
        <v/>
      </c>
      <c r="E697" s="23" t="str">
        <f aca="false">IF(A697="","",DATE(YEAR(A697),MONTH(A697),1))</f>
        <v/>
      </c>
    </row>
    <row r="698" customFormat="false" ht="15" hidden="false" customHeight="false" outlineLevel="0" collapsed="false">
      <c r="A698" s="21"/>
      <c r="B698" s="4"/>
      <c r="C698" s="22"/>
      <c r="D698" s="5" t="str">
        <f aca="false">IF(B698="","",IFERROR(INDEX(DE_PARA!$B$6:$B$205,MATCH(B698,DE_PARA!$A$6:$A$205,0)),"SEM DE-PARA"))</f>
        <v/>
      </c>
      <c r="E698" s="23" t="str">
        <f aca="false">IF(A698="","",DATE(YEAR(A698),MONTH(A698),1))</f>
        <v/>
      </c>
    </row>
    <row r="699" customFormat="false" ht="15" hidden="false" customHeight="false" outlineLevel="0" collapsed="false">
      <c r="A699" s="21"/>
      <c r="B699" s="4"/>
      <c r="C699" s="22"/>
      <c r="D699" s="5" t="str">
        <f aca="false">IF(B699="","",IFERROR(INDEX(DE_PARA!$B$6:$B$205,MATCH(B699,DE_PARA!$A$6:$A$205,0)),"SEM DE-PARA"))</f>
        <v/>
      </c>
      <c r="E699" s="23" t="str">
        <f aca="false">IF(A699="","",DATE(YEAR(A699),MONTH(A699),1))</f>
        <v/>
      </c>
    </row>
    <row r="700" customFormat="false" ht="15" hidden="false" customHeight="false" outlineLevel="0" collapsed="false">
      <c r="A700" s="21"/>
      <c r="B700" s="4"/>
      <c r="C700" s="22"/>
      <c r="D700" s="5" t="str">
        <f aca="false">IF(B700="","",IFERROR(INDEX(DE_PARA!$B$6:$B$205,MATCH(B700,DE_PARA!$A$6:$A$205,0)),"SEM DE-PARA"))</f>
        <v/>
      </c>
      <c r="E700" s="23" t="str">
        <f aca="false">IF(A700="","",DATE(YEAR(A700),MONTH(A700),1))</f>
        <v/>
      </c>
    </row>
    <row r="701" customFormat="false" ht="15" hidden="false" customHeight="false" outlineLevel="0" collapsed="false">
      <c r="A701" s="21"/>
      <c r="B701" s="4"/>
      <c r="C701" s="22"/>
      <c r="D701" s="5" t="str">
        <f aca="false">IF(B701="","",IFERROR(INDEX(DE_PARA!$B$6:$B$205,MATCH(B701,DE_PARA!$A$6:$A$205,0)),"SEM DE-PARA"))</f>
        <v/>
      </c>
      <c r="E701" s="23" t="str">
        <f aca="false">IF(A701="","",DATE(YEAR(A701),MONTH(A701),1))</f>
        <v/>
      </c>
    </row>
    <row r="702" customFormat="false" ht="15" hidden="false" customHeight="false" outlineLevel="0" collapsed="false">
      <c r="A702" s="21"/>
      <c r="B702" s="4"/>
      <c r="C702" s="22"/>
      <c r="D702" s="5" t="str">
        <f aca="false">IF(B702="","",IFERROR(INDEX(DE_PARA!$B$6:$B$205,MATCH(B702,DE_PARA!$A$6:$A$205,0)),"SEM DE-PARA"))</f>
        <v/>
      </c>
      <c r="E702" s="23" t="str">
        <f aca="false">IF(A702="","",DATE(YEAR(A702),MONTH(A702),1))</f>
        <v/>
      </c>
    </row>
    <row r="703" customFormat="false" ht="15" hidden="false" customHeight="false" outlineLevel="0" collapsed="false">
      <c r="A703" s="21"/>
      <c r="B703" s="4"/>
      <c r="C703" s="22"/>
      <c r="D703" s="5" t="str">
        <f aca="false">IF(B703="","",IFERROR(INDEX(DE_PARA!$B$6:$B$205,MATCH(B703,DE_PARA!$A$6:$A$205,0)),"SEM DE-PARA"))</f>
        <v/>
      </c>
      <c r="E703" s="23" t="str">
        <f aca="false">IF(A703="","",DATE(YEAR(A703),MONTH(A703),1))</f>
        <v/>
      </c>
    </row>
    <row r="704" customFormat="false" ht="15" hidden="false" customHeight="false" outlineLevel="0" collapsed="false">
      <c r="A704" s="21"/>
      <c r="B704" s="4"/>
      <c r="C704" s="22"/>
      <c r="D704" s="5" t="str">
        <f aca="false">IF(B704="","",IFERROR(INDEX(DE_PARA!$B$6:$B$205,MATCH(B704,DE_PARA!$A$6:$A$205,0)),"SEM DE-PARA"))</f>
        <v/>
      </c>
      <c r="E704" s="23" t="str">
        <f aca="false">IF(A704="","",DATE(YEAR(A704),MONTH(A704),1))</f>
        <v/>
      </c>
    </row>
    <row r="705" customFormat="false" ht="15" hidden="false" customHeight="false" outlineLevel="0" collapsed="false">
      <c r="A705" s="21"/>
      <c r="B705" s="4"/>
      <c r="C705" s="22"/>
      <c r="D705" s="5" t="str">
        <f aca="false">IF(B705="","",IFERROR(INDEX(DE_PARA!$B$6:$B$205,MATCH(B705,DE_PARA!$A$6:$A$205,0)),"SEM DE-PARA"))</f>
        <v/>
      </c>
      <c r="E705" s="23" t="str">
        <f aca="false">IF(A705="","",DATE(YEAR(A705),MONTH(A705),1))</f>
        <v/>
      </c>
    </row>
    <row r="706" customFormat="false" ht="15" hidden="false" customHeight="false" outlineLevel="0" collapsed="false">
      <c r="A706" s="21"/>
      <c r="B706" s="4"/>
      <c r="C706" s="22"/>
      <c r="D706" s="5" t="str">
        <f aca="false">IF(B706="","",IFERROR(INDEX(DE_PARA!$B$6:$B$205,MATCH(B706,DE_PARA!$A$6:$A$205,0)),"SEM DE-PARA"))</f>
        <v/>
      </c>
      <c r="E706" s="23" t="str">
        <f aca="false">IF(A706="","",DATE(YEAR(A706),MONTH(A706),1))</f>
        <v/>
      </c>
    </row>
    <row r="707" customFormat="false" ht="15" hidden="false" customHeight="false" outlineLevel="0" collapsed="false">
      <c r="A707" s="21"/>
      <c r="B707" s="4"/>
      <c r="C707" s="22"/>
      <c r="D707" s="5" t="str">
        <f aca="false">IF(B707="","",IFERROR(INDEX(DE_PARA!$B$6:$B$205,MATCH(B707,DE_PARA!$A$6:$A$205,0)),"SEM DE-PARA"))</f>
        <v/>
      </c>
      <c r="E707" s="23" t="str">
        <f aca="false">IF(A707="","",DATE(YEAR(A707),MONTH(A707),1))</f>
        <v/>
      </c>
    </row>
    <row r="708" customFormat="false" ht="15" hidden="false" customHeight="false" outlineLevel="0" collapsed="false">
      <c r="A708" s="21"/>
      <c r="B708" s="4"/>
      <c r="C708" s="22"/>
      <c r="D708" s="5" t="str">
        <f aca="false">IF(B708="","",IFERROR(INDEX(DE_PARA!$B$6:$B$205,MATCH(B708,DE_PARA!$A$6:$A$205,0)),"SEM DE-PARA"))</f>
        <v/>
      </c>
      <c r="E708" s="23" t="str">
        <f aca="false">IF(A708="","",DATE(YEAR(A708),MONTH(A708),1))</f>
        <v/>
      </c>
    </row>
    <row r="709" customFormat="false" ht="15" hidden="false" customHeight="false" outlineLevel="0" collapsed="false">
      <c r="A709" s="21"/>
      <c r="B709" s="4"/>
      <c r="C709" s="22"/>
      <c r="D709" s="5" t="str">
        <f aca="false">IF(B709="","",IFERROR(INDEX(DE_PARA!$B$6:$B$205,MATCH(B709,DE_PARA!$A$6:$A$205,0)),"SEM DE-PARA"))</f>
        <v/>
      </c>
      <c r="E709" s="23" t="str">
        <f aca="false">IF(A709="","",DATE(YEAR(A709),MONTH(A709),1))</f>
        <v/>
      </c>
    </row>
    <row r="710" customFormat="false" ht="15" hidden="false" customHeight="false" outlineLevel="0" collapsed="false">
      <c r="A710" s="21"/>
      <c r="B710" s="4"/>
      <c r="C710" s="22"/>
      <c r="D710" s="5" t="str">
        <f aca="false">IF(B710="","",IFERROR(INDEX(DE_PARA!$B$6:$B$205,MATCH(B710,DE_PARA!$A$6:$A$205,0)),"SEM DE-PARA"))</f>
        <v/>
      </c>
      <c r="E710" s="23" t="str">
        <f aca="false">IF(A710="","",DATE(YEAR(A710),MONTH(A710),1))</f>
        <v/>
      </c>
    </row>
    <row r="711" customFormat="false" ht="15" hidden="false" customHeight="false" outlineLevel="0" collapsed="false">
      <c r="A711" s="21"/>
      <c r="B711" s="4"/>
      <c r="C711" s="22"/>
      <c r="D711" s="5" t="str">
        <f aca="false">IF(B711="","",IFERROR(INDEX(DE_PARA!$B$6:$B$205,MATCH(B711,DE_PARA!$A$6:$A$205,0)),"SEM DE-PARA"))</f>
        <v/>
      </c>
      <c r="E711" s="23" t="str">
        <f aca="false">IF(A711="","",DATE(YEAR(A711),MONTH(A711),1))</f>
        <v/>
      </c>
    </row>
    <row r="712" customFormat="false" ht="15" hidden="false" customHeight="false" outlineLevel="0" collapsed="false">
      <c r="A712" s="21"/>
      <c r="B712" s="4"/>
      <c r="C712" s="22"/>
      <c r="D712" s="5" t="str">
        <f aca="false">IF(B712="","",IFERROR(INDEX(DE_PARA!$B$6:$B$205,MATCH(B712,DE_PARA!$A$6:$A$205,0)),"SEM DE-PARA"))</f>
        <v/>
      </c>
      <c r="E712" s="23" t="str">
        <f aca="false">IF(A712="","",DATE(YEAR(A712),MONTH(A712),1))</f>
        <v/>
      </c>
    </row>
    <row r="713" customFormat="false" ht="15" hidden="false" customHeight="false" outlineLevel="0" collapsed="false">
      <c r="A713" s="21"/>
      <c r="B713" s="4"/>
      <c r="C713" s="22"/>
      <c r="D713" s="5" t="str">
        <f aca="false">IF(B713="","",IFERROR(INDEX(DE_PARA!$B$6:$B$205,MATCH(B713,DE_PARA!$A$6:$A$205,0)),"SEM DE-PARA"))</f>
        <v/>
      </c>
      <c r="E713" s="23" t="str">
        <f aca="false">IF(A713="","",DATE(YEAR(A713),MONTH(A713),1))</f>
        <v/>
      </c>
    </row>
    <row r="714" customFormat="false" ht="15" hidden="false" customHeight="false" outlineLevel="0" collapsed="false">
      <c r="A714" s="21"/>
      <c r="B714" s="4"/>
      <c r="C714" s="22"/>
      <c r="D714" s="5" t="str">
        <f aca="false">IF(B714="","",IFERROR(INDEX(DE_PARA!$B$6:$B$205,MATCH(B714,DE_PARA!$A$6:$A$205,0)),"SEM DE-PARA"))</f>
        <v/>
      </c>
      <c r="E714" s="23" t="str">
        <f aca="false">IF(A714="","",DATE(YEAR(A714),MONTH(A714),1))</f>
        <v/>
      </c>
    </row>
    <row r="715" customFormat="false" ht="15" hidden="false" customHeight="false" outlineLevel="0" collapsed="false">
      <c r="A715" s="21"/>
      <c r="B715" s="4"/>
      <c r="C715" s="22"/>
      <c r="D715" s="5" t="str">
        <f aca="false">IF(B715="","",IFERROR(INDEX(DE_PARA!$B$6:$B$205,MATCH(B715,DE_PARA!$A$6:$A$205,0)),"SEM DE-PARA"))</f>
        <v/>
      </c>
      <c r="E715" s="23" t="str">
        <f aca="false">IF(A715="","",DATE(YEAR(A715),MONTH(A715),1))</f>
        <v/>
      </c>
    </row>
    <row r="716" customFormat="false" ht="15" hidden="false" customHeight="false" outlineLevel="0" collapsed="false">
      <c r="A716" s="21"/>
      <c r="B716" s="4"/>
      <c r="C716" s="22"/>
      <c r="D716" s="5" t="str">
        <f aca="false">IF(B716="","",IFERROR(INDEX(DE_PARA!$B$6:$B$205,MATCH(B716,DE_PARA!$A$6:$A$205,0)),"SEM DE-PARA"))</f>
        <v/>
      </c>
      <c r="E716" s="23" t="str">
        <f aca="false">IF(A716="","",DATE(YEAR(A716),MONTH(A716),1))</f>
        <v/>
      </c>
    </row>
    <row r="717" customFormat="false" ht="15" hidden="false" customHeight="false" outlineLevel="0" collapsed="false">
      <c r="A717" s="21"/>
      <c r="B717" s="4"/>
      <c r="C717" s="22"/>
      <c r="D717" s="5" t="str">
        <f aca="false">IF(B717="","",IFERROR(INDEX(DE_PARA!$B$6:$B$205,MATCH(B717,DE_PARA!$A$6:$A$205,0)),"SEM DE-PARA"))</f>
        <v/>
      </c>
      <c r="E717" s="23" t="str">
        <f aca="false">IF(A717="","",DATE(YEAR(A717),MONTH(A717),1))</f>
        <v/>
      </c>
    </row>
    <row r="718" customFormat="false" ht="15" hidden="false" customHeight="false" outlineLevel="0" collapsed="false">
      <c r="A718" s="21"/>
      <c r="B718" s="4"/>
      <c r="C718" s="22"/>
      <c r="D718" s="5" t="str">
        <f aca="false">IF(B718="","",IFERROR(INDEX(DE_PARA!$B$6:$B$205,MATCH(B718,DE_PARA!$A$6:$A$205,0)),"SEM DE-PARA"))</f>
        <v/>
      </c>
      <c r="E718" s="23" t="str">
        <f aca="false">IF(A718="","",DATE(YEAR(A718),MONTH(A718),1))</f>
        <v/>
      </c>
    </row>
    <row r="719" customFormat="false" ht="15" hidden="false" customHeight="false" outlineLevel="0" collapsed="false">
      <c r="A719" s="21"/>
      <c r="B719" s="4"/>
      <c r="C719" s="22"/>
      <c r="D719" s="5" t="str">
        <f aca="false">IF(B719="","",IFERROR(INDEX(DE_PARA!$B$6:$B$205,MATCH(B719,DE_PARA!$A$6:$A$205,0)),"SEM DE-PARA"))</f>
        <v/>
      </c>
      <c r="E719" s="23" t="str">
        <f aca="false">IF(A719="","",DATE(YEAR(A719),MONTH(A719),1))</f>
        <v/>
      </c>
    </row>
    <row r="720" customFormat="false" ht="15" hidden="false" customHeight="false" outlineLevel="0" collapsed="false">
      <c r="A720" s="21"/>
      <c r="B720" s="4"/>
      <c r="C720" s="22"/>
      <c r="D720" s="5" t="str">
        <f aca="false">IF(B720="","",IFERROR(INDEX(DE_PARA!$B$6:$B$205,MATCH(B720,DE_PARA!$A$6:$A$205,0)),"SEM DE-PARA"))</f>
        <v/>
      </c>
      <c r="E720" s="23" t="str">
        <f aca="false">IF(A720="","",DATE(YEAR(A720),MONTH(A720),1))</f>
        <v/>
      </c>
    </row>
    <row r="721" customFormat="false" ht="15" hidden="false" customHeight="false" outlineLevel="0" collapsed="false">
      <c r="A721" s="21"/>
      <c r="B721" s="4"/>
      <c r="C721" s="22"/>
      <c r="D721" s="5" t="str">
        <f aca="false">IF(B721="","",IFERROR(INDEX(DE_PARA!$B$6:$B$205,MATCH(B721,DE_PARA!$A$6:$A$205,0)),"SEM DE-PARA"))</f>
        <v/>
      </c>
      <c r="E721" s="23" t="str">
        <f aca="false">IF(A721="","",DATE(YEAR(A721),MONTH(A721),1))</f>
        <v/>
      </c>
    </row>
    <row r="722" customFormat="false" ht="15" hidden="false" customHeight="false" outlineLevel="0" collapsed="false">
      <c r="A722" s="21"/>
      <c r="B722" s="4"/>
      <c r="C722" s="22"/>
      <c r="D722" s="5" t="str">
        <f aca="false">IF(B722="","",IFERROR(INDEX(DE_PARA!$B$6:$B$205,MATCH(B722,DE_PARA!$A$6:$A$205,0)),"SEM DE-PARA"))</f>
        <v/>
      </c>
      <c r="E722" s="23" t="str">
        <f aca="false">IF(A722="","",DATE(YEAR(A722),MONTH(A722),1))</f>
        <v/>
      </c>
    </row>
    <row r="723" customFormat="false" ht="15" hidden="false" customHeight="false" outlineLevel="0" collapsed="false">
      <c r="A723" s="21"/>
      <c r="B723" s="4"/>
      <c r="C723" s="22"/>
      <c r="D723" s="5" t="str">
        <f aca="false">IF(B723="","",IFERROR(INDEX(DE_PARA!$B$6:$B$205,MATCH(B723,DE_PARA!$A$6:$A$205,0)),"SEM DE-PARA"))</f>
        <v/>
      </c>
      <c r="E723" s="23" t="str">
        <f aca="false">IF(A723="","",DATE(YEAR(A723),MONTH(A723),1))</f>
        <v/>
      </c>
    </row>
    <row r="724" customFormat="false" ht="15" hidden="false" customHeight="false" outlineLevel="0" collapsed="false">
      <c r="A724" s="21"/>
      <c r="B724" s="4"/>
      <c r="C724" s="22"/>
      <c r="D724" s="5" t="str">
        <f aca="false">IF(B724="","",IFERROR(INDEX(DE_PARA!$B$6:$B$205,MATCH(B724,DE_PARA!$A$6:$A$205,0)),"SEM DE-PARA"))</f>
        <v/>
      </c>
      <c r="E724" s="23" t="str">
        <f aca="false">IF(A724="","",DATE(YEAR(A724),MONTH(A724),1))</f>
        <v/>
      </c>
    </row>
    <row r="725" customFormat="false" ht="15" hidden="false" customHeight="false" outlineLevel="0" collapsed="false">
      <c r="A725" s="21"/>
      <c r="B725" s="4"/>
      <c r="C725" s="22"/>
      <c r="D725" s="5" t="str">
        <f aca="false">IF(B725="","",IFERROR(INDEX(DE_PARA!$B$6:$B$205,MATCH(B725,DE_PARA!$A$6:$A$205,0)),"SEM DE-PARA"))</f>
        <v/>
      </c>
      <c r="E725" s="23" t="str">
        <f aca="false">IF(A725="","",DATE(YEAR(A725),MONTH(A725),1))</f>
        <v/>
      </c>
    </row>
    <row r="726" customFormat="false" ht="15" hidden="false" customHeight="false" outlineLevel="0" collapsed="false">
      <c r="A726" s="21"/>
      <c r="B726" s="4"/>
      <c r="C726" s="22"/>
      <c r="D726" s="5" t="str">
        <f aca="false">IF(B726="","",IFERROR(INDEX(DE_PARA!$B$6:$B$205,MATCH(B726,DE_PARA!$A$6:$A$205,0)),"SEM DE-PARA"))</f>
        <v/>
      </c>
      <c r="E726" s="23" t="str">
        <f aca="false">IF(A726="","",DATE(YEAR(A726),MONTH(A726),1))</f>
        <v/>
      </c>
    </row>
    <row r="727" customFormat="false" ht="15" hidden="false" customHeight="false" outlineLevel="0" collapsed="false">
      <c r="A727" s="21"/>
      <c r="B727" s="4"/>
      <c r="C727" s="22"/>
      <c r="D727" s="5" t="str">
        <f aca="false">IF(B727="","",IFERROR(INDEX(DE_PARA!$B$6:$B$205,MATCH(B727,DE_PARA!$A$6:$A$205,0)),"SEM DE-PARA"))</f>
        <v/>
      </c>
      <c r="E727" s="23" t="str">
        <f aca="false">IF(A727="","",DATE(YEAR(A727),MONTH(A727),1))</f>
        <v/>
      </c>
    </row>
    <row r="728" customFormat="false" ht="15" hidden="false" customHeight="false" outlineLevel="0" collapsed="false">
      <c r="A728" s="21"/>
      <c r="B728" s="4"/>
      <c r="C728" s="22"/>
      <c r="D728" s="5" t="str">
        <f aca="false">IF(B728="","",IFERROR(INDEX(DE_PARA!$B$6:$B$205,MATCH(B728,DE_PARA!$A$6:$A$205,0)),"SEM DE-PARA"))</f>
        <v/>
      </c>
      <c r="E728" s="23" t="str">
        <f aca="false">IF(A728="","",DATE(YEAR(A728),MONTH(A728),1))</f>
        <v/>
      </c>
    </row>
    <row r="729" customFormat="false" ht="15" hidden="false" customHeight="false" outlineLevel="0" collapsed="false">
      <c r="A729" s="21"/>
      <c r="B729" s="4"/>
      <c r="C729" s="22"/>
      <c r="D729" s="5" t="str">
        <f aca="false">IF(B729="","",IFERROR(INDEX(DE_PARA!$B$6:$B$205,MATCH(B729,DE_PARA!$A$6:$A$205,0)),"SEM DE-PARA"))</f>
        <v/>
      </c>
      <c r="E729" s="23" t="str">
        <f aca="false">IF(A729="","",DATE(YEAR(A729),MONTH(A729),1))</f>
        <v/>
      </c>
    </row>
    <row r="730" customFormat="false" ht="15" hidden="false" customHeight="false" outlineLevel="0" collapsed="false">
      <c r="A730" s="21"/>
      <c r="B730" s="4"/>
      <c r="C730" s="22"/>
      <c r="D730" s="5" t="str">
        <f aca="false">IF(B730="","",IFERROR(INDEX(DE_PARA!$B$6:$B$205,MATCH(B730,DE_PARA!$A$6:$A$205,0)),"SEM DE-PARA"))</f>
        <v/>
      </c>
      <c r="E730" s="23" t="str">
        <f aca="false">IF(A730="","",DATE(YEAR(A730),MONTH(A730),1))</f>
        <v/>
      </c>
    </row>
    <row r="731" customFormat="false" ht="15" hidden="false" customHeight="false" outlineLevel="0" collapsed="false">
      <c r="A731" s="21"/>
      <c r="B731" s="4"/>
      <c r="C731" s="22"/>
      <c r="D731" s="5" t="str">
        <f aca="false">IF(B731="","",IFERROR(INDEX(DE_PARA!$B$6:$B$205,MATCH(B731,DE_PARA!$A$6:$A$205,0)),"SEM DE-PARA"))</f>
        <v/>
      </c>
      <c r="E731" s="23" t="str">
        <f aca="false">IF(A731="","",DATE(YEAR(A731),MONTH(A731),1))</f>
        <v/>
      </c>
    </row>
    <row r="732" customFormat="false" ht="15" hidden="false" customHeight="false" outlineLevel="0" collapsed="false">
      <c r="A732" s="21"/>
      <c r="B732" s="4"/>
      <c r="C732" s="22"/>
      <c r="D732" s="5" t="str">
        <f aca="false">IF(B732="","",IFERROR(INDEX(DE_PARA!$B$6:$B$205,MATCH(B732,DE_PARA!$A$6:$A$205,0)),"SEM DE-PARA"))</f>
        <v/>
      </c>
      <c r="E732" s="23" t="str">
        <f aca="false">IF(A732="","",DATE(YEAR(A732),MONTH(A732),1))</f>
        <v/>
      </c>
    </row>
    <row r="733" customFormat="false" ht="15" hidden="false" customHeight="false" outlineLevel="0" collapsed="false">
      <c r="A733" s="21"/>
      <c r="B733" s="4"/>
      <c r="C733" s="22"/>
      <c r="D733" s="5" t="str">
        <f aca="false">IF(B733="","",IFERROR(INDEX(DE_PARA!$B$6:$B$205,MATCH(B733,DE_PARA!$A$6:$A$205,0)),"SEM DE-PARA"))</f>
        <v/>
      </c>
      <c r="E733" s="23" t="str">
        <f aca="false">IF(A733="","",DATE(YEAR(A733),MONTH(A733),1))</f>
        <v/>
      </c>
    </row>
    <row r="734" customFormat="false" ht="15" hidden="false" customHeight="false" outlineLevel="0" collapsed="false">
      <c r="A734" s="21"/>
      <c r="B734" s="4"/>
      <c r="C734" s="22"/>
      <c r="D734" s="5" t="str">
        <f aca="false">IF(B734="","",IFERROR(INDEX(DE_PARA!$B$6:$B$205,MATCH(B734,DE_PARA!$A$6:$A$205,0)),"SEM DE-PARA"))</f>
        <v/>
      </c>
      <c r="E734" s="23" t="str">
        <f aca="false">IF(A734="","",DATE(YEAR(A734),MONTH(A734),1))</f>
        <v/>
      </c>
    </row>
    <row r="735" customFormat="false" ht="15" hidden="false" customHeight="false" outlineLevel="0" collapsed="false">
      <c r="A735" s="21"/>
      <c r="B735" s="4"/>
      <c r="C735" s="22"/>
      <c r="D735" s="5" t="str">
        <f aca="false">IF(B735="","",IFERROR(INDEX(DE_PARA!$B$6:$B$205,MATCH(B735,DE_PARA!$A$6:$A$205,0)),"SEM DE-PARA"))</f>
        <v/>
      </c>
      <c r="E735" s="23" t="str">
        <f aca="false">IF(A735="","",DATE(YEAR(A735),MONTH(A735),1))</f>
        <v/>
      </c>
    </row>
    <row r="736" customFormat="false" ht="15" hidden="false" customHeight="false" outlineLevel="0" collapsed="false">
      <c r="A736" s="21"/>
      <c r="B736" s="4"/>
      <c r="C736" s="22"/>
      <c r="D736" s="5" t="str">
        <f aca="false">IF(B736="","",IFERROR(INDEX(DE_PARA!$B$6:$B$205,MATCH(B736,DE_PARA!$A$6:$A$205,0)),"SEM DE-PARA"))</f>
        <v/>
      </c>
      <c r="E736" s="23" t="str">
        <f aca="false">IF(A736="","",DATE(YEAR(A736),MONTH(A736),1))</f>
        <v/>
      </c>
    </row>
    <row r="737" customFormat="false" ht="15" hidden="false" customHeight="false" outlineLevel="0" collapsed="false">
      <c r="A737" s="21"/>
      <c r="B737" s="4"/>
      <c r="C737" s="22"/>
      <c r="D737" s="5" t="str">
        <f aca="false">IF(B737="","",IFERROR(INDEX(DE_PARA!$B$6:$B$205,MATCH(B737,DE_PARA!$A$6:$A$205,0)),"SEM DE-PARA"))</f>
        <v/>
      </c>
      <c r="E737" s="23" t="str">
        <f aca="false">IF(A737="","",DATE(YEAR(A737),MONTH(A737),1))</f>
        <v/>
      </c>
    </row>
    <row r="738" customFormat="false" ht="15" hidden="false" customHeight="false" outlineLevel="0" collapsed="false">
      <c r="A738" s="21"/>
      <c r="B738" s="4"/>
      <c r="C738" s="22"/>
      <c r="D738" s="5" t="str">
        <f aca="false">IF(B738="","",IFERROR(INDEX(DE_PARA!$B$6:$B$205,MATCH(B738,DE_PARA!$A$6:$A$205,0)),"SEM DE-PARA"))</f>
        <v/>
      </c>
      <c r="E738" s="23" t="str">
        <f aca="false">IF(A738="","",DATE(YEAR(A738),MONTH(A738),1))</f>
        <v/>
      </c>
    </row>
    <row r="739" customFormat="false" ht="15" hidden="false" customHeight="false" outlineLevel="0" collapsed="false">
      <c r="A739" s="21"/>
      <c r="B739" s="4"/>
      <c r="C739" s="22"/>
      <c r="D739" s="5" t="str">
        <f aca="false">IF(B739="","",IFERROR(INDEX(DE_PARA!$B$6:$B$205,MATCH(B739,DE_PARA!$A$6:$A$205,0)),"SEM DE-PARA"))</f>
        <v/>
      </c>
      <c r="E739" s="23" t="str">
        <f aca="false">IF(A739="","",DATE(YEAR(A739),MONTH(A739),1))</f>
        <v/>
      </c>
    </row>
    <row r="740" customFormat="false" ht="15" hidden="false" customHeight="false" outlineLevel="0" collapsed="false">
      <c r="A740" s="21"/>
      <c r="B740" s="4"/>
      <c r="C740" s="22"/>
      <c r="D740" s="5" t="str">
        <f aca="false">IF(B740="","",IFERROR(INDEX(DE_PARA!$B$6:$B$205,MATCH(B740,DE_PARA!$A$6:$A$205,0)),"SEM DE-PARA"))</f>
        <v/>
      </c>
      <c r="E740" s="23" t="str">
        <f aca="false">IF(A740="","",DATE(YEAR(A740),MONTH(A740),1))</f>
        <v/>
      </c>
    </row>
    <row r="741" customFormat="false" ht="15" hidden="false" customHeight="false" outlineLevel="0" collapsed="false">
      <c r="A741" s="21"/>
      <c r="B741" s="4"/>
      <c r="C741" s="22"/>
      <c r="D741" s="5" t="str">
        <f aca="false">IF(B741="","",IFERROR(INDEX(DE_PARA!$B$6:$B$205,MATCH(B741,DE_PARA!$A$6:$A$205,0)),"SEM DE-PARA"))</f>
        <v/>
      </c>
      <c r="E741" s="23" t="str">
        <f aca="false">IF(A741="","",DATE(YEAR(A741),MONTH(A741),1))</f>
        <v/>
      </c>
    </row>
    <row r="742" customFormat="false" ht="15" hidden="false" customHeight="false" outlineLevel="0" collapsed="false">
      <c r="A742" s="21"/>
      <c r="B742" s="4"/>
      <c r="C742" s="22"/>
      <c r="D742" s="5" t="str">
        <f aca="false">IF(B742="","",IFERROR(INDEX(DE_PARA!$B$6:$B$205,MATCH(B742,DE_PARA!$A$6:$A$205,0)),"SEM DE-PARA"))</f>
        <v/>
      </c>
      <c r="E742" s="23" t="str">
        <f aca="false">IF(A742="","",DATE(YEAR(A742),MONTH(A742),1))</f>
        <v/>
      </c>
    </row>
    <row r="743" customFormat="false" ht="15" hidden="false" customHeight="false" outlineLevel="0" collapsed="false">
      <c r="A743" s="21"/>
      <c r="B743" s="4"/>
      <c r="C743" s="22"/>
      <c r="D743" s="5" t="str">
        <f aca="false">IF(B743="","",IFERROR(INDEX(DE_PARA!$B$6:$B$205,MATCH(B743,DE_PARA!$A$6:$A$205,0)),"SEM DE-PARA"))</f>
        <v/>
      </c>
      <c r="E743" s="23" t="str">
        <f aca="false">IF(A743="","",DATE(YEAR(A743),MONTH(A743),1))</f>
        <v/>
      </c>
    </row>
    <row r="744" customFormat="false" ht="15" hidden="false" customHeight="false" outlineLevel="0" collapsed="false">
      <c r="A744" s="21"/>
      <c r="B744" s="4"/>
      <c r="C744" s="22"/>
      <c r="D744" s="5" t="str">
        <f aca="false">IF(B744="","",IFERROR(INDEX(DE_PARA!$B$6:$B$205,MATCH(B744,DE_PARA!$A$6:$A$205,0)),"SEM DE-PARA"))</f>
        <v/>
      </c>
      <c r="E744" s="23" t="str">
        <f aca="false">IF(A744="","",DATE(YEAR(A744),MONTH(A744),1))</f>
        <v/>
      </c>
    </row>
    <row r="745" customFormat="false" ht="15" hidden="false" customHeight="false" outlineLevel="0" collapsed="false">
      <c r="A745" s="21"/>
      <c r="B745" s="4"/>
      <c r="C745" s="22"/>
      <c r="D745" s="5" t="str">
        <f aca="false">IF(B745="","",IFERROR(INDEX(DE_PARA!$B$6:$B$205,MATCH(B745,DE_PARA!$A$6:$A$205,0)),"SEM DE-PARA"))</f>
        <v/>
      </c>
      <c r="E745" s="23" t="str">
        <f aca="false">IF(A745="","",DATE(YEAR(A745),MONTH(A745),1))</f>
        <v/>
      </c>
    </row>
    <row r="746" customFormat="false" ht="15" hidden="false" customHeight="false" outlineLevel="0" collapsed="false">
      <c r="A746" s="21"/>
      <c r="B746" s="4"/>
      <c r="C746" s="22"/>
      <c r="D746" s="5" t="str">
        <f aca="false">IF(B746="","",IFERROR(INDEX(DE_PARA!$B$6:$B$205,MATCH(B746,DE_PARA!$A$6:$A$205,0)),"SEM DE-PARA"))</f>
        <v/>
      </c>
      <c r="E746" s="23" t="str">
        <f aca="false">IF(A746="","",DATE(YEAR(A746),MONTH(A746),1))</f>
        <v/>
      </c>
    </row>
    <row r="747" customFormat="false" ht="15" hidden="false" customHeight="false" outlineLevel="0" collapsed="false">
      <c r="A747" s="21"/>
      <c r="B747" s="4"/>
      <c r="C747" s="22"/>
      <c r="D747" s="5" t="str">
        <f aca="false">IF(B747="","",IFERROR(INDEX(DE_PARA!$B$6:$B$205,MATCH(B747,DE_PARA!$A$6:$A$205,0)),"SEM DE-PARA"))</f>
        <v/>
      </c>
      <c r="E747" s="23" t="str">
        <f aca="false">IF(A747="","",DATE(YEAR(A747),MONTH(A747),1))</f>
        <v/>
      </c>
    </row>
    <row r="748" customFormat="false" ht="15" hidden="false" customHeight="false" outlineLevel="0" collapsed="false">
      <c r="A748" s="21"/>
      <c r="B748" s="4"/>
      <c r="C748" s="22"/>
      <c r="D748" s="5" t="str">
        <f aca="false">IF(B748="","",IFERROR(INDEX(DE_PARA!$B$6:$B$205,MATCH(B748,DE_PARA!$A$6:$A$205,0)),"SEM DE-PARA"))</f>
        <v/>
      </c>
      <c r="E748" s="23" t="str">
        <f aca="false">IF(A748="","",DATE(YEAR(A748),MONTH(A748),1))</f>
        <v/>
      </c>
    </row>
    <row r="749" customFormat="false" ht="15" hidden="false" customHeight="false" outlineLevel="0" collapsed="false">
      <c r="A749" s="21"/>
      <c r="B749" s="4"/>
      <c r="C749" s="22"/>
      <c r="D749" s="5" t="str">
        <f aca="false">IF(B749="","",IFERROR(INDEX(DE_PARA!$B$6:$B$205,MATCH(B749,DE_PARA!$A$6:$A$205,0)),"SEM DE-PARA"))</f>
        <v/>
      </c>
      <c r="E749" s="23" t="str">
        <f aca="false">IF(A749="","",DATE(YEAR(A749),MONTH(A749),1))</f>
        <v/>
      </c>
    </row>
    <row r="750" customFormat="false" ht="15" hidden="false" customHeight="false" outlineLevel="0" collapsed="false">
      <c r="A750" s="21"/>
      <c r="B750" s="4"/>
      <c r="C750" s="22"/>
      <c r="D750" s="5" t="str">
        <f aca="false">IF(B750="","",IFERROR(INDEX(DE_PARA!$B$6:$B$205,MATCH(B750,DE_PARA!$A$6:$A$205,0)),"SEM DE-PARA"))</f>
        <v/>
      </c>
      <c r="E750" s="23" t="str">
        <f aca="false">IF(A750="","",DATE(YEAR(A750),MONTH(A750),1))</f>
        <v/>
      </c>
    </row>
    <row r="751" customFormat="false" ht="15" hidden="false" customHeight="false" outlineLevel="0" collapsed="false">
      <c r="A751" s="21"/>
      <c r="B751" s="4"/>
      <c r="C751" s="22"/>
      <c r="D751" s="5" t="str">
        <f aca="false">IF(B751="","",IFERROR(INDEX(DE_PARA!$B$6:$B$205,MATCH(B751,DE_PARA!$A$6:$A$205,0)),"SEM DE-PARA"))</f>
        <v/>
      </c>
      <c r="E751" s="23" t="str">
        <f aca="false">IF(A751="","",DATE(YEAR(A751),MONTH(A751),1))</f>
        <v/>
      </c>
    </row>
    <row r="752" customFormat="false" ht="15" hidden="false" customHeight="false" outlineLevel="0" collapsed="false">
      <c r="A752" s="21"/>
      <c r="B752" s="4"/>
      <c r="C752" s="22"/>
      <c r="D752" s="5" t="str">
        <f aca="false">IF(B752="","",IFERROR(INDEX(DE_PARA!$B$6:$B$205,MATCH(B752,DE_PARA!$A$6:$A$205,0)),"SEM DE-PARA"))</f>
        <v/>
      </c>
      <c r="E752" s="23" t="str">
        <f aca="false">IF(A752="","",DATE(YEAR(A752),MONTH(A752),1))</f>
        <v/>
      </c>
    </row>
    <row r="753" customFormat="false" ht="15" hidden="false" customHeight="false" outlineLevel="0" collapsed="false">
      <c r="A753" s="21"/>
      <c r="B753" s="4"/>
      <c r="C753" s="22"/>
      <c r="D753" s="5" t="str">
        <f aca="false">IF(B753="","",IFERROR(INDEX(DE_PARA!$B$6:$B$205,MATCH(B753,DE_PARA!$A$6:$A$205,0)),"SEM DE-PARA"))</f>
        <v/>
      </c>
      <c r="E753" s="23" t="str">
        <f aca="false">IF(A753="","",DATE(YEAR(A753),MONTH(A753),1))</f>
        <v/>
      </c>
    </row>
    <row r="754" customFormat="false" ht="15" hidden="false" customHeight="false" outlineLevel="0" collapsed="false">
      <c r="A754" s="21"/>
      <c r="B754" s="4"/>
      <c r="C754" s="22"/>
      <c r="D754" s="5" t="str">
        <f aca="false">IF(B754="","",IFERROR(INDEX(DE_PARA!$B$6:$B$205,MATCH(B754,DE_PARA!$A$6:$A$205,0)),"SEM DE-PARA"))</f>
        <v/>
      </c>
      <c r="E754" s="23" t="str">
        <f aca="false">IF(A754="","",DATE(YEAR(A754),MONTH(A754),1))</f>
        <v/>
      </c>
    </row>
    <row r="755" customFormat="false" ht="15" hidden="false" customHeight="false" outlineLevel="0" collapsed="false">
      <c r="A755" s="21"/>
      <c r="B755" s="4"/>
      <c r="C755" s="22"/>
      <c r="D755" s="5" t="str">
        <f aca="false">IF(B755="","",IFERROR(INDEX(DE_PARA!$B$6:$B$205,MATCH(B755,DE_PARA!$A$6:$A$205,0)),"SEM DE-PARA"))</f>
        <v/>
      </c>
      <c r="E755" s="23" t="str">
        <f aca="false">IF(A755="","",DATE(YEAR(A755),MONTH(A755),1))</f>
        <v/>
      </c>
    </row>
    <row r="756" customFormat="false" ht="15" hidden="false" customHeight="false" outlineLevel="0" collapsed="false">
      <c r="A756" s="21"/>
      <c r="B756" s="4"/>
      <c r="C756" s="22"/>
      <c r="D756" s="5" t="str">
        <f aca="false">IF(B756="","",IFERROR(INDEX(DE_PARA!$B$6:$B$205,MATCH(B756,DE_PARA!$A$6:$A$205,0)),"SEM DE-PARA"))</f>
        <v/>
      </c>
      <c r="E756" s="23" t="str">
        <f aca="false">IF(A756="","",DATE(YEAR(A756),MONTH(A756),1))</f>
        <v/>
      </c>
    </row>
    <row r="757" customFormat="false" ht="15" hidden="false" customHeight="false" outlineLevel="0" collapsed="false">
      <c r="A757" s="21"/>
      <c r="B757" s="4"/>
      <c r="C757" s="22"/>
      <c r="D757" s="5" t="str">
        <f aca="false">IF(B757="","",IFERROR(INDEX(DE_PARA!$B$6:$B$205,MATCH(B757,DE_PARA!$A$6:$A$205,0)),"SEM DE-PARA"))</f>
        <v/>
      </c>
      <c r="E757" s="23" t="str">
        <f aca="false">IF(A757="","",DATE(YEAR(A757),MONTH(A757),1))</f>
        <v/>
      </c>
    </row>
    <row r="758" customFormat="false" ht="15" hidden="false" customHeight="false" outlineLevel="0" collapsed="false">
      <c r="A758" s="21"/>
      <c r="B758" s="4"/>
      <c r="C758" s="22"/>
      <c r="D758" s="5" t="str">
        <f aca="false">IF(B758="","",IFERROR(INDEX(DE_PARA!$B$6:$B$205,MATCH(B758,DE_PARA!$A$6:$A$205,0)),"SEM DE-PARA"))</f>
        <v/>
      </c>
      <c r="E758" s="23" t="str">
        <f aca="false">IF(A758="","",DATE(YEAR(A758),MONTH(A758),1))</f>
        <v/>
      </c>
    </row>
    <row r="759" customFormat="false" ht="15" hidden="false" customHeight="false" outlineLevel="0" collapsed="false">
      <c r="A759" s="21"/>
      <c r="B759" s="4"/>
      <c r="C759" s="22"/>
      <c r="D759" s="5" t="str">
        <f aca="false">IF(B759="","",IFERROR(INDEX(DE_PARA!$B$6:$B$205,MATCH(B759,DE_PARA!$A$6:$A$205,0)),"SEM DE-PARA"))</f>
        <v/>
      </c>
      <c r="E759" s="23" t="str">
        <f aca="false">IF(A759="","",DATE(YEAR(A759),MONTH(A759),1))</f>
        <v/>
      </c>
    </row>
    <row r="760" customFormat="false" ht="15" hidden="false" customHeight="false" outlineLevel="0" collapsed="false">
      <c r="A760" s="21"/>
      <c r="B760" s="4"/>
      <c r="C760" s="22"/>
      <c r="D760" s="5" t="str">
        <f aca="false">IF(B760="","",IFERROR(INDEX(DE_PARA!$B$6:$B$205,MATCH(B760,DE_PARA!$A$6:$A$205,0)),"SEM DE-PARA"))</f>
        <v/>
      </c>
      <c r="E760" s="23" t="str">
        <f aca="false">IF(A760="","",DATE(YEAR(A760),MONTH(A760),1))</f>
        <v/>
      </c>
    </row>
    <row r="761" customFormat="false" ht="15" hidden="false" customHeight="false" outlineLevel="0" collapsed="false">
      <c r="A761" s="21"/>
      <c r="B761" s="4"/>
      <c r="C761" s="22"/>
      <c r="D761" s="5" t="str">
        <f aca="false">IF(B761="","",IFERROR(INDEX(DE_PARA!$B$6:$B$205,MATCH(B761,DE_PARA!$A$6:$A$205,0)),"SEM DE-PARA"))</f>
        <v/>
      </c>
      <c r="E761" s="23" t="str">
        <f aca="false">IF(A761="","",DATE(YEAR(A761),MONTH(A761),1))</f>
        <v/>
      </c>
    </row>
    <row r="762" customFormat="false" ht="15" hidden="false" customHeight="false" outlineLevel="0" collapsed="false">
      <c r="A762" s="21"/>
      <c r="B762" s="4"/>
      <c r="C762" s="22"/>
      <c r="D762" s="5" t="str">
        <f aca="false">IF(B762="","",IFERROR(INDEX(DE_PARA!$B$6:$B$205,MATCH(B762,DE_PARA!$A$6:$A$205,0)),"SEM DE-PARA"))</f>
        <v/>
      </c>
      <c r="E762" s="23" t="str">
        <f aca="false">IF(A762="","",DATE(YEAR(A762),MONTH(A762),1))</f>
        <v/>
      </c>
    </row>
    <row r="763" customFormat="false" ht="15" hidden="false" customHeight="false" outlineLevel="0" collapsed="false">
      <c r="A763" s="21"/>
      <c r="B763" s="4"/>
      <c r="C763" s="22"/>
      <c r="D763" s="5" t="str">
        <f aca="false">IF(B763="","",IFERROR(INDEX(DE_PARA!$B$6:$B$205,MATCH(B763,DE_PARA!$A$6:$A$205,0)),"SEM DE-PARA"))</f>
        <v/>
      </c>
      <c r="E763" s="23" t="str">
        <f aca="false">IF(A763="","",DATE(YEAR(A763),MONTH(A763),1))</f>
        <v/>
      </c>
    </row>
    <row r="764" customFormat="false" ht="15" hidden="false" customHeight="false" outlineLevel="0" collapsed="false">
      <c r="A764" s="21"/>
      <c r="B764" s="4"/>
      <c r="C764" s="22"/>
      <c r="D764" s="5" t="str">
        <f aca="false">IF(B764="","",IFERROR(INDEX(DE_PARA!$B$6:$B$205,MATCH(B764,DE_PARA!$A$6:$A$205,0)),"SEM DE-PARA"))</f>
        <v/>
      </c>
      <c r="E764" s="23" t="str">
        <f aca="false">IF(A764="","",DATE(YEAR(A764),MONTH(A764),1))</f>
        <v/>
      </c>
    </row>
    <row r="765" customFormat="false" ht="15" hidden="false" customHeight="false" outlineLevel="0" collapsed="false">
      <c r="A765" s="21"/>
      <c r="B765" s="4"/>
      <c r="C765" s="22"/>
      <c r="D765" s="5" t="str">
        <f aca="false">IF(B765="","",IFERROR(INDEX(DE_PARA!$B$6:$B$205,MATCH(B765,DE_PARA!$A$6:$A$205,0)),"SEM DE-PARA"))</f>
        <v/>
      </c>
      <c r="E765" s="23" t="str">
        <f aca="false">IF(A765="","",DATE(YEAR(A765),MONTH(A765),1))</f>
        <v/>
      </c>
    </row>
    <row r="766" customFormat="false" ht="15" hidden="false" customHeight="false" outlineLevel="0" collapsed="false">
      <c r="A766" s="21"/>
      <c r="B766" s="4"/>
      <c r="C766" s="22"/>
      <c r="D766" s="5" t="str">
        <f aca="false">IF(B766="","",IFERROR(INDEX(DE_PARA!$B$6:$B$205,MATCH(B766,DE_PARA!$A$6:$A$205,0)),"SEM DE-PARA"))</f>
        <v/>
      </c>
      <c r="E766" s="23" t="str">
        <f aca="false">IF(A766="","",DATE(YEAR(A766),MONTH(A766),1))</f>
        <v/>
      </c>
    </row>
    <row r="767" customFormat="false" ht="15" hidden="false" customHeight="false" outlineLevel="0" collapsed="false">
      <c r="A767" s="21"/>
      <c r="B767" s="4"/>
      <c r="C767" s="22"/>
      <c r="D767" s="5" t="str">
        <f aca="false">IF(B767="","",IFERROR(INDEX(DE_PARA!$B$6:$B$205,MATCH(B767,DE_PARA!$A$6:$A$205,0)),"SEM DE-PARA"))</f>
        <v/>
      </c>
      <c r="E767" s="23" t="str">
        <f aca="false">IF(A767="","",DATE(YEAR(A767),MONTH(A767),1))</f>
        <v/>
      </c>
    </row>
    <row r="768" customFormat="false" ht="15" hidden="false" customHeight="false" outlineLevel="0" collapsed="false">
      <c r="A768" s="21"/>
      <c r="B768" s="4"/>
      <c r="C768" s="22"/>
      <c r="D768" s="5" t="str">
        <f aca="false">IF(B768="","",IFERROR(INDEX(DE_PARA!$B$6:$B$205,MATCH(B768,DE_PARA!$A$6:$A$205,0)),"SEM DE-PARA"))</f>
        <v/>
      </c>
      <c r="E768" s="23" t="str">
        <f aca="false">IF(A768="","",DATE(YEAR(A768),MONTH(A768),1))</f>
        <v/>
      </c>
    </row>
    <row r="769" customFormat="false" ht="15" hidden="false" customHeight="false" outlineLevel="0" collapsed="false">
      <c r="A769" s="21"/>
      <c r="B769" s="4"/>
      <c r="C769" s="22"/>
      <c r="D769" s="5" t="str">
        <f aca="false">IF(B769="","",IFERROR(INDEX(DE_PARA!$B$6:$B$205,MATCH(B769,DE_PARA!$A$6:$A$205,0)),"SEM DE-PARA"))</f>
        <v/>
      </c>
      <c r="E769" s="23" t="str">
        <f aca="false">IF(A769="","",DATE(YEAR(A769),MONTH(A769),1))</f>
        <v/>
      </c>
    </row>
    <row r="770" customFormat="false" ht="15" hidden="false" customHeight="false" outlineLevel="0" collapsed="false">
      <c r="A770" s="21"/>
      <c r="B770" s="4"/>
      <c r="C770" s="22"/>
      <c r="D770" s="5" t="str">
        <f aca="false">IF(B770="","",IFERROR(INDEX(DE_PARA!$B$6:$B$205,MATCH(B770,DE_PARA!$A$6:$A$205,0)),"SEM DE-PARA"))</f>
        <v/>
      </c>
      <c r="E770" s="23" t="str">
        <f aca="false">IF(A770="","",DATE(YEAR(A770),MONTH(A770),1))</f>
        <v/>
      </c>
    </row>
    <row r="771" customFormat="false" ht="15" hidden="false" customHeight="false" outlineLevel="0" collapsed="false">
      <c r="A771" s="21"/>
      <c r="B771" s="4"/>
      <c r="C771" s="22"/>
      <c r="D771" s="5" t="str">
        <f aca="false">IF(B771="","",IFERROR(INDEX(DE_PARA!$B$6:$B$205,MATCH(B771,DE_PARA!$A$6:$A$205,0)),"SEM DE-PARA"))</f>
        <v/>
      </c>
      <c r="E771" s="23" t="str">
        <f aca="false">IF(A771="","",DATE(YEAR(A771),MONTH(A771),1))</f>
        <v/>
      </c>
    </row>
    <row r="772" customFormat="false" ht="15" hidden="false" customHeight="false" outlineLevel="0" collapsed="false">
      <c r="A772" s="21"/>
      <c r="B772" s="4"/>
      <c r="C772" s="22"/>
      <c r="D772" s="5" t="str">
        <f aca="false">IF(B772="","",IFERROR(INDEX(DE_PARA!$B$6:$B$205,MATCH(B772,DE_PARA!$A$6:$A$205,0)),"SEM DE-PARA"))</f>
        <v/>
      </c>
      <c r="E772" s="23" t="str">
        <f aca="false">IF(A772="","",DATE(YEAR(A772),MONTH(A772),1))</f>
        <v/>
      </c>
    </row>
    <row r="773" customFormat="false" ht="15" hidden="false" customHeight="false" outlineLevel="0" collapsed="false">
      <c r="A773" s="21"/>
      <c r="B773" s="4"/>
      <c r="C773" s="22"/>
      <c r="D773" s="5" t="str">
        <f aca="false">IF(B773="","",IFERROR(INDEX(DE_PARA!$B$6:$B$205,MATCH(B773,DE_PARA!$A$6:$A$205,0)),"SEM DE-PARA"))</f>
        <v/>
      </c>
      <c r="E773" s="23" t="str">
        <f aca="false">IF(A773="","",DATE(YEAR(A773),MONTH(A773),1))</f>
        <v/>
      </c>
    </row>
    <row r="774" customFormat="false" ht="15" hidden="false" customHeight="false" outlineLevel="0" collapsed="false">
      <c r="A774" s="21"/>
      <c r="B774" s="4"/>
      <c r="C774" s="22"/>
      <c r="D774" s="5" t="str">
        <f aca="false">IF(B774="","",IFERROR(INDEX(DE_PARA!$B$6:$B$205,MATCH(B774,DE_PARA!$A$6:$A$205,0)),"SEM DE-PARA"))</f>
        <v/>
      </c>
      <c r="E774" s="23" t="str">
        <f aca="false">IF(A774="","",DATE(YEAR(A774),MONTH(A774),1))</f>
        <v/>
      </c>
    </row>
    <row r="775" customFormat="false" ht="15" hidden="false" customHeight="false" outlineLevel="0" collapsed="false">
      <c r="A775" s="21"/>
      <c r="B775" s="4"/>
      <c r="C775" s="22"/>
      <c r="D775" s="5" t="str">
        <f aca="false">IF(B775="","",IFERROR(INDEX(DE_PARA!$B$6:$B$205,MATCH(B775,DE_PARA!$A$6:$A$205,0)),"SEM DE-PARA"))</f>
        <v/>
      </c>
      <c r="E775" s="23" t="str">
        <f aca="false">IF(A775="","",DATE(YEAR(A775),MONTH(A775),1))</f>
        <v/>
      </c>
    </row>
    <row r="776" customFormat="false" ht="15" hidden="false" customHeight="false" outlineLevel="0" collapsed="false">
      <c r="A776" s="21"/>
      <c r="B776" s="4"/>
      <c r="C776" s="22"/>
      <c r="D776" s="5" t="str">
        <f aca="false">IF(B776="","",IFERROR(INDEX(DE_PARA!$B$6:$B$205,MATCH(B776,DE_PARA!$A$6:$A$205,0)),"SEM DE-PARA"))</f>
        <v/>
      </c>
      <c r="E776" s="23" t="str">
        <f aca="false">IF(A776="","",DATE(YEAR(A776),MONTH(A776),1))</f>
        <v/>
      </c>
    </row>
    <row r="777" customFormat="false" ht="15" hidden="false" customHeight="false" outlineLevel="0" collapsed="false">
      <c r="A777" s="21"/>
      <c r="B777" s="4"/>
      <c r="C777" s="22"/>
      <c r="D777" s="5" t="str">
        <f aca="false">IF(B777="","",IFERROR(INDEX(DE_PARA!$B$6:$B$205,MATCH(B777,DE_PARA!$A$6:$A$205,0)),"SEM DE-PARA"))</f>
        <v/>
      </c>
      <c r="E777" s="23" t="str">
        <f aca="false">IF(A777="","",DATE(YEAR(A777),MONTH(A777),1))</f>
        <v/>
      </c>
    </row>
    <row r="778" customFormat="false" ht="15" hidden="false" customHeight="false" outlineLevel="0" collapsed="false">
      <c r="A778" s="21"/>
      <c r="B778" s="4"/>
      <c r="C778" s="22"/>
      <c r="D778" s="5" t="str">
        <f aca="false">IF(B778="","",IFERROR(INDEX(DE_PARA!$B$6:$B$205,MATCH(B778,DE_PARA!$A$6:$A$205,0)),"SEM DE-PARA"))</f>
        <v/>
      </c>
      <c r="E778" s="23" t="str">
        <f aca="false">IF(A778="","",DATE(YEAR(A778),MONTH(A778),1))</f>
        <v/>
      </c>
    </row>
    <row r="779" customFormat="false" ht="15" hidden="false" customHeight="false" outlineLevel="0" collapsed="false">
      <c r="A779" s="21"/>
      <c r="B779" s="4"/>
      <c r="C779" s="22"/>
      <c r="D779" s="5" t="str">
        <f aca="false">IF(B779="","",IFERROR(INDEX(DE_PARA!$B$6:$B$205,MATCH(B779,DE_PARA!$A$6:$A$205,0)),"SEM DE-PARA"))</f>
        <v/>
      </c>
      <c r="E779" s="23" t="str">
        <f aca="false">IF(A779="","",DATE(YEAR(A779),MONTH(A779),1))</f>
        <v/>
      </c>
    </row>
    <row r="780" customFormat="false" ht="15" hidden="false" customHeight="false" outlineLevel="0" collapsed="false">
      <c r="A780" s="21"/>
      <c r="B780" s="4"/>
      <c r="C780" s="22"/>
      <c r="D780" s="5" t="str">
        <f aca="false">IF(B780="","",IFERROR(INDEX(DE_PARA!$B$6:$B$205,MATCH(B780,DE_PARA!$A$6:$A$205,0)),"SEM DE-PARA"))</f>
        <v/>
      </c>
      <c r="E780" s="23" t="str">
        <f aca="false">IF(A780="","",DATE(YEAR(A780),MONTH(A780),1))</f>
        <v/>
      </c>
    </row>
    <row r="781" customFormat="false" ht="15" hidden="false" customHeight="false" outlineLevel="0" collapsed="false">
      <c r="A781" s="21"/>
      <c r="B781" s="4"/>
      <c r="C781" s="22"/>
      <c r="D781" s="5" t="str">
        <f aca="false">IF(B781="","",IFERROR(INDEX(DE_PARA!$B$6:$B$205,MATCH(B781,DE_PARA!$A$6:$A$205,0)),"SEM DE-PARA"))</f>
        <v/>
      </c>
      <c r="E781" s="23" t="str">
        <f aca="false">IF(A781="","",DATE(YEAR(A781),MONTH(A781),1))</f>
        <v/>
      </c>
    </row>
    <row r="782" customFormat="false" ht="15" hidden="false" customHeight="false" outlineLevel="0" collapsed="false">
      <c r="A782" s="21"/>
      <c r="B782" s="4"/>
      <c r="C782" s="22"/>
      <c r="D782" s="5" t="str">
        <f aca="false">IF(B782="","",IFERROR(INDEX(DE_PARA!$B$6:$B$205,MATCH(B782,DE_PARA!$A$6:$A$205,0)),"SEM DE-PARA"))</f>
        <v/>
      </c>
      <c r="E782" s="23" t="str">
        <f aca="false">IF(A782="","",DATE(YEAR(A782),MONTH(A782),1))</f>
        <v/>
      </c>
    </row>
    <row r="783" customFormat="false" ht="15" hidden="false" customHeight="false" outlineLevel="0" collapsed="false">
      <c r="A783" s="21"/>
      <c r="B783" s="4"/>
      <c r="C783" s="22"/>
      <c r="D783" s="5" t="str">
        <f aca="false">IF(B783="","",IFERROR(INDEX(DE_PARA!$B$6:$B$205,MATCH(B783,DE_PARA!$A$6:$A$205,0)),"SEM DE-PARA"))</f>
        <v/>
      </c>
      <c r="E783" s="23" t="str">
        <f aca="false">IF(A783="","",DATE(YEAR(A783),MONTH(A783),1))</f>
        <v/>
      </c>
    </row>
    <row r="784" customFormat="false" ht="15" hidden="false" customHeight="false" outlineLevel="0" collapsed="false">
      <c r="A784" s="21"/>
      <c r="B784" s="4"/>
      <c r="C784" s="22"/>
      <c r="D784" s="5" t="str">
        <f aca="false">IF(B784="","",IFERROR(INDEX(DE_PARA!$B$6:$B$205,MATCH(B784,DE_PARA!$A$6:$A$205,0)),"SEM DE-PARA"))</f>
        <v/>
      </c>
      <c r="E784" s="23" t="str">
        <f aca="false">IF(A784="","",DATE(YEAR(A784),MONTH(A784),1))</f>
        <v/>
      </c>
    </row>
    <row r="785" customFormat="false" ht="15" hidden="false" customHeight="false" outlineLevel="0" collapsed="false">
      <c r="A785" s="21"/>
      <c r="B785" s="4"/>
      <c r="C785" s="22"/>
      <c r="D785" s="5" t="str">
        <f aca="false">IF(B785="","",IFERROR(INDEX(DE_PARA!$B$6:$B$205,MATCH(B785,DE_PARA!$A$6:$A$205,0)),"SEM DE-PARA"))</f>
        <v/>
      </c>
      <c r="E785" s="23" t="str">
        <f aca="false">IF(A785="","",DATE(YEAR(A785),MONTH(A785),1))</f>
        <v/>
      </c>
    </row>
    <row r="786" customFormat="false" ht="15" hidden="false" customHeight="false" outlineLevel="0" collapsed="false">
      <c r="A786" s="21"/>
      <c r="B786" s="4"/>
      <c r="C786" s="22"/>
      <c r="D786" s="5" t="str">
        <f aca="false">IF(B786="","",IFERROR(INDEX(DE_PARA!$B$6:$B$205,MATCH(B786,DE_PARA!$A$6:$A$205,0)),"SEM DE-PARA"))</f>
        <v/>
      </c>
      <c r="E786" s="23" t="str">
        <f aca="false">IF(A786="","",DATE(YEAR(A786),MONTH(A786),1))</f>
        <v/>
      </c>
    </row>
    <row r="787" customFormat="false" ht="15" hidden="false" customHeight="false" outlineLevel="0" collapsed="false">
      <c r="A787" s="21"/>
      <c r="B787" s="4"/>
      <c r="C787" s="22"/>
      <c r="D787" s="5" t="str">
        <f aca="false">IF(B787="","",IFERROR(INDEX(DE_PARA!$B$6:$B$205,MATCH(B787,DE_PARA!$A$6:$A$205,0)),"SEM DE-PARA"))</f>
        <v/>
      </c>
      <c r="E787" s="23" t="str">
        <f aca="false">IF(A787="","",DATE(YEAR(A787),MONTH(A787),1))</f>
        <v/>
      </c>
    </row>
    <row r="788" customFormat="false" ht="15" hidden="false" customHeight="false" outlineLevel="0" collapsed="false">
      <c r="A788" s="21"/>
      <c r="B788" s="4"/>
      <c r="C788" s="22"/>
      <c r="D788" s="5" t="str">
        <f aca="false">IF(B788="","",IFERROR(INDEX(DE_PARA!$B$6:$B$205,MATCH(B788,DE_PARA!$A$6:$A$205,0)),"SEM DE-PARA"))</f>
        <v/>
      </c>
      <c r="E788" s="23" t="str">
        <f aca="false">IF(A788="","",DATE(YEAR(A788),MONTH(A788),1))</f>
        <v/>
      </c>
    </row>
    <row r="789" customFormat="false" ht="15" hidden="false" customHeight="false" outlineLevel="0" collapsed="false">
      <c r="A789" s="21"/>
      <c r="B789" s="4"/>
      <c r="C789" s="22"/>
      <c r="D789" s="5" t="str">
        <f aca="false">IF(B789="","",IFERROR(INDEX(DE_PARA!$B$6:$B$205,MATCH(B789,DE_PARA!$A$6:$A$205,0)),"SEM DE-PARA"))</f>
        <v/>
      </c>
      <c r="E789" s="23" t="str">
        <f aca="false">IF(A789="","",DATE(YEAR(A789),MONTH(A789),1))</f>
        <v/>
      </c>
    </row>
    <row r="790" customFormat="false" ht="15" hidden="false" customHeight="false" outlineLevel="0" collapsed="false">
      <c r="A790" s="21"/>
      <c r="B790" s="4"/>
      <c r="C790" s="22"/>
      <c r="D790" s="5" t="str">
        <f aca="false">IF(B790="","",IFERROR(INDEX(DE_PARA!$B$6:$B$205,MATCH(B790,DE_PARA!$A$6:$A$205,0)),"SEM DE-PARA"))</f>
        <v/>
      </c>
      <c r="E790" s="23" t="str">
        <f aca="false">IF(A790="","",DATE(YEAR(A790),MONTH(A790),1))</f>
        <v/>
      </c>
    </row>
    <row r="791" customFormat="false" ht="15" hidden="false" customHeight="false" outlineLevel="0" collapsed="false">
      <c r="A791" s="21"/>
      <c r="B791" s="4"/>
      <c r="C791" s="22"/>
      <c r="D791" s="5" t="str">
        <f aca="false">IF(B791="","",IFERROR(INDEX(DE_PARA!$B$6:$B$205,MATCH(B791,DE_PARA!$A$6:$A$205,0)),"SEM DE-PARA"))</f>
        <v/>
      </c>
      <c r="E791" s="23" t="str">
        <f aca="false">IF(A791="","",DATE(YEAR(A791),MONTH(A791),1))</f>
        <v/>
      </c>
    </row>
    <row r="792" customFormat="false" ht="15" hidden="false" customHeight="false" outlineLevel="0" collapsed="false">
      <c r="A792" s="21"/>
      <c r="B792" s="4"/>
      <c r="C792" s="22"/>
      <c r="D792" s="5" t="str">
        <f aca="false">IF(B792="","",IFERROR(INDEX(DE_PARA!$B$6:$B$205,MATCH(B792,DE_PARA!$A$6:$A$205,0)),"SEM DE-PARA"))</f>
        <v/>
      </c>
      <c r="E792" s="23" t="str">
        <f aca="false">IF(A792="","",DATE(YEAR(A792),MONTH(A792),1))</f>
        <v/>
      </c>
    </row>
    <row r="793" customFormat="false" ht="15" hidden="false" customHeight="false" outlineLevel="0" collapsed="false">
      <c r="A793" s="21"/>
      <c r="B793" s="4"/>
      <c r="C793" s="22"/>
      <c r="D793" s="5" t="str">
        <f aca="false">IF(B793="","",IFERROR(INDEX(DE_PARA!$B$6:$B$205,MATCH(B793,DE_PARA!$A$6:$A$205,0)),"SEM DE-PARA"))</f>
        <v/>
      </c>
      <c r="E793" s="23" t="str">
        <f aca="false">IF(A793="","",DATE(YEAR(A793),MONTH(A793),1))</f>
        <v/>
      </c>
    </row>
    <row r="794" customFormat="false" ht="15" hidden="false" customHeight="false" outlineLevel="0" collapsed="false">
      <c r="A794" s="21"/>
      <c r="B794" s="4"/>
      <c r="C794" s="22"/>
      <c r="D794" s="5" t="str">
        <f aca="false">IF(B794="","",IFERROR(INDEX(DE_PARA!$B$6:$B$205,MATCH(B794,DE_PARA!$A$6:$A$205,0)),"SEM DE-PARA"))</f>
        <v/>
      </c>
      <c r="E794" s="23" t="str">
        <f aca="false">IF(A794="","",DATE(YEAR(A794),MONTH(A794),1))</f>
        <v/>
      </c>
    </row>
    <row r="795" customFormat="false" ht="15" hidden="false" customHeight="false" outlineLevel="0" collapsed="false">
      <c r="A795" s="21"/>
      <c r="B795" s="4"/>
      <c r="C795" s="22"/>
      <c r="D795" s="5" t="str">
        <f aca="false">IF(B795="","",IFERROR(INDEX(DE_PARA!$B$6:$B$205,MATCH(B795,DE_PARA!$A$6:$A$205,0)),"SEM DE-PARA"))</f>
        <v/>
      </c>
      <c r="E795" s="23" t="str">
        <f aca="false">IF(A795="","",DATE(YEAR(A795),MONTH(A795),1))</f>
        <v/>
      </c>
    </row>
    <row r="796" customFormat="false" ht="15" hidden="false" customHeight="false" outlineLevel="0" collapsed="false">
      <c r="A796" s="21"/>
      <c r="B796" s="4"/>
      <c r="C796" s="22"/>
      <c r="D796" s="5" t="str">
        <f aca="false">IF(B796="","",IFERROR(INDEX(DE_PARA!$B$6:$B$205,MATCH(B796,DE_PARA!$A$6:$A$205,0)),"SEM DE-PARA"))</f>
        <v/>
      </c>
      <c r="E796" s="23" t="str">
        <f aca="false">IF(A796="","",DATE(YEAR(A796),MONTH(A796),1))</f>
        <v/>
      </c>
    </row>
    <row r="797" customFormat="false" ht="15" hidden="false" customHeight="false" outlineLevel="0" collapsed="false">
      <c r="A797" s="21"/>
      <c r="B797" s="4"/>
      <c r="C797" s="22"/>
      <c r="D797" s="5" t="str">
        <f aca="false">IF(B797="","",IFERROR(INDEX(DE_PARA!$B$6:$B$205,MATCH(B797,DE_PARA!$A$6:$A$205,0)),"SEM DE-PARA"))</f>
        <v/>
      </c>
      <c r="E797" s="23" t="str">
        <f aca="false">IF(A797="","",DATE(YEAR(A797),MONTH(A797),1))</f>
        <v/>
      </c>
    </row>
    <row r="798" customFormat="false" ht="15" hidden="false" customHeight="false" outlineLevel="0" collapsed="false">
      <c r="A798" s="21"/>
      <c r="B798" s="4"/>
      <c r="C798" s="22"/>
      <c r="D798" s="5" t="str">
        <f aca="false">IF(B798="","",IFERROR(INDEX(DE_PARA!$B$6:$B$205,MATCH(B798,DE_PARA!$A$6:$A$205,0)),"SEM DE-PARA"))</f>
        <v/>
      </c>
      <c r="E798" s="23" t="str">
        <f aca="false">IF(A798="","",DATE(YEAR(A798),MONTH(A798),1))</f>
        <v/>
      </c>
    </row>
    <row r="799" customFormat="false" ht="15" hidden="false" customHeight="false" outlineLevel="0" collapsed="false">
      <c r="A799" s="21"/>
      <c r="B799" s="4"/>
      <c r="C799" s="22"/>
      <c r="D799" s="5" t="str">
        <f aca="false">IF(B799="","",IFERROR(INDEX(DE_PARA!$B$6:$B$205,MATCH(B799,DE_PARA!$A$6:$A$205,0)),"SEM DE-PARA"))</f>
        <v/>
      </c>
      <c r="E799" s="23" t="str">
        <f aca="false">IF(A799="","",DATE(YEAR(A799),MONTH(A799),1))</f>
        <v/>
      </c>
    </row>
    <row r="800" customFormat="false" ht="15" hidden="false" customHeight="false" outlineLevel="0" collapsed="false">
      <c r="A800" s="21"/>
      <c r="B800" s="4"/>
      <c r="C800" s="22"/>
      <c r="D800" s="5" t="str">
        <f aca="false">IF(B800="","",IFERROR(INDEX(DE_PARA!$B$6:$B$205,MATCH(B800,DE_PARA!$A$6:$A$205,0)),"SEM DE-PARA"))</f>
        <v/>
      </c>
      <c r="E800" s="23" t="str">
        <f aca="false">IF(A800="","",DATE(YEAR(A800),MONTH(A800),1))</f>
        <v/>
      </c>
    </row>
    <row r="801" customFormat="false" ht="15" hidden="false" customHeight="false" outlineLevel="0" collapsed="false">
      <c r="A801" s="21"/>
      <c r="B801" s="4"/>
      <c r="C801" s="22"/>
      <c r="D801" s="5" t="str">
        <f aca="false">IF(B801="","",IFERROR(INDEX(DE_PARA!$B$6:$B$205,MATCH(B801,DE_PARA!$A$6:$A$205,0)),"SEM DE-PARA"))</f>
        <v/>
      </c>
      <c r="E801" s="23" t="str">
        <f aca="false">IF(A801="","",DATE(YEAR(A801),MONTH(A801),1))</f>
        <v/>
      </c>
    </row>
    <row r="802" customFormat="false" ht="15" hidden="false" customHeight="false" outlineLevel="0" collapsed="false">
      <c r="A802" s="21"/>
      <c r="B802" s="4"/>
      <c r="C802" s="22"/>
      <c r="D802" s="5" t="str">
        <f aca="false">IF(B802="","",IFERROR(INDEX(DE_PARA!$B$6:$B$205,MATCH(B802,DE_PARA!$A$6:$A$205,0)),"SEM DE-PARA"))</f>
        <v/>
      </c>
      <c r="E802" s="23" t="str">
        <f aca="false">IF(A802="","",DATE(YEAR(A802),MONTH(A802),1))</f>
        <v/>
      </c>
    </row>
    <row r="803" customFormat="false" ht="15" hidden="false" customHeight="false" outlineLevel="0" collapsed="false">
      <c r="A803" s="21"/>
      <c r="B803" s="4"/>
      <c r="C803" s="22"/>
      <c r="D803" s="5" t="str">
        <f aca="false">IF(B803="","",IFERROR(INDEX(DE_PARA!$B$6:$B$205,MATCH(B803,DE_PARA!$A$6:$A$205,0)),"SEM DE-PARA"))</f>
        <v/>
      </c>
      <c r="E803" s="23" t="str">
        <f aca="false">IF(A803="","",DATE(YEAR(A803),MONTH(A803),1))</f>
        <v/>
      </c>
    </row>
    <row r="804" customFormat="false" ht="15" hidden="false" customHeight="false" outlineLevel="0" collapsed="false">
      <c r="A804" s="21"/>
      <c r="B804" s="4"/>
      <c r="C804" s="22"/>
      <c r="D804" s="5" t="str">
        <f aca="false">IF(B804="","",IFERROR(INDEX(DE_PARA!$B$6:$B$205,MATCH(B804,DE_PARA!$A$6:$A$205,0)),"SEM DE-PARA"))</f>
        <v/>
      </c>
      <c r="E804" s="23" t="str">
        <f aca="false">IF(A804="","",DATE(YEAR(A804),MONTH(A804),1))</f>
        <v/>
      </c>
    </row>
    <row r="805" customFormat="false" ht="15" hidden="false" customHeight="false" outlineLevel="0" collapsed="false">
      <c r="A805" s="21"/>
      <c r="B805" s="4"/>
      <c r="C805" s="22"/>
      <c r="D805" s="5" t="str">
        <f aca="false">IF(B805="","",IFERROR(INDEX(DE_PARA!$B$6:$B$205,MATCH(B805,DE_PARA!$A$6:$A$205,0)),"SEM DE-PARA"))</f>
        <v/>
      </c>
      <c r="E805" s="23" t="str">
        <f aca="false">IF(A805="","",DATE(YEAR(A805),MONTH(A805),1))</f>
        <v/>
      </c>
    </row>
    <row r="806" customFormat="false" ht="15" hidden="false" customHeight="false" outlineLevel="0" collapsed="false">
      <c r="A806" s="21"/>
      <c r="B806" s="4"/>
      <c r="C806" s="22"/>
      <c r="D806" s="5" t="str">
        <f aca="false">IF(B806="","",IFERROR(INDEX(DE_PARA!$B$6:$B$205,MATCH(B806,DE_PARA!$A$6:$A$205,0)),"SEM DE-PARA"))</f>
        <v/>
      </c>
      <c r="E806" s="23" t="str">
        <f aca="false">IF(A806="","",DATE(YEAR(A806),MONTH(A806),1))</f>
        <v/>
      </c>
    </row>
    <row r="807" customFormat="false" ht="15" hidden="false" customHeight="false" outlineLevel="0" collapsed="false">
      <c r="A807" s="21"/>
      <c r="B807" s="4"/>
      <c r="C807" s="22"/>
      <c r="D807" s="5" t="str">
        <f aca="false">IF(B807="","",IFERROR(INDEX(DE_PARA!$B$6:$B$205,MATCH(B807,DE_PARA!$A$6:$A$205,0)),"SEM DE-PARA"))</f>
        <v/>
      </c>
      <c r="E807" s="23" t="str">
        <f aca="false">IF(A807="","",DATE(YEAR(A807),MONTH(A807),1))</f>
        <v/>
      </c>
    </row>
    <row r="808" customFormat="false" ht="15" hidden="false" customHeight="false" outlineLevel="0" collapsed="false">
      <c r="A808" s="21"/>
      <c r="B808" s="4"/>
      <c r="C808" s="22"/>
      <c r="D808" s="5" t="str">
        <f aca="false">IF(B808="","",IFERROR(INDEX(DE_PARA!$B$6:$B$205,MATCH(B808,DE_PARA!$A$6:$A$205,0)),"SEM DE-PARA"))</f>
        <v/>
      </c>
      <c r="E808" s="23" t="str">
        <f aca="false">IF(A808="","",DATE(YEAR(A808),MONTH(A808),1))</f>
        <v/>
      </c>
    </row>
    <row r="809" customFormat="false" ht="15" hidden="false" customHeight="false" outlineLevel="0" collapsed="false">
      <c r="A809" s="21"/>
      <c r="B809" s="4"/>
      <c r="C809" s="22"/>
      <c r="D809" s="5" t="str">
        <f aca="false">IF(B809="","",IFERROR(INDEX(DE_PARA!$B$6:$B$205,MATCH(B809,DE_PARA!$A$6:$A$205,0)),"SEM DE-PARA"))</f>
        <v/>
      </c>
      <c r="E809" s="23" t="str">
        <f aca="false">IF(A809="","",DATE(YEAR(A809),MONTH(A809),1))</f>
        <v/>
      </c>
    </row>
    <row r="810" customFormat="false" ht="15" hidden="false" customHeight="false" outlineLevel="0" collapsed="false">
      <c r="A810" s="21"/>
      <c r="B810" s="4"/>
      <c r="C810" s="22"/>
      <c r="D810" s="5" t="str">
        <f aca="false">IF(B810="","",IFERROR(INDEX(DE_PARA!$B$6:$B$205,MATCH(B810,DE_PARA!$A$6:$A$205,0)),"SEM DE-PARA"))</f>
        <v/>
      </c>
      <c r="E810" s="23" t="str">
        <f aca="false">IF(A810="","",DATE(YEAR(A810),MONTH(A810),1))</f>
        <v/>
      </c>
    </row>
    <row r="811" customFormat="false" ht="15" hidden="false" customHeight="false" outlineLevel="0" collapsed="false">
      <c r="A811" s="21"/>
      <c r="B811" s="4"/>
      <c r="C811" s="22"/>
      <c r="D811" s="5" t="str">
        <f aca="false">IF(B811="","",IFERROR(INDEX(DE_PARA!$B$6:$B$205,MATCH(B811,DE_PARA!$A$6:$A$205,0)),"SEM DE-PARA"))</f>
        <v/>
      </c>
      <c r="E811" s="23" t="str">
        <f aca="false">IF(A811="","",DATE(YEAR(A811),MONTH(A811),1))</f>
        <v/>
      </c>
    </row>
    <row r="812" customFormat="false" ht="15" hidden="false" customHeight="false" outlineLevel="0" collapsed="false">
      <c r="A812" s="21"/>
      <c r="B812" s="4"/>
      <c r="C812" s="22"/>
      <c r="D812" s="5" t="str">
        <f aca="false">IF(B812="","",IFERROR(INDEX(DE_PARA!$B$6:$B$205,MATCH(B812,DE_PARA!$A$6:$A$205,0)),"SEM DE-PARA"))</f>
        <v/>
      </c>
      <c r="E812" s="23" t="str">
        <f aca="false">IF(A812="","",DATE(YEAR(A812),MONTH(A812),1))</f>
        <v/>
      </c>
    </row>
    <row r="813" customFormat="false" ht="15" hidden="false" customHeight="false" outlineLevel="0" collapsed="false">
      <c r="A813" s="21"/>
      <c r="B813" s="4"/>
      <c r="C813" s="22"/>
      <c r="D813" s="5" t="str">
        <f aca="false">IF(B813="","",IFERROR(INDEX(DE_PARA!$B$6:$B$205,MATCH(B813,DE_PARA!$A$6:$A$205,0)),"SEM DE-PARA"))</f>
        <v/>
      </c>
      <c r="E813" s="23" t="str">
        <f aca="false">IF(A813="","",DATE(YEAR(A813),MONTH(A813),1))</f>
        <v/>
      </c>
    </row>
    <row r="814" customFormat="false" ht="15" hidden="false" customHeight="false" outlineLevel="0" collapsed="false">
      <c r="A814" s="21"/>
      <c r="B814" s="4"/>
      <c r="C814" s="22"/>
      <c r="D814" s="5" t="str">
        <f aca="false">IF(B814="","",IFERROR(INDEX(DE_PARA!$B$6:$B$205,MATCH(B814,DE_PARA!$A$6:$A$205,0)),"SEM DE-PARA"))</f>
        <v/>
      </c>
      <c r="E814" s="23" t="str">
        <f aca="false">IF(A814="","",DATE(YEAR(A814),MONTH(A814),1))</f>
        <v/>
      </c>
    </row>
    <row r="815" customFormat="false" ht="15" hidden="false" customHeight="false" outlineLevel="0" collapsed="false">
      <c r="A815" s="21"/>
      <c r="B815" s="4"/>
      <c r="C815" s="22"/>
      <c r="D815" s="5" t="str">
        <f aca="false">IF(B815="","",IFERROR(INDEX(DE_PARA!$B$6:$B$205,MATCH(B815,DE_PARA!$A$6:$A$205,0)),"SEM DE-PARA"))</f>
        <v/>
      </c>
      <c r="E815" s="23" t="str">
        <f aca="false">IF(A815="","",DATE(YEAR(A815),MONTH(A815),1))</f>
        <v/>
      </c>
    </row>
    <row r="816" customFormat="false" ht="15" hidden="false" customHeight="false" outlineLevel="0" collapsed="false">
      <c r="A816" s="21"/>
      <c r="B816" s="4"/>
      <c r="C816" s="22"/>
      <c r="D816" s="5" t="str">
        <f aca="false">IF(B816="","",IFERROR(INDEX(DE_PARA!$B$6:$B$205,MATCH(B816,DE_PARA!$A$6:$A$205,0)),"SEM DE-PARA"))</f>
        <v/>
      </c>
      <c r="E816" s="23" t="str">
        <f aca="false">IF(A816="","",DATE(YEAR(A816),MONTH(A816),1))</f>
        <v/>
      </c>
    </row>
    <row r="817" customFormat="false" ht="15" hidden="false" customHeight="false" outlineLevel="0" collapsed="false">
      <c r="A817" s="21"/>
      <c r="B817" s="4"/>
      <c r="C817" s="22"/>
      <c r="D817" s="5" t="str">
        <f aca="false">IF(B817="","",IFERROR(INDEX(DE_PARA!$B$6:$B$205,MATCH(B817,DE_PARA!$A$6:$A$205,0)),"SEM DE-PARA"))</f>
        <v/>
      </c>
      <c r="E817" s="23" t="str">
        <f aca="false">IF(A817="","",DATE(YEAR(A817),MONTH(A817),1))</f>
        <v/>
      </c>
    </row>
    <row r="818" customFormat="false" ht="15" hidden="false" customHeight="false" outlineLevel="0" collapsed="false">
      <c r="A818" s="21"/>
      <c r="B818" s="4"/>
      <c r="C818" s="22"/>
      <c r="D818" s="5" t="str">
        <f aca="false">IF(B818="","",IFERROR(INDEX(DE_PARA!$B$6:$B$205,MATCH(B818,DE_PARA!$A$6:$A$205,0)),"SEM DE-PARA"))</f>
        <v/>
      </c>
      <c r="E818" s="23" t="str">
        <f aca="false">IF(A818="","",DATE(YEAR(A818),MONTH(A818),1))</f>
        <v/>
      </c>
    </row>
    <row r="819" customFormat="false" ht="15" hidden="false" customHeight="false" outlineLevel="0" collapsed="false">
      <c r="A819" s="21"/>
      <c r="B819" s="4"/>
      <c r="C819" s="22"/>
      <c r="D819" s="5" t="str">
        <f aca="false">IF(B819="","",IFERROR(INDEX(DE_PARA!$B$6:$B$205,MATCH(B819,DE_PARA!$A$6:$A$205,0)),"SEM DE-PARA"))</f>
        <v/>
      </c>
      <c r="E819" s="23" t="str">
        <f aca="false">IF(A819="","",DATE(YEAR(A819),MONTH(A819),1))</f>
        <v/>
      </c>
    </row>
    <row r="820" customFormat="false" ht="15" hidden="false" customHeight="false" outlineLevel="0" collapsed="false">
      <c r="A820" s="21"/>
      <c r="B820" s="4"/>
      <c r="C820" s="22"/>
      <c r="D820" s="5" t="str">
        <f aca="false">IF(B820="","",IFERROR(INDEX(DE_PARA!$B$6:$B$205,MATCH(B820,DE_PARA!$A$6:$A$205,0)),"SEM DE-PARA"))</f>
        <v/>
      </c>
      <c r="E820" s="23" t="str">
        <f aca="false">IF(A820="","",DATE(YEAR(A820),MONTH(A820),1))</f>
        <v/>
      </c>
    </row>
    <row r="821" customFormat="false" ht="15" hidden="false" customHeight="false" outlineLevel="0" collapsed="false">
      <c r="A821" s="21"/>
      <c r="B821" s="4"/>
      <c r="C821" s="22"/>
      <c r="D821" s="5" t="str">
        <f aca="false">IF(B821="","",IFERROR(INDEX(DE_PARA!$B$6:$B$205,MATCH(B821,DE_PARA!$A$6:$A$205,0)),"SEM DE-PARA"))</f>
        <v/>
      </c>
      <c r="E821" s="23" t="str">
        <f aca="false">IF(A821="","",DATE(YEAR(A821),MONTH(A821),1))</f>
        <v/>
      </c>
    </row>
    <row r="822" customFormat="false" ht="15" hidden="false" customHeight="false" outlineLevel="0" collapsed="false">
      <c r="A822" s="21"/>
      <c r="B822" s="4"/>
      <c r="C822" s="22"/>
      <c r="D822" s="5" t="str">
        <f aca="false">IF(B822="","",IFERROR(INDEX(DE_PARA!$B$6:$B$205,MATCH(B822,DE_PARA!$A$6:$A$205,0)),"SEM DE-PARA"))</f>
        <v/>
      </c>
      <c r="E822" s="23" t="str">
        <f aca="false">IF(A822="","",DATE(YEAR(A822),MONTH(A822),1))</f>
        <v/>
      </c>
    </row>
    <row r="823" customFormat="false" ht="15" hidden="false" customHeight="false" outlineLevel="0" collapsed="false">
      <c r="A823" s="21"/>
      <c r="B823" s="4"/>
      <c r="C823" s="22"/>
      <c r="D823" s="5" t="str">
        <f aca="false">IF(B823="","",IFERROR(INDEX(DE_PARA!$B$6:$B$205,MATCH(B823,DE_PARA!$A$6:$A$205,0)),"SEM DE-PARA"))</f>
        <v/>
      </c>
      <c r="E823" s="23" t="str">
        <f aca="false">IF(A823="","",DATE(YEAR(A823),MONTH(A823),1))</f>
        <v/>
      </c>
    </row>
    <row r="824" customFormat="false" ht="15" hidden="false" customHeight="false" outlineLevel="0" collapsed="false">
      <c r="A824" s="21"/>
      <c r="B824" s="4"/>
      <c r="C824" s="22"/>
      <c r="D824" s="5" t="str">
        <f aca="false">IF(B824="","",IFERROR(INDEX(DE_PARA!$B$6:$B$205,MATCH(B824,DE_PARA!$A$6:$A$205,0)),"SEM DE-PARA"))</f>
        <v/>
      </c>
      <c r="E824" s="23" t="str">
        <f aca="false">IF(A824="","",DATE(YEAR(A824),MONTH(A824),1))</f>
        <v/>
      </c>
    </row>
    <row r="825" customFormat="false" ht="15" hidden="false" customHeight="false" outlineLevel="0" collapsed="false">
      <c r="A825" s="21"/>
      <c r="B825" s="4"/>
      <c r="C825" s="22"/>
      <c r="D825" s="5" t="str">
        <f aca="false">IF(B825="","",IFERROR(INDEX(DE_PARA!$B$6:$B$205,MATCH(B825,DE_PARA!$A$6:$A$205,0)),"SEM DE-PARA"))</f>
        <v/>
      </c>
      <c r="E825" s="23" t="str">
        <f aca="false">IF(A825="","",DATE(YEAR(A825),MONTH(A825),1))</f>
        <v/>
      </c>
    </row>
    <row r="826" customFormat="false" ht="15" hidden="false" customHeight="false" outlineLevel="0" collapsed="false">
      <c r="A826" s="21"/>
      <c r="B826" s="4"/>
      <c r="C826" s="22"/>
      <c r="D826" s="5" t="str">
        <f aca="false">IF(B826="","",IFERROR(INDEX(DE_PARA!$B$6:$B$205,MATCH(B826,DE_PARA!$A$6:$A$205,0)),"SEM DE-PARA"))</f>
        <v/>
      </c>
      <c r="E826" s="23" t="str">
        <f aca="false">IF(A826="","",DATE(YEAR(A826),MONTH(A826),1))</f>
        <v/>
      </c>
    </row>
    <row r="827" customFormat="false" ht="15" hidden="false" customHeight="false" outlineLevel="0" collapsed="false">
      <c r="A827" s="21"/>
      <c r="B827" s="4"/>
      <c r="C827" s="22"/>
      <c r="D827" s="5" t="str">
        <f aca="false">IF(B827="","",IFERROR(INDEX(DE_PARA!$B$6:$B$205,MATCH(B827,DE_PARA!$A$6:$A$205,0)),"SEM DE-PARA"))</f>
        <v/>
      </c>
      <c r="E827" s="23" t="str">
        <f aca="false">IF(A827="","",DATE(YEAR(A827),MONTH(A827),1))</f>
        <v/>
      </c>
    </row>
    <row r="828" customFormat="false" ht="15" hidden="false" customHeight="false" outlineLevel="0" collapsed="false">
      <c r="A828" s="21"/>
      <c r="B828" s="4"/>
      <c r="C828" s="22"/>
      <c r="D828" s="5" t="str">
        <f aca="false">IF(B828="","",IFERROR(INDEX(DE_PARA!$B$6:$B$205,MATCH(B828,DE_PARA!$A$6:$A$205,0)),"SEM DE-PARA"))</f>
        <v/>
      </c>
      <c r="E828" s="23" t="str">
        <f aca="false">IF(A828="","",DATE(YEAR(A828),MONTH(A828),1))</f>
        <v/>
      </c>
    </row>
    <row r="829" customFormat="false" ht="15" hidden="false" customHeight="false" outlineLevel="0" collapsed="false">
      <c r="A829" s="21"/>
      <c r="B829" s="4"/>
      <c r="C829" s="22"/>
      <c r="D829" s="5" t="str">
        <f aca="false">IF(B829="","",IFERROR(INDEX(DE_PARA!$B$6:$B$205,MATCH(B829,DE_PARA!$A$6:$A$205,0)),"SEM DE-PARA"))</f>
        <v/>
      </c>
      <c r="E829" s="23" t="str">
        <f aca="false">IF(A829="","",DATE(YEAR(A829),MONTH(A829),1))</f>
        <v/>
      </c>
    </row>
    <row r="830" customFormat="false" ht="15" hidden="false" customHeight="false" outlineLevel="0" collapsed="false">
      <c r="A830" s="21"/>
      <c r="B830" s="4"/>
      <c r="C830" s="22"/>
      <c r="D830" s="5" t="str">
        <f aca="false">IF(B830="","",IFERROR(INDEX(DE_PARA!$B$6:$B$205,MATCH(B830,DE_PARA!$A$6:$A$205,0)),"SEM DE-PARA"))</f>
        <v/>
      </c>
      <c r="E830" s="23" t="str">
        <f aca="false">IF(A830="","",DATE(YEAR(A830),MONTH(A830),1))</f>
        <v/>
      </c>
    </row>
    <row r="831" customFormat="false" ht="15" hidden="false" customHeight="false" outlineLevel="0" collapsed="false">
      <c r="A831" s="21"/>
      <c r="B831" s="4"/>
      <c r="C831" s="22"/>
      <c r="D831" s="5" t="str">
        <f aca="false">IF(B831="","",IFERROR(INDEX(DE_PARA!$B$6:$B$205,MATCH(B831,DE_PARA!$A$6:$A$205,0)),"SEM DE-PARA"))</f>
        <v/>
      </c>
      <c r="E831" s="23" t="str">
        <f aca="false">IF(A831="","",DATE(YEAR(A831),MONTH(A831),1))</f>
        <v/>
      </c>
    </row>
    <row r="832" customFormat="false" ht="15" hidden="false" customHeight="false" outlineLevel="0" collapsed="false">
      <c r="A832" s="21"/>
      <c r="B832" s="4"/>
      <c r="C832" s="22"/>
      <c r="D832" s="5" t="str">
        <f aca="false">IF(B832="","",IFERROR(INDEX(DE_PARA!$B$6:$B$205,MATCH(B832,DE_PARA!$A$6:$A$205,0)),"SEM DE-PARA"))</f>
        <v/>
      </c>
      <c r="E832" s="23" t="str">
        <f aca="false">IF(A832="","",DATE(YEAR(A832),MONTH(A832),1))</f>
        <v/>
      </c>
    </row>
    <row r="833" customFormat="false" ht="15" hidden="false" customHeight="false" outlineLevel="0" collapsed="false">
      <c r="A833" s="21"/>
      <c r="B833" s="4"/>
      <c r="C833" s="22"/>
      <c r="D833" s="5" t="str">
        <f aca="false">IF(B833="","",IFERROR(INDEX(DE_PARA!$B$6:$B$205,MATCH(B833,DE_PARA!$A$6:$A$205,0)),"SEM DE-PARA"))</f>
        <v/>
      </c>
      <c r="E833" s="23" t="str">
        <f aca="false">IF(A833="","",DATE(YEAR(A833),MONTH(A833),1))</f>
        <v/>
      </c>
    </row>
    <row r="834" customFormat="false" ht="15" hidden="false" customHeight="false" outlineLevel="0" collapsed="false">
      <c r="A834" s="21"/>
      <c r="B834" s="4"/>
      <c r="C834" s="22"/>
      <c r="D834" s="5" t="str">
        <f aca="false">IF(B834="","",IFERROR(INDEX(DE_PARA!$B$6:$B$205,MATCH(B834,DE_PARA!$A$6:$A$205,0)),"SEM DE-PARA"))</f>
        <v/>
      </c>
      <c r="E834" s="23" t="str">
        <f aca="false">IF(A834="","",DATE(YEAR(A834),MONTH(A834),1))</f>
        <v/>
      </c>
    </row>
    <row r="835" customFormat="false" ht="15" hidden="false" customHeight="false" outlineLevel="0" collapsed="false">
      <c r="A835" s="21"/>
      <c r="B835" s="4"/>
      <c r="C835" s="22"/>
      <c r="D835" s="5" t="str">
        <f aca="false">IF(B835="","",IFERROR(INDEX(DE_PARA!$B$6:$B$205,MATCH(B835,DE_PARA!$A$6:$A$205,0)),"SEM DE-PARA"))</f>
        <v/>
      </c>
      <c r="E835" s="23" t="str">
        <f aca="false">IF(A835="","",DATE(YEAR(A835),MONTH(A835),1))</f>
        <v/>
      </c>
    </row>
    <row r="836" customFormat="false" ht="15" hidden="false" customHeight="false" outlineLevel="0" collapsed="false">
      <c r="A836" s="21"/>
      <c r="B836" s="4"/>
      <c r="C836" s="22"/>
      <c r="D836" s="5" t="str">
        <f aca="false">IF(B836="","",IFERROR(INDEX(DE_PARA!$B$6:$B$205,MATCH(B836,DE_PARA!$A$6:$A$205,0)),"SEM DE-PARA"))</f>
        <v/>
      </c>
      <c r="E836" s="23" t="str">
        <f aca="false">IF(A836="","",DATE(YEAR(A836),MONTH(A836),1))</f>
        <v/>
      </c>
    </row>
    <row r="837" customFormat="false" ht="15" hidden="false" customHeight="false" outlineLevel="0" collapsed="false">
      <c r="A837" s="21"/>
      <c r="B837" s="4"/>
      <c r="C837" s="22"/>
      <c r="D837" s="5" t="str">
        <f aca="false">IF(B837="","",IFERROR(INDEX(DE_PARA!$B$6:$B$205,MATCH(B837,DE_PARA!$A$6:$A$205,0)),"SEM DE-PARA"))</f>
        <v/>
      </c>
      <c r="E837" s="23" t="str">
        <f aca="false">IF(A837="","",DATE(YEAR(A837),MONTH(A837),1))</f>
        <v/>
      </c>
    </row>
    <row r="838" customFormat="false" ht="15" hidden="false" customHeight="false" outlineLevel="0" collapsed="false">
      <c r="A838" s="21"/>
      <c r="B838" s="4"/>
      <c r="C838" s="22"/>
      <c r="D838" s="5" t="str">
        <f aca="false">IF(B838="","",IFERROR(INDEX(DE_PARA!$B$6:$B$205,MATCH(B838,DE_PARA!$A$6:$A$205,0)),"SEM DE-PARA"))</f>
        <v/>
      </c>
      <c r="E838" s="23" t="str">
        <f aca="false">IF(A838="","",DATE(YEAR(A838),MONTH(A838),1))</f>
        <v/>
      </c>
    </row>
    <row r="839" customFormat="false" ht="15" hidden="false" customHeight="false" outlineLevel="0" collapsed="false">
      <c r="A839" s="21"/>
      <c r="B839" s="4"/>
      <c r="C839" s="22"/>
      <c r="D839" s="5" t="str">
        <f aca="false">IF(B839="","",IFERROR(INDEX(DE_PARA!$B$6:$B$205,MATCH(B839,DE_PARA!$A$6:$A$205,0)),"SEM DE-PARA"))</f>
        <v/>
      </c>
      <c r="E839" s="23" t="str">
        <f aca="false">IF(A839="","",DATE(YEAR(A839),MONTH(A839),1))</f>
        <v/>
      </c>
    </row>
    <row r="840" customFormat="false" ht="15" hidden="false" customHeight="false" outlineLevel="0" collapsed="false">
      <c r="A840" s="21"/>
      <c r="B840" s="4"/>
      <c r="C840" s="22"/>
      <c r="D840" s="5" t="str">
        <f aca="false">IF(B840="","",IFERROR(INDEX(DE_PARA!$B$6:$B$205,MATCH(B840,DE_PARA!$A$6:$A$205,0)),"SEM DE-PARA"))</f>
        <v/>
      </c>
      <c r="E840" s="23" t="str">
        <f aca="false">IF(A840="","",DATE(YEAR(A840),MONTH(A840),1))</f>
        <v/>
      </c>
    </row>
    <row r="841" customFormat="false" ht="15" hidden="false" customHeight="false" outlineLevel="0" collapsed="false">
      <c r="A841" s="21"/>
      <c r="B841" s="4"/>
      <c r="C841" s="22"/>
      <c r="D841" s="5" t="str">
        <f aca="false">IF(B841="","",IFERROR(INDEX(DE_PARA!$B$6:$B$205,MATCH(B841,DE_PARA!$A$6:$A$205,0)),"SEM DE-PARA"))</f>
        <v/>
      </c>
      <c r="E841" s="23" t="str">
        <f aca="false">IF(A841="","",DATE(YEAR(A841),MONTH(A841),1))</f>
        <v/>
      </c>
    </row>
    <row r="842" customFormat="false" ht="15" hidden="false" customHeight="false" outlineLevel="0" collapsed="false">
      <c r="A842" s="21"/>
      <c r="B842" s="4"/>
      <c r="C842" s="22"/>
      <c r="D842" s="5" t="str">
        <f aca="false">IF(B842="","",IFERROR(INDEX(DE_PARA!$B$6:$B$205,MATCH(B842,DE_PARA!$A$6:$A$205,0)),"SEM DE-PARA"))</f>
        <v/>
      </c>
      <c r="E842" s="23" t="str">
        <f aca="false">IF(A842="","",DATE(YEAR(A842),MONTH(A842),1))</f>
        <v/>
      </c>
    </row>
    <row r="843" customFormat="false" ht="15" hidden="false" customHeight="false" outlineLevel="0" collapsed="false">
      <c r="A843" s="21"/>
      <c r="B843" s="4"/>
      <c r="C843" s="22"/>
      <c r="D843" s="5" t="str">
        <f aca="false">IF(B843="","",IFERROR(INDEX(DE_PARA!$B$6:$B$205,MATCH(B843,DE_PARA!$A$6:$A$205,0)),"SEM DE-PARA"))</f>
        <v/>
      </c>
      <c r="E843" s="23" t="str">
        <f aca="false">IF(A843="","",DATE(YEAR(A843),MONTH(A843),1))</f>
        <v/>
      </c>
    </row>
    <row r="844" customFormat="false" ht="15" hidden="false" customHeight="false" outlineLevel="0" collapsed="false">
      <c r="A844" s="21"/>
      <c r="B844" s="4"/>
      <c r="C844" s="22"/>
      <c r="D844" s="5" t="str">
        <f aca="false">IF(B844="","",IFERROR(INDEX(DE_PARA!$B$6:$B$205,MATCH(B844,DE_PARA!$A$6:$A$205,0)),"SEM DE-PARA"))</f>
        <v/>
      </c>
      <c r="E844" s="23" t="str">
        <f aca="false">IF(A844="","",DATE(YEAR(A844),MONTH(A844),1))</f>
        <v/>
      </c>
    </row>
    <row r="845" customFormat="false" ht="15" hidden="false" customHeight="false" outlineLevel="0" collapsed="false">
      <c r="A845" s="21"/>
      <c r="B845" s="4"/>
      <c r="C845" s="22"/>
      <c r="D845" s="5" t="str">
        <f aca="false">IF(B845="","",IFERROR(INDEX(DE_PARA!$B$6:$B$205,MATCH(B845,DE_PARA!$A$6:$A$205,0)),"SEM DE-PARA"))</f>
        <v/>
      </c>
      <c r="E845" s="23" t="str">
        <f aca="false">IF(A845="","",DATE(YEAR(A845),MONTH(A845),1))</f>
        <v/>
      </c>
    </row>
    <row r="846" customFormat="false" ht="15" hidden="false" customHeight="false" outlineLevel="0" collapsed="false">
      <c r="A846" s="21"/>
      <c r="B846" s="4"/>
      <c r="C846" s="22"/>
      <c r="D846" s="5" t="str">
        <f aca="false">IF(B846="","",IFERROR(INDEX(DE_PARA!$B$6:$B$205,MATCH(B846,DE_PARA!$A$6:$A$205,0)),"SEM DE-PARA"))</f>
        <v/>
      </c>
      <c r="E846" s="23" t="str">
        <f aca="false">IF(A846="","",DATE(YEAR(A846),MONTH(A846),1))</f>
        <v/>
      </c>
    </row>
    <row r="847" customFormat="false" ht="15" hidden="false" customHeight="false" outlineLevel="0" collapsed="false">
      <c r="A847" s="21"/>
      <c r="B847" s="4"/>
      <c r="C847" s="22"/>
      <c r="D847" s="5" t="str">
        <f aca="false">IF(B847="","",IFERROR(INDEX(DE_PARA!$B$6:$B$205,MATCH(B847,DE_PARA!$A$6:$A$205,0)),"SEM DE-PARA"))</f>
        <v/>
      </c>
      <c r="E847" s="23" t="str">
        <f aca="false">IF(A847="","",DATE(YEAR(A847),MONTH(A847),1))</f>
        <v/>
      </c>
    </row>
    <row r="848" customFormat="false" ht="15" hidden="false" customHeight="false" outlineLevel="0" collapsed="false">
      <c r="A848" s="21"/>
      <c r="B848" s="4"/>
      <c r="C848" s="22"/>
      <c r="D848" s="5" t="str">
        <f aca="false">IF(B848="","",IFERROR(INDEX(DE_PARA!$B$6:$B$205,MATCH(B848,DE_PARA!$A$6:$A$205,0)),"SEM DE-PARA"))</f>
        <v/>
      </c>
      <c r="E848" s="23" t="str">
        <f aca="false">IF(A848="","",DATE(YEAR(A848),MONTH(A848),1))</f>
        <v/>
      </c>
    </row>
    <row r="849" customFormat="false" ht="15" hidden="false" customHeight="false" outlineLevel="0" collapsed="false">
      <c r="A849" s="21"/>
      <c r="B849" s="4"/>
      <c r="C849" s="22"/>
      <c r="D849" s="5" t="str">
        <f aca="false">IF(B849="","",IFERROR(INDEX(DE_PARA!$B$6:$B$205,MATCH(B849,DE_PARA!$A$6:$A$205,0)),"SEM DE-PARA"))</f>
        <v/>
      </c>
      <c r="E849" s="23" t="str">
        <f aca="false">IF(A849="","",DATE(YEAR(A849),MONTH(A849),1))</f>
        <v/>
      </c>
    </row>
    <row r="850" customFormat="false" ht="15" hidden="false" customHeight="false" outlineLevel="0" collapsed="false">
      <c r="A850" s="21"/>
      <c r="B850" s="4"/>
      <c r="C850" s="22"/>
      <c r="D850" s="5" t="str">
        <f aca="false">IF(B850="","",IFERROR(INDEX(DE_PARA!$B$6:$B$205,MATCH(B850,DE_PARA!$A$6:$A$205,0)),"SEM DE-PARA"))</f>
        <v/>
      </c>
      <c r="E850" s="23" t="str">
        <f aca="false">IF(A850="","",DATE(YEAR(A850),MONTH(A850),1))</f>
        <v/>
      </c>
    </row>
    <row r="851" customFormat="false" ht="15" hidden="false" customHeight="false" outlineLevel="0" collapsed="false">
      <c r="A851" s="21"/>
      <c r="B851" s="4"/>
      <c r="C851" s="22"/>
      <c r="D851" s="5" t="str">
        <f aca="false">IF(B851="","",IFERROR(INDEX(DE_PARA!$B$6:$B$205,MATCH(B851,DE_PARA!$A$6:$A$205,0)),"SEM DE-PARA"))</f>
        <v/>
      </c>
      <c r="E851" s="23" t="str">
        <f aca="false">IF(A851="","",DATE(YEAR(A851),MONTH(A851),1))</f>
        <v/>
      </c>
    </row>
    <row r="852" customFormat="false" ht="15" hidden="false" customHeight="false" outlineLevel="0" collapsed="false">
      <c r="A852" s="21"/>
      <c r="B852" s="4"/>
      <c r="C852" s="22"/>
      <c r="D852" s="5" t="str">
        <f aca="false">IF(B852="","",IFERROR(INDEX(DE_PARA!$B$6:$B$205,MATCH(B852,DE_PARA!$A$6:$A$205,0)),"SEM DE-PARA"))</f>
        <v/>
      </c>
      <c r="E852" s="23" t="str">
        <f aca="false">IF(A852="","",DATE(YEAR(A852),MONTH(A852),1))</f>
        <v/>
      </c>
    </row>
    <row r="853" customFormat="false" ht="15" hidden="false" customHeight="false" outlineLevel="0" collapsed="false">
      <c r="A853" s="21"/>
      <c r="B853" s="4"/>
      <c r="C853" s="22"/>
      <c r="D853" s="5" t="str">
        <f aca="false">IF(B853="","",IFERROR(INDEX(DE_PARA!$B$6:$B$205,MATCH(B853,DE_PARA!$A$6:$A$205,0)),"SEM DE-PARA"))</f>
        <v/>
      </c>
      <c r="E853" s="23" t="str">
        <f aca="false">IF(A853="","",DATE(YEAR(A853),MONTH(A853),1))</f>
        <v/>
      </c>
    </row>
    <row r="854" customFormat="false" ht="15" hidden="false" customHeight="false" outlineLevel="0" collapsed="false">
      <c r="A854" s="21"/>
      <c r="B854" s="4"/>
      <c r="C854" s="22"/>
      <c r="D854" s="5" t="str">
        <f aca="false">IF(B854="","",IFERROR(INDEX(DE_PARA!$B$6:$B$205,MATCH(B854,DE_PARA!$A$6:$A$205,0)),"SEM DE-PARA"))</f>
        <v/>
      </c>
      <c r="E854" s="23" t="str">
        <f aca="false">IF(A854="","",DATE(YEAR(A854),MONTH(A854),1))</f>
        <v/>
      </c>
    </row>
    <row r="855" customFormat="false" ht="15" hidden="false" customHeight="false" outlineLevel="0" collapsed="false">
      <c r="A855" s="21"/>
      <c r="B855" s="4"/>
      <c r="C855" s="22"/>
      <c r="D855" s="5" t="str">
        <f aca="false">IF(B855="","",IFERROR(INDEX(DE_PARA!$B$6:$B$205,MATCH(B855,DE_PARA!$A$6:$A$205,0)),"SEM DE-PARA"))</f>
        <v/>
      </c>
      <c r="E855" s="23" t="str">
        <f aca="false">IF(A855="","",DATE(YEAR(A855),MONTH(A855),1))</f>
        <v/>
      </c>
    </row>
    <row r="856" customFormat="false" ht="15" hidden="false" customHeight="false" outlineLevel="0" collapsed="false">
      <c r="A856" s="21"/>
      <c r="B856" s="4"/>
      <c r="C856" s="22"/>
      <c r="D856" s="5" t="str">
        <f aca="false">IF(B856="","",IFERROR(INDEX(DE_PARA!$B$6:$B$205,MATCH(B856,DE_PARA!$A$6:$A$205,0)),"SEM DE-PARA"))</f>
        <v/>
      </c>
      <c r="E856" s="23" t="str">
        <f aca="false">IF(A856="","",DATE(YEAR(A856),MONTH(A856),1))</f>
        <v/>
      </c>
    </row>
    <row r="857" customFormat="false" ht="15" hidden="false" customHeight="false" outlineLevel="0" collapsed="false">
      <c r="A857" s="21"/>
      <c r="B857" s="4"/>
      <c r="C857" s="22"/>
      <c r="D857" s="5" t="str">
        <f aca="false">IF(B857="","",IFERROR(INDEX(DE_PARA!$B$6:$B$205,MATCH(B857,DE_PARA!$A$6:$A$205,0)),"SEM DE-PARA"))</f>
        <v/>
      </c>
      <c r="E857" s="23" t="str">
        <f aca="false">IF(A857="","",DATE(YEAR(A857),MONTH(A857),1))</f>
        <v/>
      </c>
    </row>
    <row r="858" customFormat="false" ht="15" hidden="false" customHeight="false" outlineLevel="0" collapsed="false">
      <c r="A858" s="21"/>
      <c r="B858" s="4"/>
      <c r="C858" s="22"/>
      <c r="D858" s="5" t="str">
        <f aca="false">IF(B858="","",IFERROR(INDEX(DE_PARA!$B$6:$B$205,MATCH(B858,DE_PARA!$A$6:$A$205,0)),"SEM DE-PARA"))</f>
        <v/>
      </c>
      <c r="E858" s="23" t="str">
        <f aca="false">IF(A858="","",DATE(YEAR(A858),MONTH(A858),1))</f>
        <v/>
      </c>
    </row>
    <row r="859" customFormat="false" ht="15" hidden="false" customHeight="false" outlineLevel="0" collapsed="false">
      <c r="A859" s="21"/>
      <c r="B859" s="4"/>
      <c r="C859" s="22"/>
      <c r="D859" s="5" t="str">
        <f aca="false">IF(B859="","",IFERROR(INDEX(DE_PARA!$B$6:$B$205,MATCH(B859,DE_PARA!$A$6:$A$205,0)),"SEM DE-PARA"))</f>
        <v/>
      </c>
      <c r="E859" s="23" t="str">
        <f aca="false">IF(A859="","",DATE(YEAR(A859),MONTH(A859),1))</f>
        <v/>
      </c>
    </row>
    <row r="860" customFormat="false" ht="15" hidden="false" customHeight="false" outlineLevel="0" collapsed="false">
      <c r="A860" s="21"/>
      <c r="B860" s="4"/>
      <c r="C860" s="22"/>
      <c r="D860" s="5" t="str">
        <f aca="false">IF(B860="","",IFERROR(INDEX(DE_PARA!$B$6:$B$205,MATCH(B860,DE_PARA!$A$6:$A$205,0)),"SEM DE-PARA"))</f>
        <v/>
      </c>
      <c r="E860" s="23" t="str">
        <f aca="false">IF(A860="","",DATE(YEAR(A860),MONTH(A860),1))</f>
        <v/>
      </c>
    </row>
    <row r="861" customFormat="false" ht="15" hidden="false" customHeight="false" outlineLevel="0" collapsed="false">
      <c r="A861" s="21"/>
      <c r="B861" s="4"/>
      <c r="C861" s="22"/>
      <c r="D861" s="5" t="str">
        <f aca="false">IF(B861="","",IFERROR(INDEX(DE_PARA!$B$6:$B$205,MATCH(B861,DE_PARA!$A$6:$A$205,0)),"SEM DE-PARA"))</f>
        <v/>
      </c>
      <c r="E861" s="23" t="str">
        <f aca="false">IF(A861="","",DATE(YEAR(A861),MONTH(A861),1))</f>
        <v/>
      </c>
    </row>
    <row r="862" customFormat="false" ht="15" hidden="false" customHeight="false" outlineLevel="0" collapsed="false">
      <c r="A862" s="21"/>
      <c r="B862" s="4"/>
      <c r="C862" s="22"/>
      <c r="D862" s="5" t="str">
        <f aca="false">IF(B862="","",IFERROR(INDEX(DE_PARA!$B$6:$B$205,MATCH(B862,DE_PARA!$A$6:$A$205,0)),"SEM DE-PARA"))</f>
        <v/>
      </c>
      <c r="E862" s="23" t="str">
        <f aca="false">IF(A862="","",DATE(YEAR(A862),MONTH(A862),1))</f>
        <v/>
      </c>
    </row>
    <row r="863" customFormat="false" ht="15" hidden="false" customHeight="false" outlineLevel="0" collapsed="false">
      <c r="A863" s="21"/>
      <c r="B863" s="4"/>
      <c r="C863" s="22"/>
      <c r="D863" s="5" t="str">
        <f aca="false">IF(B863="","",IFERROR(INDEX(DE_PARA!$B$6:$B$205,MATCH(B863,DE_PARA!$A$6:$A$205,0)),"SEM DE-PARA"))</f>
        <v/>
      </c>
      <c r="E863" s="23" t="str">
        <f aca="false">IF(A863="","",DATE(YEAR(A863),MONTH(A863),1))</f>
        <v/>
      </c>
    </row>
    <row r="864" customFormat="false" ht="15" hidden="false" customHeight="false" outlineLevel="0" collapsed="false">
      <c r="A864" s="21"/>
      <c r="B864" s="4"/>
      <c r="C864" s="22"/>
      <c r="D864" s="5" t="str">
        <f aca="false">IF(B864="","",IFERROR(INDEX(DE_PARA!$B$6:$B$205,MATCH(B864,DE_PARA!$A$6:$A$205,0)),"SEM DE-PARA"))</f>
        <v/>
      </c>
      <c r="E864" s="23" t="str">
        <f aca="false">IF(A864="","",DATE(YEAR(A864),MONTH(A864),1))</f>
        <v/>
      </c>
    </row>
    <row r="865" customFormat="false" ht="15" hidden="false" customHeight="false" outlineLevel="0" collapsed="false">
      <c r="A865" s="21"/>
      <c r="B865" s="4"/>
      <c r="C865" s="22"/>
      <c r="D865" s="5" t="str">
        <f aca="false">IF(B865="","",IFERROR(INDEX(DE_PARA!$B$6:$B$205,MATCH(B865,DE_PARA!$A$6:$A$205,0)),"SEM DE-PARA"))</f>
        <v/>
      </c>
      <c r="E865" s="23" t="str">
        <f aca="false">IF(A865="","",DATE(YEAR(A865),MONTH(A865),1))</f>
        <v/>
      </c>
    </row>
    <row r="866" customFormat="false" ht="15" hidden="false" customHeight="false" outlineLevel="0" collapsed="false">
      <c r="A866" s="21"/>
      <c r="B866" s="4"/>
      <c r="C866" s="22"/>
      <c r="D866" s="5" t="str">
        <f aca="false">IF(B866="","",IFERROR(INDEX(DE_PARA!$B$6:$B$205,MATCH(B866,DE_PARA!$A$6:$A$205,0)),"SEM DE-PARA"))</f>
        <v/>
      </c>
      <c r="E866" s="23" t="str">
        <f aca="false">IF(A866="","",DATE(YEAR(A866),MONTH(A866),1))</f>
        <v/>
      </c>
    </row>
    <row r="867" customFormat="false" ht="15" hidden="false" customHeight="false" outlineLevel="0" collapsed="false">
      <c r="A867" s="21"/>
      <c r="B867" s="4"/>
      <c r="C867" s="22"/>
      <c r="D867" s="5" t="str">
        <f aca="false">IF(B867="","",IFERROR(INDEX(DE_PARA!$B$6:$B$205,MATCH(B867,DE_PARA!$A$6:$A$205,0)),"SEM DE-PARA"))</f>
        <v/>
      </c>
      <c r="E867" s="23" t="str">
        <f aca="false">IF(A867="","",DATE(YEAR(A867),MONTH(A867),1))</f>
        <v/>
      </c>
    </row>
    <row r="868" customFormat="false" ht="15" hidden="false" customHeight="false" outlineLevel="0" collapsed="false">
      <c r="A868" s="21"/>
      <c r="B868" s="4"/>
      <c r="C868" s="22"/>
      <c r="D868" s="5" t="str">
        <f aca="false">IF(B868="","",IFERROR(INDEX(DE_PARA!$B$6:$B$205,MATCH(B868,DE_PARA!$A$6:$A$205,0)),"SEM DE-PARA"))</f>
        <v/>
      </c>
      <c r="E868" s="23" t="str">
        <f aca="false">IF(A868="","",DATE(YEAR(A868),MONTH(A868),1))</f>
        <v/>
      </c>
    </row>
    <row r="869" customFormat="false" ht="15" hidden="false" customHeight="false" outlineLevel="0" collapsed="false">
      <c r="A869" s="21"/>
      <c r="B869" s="4"/>
      <c r="C869" s="22"/>
      <c r="D869" s="5" t="str">
        <f aca="false">IF(B869="","",IFERROR(INDEX(DE_PARA!$B$6:$B$205,MATCH(B869,DE_PARA!$A$6:$A$205,0)),"SEM DE-PARA"))</f>
        <v/>
      </c>
      <c r="E869" s="23" t="str">
        <f aca="false">IF(A869="","",DATE(YEAR(A869),MONTH(A869),1))</f>
        <v/>
      </c>
    </row>
    <row r="870" customFormat="false" ht="15" hidden="false" customHeight="false" outlineLevel="0" collapsed="false">
      <c r="A870" s="21"/>
      <c r="B870" s="4"/>
      <c r="C870" s="22"/>
      <c r="D870" s="5" t="str">
        <f aca="false">IF(B870="","",IFERROR(INDEX(DE_PARA!$B$6:$B$205,MATCH(B870,DE_PARA!$A$6:$A$205,0)),"SEM DE-PARA"))</f>
        <v/>
      </c>
      <c r="E870" s="23" t="str">
        <f aca="false">IF(A870="","",DATE(YEAR(A870),MONTH(A870),1))</f>
        <v/>
      </c>
    </row>
    <row r="871" customFormat="false" ht="15" hidden="false" customHeight="false" outlineLevel="0" collapsed="false">
      <c r="A871" s="21"/>
      <c r="B871" s="4"/>
      <c r="C871" s="22"/>
      <c r="D871" s="5" t="str">
        <f aca="false">IF(B871="","",IFERROR(INDEX(DE_PARA!$B$6:$B$205,MATCH(B871,DE_PARA!$A$6:$A$205,0)),"SEM DE-PARA"))</f>
        <v/>
      </c>
      <c r="E871" s="23" t="str">
        <f aca="false">IF(A871="","",DATE(YEAR(A871),MONTH(A871),1))</f>
        <v/>
      </c>
    </row>
    <row r="872" customFormat="false" ht="15" hidden="false" customHeight="false" outlineLevel="0" collapsed="false">
      <c r="A872" s="21"/>
      <c r="B872" s="4"/>
      <c r="C872" s="22"/>
      <c r="D872" s="5" t="str">
        <f aca="false">IF(B872="","",IFERROR(INDEX(DE_PARA!$B$6:$B$205,MATCH(B872,DE_PARA!$A$6:$A$205,0)),"SEM DE-PARA"))</f>
        <v/>
      </c>
      <c r="E872" s="23" t="str">
        <f aca="false">IF(A872="","",DATE(YEAR(A872),MONTH(A872),1))</f>
        <v/>
      </c>
    </row>
    <row r="873" customFormat="false" ht="15" hidden="false" customHeight="false" outlineLevel="0" collapsed="false">
      <c r="A873" s="21"/>
      <c r="B873" s="4"/>
      <c r="C873" s="22"/>
      <c r="D873" s="5" t="str">
        <f aca="false">IF(B873="","",IFERROR(INDEX(DE_PARA!$B$6:$B$205,MATCH(B873,DE_PARA!$A$6:$A$205,0)),"SEM DE-PARA"))</f>
        <v/>
      </c>
      <c r="E873" s="23" t="str">
        <f aca="false">IF(A873="","",DATE(YEAR(A873),MONTH(A873),1))</f>
        <v/>
      </c>
    </row>
    <row r="874" customFormat="false" ht="15" hidden="false" customHeight="false" outlineLevel="0" collapsed="false">
      <c r="A874" s="21"/>
      <c r="B874" s="4"/>
      <c r="C874" s="22"/>
      <c r="D874" s="5" t="str">
        <f aca="false">IF(B874="","",IFERROR(INDEX(DE_PARA!$B$6:$B$205,MATCH(B874,DE_PARA!$A$6:$A$205,0)),"SEM DE-PARA"))</f>
        <v/>
      </c>
      <c r="E874" s="23" t="str">
        <f aca="false">IF(A874="","",DATE(YEAR(A874),MONTH(A874),1))</f>
        <v/>
      </c>
    </row>
    <row r="875" customFormat="false" ht="15" hidden="false" customHeight="false" outlineLevel="0" collapsed="false">
      <c r="A875" s="21"/>
      <c r="B875" s="4"/>
      <c r="C875" s="22"/>
      <c r="D875" s="5" t="str">
        <f aca="false">IF(B875="","",IFERROR(INDEX(DE_PARA!$B$6:$B$205,MATCH(B875,DE_PARA!$A$6:$A$205,0)),"SEM DE-PARA"))</f>
        <v/>
      </c>
      <c r="E875" s="23" t="str">
        <f aca="false">IF(A875="","",DATE(YEAR(A875),MONTH(A875),1))</f>
        <v/>
      </c>
    </row>
    <row r="876" customFormat="false" ht="15" hidden="false" customHeight="false" outlineLevel="0" collapsed="false">
      <c r="A876" s="21"/>
      <c r="B876" s="4"/>
      <c r="C876" s="22"/>
      <c r="D876" s="5" t="str">
        <f aca="false">IF(B876="","",IFERROR(INDEX(DE_PARA!$B$6:$B$205,MATCH(B876,DE_PARA!$A$6:$A$205,0)),"SEM DE-PARA"))</f>
        <v/>
      </c>
      <c r="E876" s="23" t="str">
        <f aca="false">IF(A876="","",DATE(YEAR(A876),MONTH(A876),1))</f>
        <v/>
      </c>
    </row>
    <row r="877" customFormat="false" ht="15" hidden="false" customHeight="false" outlineLevel="0" collapsed="false">
      <c r="A877" s="21"/>
      <c r="B877" s="4"/>
      <c r="C877" s="22"/>
      <c r="D877" s="5" t="str">
        <f aca="false">IF(B877="","",IFERROR(INDEX(DE_PARA!$B$6:$B$205,MATCH(B877,DE_PARA!$A$6:$A$205,0)),"SEM DE-PARA"))</f>
        <v/>
      </c>
      <c r="E877" s="23" t="str">
        <f aca="false">IF(A877="","",DATE(YEAR(A877),MONTH(A877),1))</f>
        <v/>
      </c>
    </row>
    <row r="878" customFormat="false" ht="15" hidden="false" customHeight="false" outlineLevel="0" collapsed="false">
      <c r="A878" s="21"/>
      <c r="B878" s="4"/>
      <c r="C878" s="22"/>
      <c r="D878" s="5" t="str">
        <f aca="false">IF(B878="","",IFERROR(INDEX(DE_PARA!$B$6:$B$205,MATCH(B878,DE_PARA!$A$6:$A$205,0)),"SEM DE-PARA"))</f>
        <v/>
      </c>
      <c r="E878" s="23" t="str">
        <f aca="false">IF(A878="","",DATE(YEAR(A878),MONTH(A878),1))</f>
        <v/>
      </c>
    </row>
    <row r="879" customFormat="false" ht="15" hidden="false" customHeight="false" outlineLevel="0" collapsed="false">
      <c r="A879" s="21"/>
      <c r="B879" s="4"/>
      <c r="C879" s="22"/>
      <c r="D879" s="5" t="str">
        <f aca="false">IF(B879="","",IFERROR(INDEX(DE_PARA!$B$6:$B$205,MATCH(B879,DE_PARA!$A$6:$A$205,0)),"SEM DE-PARA"))</f>
        <v/>
      </c>
      <c r="E879" s="23" t="str">
        <f aca="false">IF(A879="","",DATE(YEAR(A879),MONTH(A879),1))</f>
        <v/>
      </c>
    </row>
    <row r="880" customFormat="false" ht="15" hidden="false" customHeight="false" outlineLevel="0" collapsed="false">
      <c r="A880" s="21"/>
      <c r="B880" s="4"/>
      <c r="C880" s="22"/>
      <c r="D880" s="5" t="str">
        <f aca="false">IF(B880="","",IFERROR(INDEX(DE_PARA!$B$6:$B$205,MATCH(B880,DE_PARA!$A$6:$A$205,0)),"SEM DE-PARA"))</f>
        <v/>
      </c>
      <c r="E880" s="23" t="str">
        <f aca="false">IF(A880="","",DATE(YEAR(A880),MONTH(A880),1))</f>
        <v/>
      </c>
    </row>
    <row r="881" customFormat="false" ht="15" hidden="false" customHeight="false" outlineLevel="0" collapsed="false">
      <c r="A881" s="21"/>
      <c r="B881" s="4"/>
      <c r="C881" s="22"/>
      <c r="D881" s="5" t="str">
        <f aca="false">IF(B881="","",IFERROR(INDEX(DE_PARA!$B$6:$B$205,MATCH(B881,DE_PARA!$A$6:$A$205,0)),"SEM DE-PARA"))</f>
        <v/>
      </c>
      <c r="E881" s="23" t="str">
        <f aca="false">IF(A881="","",DATE(YEAR(A881),MONTH(A881),1))</f>
        <v/>
      </c>
    </row>
    <row r="882" customFormat="false" ht="15" hidden="false" customHeight="false" outlineLevel="0" collapsed="false">
      <c r="A882" s="21"/>
      <c r="B882" s="4"/>
      <c r="C882" s="22"/>
      <c r="D882" s="5" t="str">
        <f aca="false">IF(B882="","",IFERROR(INDEX(DE_PARA!$B$6:$B$205,MATCH(B882,DE_PARA!$A$6:$A$205,0)),"SEM DE-PARA"))</f>
        <v/>
      </c>
      <c r="E882" s="23" t="str">
        <f aca="false">IF(A882="","",DATE(YEAR(A882),MONTH(A882),1))</f>
        <v/>
      </c>
    </row>
    <row r="883" customFormat="false" ht="15" hidden="false" customHeight="false" outlineLevel="0" collapsed="false">
      <c r="A883" s="21"/>
      <c r="B883" s="4"/>
      <c r="C883" s="22"/>
      <c r="D883" s="5" t="str">
        <f aca="false">IF(B883="","",IFERROR(INDEX(DE_PARA!$B$6:$B$205,MATCH(B883,DE_PARA!$A$6:$A$205,0)),"SEM DE-PARA"))</f>
        <v/>
      </c>
      <c r="E883" s="23" t="str">
        <f aca="false">IF(A883="","",DATE(YEAR(A883),MONTH(A883),1))</f>
        <v/>
      </c>
    </row>
    <row r="884" customFormat="false" ht="15" hidden="false" customHeight="false" outlineLevel="0" collapsed="false">
      <c r="A884" s="21"/>
      <c r="B884" s="4"/>
      <c r="C884" s="22"/>
      <c r="D884" s="5" t="str">
        <f aca="false">IF(B884="","",IFERROR(INDEX(DE_PARA!$B$6:$B$205,MATCH(B884,DE_PARA!$A$6:$A$205,0)),"SEM DE-PARA"))</f>
        <v/>
      </c>
      <c r="E884" s="23" t="str">
        <f aca="false">IF(A884="","",DATE(YEAR(A884),MONTH(A884),1))</f>
        <v/>
      </c>
    </row>
    <row r="885" customFormat="false" ht="15" hidden="false" customHeight="false" outlineLevel="0" collapsed="false">
      <c r="A885" s="21"/>
      <c r="B885" s="4"/>
      <c r="C885" s="22"/>
      <c r="D885" s="5" t="str">
        <f aca="false">IF(B885="","",IFERROR(INDEX(DE_PARA!$B$6:$B$205,MATCH(B885,DE_PARA!$A$6:$A$205,0)),"SEM DE-PARA"))</f>
        <v/>
      </c>
      <c r="E885" s="23" t="str">
        <f aca="false">IF(A885="","",DATE(YEAR(A885),MONTH(A885),1))</f>
        <v/>
      </c>
    </row>
    <row r="886" customFormat="false" ht="15" hidden="false" customHeight="false" outlineLevel="0" collapsed="false">
      <c r="A886" s="21"/>
      <c r="B886" s="4"/>
      <c r="C886" s="22"/>
      <c r="D886" s="5" t="str">
        <f aca="false">IF(B886="","",IFERROR(INDEX(DE_PARA!$B$6:$B$205,MATCH(B886,DE_PARA!$A$6:$A$205,0)),"SEM DE-PARA"))</f>
        <v/>
      </c>
      <c r="E886" s="23" t="str">
        <f aca="false">IF(A886="","",DATE(YEAR(A886),MONTH(A886),1))</f>
        <v/>
      </c>
    </row>
    <row r="887" customFormat="false" ht="15" hidden="false" customHeight="false" outlineLevel="0" collapsed="false">
      <c r="A887" s="21"/>
      <c r="B887" s="4"/>
      <c r="C887" s="22"/>
      <c r="D887" s="5" t="str">
        <f aca="false">IF(B887="","",IFERROR(INDEX(DE_PARA!$B$6:$B$205,MATCH(B887,DE_PARA!$A$6:$A$205,0)),"SEM DE-PARA"))</f>
        <v/>
      </c>
      <c r="E887" s="23" t="str">
        <f aca="false">IF(A887="","",DATE(YEAR(A887),MONTH(A887),1))</f>
        <v/>
      </c>
    </row>
    <row r="888" customFormat="false" ht="15" hidden="false" customHeight="false" outlineLevel="0" collapsed="false">
      <c r="A888" s="21"/>
      <c r="B888" s="4"/>
      <c r="C888" s="22"/>
      <c r="D888" s="5" t="str">
        <f aca="false">IF(B888="","",IFERROR(INDEX(DE_PARA!$B$6:$B$205,MATCH(B888,DE_PARA!$A$6:$A$205,0)),"SEM DE-PARA"))</f>
        <v/>
      </c>
      <c r="E888" s="23" t="str">
        <f aca="false">IF(A888="","",DATE(YEAR(A888),MONTH(A888),1))</f>
        <v/>
      </c>
    </row>
    <row r="889" customFormat="false" ht="15" hidden="false" customHeight="false" outlineLevel="0" collapsed="false">
      <c r="A889" s="21"/>
      <c r="B889" s="4"/>
      <c r="C889" s="22"/>
      <c r="D889" s="5" t="str">
        <f aca="false">IF(B889="","",IFERROR(INDEX(DE_PARA!$B$6:$B$205,MATCH(B889,DE_PARA!$A$6:$A$205,0)),"SEM DE-PARA"))</f>
        <v/>
      </c>
      <c r="E889" s="23" t="str">
        <f aca="false">IF(A889="","",DATE(YEAR(A889),MONTH(A889),1))</f>
        <v/>
      </c>
    </row>
    <row r="890" customFormat="false" ht="15" hidden="false" customHeight="false" outlineLevel="0" collapsed="false">
      <c r="A890" s="21"/>
      <c r="B890" s="4"/>
      <c r="C890" s="22"/>
      <c r="D890" s="5" t="str">
        <f aca="false">IF(B890="","",IFERROR(INDEX(DE_PARA!$B$6:$B$205,MATCH(B890,DE_PARA!$A$6:$A$205,0)),"SEM DE-PARA"))</f>
        <v/>
      </c>
      <c r="E890" s="23" t="str">
        <f aca="false">IF(A890="","",DATE(YEAR(A890),MONTH(A890),1))</f>
        <v/>
      </c>
    </row>
    <row r="891" customFormat="false" ht="15" hidden="false" customHeight="false" outlineLevel="0" collapsed="false">
      <c r="A891" s="21"/>
      <c r="B891" s="4"/>
      <c r="C891" s="22"/>
      <c r="D891" s="5" t="str">
        <f aca="false">IF(B891="","",IFERROR(INDEX(DE_PARA!$B$6:$B$205,MATCH(B891,DE_PARA!$A$6:$A$205,0)),"SEM DE-PARA"))</f>
        <v/>
      </c>
      <c r="E891" s="23" t="str">
        <f aca="false">IF(A891="","",DATE(YEAR(A891),MONTH(A891),1))</f>
        <v/>
      </c>
    </row>
    <row r="892" customFormat="false" ht="15" hidden="false" customHeight="false" outlineLevel="0" collapsed="false">
      <c r="A892" s="21"/>
      <c r="B892" s="4"/>
      <c r="C892" s="22"/>
      <c r="D892" s="5" t="str">
        <f aca="false">IF(B892="","",IFERROR(INDEX(DE_PARA!$B$6:$B$205,MATCH(B892,DE_PARA!$A$6:$A$205,0)),"SEM DE-PARA"))</f>
        <v/>
      </c>
      <c r="E892" s="23" t="str">
        <f aca="false">IF(A892="","",DATE(YEAR(A892),MONTH(A892),1))</f>
        <v/>
      </c>
    </row>
    <row r="893" customFormat="false" ht="15" hidden="false" customHeight="false" outlineLevel="0" collapsed="false">
      <c r="A893" s="21"/>
      <c r="B893" s="4"/>
      <c r="C893" s="22"/>
      <c r="D893" s="5" t="str">
        <f aca="false">IF(B893="","",IFERROR(INDEX(DE_PARA!$B$6:$B$205,MATCH(B893,DE_PARA!$A$6:$A$205,0)),"SEM DE-PARA"))</f>
        <v/>
      </c>
      <c r="E893" s="23" t="str">
        <f aca="false">IF(A893="","",DATE(YEAR(A893),MONTH(A893),1))</f>
        <v/>
      </c>
    </row>
    <row r="894" customFormat="false" ht="15" hidden="false" customHeight="false" outlineLevel="0" collapsed="false">
      <c r="A894" s="21"/>
      <c r="B894" s="4"/>
      <c r="C894" s="22"/>
      <c r="D894" s="5" t="str">
        <f aca="false">IF(B894="","",IFERROR(INDEX(DE_PARA!$B$6:$B$205,MATCH(B894,DE_PARA!$A$6:$A$205,0)),"SEM DE-PARA"))</f>
        <v/>
      </c>
      <c r="E894" s="23" t="str">
        <f aca="false">IF(A894="","",DATE(YEAR(A894),MONTH(A894),1))</f>
        <v/>
      </c>
    </row>
    <row r="895" customFormat="false" ht="15" hidden="false" customHeight="false" outlineLevel="0" collapsed="false">
      <c r="A895" s="21"/>
      <c r="B895" s="4"/>
      <c r="C895" s="22"/>
      <c r="D895" s="5" t="str">
        <f aca="false">IF(B895="","",IFERROR(INDEX(DE_PARA!$B$6:$B$205,MATCH(B895,DE_PARA!$A$6:$A$205,0)),"SEM DE-PARA"))</f>
        <v/>
      </c>
      <c r="E895" s="23" t="str">
        <f aca="false">IF(A895="","",DATE(YEAR(A895),MONTH(A895),1))</f>
        <v/>
      </c>
    </row>
    <row r="896" customFormat="false" ht="15" hidden="false" customHeight="false" outlineLevel="0" collapsed="false">
      <c r="A896" s="21"/>
      <c r="B896" s="4"/>
      <c r="C896" s="22"/>
      <c r="D896" s="5" t="str">
        <f aca="false">IF(B896="","",IFERROR(INDEX(DE_PARA!$B$6:$B$205,MATCH(B896,DE_PARA!$A$6:$A$205,0)),"SEM DE-PARA"))</f>
        <v/>
      </c>
      <c r="E896" s="23" t="str">
        <f aca="false">IF(A896="","",DATE(YEAR(A896),MONTH(A896),1))</f>
        <v/>
      </c>
    </row>
    <row r="897" customFormat="false" ht="15" hidden="false" customHeight="false" outlineLevel="0" collapsed="false">
      <c r="A897" s="21"/>
      <c r="B897" s="4"/>
      <c r="C897" s="22"/>
      <c r="D897" s="5" t="str">
        <f aca="false">IF(B897="","",IFERROR(INDEX(DE_PARA!$B$6:$B$205,MATCH(B897,DE_PARA!$A$6:$A$205,0)),"SEM DE-PARA"))</f>
        <v/>
      </c>
      <c r="E897" s="23" t="str">
        <f aca="false">IF(A897="","",DATE(YEAR(A897),MONTH(A897),1))</f>
        <v/>
      </c>
    </row>
    <row r="898" customFormat="false" ht="15" hidden="false" customHeight="false" outlineLevel="0" collapsed="false">
      <c r="A898" s="21"/>
      <c r="B898" s="4"/>
      <c r="C898" s="22"/>
      <c r="D898" s="5" t="str">
        <f aca="false">IF(B898="","",IFERROR(INDEX(DE_PARA!$B$6:$B$205,MATCH(B898,DE_PARA!$A$6:$A$205,0)),"SEM DE-PARA"))</f>
        <v/>
      </c>
      <c r="E898" s="23" t="str">
        <f aca="false">IF(A898="","",DATE(YEAR(A898),MONTH(A898),1))</f>
        <v/>
      </c>
    </row>
    <row r="899" customFormat="false" ht="15" hidden="false" customHeight="false" outlineLevel="0" collapsed="false">
      <c r="A899" s="21"/>
      <c r="B899" s="4"/>
      <c r="C899" s="22"/>
      <c r="D899" s="5" t="str">
        <f aca="false">IF(B899="","",IFERROR(INDEX(DE_PARA!$B$6:$B$205,MATCH(B899,DE_PARA!$A$6:$A$205,0)),"SEM DE-PARA"))</f>
        <v/>
      </c>
      <c r="E899" s="23" t="str">
        <f aca="false">IF(A899="","",DATE(YEAR(A899),MONTH(A899),1))</f>
        <v/>
      </c>
    </row>
    <row r="900" customFormat="false" ht="15" hidden="false" customHeight="false" outlineLevel="0" collapsed="false">
      <c r="A900" s="21"/>
      <c r="B900" s="4"/>
      <c r="C900" s="22"/>
      <c r="D900" s="5" t="str">
        <f aca="false">IF(B900="","",IFERROR(INDEX(DE_PARA!$B$6:$B$205,MATCH(B900,DE_PARA!$A$6:$A$205,0)),"SEM DE-PARA"))</f>
        <v/>
      </c>
      <c r="E900" s="23" t="str">
        <f aca="false">IF(A900="","",DATE(YEAR(A900),MONTH(A900),1))</f>
        <v/>
      </c>
    </row>
    <row r="901" customFormat="false" ht="15" hidden="false" customHeight="false" outlineLevel="0" collapsed="false">
      <c r="A901" s="21"/>
      <c r="B901" s="4"/>
      <c r="C901" s="22"/>
      <c r="D901" s="5" t="str">
        <f aca="false">IF(B901="","",IFERROR(INDEX(DE_PARA!$B$6:$B$205,MATCH(B901,DE_PARA!$A$6:$A$205,0)),"SEM DE-PARA"))</f>
        <v/>
      </c>
      <c r="E901" s="23" t="str">
        <f aca="false">IF(A901="","",DATE(YEAR(A901),MONTH(A901),1))</f>
        <v/>
      </c>
    </row>
    <row r="902" customFormat="false" ht="15" hidden="false" customHeight="false" outlineLevel="0" collapsed="false">
      <c r="A902" s="21"/>
      <c r="B902" s="4"/>
      <c r="C902" s="22"/>
      <c r="D902" s="5" t="str">
        <f aca="false">IF(B902="","",IFERROR(INDEX(DE_PARA!$B$6:$B$205,MATCH(B902,DE_PARA!$A$6:$A$205,0)),"SEM DE-PARA"))</f>
        <v/>
      </c>
      <c r="E902" s="23" t="str">
        <f aca="false">IF(A902="","",DATE(YEAR(A902),MONTH(A902),1))</f>
        <v/>
      </c>
    </row>
    <row r="903" customFormat="false" ht="15" hidden="false" customHeight="false" outlineLevel="0" collapsed="false">
      <c r="A903" s="21"/>
      <c r="B903" s="4"/>
      <c r="C903" s="22"/>
      <c r="D903" s="5" t="str">
        <f aca="false">IF(B903="","",IFERROR(INDEX(DE_PARA!$B$6:$B$205,MATCH(B903,DE_PARA!$A$6:$A$205,0)),"SEM DE-PARA"))</f>
        <v/>
      </c>
      <c r="E903" s="23" t="str">
        <f aca="false">IF(A903="","",DATE(YEAR(A903),MONTH(A903),1))</f>
        <v/>
      </c>
    </row>
    <row r="904" customFormat="false" ht="15" hidden="false" customHeight="false" outlineLevel="0" collapsed="false">
      <c r="A904" s="21"/>
      <c r="B904" s="4"/>
      <c r="C904" s="22"/>
      <c r="D904" s="5" t="str">
        <f aca="false">IF(B904="","",IFERROR(INDEX(DE_PARA!$B$6:$B$205,MATCH(B904,DE_PARA!$A$6:$A$205,0)),"SEM DE-PARA"))</f>
        <v/>
      </c>
      <c r="E904" s="23" t="str">
        <f aca="false">IF(A904="","",DATE(YEAR(A904),MONTH(A904),1))</f>
        <v/>
      </c>
    </row>
    <row r="905" customFormat="false" ht="15" hidden="false" customHeight="false" outlineLevel="0" collapsed="false">
      <c r="A905" s="21"/>
      <c r="B905" s="4"/>
      <c r="C905" s="22"/>
      <c r="D905" s="5" t="str">
        <f aca="false">IF(B905="","",IFERROR(INDEX(DE_PARA!$B$6:$B$205,MATCH(B905,DE_PARA!$A$6:$A$205,0)),"SEM DE-PARA"))</f>
        <v/>
      </c>
      <c r="E905" s="23" t="str">
        <f aca="false">IF(A905="","",DATE(YEAR(A905),MONTH(A905),1))</f>
        <v/>
      </c>
    </row>
    <row r="906" customFormat="false" ht="15" hidden="false" customHeight="false" outlineLevel="0" collapsed="false">
      <c r="A906" s="21"/>
      <c r="B906" s="4"/>
      <c r="C906" s="22"/>
      <c r="D906" s="5" t="str">
        <f aca="false">IF(B906="","",IFERROR(INDEX(DE_PARA!$B$6:$B$205,MATCH(B906,DE_PARA!$A$6:$A$205,0)),"SEM DE-PARA"))</f>
        <v/>
      </c>
      <c r="E906" s="23" t="str">
        <f aca="false">IF(A906="","",DATE(YEAR(A906),MONTH(A906),1))</f>
        <v/>
      </c>
    </row>
    <row r="907" customFormat="false" ht="15" hidden="false" customHeight="false" outlineLevel="0" collapsed="false">
      <c r="A907" s="21"/>
      <c r="B907" s="4"/>
      <c r="C907" s="22"/>
      <c r="D907" s="5" t="str">
        <f aca="false">IF(B907="","",IFERROR(INDEX(DE_PARA!$B$6:$B$205,MATCH(B907,DE_PARA!$A$6:$A$205,0)),"SEM DE-PARA"))</f>
        <v/>
      </c>
      <c r="E907" s="23" t="str">
        <f aca="false">IF(A907="","",DATE(YEAR(A907),MONTH(A907),1))</f>
        <v/>
      </c>
    </row>
    <row r="908" customFormat="false" ht="15" hidden="false" customHeight="false" outlineLevel="0" collapsed="false">
      <c r="A908" s="21"/>
      <c r="B908" s="4"/>
      <c r="C908" s="22"/>
      <c r="D908" s="5" t="str">
        <f aca="false">IF(B908="","",IFERROR(INDEX(DE_PARA!$B$6:$B$205,MATCH(B908,DE_PARA!$A$6:$A$205,0)),"SEM DE-PARA"))</f>
        <v/>
      </c>
      <c r="E908" s="23" t="str">
        <f aca="false">IF(A908="","",DATE(YEAR(A908),MONTH(A908),1))</f>
        <v/>
      </c>
    </row>
    <row r="909" customFormat="false" ht="15" hidden="false" customHeight="false" outlineLevel="0" collapsed="false">
      <c r="A909" s="21"/>
      <c r="B909" s="4"/>
      <c r="C909" s="22"/>
      <c r="D909" s="5" t="str">
        <f aca="false">IF(B909="","",IFERROR(INDEX(DE_PARA!$B$6:$B$205,MATCH(B909,DE_PARA!$A$6:$A$205,0)),"SEM DE-PARA"))</f>
        <v/>
      </c>
      <c r="E909" s="23" t="str">
        <f aca="false">IF(A909="","",DATE(YEAR(A909),MONTH(A909),1))</f>
        <v/>
      </c>
    </row>
    <row r="910" customFormat="false" ht="15" hidden="false" customHeight="false" outlineLevel="0" collapsed="false">
      <c r="A910" s="21"/>
      <c r="B910" s="4"/>
      <c r="C910" s="22"/>
      <c r="D910" s="5" t="str">
        <f aca="false">IF(B910="","",IFERROR(INDEX(DE_PARA!$B$6:$B$205,MATCH(B910,DE_PARA!$A$6:$A$205,0)),"SEM DE-PARA"))</f>
        <v/>
      </c>
      <c r="E910" s="23" t="str">
        <f aca="false">IF(A910="","",DATE(YEAR(A910),MONTH(A910),1))</f>
        <v/>
      </c>
    </row>
    <row r="911" customFormat="false" ht="15" hidden="false" customHeight="false" outlineLevel="0" collapsed="false">
      <c r="A911" s="21"/>
      <c r="B911" s="4"/>
      <c r="C911" s="22"/>
      <c r="D911" s="5" t="str">
        <f aca="false">IF(B911="","",IFERROR(INDEX(DE_PARA!$B$6:$B$205,MATCH(B911,DE_PARA!$A$6:$A$205,0)),"SEM DE-PARA"))</f>
        <v/>
      </c>
      <c r="E911" s="23" t="str">
        <f aca="false">IF(A911="","",DATE(YEAR(A911),MONTH(A911),1))</f>
        <v/>
      </c>
    </row>
    <row r="912" customFormat="false" ht="15" hidden="false" customHeight="false" outlineLevel="0" collapsed="false">
      <c r="A912" s="21"/>
      <c r="B912" s="4"/>
      <c r="C912" s="22"/>
      <c r="D912" s="5" t="str">
        <f aca="false">IF(B912="","",IFERROR(INDEX(DE_PARA!$B$6:$B$205,MATCH(B912,DE_PARA!$A$6:$A$205,0)),"SEM DE-PARA"))</f>
        <v/>
      </c>
      <c r="E912" s="23" t="str">
        <f aca="false">IF(A912="","",DATE(YEAR(A912),MONTH(A912),1))</f>
        <v/>
      </c>
    </row>
    <row r="913" customFormat="false" ht="15" hidden="false" customHeight="false" outlineLevel="0" collapsed="false">
      <c r="A913" s="21"/>
      <c r="B913" s="4"/>
      <c r="C913" s="22"/>
      <c r="D913" s="5" t="str">
        <f aca="false">IF(B913="","",IFERROR(INDEX(DE_PARA!$B$6:$B$205,MATCH(B913,DE_PARA!$A$6:$A$205,0)),"SEM DE-PARA"))</f>
        <v/>
      </c>
      <c r="E913" s="23" t="str">
        <f aca="false">IF(A913="","",DATE(YEAR(A913),MONTH(A913),1))</f>
        <v/>
      </c>
    </row>
    <row r="914" customFormat="false" ht="15" hidden="false" customHeight="false" outlineLevel="0" collapsed="false">
      <c r="A914" s="21"/>
      <c r="B914" s="4"/>
      <c r="C914" s="22"/>
      <c r="D914" s="5" t="str">
        <f aca="false">IF(B914="","",IFERROR(INDEX(DE_PARA!$B$6:$B$205,MATCH(B914,DE_PARA!$A$6:$A$205,0)),"SEM DE-PARA"))</f>
        <v/>
      </c>
      <c r="E914" s="23" t="str">
        <f aca="false">IF(A914="","",DATE(YEAR(A914),MONTH(A914),1))</f>
        <v/>
      </c>
    </row>
    <row r="915" customFormat="false" ht="15" hidden="false" customHeight="false" outlineLevel="0" collapsed="false">
      <c r="A915" s="21"/>
      <c r="B915" s="4"/>
      <c r="C915" s="22"/>
      <c r="D915" s="5" t="str">
        <f aca="false">IF(B915="","",IFERROR(INDEX(DE_PARA!$B$6:$B$205,MATCH(B915,DE_PARA!$A$6:$A$205,0)),"SEM DE-PARA"))</f>
        <v/>
      </c>
      <c r="E915" s="23" t="str">
        <f aca="false">IF(A915="","",DATE(YEAR(A915),MONTH(A915),1))</f>
        <v/>
      </c>
    </row>
    <row r="916" customFormat="false" ht="15" hidden="false" customHeight="false" outlineLevel="0" collapsed="false">
      <c r="A916" s="21"/>
      <c r="B916" s="4"/>
      <c r="C916" s="22"/>
      <c r="D916" s="5" t="str">
        <f aca="false">IF(B916="","",IFERROR(INDEX(DE_PARA!$B$6:$B$205,MATCH(B916,DE_PARA!$A$6:$A$205,0)),"SEM DE-PARA"))</f>
        <v/>
      </c>
      <c r="E916" s="23" t="str">
        <f aca="false">IF(A916="","",DATE(YEAR(A916),MONTH(A916),1))</f>
        <v/>
      </c>
    </row>
    <row r="917" customFormat="false" ht="15" hidden="false" customHeight="false" outlineLevel="0" collapsed="false">
      <c r="A917" s="21"/>
      <c r="B917" s="4"/>
      <c r="C917" s="22"/>
      <c r="D917" s="5" t="str">
        <f aca="false">IF(B917="","",IFERROR(INDEX(DE_PARA!$B$6:$B$205,MATCH(B917,DE_PARA!$A$6:$A$205,0)),"SEM DE-PARA"))</f>
        <v/>
      </c>
      <c r="E917" s="23" t="str">
        <f aca="false">IF(A917="","",DATE(YEAR(A917),MONTH(A917),1))</f>
        <v/>
      </c>
    </row>
    <row r="918" customFormat="false" ht="15" hidden="false" customHeight="false" outlineLevel="0" collapsed="false">
      <c r="A918" s="21"/>
      <c r="B918" s="4"/>
      <c r="C918" s="22"/>
      <c r="D918" s="5" t="str">
        <f aca="false">IF(B918="","",IFERROR(INDEX(DE_PARA!$B$6:$B$205,MATCH(B918,DE_PARA!$A$6:$A$205,0)),"SEM DE-PARA"))</f>
        <v/>
      </c>
      <c r="E918" s="23" t="str">
        <f aca="false">IF(A918="","",DATE(YEAR(A918),MONTH(A918),1))</f>
        <v/>
      </c>
    </row>
    <row r="919" customFormat="false" ht="15" hidden="false" customHeight="false" outlineLevel="0" collapsed="false">
      <c r="A919" s="21"/>
      <c r="B919" s="4"/>
      <c r="C919" s="22"/>
      <c r="D919" s="5" t="str">
        <f aca="false">IF(B919="","",IFERROR(INDEX(DE_PARA!$B$6:$B$205,MATCH(B919,DE_PARA!$A$6:$A$205,0)),"SEM DE-PARA"))</f>
        <v/>
      </c>
      <c r="E919" s="23" t="str">
        <f aca="false">IF(A919="","",DATE(YEAR(A919),MONTH(A919),1))</f>
        <v/>
      </c>
    </row>
    <row r="920" customFormat="false" ht="15" hidden="false" customHeight="false" outlineLevel="0" collapsed="false">
      <c r="A920" s="21"/>
      <c r="B920" s="4"/>
      <c r="C920" s="22"/>
      <c r="D920" s="5" t="str">
        <f aca="false">IF(B920="","",IFERROR(INDEX(DE_PARA!$B$6:$B$205,MATCH(B920,DE_PARA!$A$6:$A$205,0)),"SEM DE-PARA"))</f>
        <v/>
      </c>
      <c r="E920" s="23" t="str">
        <f aca="false">IF(A920="","",DATE(YEAR(A920),MONTH(A920),1))</f>
        <v/>
      </c>
    </row>
    <row r="921" customFormat="false" ht="15" hidden="false" customHeight="false" outlineLevel="0" collapsed="false">
      <c r="A921" s="21"/>
      <c r="B921" s="4"/>
      <c r="C921" s="22"/>
      <c r="D921" s="5" t="str">
        <f aca="false">IF(B921="","",IFERROR(INDEX(DE_PARA!$B$6:$B$205,MATCH(B921,DE_PARA!$A$6:$A$205,0)),"SEM DE-PARA"))</f>
        <v/>
      </c>
      <c r="E921" s="23" t="str">
        <f aca="false">IF(A921="","",DATE(YEAR(A921),MONTH(A921),1))</f>
        <v/>
      </c>
    </row>
    <row r="922" customFormat="false" ht="15" hidden="false" customHeight="false" outlineLevel="0" collapsed="false">
      <c r="A922" s="21"/>
      <c r="B922" s="4"/>
      <c r="C922" s="22"/>
      <c r="D922" s="5" t="str">
        <f aca="false">IF(B922="","",IFERROR(INDEX(DE_PARA!$B$6:$B$205,MATCH(B922,DE_PARA!$A$6:$A$205,0)),"SEM DE-PARA"))</f>
        <v/>
      </c>
      <c r="E922" s="23" t="str">
        <f aca="false">IF(A922="","",DATE(YEAR(A922),MONTH(A922),1))</f>
        <v/>
      </c>
    </row>
    <row r="923" customFormat="false" ht="15" hidden="false" customHeight="false" outlineLevel="0" collapsed="false">
      <c r="A923" s="21"/>
      <c r="B923" s="4"/>
      <c r="C923" s="22"/>
      <c r="D923" s="5" t="str">
        <f aca="false">IF(B923="","",IFERROR(INDEX(DE_PARA!$B$6:$B$205,MATCH(B923,DE_PARA!$A$6:$A$205,0)),"SEM DE-PARA"))</f>
        <v/>
      </c>
      <c r="E923" s="23" t="str">
        <f aca="false">IF(A923="","",DATE(YEAR(A923),MONTH(A923),1))</f>
        <v/>
      </c>
    </row>
    <row r="924" customFormat="false" ht="15" hidden="false" customHeight="false" outlineLevel="0" collapsed="false">
      <c r="A924" s="21"/>
      <c r="B924" s="4"/>
      <c r="C924" s="22"/>
      <c r="D924" s="5" t="str">
        <f aca="false">IF(B924="","",IFERROR(INDEX(DE_PARA!$B$6:$B$205,MATCH(B924,DE_PARA!$A$6:$A$205,0)),"SEM DE-PARA"))</f>
        <v/>
      </c>
      <c r="E924" s="23" t="str">
        <f aca="false">IF(A924="","",DATE(YEAR(A924),MONTH(A924),1))</f>
        <v/>
      </c>
    </row>
    <row r="925" customFormat="false" ht="15" hidden="false" customHeight="false" outlineLevel="0" collapsed="false">
      <c r="A925" s="21"/>
      <c r="B925" s="4"/>
      <c r="C925" s="22"/>
      <c r="D925" s="5" t="str">
        <f aca="false">IF(B925="","",IFERROR(INDEX(DE_PARA!$B$6:$B$205,MATCH(B925,DE_PARA!$A$6:$A$205,0)),"SEM DE-PARA"))</f>
        <v/>
      </c>
      <c r="E925" s="23" t="str">
        <f aca="false">IF(A925="","",DATE(YEAR(A925),MONTH(A925),1))</f>
        <v/>
      </c>
    </row>
    <row r="926" customFormat="false" ht="15" hidden="false" customHeight="false" outlineLevel="0" collapsed="false">
      <c r="A926" s="21"/>
      <c r="B926" s="4"/>
      <c r="C926" s="22"/>
      <c r="D926" s="5" t="str">
        <f aca="false">IF(B926="","",IFERROR(INDEX(DE_PARA!$B$6:$B$205,MATCH(B926,DE_PARA!$A$6:$A$205,0)),"SEM DE-PARA"))</f>
        <v/>
      </c>
      <c r="E926" s="23" t="str">
        <f aca="false">IF(A926="","",DATE(YEAR(A926),MONTH(A926),1))</f>
        <v/>
      </c>
    </row>
    <row r="927" customFormat="false" ht="15" hidden="false" customHeight="false" outlineLevel="0" collapsed="false">
      <c r="A927" s="21"/>
      <c r="B927" s="4"/>
      <c r="C927" s="22"/>
      <c r="D927" s="5" t="str">
        <f aca="false">IF(B927="","",IFERROR(INDEX(DE_PARA!$B$6:$B$205,MATCH(B927,DE_PARA!$A$6:$A$205,0)),"SEM DE-PARA"))</f>
        <v/>
      </c>
      <c r="E927" s="23" t="str">
        <f aca="false">IF(A927="","",DATE(YEAR(A927),MONTH(A927),1))</f>
        <v/>
      </c>
    </row>
    <row r="928" customFormat="false" ht="15" hidden="false" customHeight="false" outlineLevel="0" collapsed="false">
      <c r="A928" s="21"/>
      <c r="B928" s="4"/>
      <c r="C928" s="22"/>
      <c r="D928" s="5" t="str">
        <f aca="false">IF(B928="","",IFERROR(INDEX(DE_PARA!$B$6:$B$205,MATCH(B928,DE_PARA!$A$6:$A$205,0)),"SEM DE-PARA"))</f>
        <v/>
      </c>
      <c r="E928" s="23" t="str">
        <f aca="false">IF(A928="","",DATE(YEAR(A928),MONTH(A928),1))</f>
        <v/>
      </c>
    </row>
    <row r="929" customFormat="false" ht="15" hidden="false" customHeight="false" outlineLevel="0" collapsed="false">
      <c r="A929" s="21"/>
      <c r="B929" s="4"/>
      <c r="C929" s="22"/>
      <c r="D929" s="5" t="str">
        <f aca="false">IF(B929="","",IFERROR(INDEX(DE_PARA!$B$6:$B$205,MATCH(B929,DE_PARA!$A$6:$A$205,0)),"SEM DE-PARA"))</f>
        <v/>
      </c>
      <c r="E929" s="23" t="str">
        <f aca="false">IF(A929="","",DATE(YEAR(A929),MONTH(A929),1))</f>
        <v/>
      </c>
    </row>
    <row r="930" customFormat="false" ht="15" hidden="false" customHeight="false" outlineLevel="0" collapsed="false">
      <c r="A930" s="21"/>
      <c r="B930" s="4"/>
      <c r="C930" s="22"/>
      <c r="D930" s="5" t="str">
        <f aca="false">IF(B930="","",IFERROR(INDEX(DE_PARA!$B$6:$B$205,MATCH(B930,DE_PARA!$A$6:$A$205,0)),"SEM DE-PARA"))</f>
        <v/>
      </c>
      <c r="E930" s="23" t="str">
        <f aca="false">IF(A930="","",DATE(YEAR(A930),MONTH(A930),1))</f>
        <v/>
      </c>
    </row>
    <row r="931" customFormat="false" ht="15" hidden="false" customHeight="false" outlineLevel="0" collapsed="false">
      <c r="A931" s="21"/>
      <c r="B931" s="4"/>
      <c r="C931" s="22"/>
      <c r="D931" s="5" t="str">
        <f aca="false">IF(B931="","",IFERROR(INDEX(DE_PARA!$B$6:$B$205,MATCH(B931,DE_PARA!$A$6:$A$205,0)),"SEM DE-PARA"))</f>
        <v/>
      </c>
      <c r="E931" s="23" t="str">
        <f aca="false">IF(A931="","",DATE(YEAR(A931),MONTH(A931),1))</f>
        <v/>
      </c>
    </row>
    <row r="932" customFormat="false" ht="15" hidden="false" customHeight="false" outlineLevel="0" collapsed="false">
      <c r="A932" s="21"/>
      <c r="B932" s="4"/>
      <c r="C932" s="22"/>
      <c r="D932" s="5" t="str">
        <f aca="false">IF(B932="","",IFERROR(INDEX(DE_PARA!$B$6:$B$205,MATCH(B932,DE_PARA!$A$6:$A$205,0)),"SEM DE-PARA"))</f>
        <v/>
      </c>
      <c r="E932" s="23" t="str">
        <f aca="false">IF(A932="","",DATE(YEAR(A932),MONTH(A932),1))</f>
        <v/>
      </c>
    </row>
    <row r="933" customFormat="false" ht="15" hidden="false" customHeight="false" outlineLevel="0" collapsed="false">
      <c r="A933" s="21"/>
      <c r="B933" s="4"/>
      <c r="C933" s="22"/>
      <c r="D933" s="5" t="str">
        <f aca="false">IF(B933="","",IFERROR(INDEX(DE_PARA!$B$6:$B$205,MATCH(B933,DE_PARA!$A$6:$A$205,0)),"SEM DE-PARA"))</f>
        <v/>
      </c>
      <c r="E933" s="23" t="str">
        <f aca="false">IF(A933="","",DATE(YEAR(A933),MONTH(A933),1))</f>
        <v/>
      </c>
    </row>
    <row r="934" customFormat="false" ht="15" hidden="false" customHeight="false" outlineLevel="0" collapsed="false">
      <c r="A934" s="21"/>
      <c r="B934" s="4"/>
      <c r="C934" s="22"/>
      <c r="D934" s="5" t="str">
        <f aca="false">IF(B934="","",IFERROR(INDEX(DE_PARA!$B$6:$B$205,MATCH(B934,DE_PARA!$A$6:$A$205,0)),"SEM DE-PARA"))</f>
        <v/>
      </c>
      <c r="E934" s="23" t="str">
        <f aca="false">IF(A934="","",DATE(YEAR(A934),MONTH(A934),1))</f>
        <v/>
      </c>
    </row>
    <row r="935" customFormat="false" ht="15" hidden="false" customHeight="false" outlineLevel="0" collapsed="false">
      <c r="A935" s="21"/>
      <c r="B935" s="4"/>
      <c r="C935" s="22"/>
      <c r="D935" s="5" t="str">
        <f aca="false">IF(B935="","",IFERROR(INDEX(DE_PARA!$B$6:$B$205,MATCH(B935,DE_PARA!$A$6:$A$205,0)),"SEM DE-PARA"))</f>
        <v/>
      </c>
      <c r="E935" s="23" t="str">
        <f aca="false">IF(A935="","",DATE(YEAR(A935),MONTH(A935),1))</f>
        <v/>
      </c>
    </row>
    <row r="936" customFormat="false" ht="15" hidden="false" customHeight="false" outlineLevel="0" collapsed="false">
      <c r="A936" s="21"/>
      <c r="B936" s="4"/>
      <c r="C936" s="22"/>
      <c r="D936" s="5" t="str">
        <f aca="false">IF(B936="","",IFERROR(INDEX(DE_PARA!$B$6:$B$205,MATCH(B936,DE_PARA!$A$6:$A$205,0)),"SEM DE-PARA"))</f>
        <v/>
      </c>
      <c r="E936" s="23" t="str">
        <f aca="false">IF(A936="","",DATE(YEAR(A936),MONTH(A936),1))</f>
        <v/>
      </c>
    </row>
    <row r="937" customFormat="false" ht="15" hidden="false" customHeight="false" outlineLevel="0" collapsed="false">
      <c r="A937" s="21"/>
      <c r="B937" s="4"/>
      <c r="C937" s="22"/>
      <c r="D937" s="5" t="str">
        <f aca="false">IF(B937="","",IFERROR(INDEX(DE_PARA!$B$6:$B$205,MATCH(B937,DE_PARA!$A$6:$A$205,0)),"SEM DE-PARA"))</f>
        <v/>
      </c>
      <c r="E937" s="23" t="str">
        <f aca="false">IF(A937="","",DATE(YEAR(A937),MONTH(A937),1))</f>
        <v/>
      </c>
    </row>
    <row r="938" customFormat="false" ht="15" hidden="false" customHeight="false" outlineLevel="0" collapsed="false">
      <c r="A938" s="21"/>
      <c r="B938" s="4"/>
      <c r="C938" s="22"/>
      <c r="D938" s="5" t="str">
        <f aca="false">IF(B938="","",IFERROR(INDEX(DE_PARA!$B$6:$B$205,MATCH(B938,DE_PARA!$A$6:$A$205,0)),"SEM DE-PARA"))</f>
        <v/>
      </c>
      <c r="E938" s="23" t="str">
        <f aca="false">IF(A938="","",DATE(YEAR(A938),MONTH(A938),1))</f>
        <v/>
      </c>
    </row>
    <row r="939" customFormat="false" ht="15" hidden="false" customHeight="false" outlineLevel="0" collapsed="false">
      <c r="A939" s="21"/>
      <c r="B939" s="4"/>
      <c r="C939" s="22"/>
      <c r="D939" s="5" t="str">
        <f aca="false">IF(B939="","",IFERROR(INDEX(DE_PARA!$B$6:$B$205,MATCH(B939,DE_PARA!$A$6:$A$205,0)),"SEM DE-PARA"))</f>
        <v/>
      </c>
      <c r="E939" s="23" t="str">
        <f aca="false">IF(A939="","",DATE(YEAR(A939),MONTH(A939),1))</f>
        <v/>
      </c>
    </row>
    <row r="940" customFormat="false" ht="15" hidden="false" customHeight="false" outlineLevel="0" collapsed="false">
      <c r="A940" s="21"/>
      <c r="B940" s="4"/>
      <c r="C940" s="22"/>
      <c r="D940" s="5" t="str">
        <f aca="false">IF(B940="","",IFERROR(INDEX(DE_PARA!$B$6:$B$205,MATCH(B940,DE_PARA!$A$6:$A$205,0)),"SEM DE-PARA"))</f>
        <v/>
      </c>
      <c r="E940" s="23" t="str">
        <f aca="false">IF(A940="","",DATE(YEAR(A940),MONTH(A940),1))</f>
        <v/>
      </c>
    </row>
    <row r="941" customFormat="false" ht="15" hidden="false" customHeight="false" outlineLevel="0" collapsed="false">
      <c r="A941" s="21"/>
      <c r="B941" s="4"/>
      <c r="C941" s="22"/>
      <c r="D941" s="5" t="str">
        <f aca="false">IF(B941="","",IFERROR(INDEX(DE_PARA!$B$6:$B$205,MATCH(B941,DE_PARA!$A$6:$A$205,0)),"SEM DE-PARA"))</f>
        <v/>
      </c>
      <c r="E941" s="23" t="str">
        <f aca="false">IF(A941="","",DATE(YEAR(A941),MONTH(A941),1))</f>
        <v/>
      </c>
    </row>
    <row r="942" customFormat="false" ht="15" hidden="false" customHeight="false" outlineLevel="0" collapsed="false">
      <c r="A942" s="21"/>
      <c r="B942" s="4"/>
      <c r="C942" s="22"/>
      <c r="D942" s="5" t="str">
        <f aca="false">IF(B942="","",IFERROR(INDEX(DE_PARA!$B$6:$B$205,MATCH(B942,DE_PARA!$A$6:$A$205,0)),"SEM DE-PARA"))</f>
        <v/>
      </c>
      <c r="E942" s="23" t="str">
        <f aca="false">IF(A942="","",DATE(YEAR(A942),MONTH(A942),1))</f>
        <v/>
      </c>
    </row>
    <row r="943" customFormat="false" ht="15" hidden="false" customHeight="false" outlineLevel="0" collapsed="false">
      <c r="A943" s="21"/>
      <c r="B943" s="4"/>
      <c r="C943" s="22"/>
      <c r="D943" s="5" t="str">
        <f aca="false">IF(B943="","",IFERROR(INDEX(DE_PARA!$B$6:$B$205,MATCH(B943,DE_PARA!$A$6:$A$205,0)),"SEM DE-PARA"))</f>
        <v/>
      </c>
      <c r="E943" s="23" t="str">
        <f aca="false">IF(A943="","",DATE(YEAR(A943),MONTH(A943),1))</f>
        <v/>
      </c>
    </row>
    <row r="944" customFormat="false" ht="15" hidden="false" customHeight="false" outlineLevel="0" collapsed="false">
      <c r="A944" s="21"/>
      <c r="B944" s="4"/>
      <c r="C944" s="22"/>
      <c r="D944" s="5" t="str">
        <f aca="false">IF(B944="","",IFERROR(INDEX(DE_PARA!$B$6:$B$205,MATCH(B944,DE_PARA!$A$6:$A$205,0)),"SEM DE-PARA"))</f>
        <v/>
      </c>
      <c r="E944" s="23" t="str">
        <f aca="false">IF(A944="","",DATE(YEAR(A944),MONTH(A944),1))</f>
        <v/>
      </c>
    </row>
    <row r="945" customFormat="false" ht="15" hidden="false" customHeight="false" outlineLevel="0" collapsed="false">
      <c r="A945" s="21"/>
      <c r="B945" s="4"/>
      <c r="C945" s="22"/>
      <c r="D945" s="5" t="str">
        <f aca="false">IF(B945="","",IFERROR(INDEX(DE_PARA!$B$6:$B$205,MATCH(B945,DE_PARA!$A$6:$A$205,0)),"SEM DE-PARA"))</f>
        <v/>
      </c>
      <c r="E945" s="23" t="str">
        <f aca="false">IF(A945="","",DATE(YEAR(A945),MONTH(A945),1))</f>
        <v/>
      </c>
    </row>
    <row r="946" customFormat="false" ht="15" hidden="false" customHeight="false" outlineLevel="0" collapsed="false">
      <c r="A946" s="21"/>
      <c r="B946" s="4"/>
      <c r="C946" s="22"/>
      <c r="D946" s="5" t="str">
        <f aca="false">IF(B946="","",IFERROR(INDEX(DE_PARA!$B$6:$B$205,MATCH(B946,DE_PARA!$A$6:$A$205,0)),"SEM DE-PARA"))</f>
        <v/>
      </c>
      <c r="E946" s="23" t="str">
        <f aca="false">IF(A946="","",DATE(YEAR(A946),MONTH(A946),1))</f>
        <v/>
      </c>
    </row>
    <row r="947" customFormat="false" ht="15" hidden="false" customHeight="false" outlineLevel="0" collapsed="false">
      <c r="A947" s="21"/>
      <c r="B947" s="4"/>
      <c r="C947" s="22"/>
      <c r="D947" s="5" t="str">
        <f aca="false">IF(B947="","",IFERROR(INDEX(DE_PARA!$B$6:$B$205,MATCH(B947,DE_PARA!$A$6:$A$205,0)),"SEM DE-PARA"))</f>
        <v/>
      </c>
      <c r="E947" s="23" t="str">
        <f aca="false">IF(A947="","",DATE(YEAR(A947),MONTH(A947),1))</f>
        <v/>
      </c>
    </row>
    <row r="948" customFormat="false" ht="15" hidden="false" customHeight="false" outlineLevel="0" collapsed="false">
      <c r="A948" s="21"/>
      <c r="B948" s="4"/>
      <c r="C948" s="22"/>
      <c r="D948" s="5" t="str">
        <f aca="false">IF(B948="","",IFERROR(INDEX(DE_PARA!$B$6:$B$205,MATCH(B948,DE_PARA!$A$6:$A$205,0)),"SEM DE-PARA"))</f>
        <v/>
      </c>
      <c r="E948" s="23" t="str">
        <f aca="false">IF(A948="","",DATE(YEAR(A948),MONTH(A948),1))</f>
        <v/>
      </c>
    </row>
    <row r="949" customFormat="false" ht="15" hidden="false" customHeight="false" outlineLevel="0" collapsed="false">
      <c r="A949" s="21"/>
      <c r="B949" s="4"/>
      <c r="C949" s="22"/>
      <c r="D949" s="5" t="str">
        <f aca="false">IF(B949="","",IFERROR(INDEX(DE_PARA!$B$6:$B$205,MATCH(B949,DE_PARA!$A$6:$A$205,0)),"SEM DE-PARA"))</f>
        <v/>
      </c>
      <c r="E949" s="23" t="str">
        <f aca="false">IF(A949="","",DATE(YEAR(A949),MONTH(A949),1))</f>
        <v/>
      </c>
    </row>
    <row r="950" customFormat="false" ht="15" hidden="false" customHeight="false" outlineLevel="0" collapsed="false">
      <c r="A950" s="21"/>
      <c r="B950" s="4"/>
      <c r="C950" s="22"/>
      <c r="D950" s="5" t="str">
        <f aca="false">IF(B950="","",IFERROR(INDEX(DE_PARA!$B$6:$B$205,MATCH(B950,DE_PARA!$A$6:$A$205,0)),"SEM DE-PARA"))</f>
        <v/>
      </c>
      <c r="E950" s="23" t="str">
        <f aca="false">IF(A950="","",DATE(YEAR(A950),MONTH(A950),1))</f>
        <v/>
      </c>
    </row>
    <row r="951" customFormat="false" ht="15" hidden="false" customHeight="false" outlineLevel="0" collapsed="false">
      <c r="A951" s="21"/>
      <c r="B951" s="4"/>
      <c r="C951" s="22"/>
      <c r="D951" s="5" t="str">
        <f aca="false">IF(B951="","",IFERROR(INDEX(DE_PARA!$B$6:$B$205,MATCH(B951,DE_PARA!$A$6:$A$205,0)),"SEM DE-PARA"))</f>
        <v/>
      </c>
      <c r="E951" s="23" t="str">
        <f aca="false">IF(A951="","",DATE(YEAR(A951),MONTH(A951),1))</f>
        <v/>
      </c>
    </row>
    <row r="952" customFormat="false" ht="15" hidden="false" customHeight="false" outlineLevel="0" collapsed="false">
      <c r="A952" s="21"/>
      <c r="B952" s="4"/>
      <c r="C952" s="22"/>
      <c r="D952" s="5" t="str">
        <f aca="false">IF(B952="","",IFERROR(INDEX(DE_PARA!$B$6:$B$205,MATCH(B952,DE_PARA!$A$6:$A$205,0)),"SEM DE-PARA"))</f>
        <v/>
      </c>
      <c r="E952" s="23" t="str">
        <f aca="false">IF(A952="","",DATE(YEAR(A952),MONTH(A952),1))</f>
        <v/>
      </c>
    </row>
    <row r="953" customFormat="false" ht="15" hidden="false" customHeight="false" outlineLevel="0" collapsed="false">
      <c r="A953" s="21"/>
      <c r="B953" s="4"/>
      <c r="C953" s="22"/>
      <c r="D953" s="5" t="str">
        <f aca="false">IF(B953="","",IFERROR(INDEX(DE_PARA!$B$6:$B$205,MATCH(B953,DE_PARA!$A$6:$A$205,0)),"SEM DE-PARA"))</f>
        <v/>
      </c>
      <c r="E953" s="23" t="str">
        <f aca="false">IF(A953="","",DATE(YEAR(A953),MONTH(A953),1))</f>
        <v/>
      </c>
    </row>
    <row r="954" customFormat="false" ht="15" hidden="false" customHeight="false" outlineLevel="0" collapsed="false">
      <c r="A954" s="21"/>
      <c r="B954" s="4"/>
      <c r="C954" s="22"/>
      <c r="D954" s="5" t="str">
        <f aca="false">IF(B954="","",IFERROR(INDEX(DE_PARA!$B$6:$B$205,MATCH(B954,DE_PARA!$A$6:$A$205,0)),"SEM DE-PARA"))</f>
        <v/>
      </c>
      <c r="E954" s="23" t="str">
        <f aca="false">IF(A954="","",DATE(YEAR(A954),MONTH(A954),1))</f>
        <v/>
      </c>
    </row>
    <row r="955" customFormat="false" ht="15" hidden="false" customHeight="false" outlineLevel="0" collapsed="false">
      <c r="A955" s="21"/>
      <c r="B955" s="4"/>
      <c r="C955" s="22"/>
      <c r="D955" s="5" t="str">
        <f aca="false">IF(B955="","",IFERROR(INDEX(DE_PARA!$B$6:$B$205,MATCH(B955,DE_PARA!$A$6:$A$205,0)),"SEM DE-PARA"))</f>
        <v/>
      </c>
      <c r="E955" s="23" t="str">
        <f aca="false">IF(A955="","",DATE(YEAR(A955),MONTH(A955),1))</f>
        <v/>
      </c>
    </row>
    <row r="956" customFormat="false" ht="15" hidden="false" customHeight="false" outlineLevel="0" collapsed="false">
      <c r="A956" s="21"/>
      <c r="B956" s="4"/>
      <c r="C956" s="22"/>
      <c r="D956" s="5" t="str">
        <f aca="false">IF(B956="","",IFERROR(INDEX(DE_PARA!$B$6:$B$205,MATCH(B956,DE_PARA!$A$6:$A$205,0)),"SEM DE-PARA"))</f>
        <v/>
      </c>
      <c r="E956" s="23" t="str">
        <f aca="false">IF(A956="","",DATE(YEAR(A956),MONTH(A956),1))</f>
        <v/>
      </c>
    </row>
    <row r="957" customFormat="false" ht="15" hidden="false" customHeight="false" outlineLevel="0" collapsed="false">
      <c r="A957" s="21"/>
      <c r="B957" s="4"/>
      <c r="C957" s="22"/>
      <c r="D957" s="5" t="str">
        <f aca="false">IF(B957="","",IFERROR(INDEX(DE_PARA!$B$6:$B$205,MATCH(B957,DE_PARA!$A$6:$A$205,0)),"SEM DE-PARA"))</f>
        <v/>
      </c>
      <c r="E957" s="23" t="str">
        <f aca="false">IF(A957="","",DATE(YEAR(A957),MONTH(A957),1))</f>
        <v/>
      </c>
    </row>
    <row r="958" customFormat="false" ht="15" hidden="false" customHeight="false" outlineLevel="0" collapsed="false">
      <c r="A958" s="21"/>
      <c r="B958" s="4"/>
      <c r="C958" s="22"/>
      <c r="D958" s="5" t="str">
        <f aca="false">IF(B958="","",IFERROR(INDEX(DE_PARA!$B$6:$B$205,MATCH(B958,DE_PARA!$A$6:$A$205,0)),"SEM DE-PARA"))</f>
        <v/>
      </c>
      <c r="E958" s="23" t="str">
        <f aca="false">IF(A958="","",DATE(YEAR(A958),MONTH(A958),1))</f>
        <v/>
      </c>
    </row>
    <row r="959" customFormat="false" ht="15" hidden="false" customHeight="false" outlineLevel="0" collapsed="false">
      <c r="A959" s="21"/>
      <c r="B959" s="4"/>
      <c r="C959" s="22"/>
      <c r="D959" s="5" t="str">
        <f aca="false">IF(B959="","",IFERROR(INDEX(DE_PARA!$B$6:$B$205,MATCH(B959,DE_PARA!$A$6:$A$205,0)),"SEM DE-PARA"))</f>
        <v/>
      </c>
      <c r="E959" s="23" t="str">
        <f aca="false">IF(A959="","",DATE(YEAR(A959),MONTH(A959),1))</f>
        <v/>
      </c>
    </row>
    <row r="960" customFormat="false" ht="15" hidden="false" customHeight="false" outlineLevel="0" collapsed="false">
      <c r="A960" s="21"/>
      <c r="B960" s="4"/>
      <c r="C960" s="22"/>
      <c r="D960" s="5" t="str">
        <f aca="false">IF(B960="","",IFERROR(INDEX(DE_PARA!$B$6:$B$205,MATCH(B960,DE_PARA!$A$6:$A$205,0)),"SEM DE-PARA"))</f>
        <v/>
      </c>
      <c r="E960" s="23" t="str">
        <f aca="false">IF(A960="","",DATE(YEAR(A960),MONTH(A960),1))</f>
        <v/>
      </c>
    </row>
    <row r="961" customFormat="false" ht="15" hidden="false" customHeight="false" outlineLevel="0" collapsed="false">
      <c r="A961" s="21"/>
      <c r="B961" s="4"/>
      <c r="C961" s="22"/>
      <c r="D961" s="5" t="str">
        <f aca="false">IF(B961="","",IFERROR(INDEX(DE_PARA!$B$6:$B$205,MATCH(B961,DE_PARA!$A$6:$A$205,0)),"SEM DE-PARA"))</f>
        <v/>
      </c>
      <c r="E961" s="23" t="str">
        <f aca="false">IF(A961="","",DATE(YEAR(A961),MONTH(A961),1))</f>
        <v/>
      </c>
    </row>
    <row r="962" customFormat="false" ht="15" hidden="false" customHeight="false" outlineLevel="0" collapsed="false">
      <c r="A962" s="21"/>
      <c r="B962" s="4"/>
      <c r="C962" s="22"/>
      <c r="D962" s="5" t="str">
        <f aca="false">IF(B962="","",IFERROR(INDEX(DE_PARA!$B$6:$B$205,MATCH(B962,DE_PARA!$A$6:$A$205,0)),"SEM DE-PARA"))</f>
        <v/>
      </c>
      <c r="E962" s="23" t="str">
        <f aca="false">IF(A962="","",DATE(YEAR(A962),MONTH(A962),1))</f>
        <v/>
      </c>
    </row>
    <row r="963" customFormat="false" ht="15" hidden="false" customHeight="false" outlineLevel="0" collapsed="false">
      <c r="A963" s="21"/>
      <c r="B963" s="4"/>
      <c r="C963" s="22"/>
      <c r="D963" s="5" t="str">
        <f aca="false">IF(B963="","",IFERROR(INDEX(DE_PARA!$B$6:$B$205,MATCH(B963,DE_PARA!$A$6:$A$205,0)),"SEM DE-PARA"))</f>
        <v/>
      </c>
      <c r="E963" s="23" t="str">
        <f aca="false">IF(A963="","",DATE(YEAR(A963),MONTH(A963),1))</f>
        <v/>
      </c>
    </row>
    <row r="964" customFormat="false" ht="15" hidden="false" customHeight="false" outlineLevel="0" collapsed="false">
      <c r="A964" s="21"/>
      <c r="B964" s="4"/>
      <c r="C964" s="22"/>
      <c r="D964" s="5" t="str">
        <f aca="false">IF(B964="","",IFERROR(INDEX(DE_PARA!$B$6:$B$205,MATCH(B964,DE_PARA!$A$6:$A$205,0)),"SEM DE-PARA"))</f>
        <v/>
      </c>
      <c r="E964" s="23" t="str">
        <f aca="false">IF(A964="","",DATE(YEAR(A964),MONTH(A964),1))</f>
        <v/>
      </c>
    </row>
    <row r="965" customFormat="false" ht="15" hidden="false" customHeight="false" outlineLevel="0" collapsed="false">
      <c r="A965" s="21"/>
      <c r="B965" s="4"/>
      <c r="C965" s="22"/>
      <c r="D965" s="5" t="str">
        <f aca="false">IF(B965="","",IFERROR(INDEX(DE_PARA!$B$6:$B$205,MATCH(B965,DE_PARA!$A$6:$A$205,0)),"SEM DE-PARA"))</f>
        <v/>
      </c>
      <c r="E965" s="23" t="str">
        <f aca="false">IF(A965="","",DATE(YEAR(A965),MONTH(A965),1))</f>
        <v/>
      </c>
    </row>
    <row r="966" customFormat="false" ht="15" hidden="false" customHeight="false" outlineLevel="0" collapsed="false">
      <c r="A966" s="21"/>
      <c r="B966" s="4"/>
      <c r="C966" s="22"/>
      <c r="D966" s="5" t="str">
        <f aca="false">IF(B966="","",IFERROR(INDEX(DE_PARA!$B$6:$B$205,MATCH(B966,DE_PARA!$A$6:$A$205,0)),"SEM DE-PARA"))</f>
        <v/>
      </c>
      <c r="E966" s="23" t="str">
        <f aca="false">IF(A966="","",DATE(YEAR(A966),MONTH(A966),1))</f>
        <v/>
      </c>
    </row>
    <row r="967" customFormat="false" ht="15" hidden="false" customHeight="false" outlineLevel="0" collapsed="false">
      <c r="A967" s="21"/>
      <c r="B967" s="4"/>
      <c r="C967" s="22"/>
      <c r="D967" s="5" t="str">
        <f aca="false">IF(B967="","",IFERROR(INDEX(DE_PARA!$B$6:$B$205,MATCH(B967,DE_PARA!$A$6:$A$205,0)),"SEM DE-PARA"))</f>
        <v/>
      </c>
      <c r="E967" s="23" t="str">
        <f aca="false">IF(A967="","",DATE(YEAR(A967),MONTH(A967),1))</f>
        <v/>
      </c>
    </row>
    <row r="968" customFormat="false" ht="15" hidden="false" customHeight="false" outlineLevel="0" collapsed="false">
      <c r="A968" s="21"/>
      <c r="B968" s="4"/>
      <c r="C968" s="22"/>
      <c r="D968" s="5" t="str">
        <f aca="false">IF(B968="","",IFERROR(INDEX(DE_PARA!$B$6:$B$205,MATCH(B968,DE_PARA!$A$6:$A$205,0)),"SEM DE-PARA"))</f>
        <v/>
      </c>
      <c r="E968" s="23" t="str">
        <f aca="false">IF(A968="","",DATE(YEAR(A968),MONTH(A968),1))</f>
        <v/>
      </c>
    </row>
    <row r="969" customFormat="false" ht="15" hidden="false" customHeight="false" outlineLevel="0" collapsed="false">
      <c r="A969" s="21"/>
      <c r="B969" s="4"/>
      <c r="C969" s="22"/>
      <c r="D969" s="5" t="str">
        <f aca="false">IF(B969="","",IFERROR(INDEX(DE_PARA!$B$6:$B$205,MATCH(B969,DE_PARA!$A$6:$A$205,0)),"SEM DE-PARA"))</f>
        <v/>
      </c>
      <c r="E969" s="23" t="str">
        <f aca="false">IF(A969="","",DATE(YEAR(A969),MONTH(A969),1))</f>
        <v/>
      </c>
    </row>
    <row r="970" customFormat="false" ht="15" hidden="false" customHeight="false" outlineLevel="0" collapsed="false">
      <c r="A970" s="21"/>
      <c r="B970" s="4"/>
      <c r="C970" s="22"/>
      <c r="D970" s="5" t="str">
        <f aca="false">IF(B970="","",IFERROR(INDEX(DE_PARA!$B$6:$B$205,MATCH(B970,DE_PARA!$A$6:$A$205,0)),"SEM DE-PARA"))</f>
        <v/>
      </c>
      <c r="E970" s="23" t="str">
        <f aca="false">IF(A970="","",DATE(YEAR(A970),MONTH(A970),1))</f>
        <v/>
      </c>
    </row>
    <row r="971" customFormat="false" ht="15" hidden="false" customHeight="false" outlineLevel="0" collapsed="false">
      <c r="A971" s="21"/>
      <c r="B971" s="4"/>
      <c r="C971" s="22"/>
      <c r="D971" s="5" t="str">
        <f aca="false">IF(B971="","",IFERROR(INDEX(DE_PARA!$B$6:$B$205,MATCH(B971,DE_PARA!$A$6:$A$205,0)),"SEM DE-PARA"))</f>
        <v/>
      </c>
      <c r="E971" s="23" t="str">
        <f aca="false">IF(A971="","",DATE(YEAR(A971),MONTH(A971),1))</f>
        <v/>
      </c>
    </row>
    <row r="972" customFormat="false" ht="15" hidden="false" customHeight="false" outlineLevel="0" collapsed="false">
      <c r="A972" s="21"/>
      <c r="B972" s="4"/>
      <c r="C972" s="22"/>
      <c r="D972" s="5" t="str">
        <f aca="false">IF(B972="","",IFERROR(INDEX(DE_PARA!$B$6:$B$205,MATCH(B972,DE_PARA!$A$6:$A$205,0)),"SEM DE-PARA"))</f>
        <v/>
      </c>
      <c r="E972" s="23" t="str">
        <f aca="false">IF(A972="","",DATE(YEAR(A972),MONTH(A972),1))</f>
        <v/>
      </c>
    </row>
    <row r="973" customFormat="false" ht="15" hidden="false" customHeight="false" outlineLevel="0" collapsed="false">
      <c r="A973" s="21"/>
      <c r="B973" s="4"/>
      <c r="C973" s="22"/>
      <c r="D973" s="5" t="str">
        <f aca="false">IF(B973="","",IFERROR(INDEX(DE_PARA!$B$6:$B$205,MATCH(B973,DE_PARA!$A$6:$A$205,0)),"SEM DE-PARA"))</f>
        <v/>
      </c>
      <c r="E973" s="23" t="str">
        <f aca="false">IF(A973="","",DATE(YEAR(A973),MONTH(A973),1))</f>
        <v/>
      </c>
    </row>
    <row r="974" customFormat="false" ht="15" hidden="false" customHeight="false" outlineLevel="0" collapsed="false">
      <c r="A974" s="21"/>
      <c r="B974" s="4"/>
      <c r="C974" s="22"/>
      <c r="D974" s="5" t="str">
        <f aca="false">IF(B974="","",IFERROR(INDEX(DE_PARA!$B$6:$B$205,MATCH(B974,DE_PARA!$A$6:$A$205,0)),"SEM DE-PARA"))</f>
        <v/>
      </c>
      <c r="E974" s="23" t="str">
        <f aca="false">IF(A974="","",DATE(YEAR(A974),MONTH(A974),1))</f>
        <v/>
      </c>
    </row>
    <row r="975" customFormat="false" ht="15" hidden="false" customHeight="false" outlineLevel="0" collapsed="false">
      <c r="A975" s="21"/>
      <c r="B975" s="4"/>
      <c r="C975" s="22"/>
      <c r="D975" s="5" t="str">
        <f aca="false">IF(B975="","",IFERROR(INDEX(DE_PARA!$B$6:$B$205,MATCH(B975,DE_PARA!$A$6:$A$205,0)),"SEM DE-PARA"))</f>
        <v/>
      </c>
      <c r="E975" s="23" t="str">
        <f aca="false">IF(A975="","",DATE(YEAR(A975),MONTH(A975),1))</f>
        <v/>
      </c>
    </row>
    <row r="976" customFormat="false" ht="15" hidden="false" customHeight="false" outlineLevel="0" collapsed="false">
      <c r="A976" s="21"/>
      <c r="B976" s="4"/>
      <c r="C976" s="22"/>
      <c r="D976" s="5" t="str">
        <f aca="false">IF(B976="","",IFERROR(INDEX(DE_PARA!$B$6:$B$205,MATCH(B976,DE_PARA!$A$6:$A$205,0)),"SEM DE-PARA"))</f>
        <v/>
      </c>
      <c r="E976" s="23" t="str">
        <f aca="false">IF(A976="","",DATE(YEAR(A976),MONTH(A976),1))</f>
        <v/>
      </c>
    </row>
    <row r="977" customFormat="false" ht="15" hidden="false" customHeight="false" outlineLevel="0" collapsed="false">
      <c r="A977" s="21"/>
      <c r="B977" s="4"/>
      <c r="C977" s="22"/>
      <c r="D977" s="5" t="str">
        <f aca="false">IF(B977="","",IFERROR(INDEX(DE_PARA!$B$6:$B$205,MATCH(B977,DE_PARA!$A$6:$A$205,0)),"SEM DE-PARA"))</f>
        <v/>
      </c>
      <c r="E977" s="23" t="str">
        <f aca="false">IF(A977="","",DATE(YEAR(A977),MONTH(A977),1))</f>
        <v/>
      </c>
    </row>
    <row r="978" customFormat="false" ht="15" hidden="false" customHeight="false" outlineLevel="0" collapsed="false">
      <c r="A978" s="21"/>
      <c r="B978" s="4"/>
      <c r="C978" s="22"/>
      <c r="D978" s="5" t="str">
        <f aca="false">IF(B978="","",IFERROR(INDEX(DE_PARA!$B$6:$B$205,MATCH(B978,DE_PARA!$A$6:$A$205,0)),"SEM DE-PARA"))</f>
        <v/>
      </c>
      <c r="E978" s="23" t="str">
        <f aca="false">IF(A978="","",DATE(YEAR(A978),MONTH(A978),1))</f>
        <v/>
      </c>
    </row>
    <row r="979" customFormat="false" ht="15" hidden="false" customHeight="false" outlineLevel="0" collapsed="false">
      <c r="A979" s="21"/>
      <c r="B979" s="4"/>
      <c r="C979" s="22"/>
      <c r="D979" s="5" t="str">
        <f aca="false">IF(B979="","",IFERROR(INDEX(DE_PARA!$B$6:$B$205,MATCH(B979,DE_PARA!$A$6:$A$205,0)),"SEM DE-PARA"))</f>
        <v/>
      </c>
      <c r="E979" s="23" t="str">
        <f aca="false">IF(A979="","",DATE(YEAR(A979),MONTH(A979),1))</f>
        <v/>
      </c>
    </row>
    <row r="980" customFormat="false" ht="15" hidden="false" customHeight="false" outlineLevel="0" collapsed="false">
      <c r="A980" s="21"/>
      <c r="B980" s="4"/>
      <c r="C980" s="22"/>
      <c r="D980" s="5" t="str">
        <f aca="false">IF(B980="","",IFERROR(INDEX(DE_PARA!$B$6:$B$205,MATCH(B980,DE_PARA!$A$6:$A$205,0)),"SEM DE-PARA"))</f>
        <v/>
      </c>
      <c r="E980" s="23" t="str">
        <f aca="false">IF(A980="","",DATE(YEAR(A980),MONTH(A980),1))</f>
        <v/>
      </c>
    </row>
    <row r="981" customFormat="false" ht="15" hidden="false" customHeight="false" outlineLevel="0" collapsed="false">
      <c r="A981" s="21"/>
      <c r="B981" s="4"/>
      <c r="C981" s="22"/>
      <c r="D981" s="5" t="str">
        <f aca="false">IF(B981="","",IFERROR(INDEX(DE_PARA!$B$6:$B$205,MATCH(B981,DE_PARA!$A$6:$A$205,0)),"SEM DE-PARA"))</f>
        <v/>
      </c>
      <c r="E981" s="23" t="str">
        <f aca="false">IF(A981="","",DATE(YEAR(A981),MONTH(A981),1))</f>
        <v/>
      </c>
    </row>
    <row r="982" customFormat="false" ht="15" hidden="false" customHeight="false" outlineLevel="0" collapsed="false">
      <c r="A982" s="21"/>
      <c r="B982" s="4"/>
      <c r="C982" s="22"/>
      <c r="D982" s="5" t="str">
        <f aca="false">IF(B982="","",IFERROR(INDEX(DE_PARA!$B$6:$B$205,MATCH(B982,DE_PARA!$A$6:$A$205,0)),"SEM DE-PARA"))</f>
        <v/>
      </c>
      <c r="E982" s="23" t="str">
        <f aca="false">IF(A982="","",DATE(YEAR(A982),MONTH(A982),1))</f>
        <v/>
      </c>
    </row>
    <row r="983" customFormat="false" ht="15" hidden="false" customHeight="false" outlineLevel="0" collapsed="false">
      <c r="A983" s="21"/>
      <c r="B983" s="4"/>
      <c r="C983" s="22"/>
      <c r="D983" s="5" t="str">
        <f aca="false">IF(B983="","",IFERROR(INDEX(DE_PARA!$B$6:$B$205,MATCH(B983,DE_PARA!$A$6:$A$205,0)),"SEM DE-PARA"))</f>
        <v/>
      </c>
      <c r="E983" s="23" t="str">
        <f aca="false">IF(A983="","",DATE(YEAR(A983),MONTH(A983),1))</f>
        <v/>
      </c>
    </row>
    <row r="984" customFormat="false" ht="15" hidden="false" customHeight="false" outlineLevel="0" collapsed="false">
      <c r="A984" s="21"/>
      <c r="B984" s="4"/>
      <c r="C984" s="22"/>
      <c r="D984" s="5" t="str">
        <f aca="false">IF(B984="","",IFERROR(INDEX(DE_PARA!$B$6:$B$205,MATCH(B984,DE_PARA!$A$6:$A$205,0)),"SEM DE-PARA"))</f>
        <v/>
      </c>
      <c r="E984" s="23" t="str">
        <f aca="false">IF(A984="","",DATE(YEAR(A984),MONTH(A984),1))</f>
        <v/>
      </c>
    </row>
    <row r="985" customFormat="false" ht="15" hidden="false" customHeight="false" outlineLevel="0" collapsed="false">
      <c r="A985" s="21"/>
      <c r="B985" s="4"/>
      <c r="C985" s="22"/>
      <c r="D985" s="5" t="str">
        <f aca="false">IF(B985="","",IFERROR(INDEX(DE_PARA!$B$6:$B$205,MATCH(B985,DE_PARA!$A$6:$A$205,0)),"SEM DE-PARA"))</f>
        <v/>
      </c>
      <c r="E985" s="23" t="str">
        <f aca="false">IF(A985="","",DATE(YEAR(A985),MONTH(A985),1))</f>
        <v/>
      </c>
    </row>
    <row r="986" customFormat="false" ht="15" hidden="false" customHeight="false" outlineLevel="0" collapsed="false">
      <c r="A986" s="21"/>
      <c r="B986" s="4"/>
      <c r="C986" s="22"/>
      <c r="D986" s="5" t="str">
        <f aca="false">IF(B986="","",IFERROR(INDEX(DE_PARA!$B$6:$B$205,MATCH(B986,DE_PARA!$A$6:$A$205,0)),"SEM DE-PARA"))</f>
        <v/>
      </c>
      <c r="E986" s="23" t="str">
        <f aca="false">IF(A986="","",DATE(YEAR(A986),MONTH(A986),1))</f>
        <v/>
      </c>
    </row>
    <row r="987" customFormat="false" ht="15" hidden="false" customHeight="false" outlineLevel="0" collapsed="false">
      <c r="A987" s="21"/>
      <c r="B987" s="4"/>
      <c r="C987" s="22"/>
      <c r="D987" s="5" t="str">
        <f aca="false">IF(B987="","",IFERROR(INDEX(DE_PARA!$B$6:$B$205,MATCH(B987,DE_PARA!$A$6:$A$205,0)),"SEM DE-PARA"))</f>
        <v/>
      </c>
      <c r="E987" s="23" t="str">
        <f aca="false">IF(A987="","",DATE(YEAR(A987),MONTH(A987),1))</f>
        <v/>
      </c>
    </row>
    <row r="988" customFormat="false" ht="15" hidden="false" customHeight="false" outlineLevel="0" collapsed="false">
      <c r="A988" s="21"/>
      <c r="B988" s="4"/>
      <c r="C988" s="22"/>
      <c r="D988" s="5" t="str">
        <f aca="false">IF(B988="","",IFERROR(INDEX(DE_PARA!$B$6:$B$205,MATCH(B988,DE_PARA!$A$6:$A$205,0)),"SEM DE-PARA"))</f>
        <v/>
      </c>
      <c r="E988" s="23" t="str">
        <f aca="false">IF(A988="","",DATE(YEAR(A988),MONTH(A988),1))</f>
        <v/>
      </c>
    </row>
    <row r="989" customFormat="false" ht="15" hidden="false" customHeight="false" outlineLevel="0" collapsed="false">
      <c r="A989" s="21"/>
      <c r="B989" s="4"/>
      <c r="C989" s="22"/>
      <c r="D989" s="5" t="str">
        <f aca="false">IF(B989="","",IFERROR(INDEX(DE_PARA!$B$6:$B$205,MATCH(B989,DE_PARA!$A$6:$A$205,0)),"SEM DE-PARA"))</f>
        <v/>
      </c>
      <c r="E989" s="23" t="str">
        <f aca="false">IF(A989="","",DATE(YEAR(A989),MONTH(A989),1))</f>
        <v/>
      </c>
    </row>
    <row r="990" customFormat="false" ht="15" hidden="false" customHeight="false" outlineLevel="0" collapsed="false">
      <c r="A990" s="21"/>
      <c r="B990" s="4"/>
      <c r="C990" s="22"/>
      <c r="D990" s="5" t="str">
        <f aca="false">IF(B990="","",IFERROR(INDEX(DE_PARA!$B$6:$B$205,MATCH(B990,DE_PARA!$A$6:$A$205,0)),"SEM DE-PARA"))</f>
        <v/>
      </c>
      <c r="E990" s="23" t="str">
        <f aca="false">IF(A990="","",DATE(YEAR(A990),MONTH(A990),1))</f>
        <v/>
      </c>
    </row>
    <row r="991" customFormat="false" ht="15" hidden="false" customHeight="false" outlineLevel="0" collapsed="false">
      <c r="A991" s="21"/>
      <c r="B991" s="4"/>
      <c r="C991" s="22"/>
      <c r="D991" s="5" t="str">
        <f aca="false">IF(B991="","",IFERROR(INDEX(DE_PARA!$B$6:$B$205,MATCH(B991,DE_PARA!$A$6:$A$205,0)),"SEM DE-PARA"))</f>
        <v/>
      </c>
      <c r="E991" s="23" t="str">
        <f aca="false">IF(A991="","",DATE(YEAR(A991),MONTH(A991),1))</f>
        <v/>
      </c>
    </row>
    <row r="992" customFormat="false" ht="15" hidden="false" customHeight="false" outlineLevel="0" collapsed="false">
      <c r="A992" s="21"/>
      <c r="B992" s="4"/>
      <c r="C992" s="22"/>
      <c r="D992" s="5" t="str">
        <f aca="false">IF(B992="","",IFERROR(INDEX(DE_PARA!$B$6:$B$205,MATCH(B992,DE_PARA!$A$6:$A$205,0)),"SEM DE-PARA"))</f>
        <v/>
      </c>
      <c r="E992" s="23" t="str">
        <f aca="false">IF(A992="","",DATE(YEAR(A992),MONTH(A992),1))</f>
        <v/>
      </c>
    </row>
    <row r="993" customFormat="false" ht="15" hidden="false" customHeight="false" outlineLevel="0" collapsed="false">
      <c r="A993" s="21"/>
      <c r="B993" s="4"/>
      <c r="C993" s="22"/>
      <c r="D993" s="5" t="str">
        <f aca="false">IF(B993="","",IFERROR(INDEX(DE_PARA!$B$6:$B$205,MATCH(B993,DE_PARA!$A$6:$A$205,0)),"SEM DE-PARA"))</f>
        <v/>
      </c>
      <c r="E993" s="23" t="str">
        <f aca="false">IF(A993="","",DATE(YEAR(A993),MONTH(A993),1))</f>
        <v/>
      </c>
    </row>
    <row r="994" customFormat="false" ht="15" hidden="false" customHeight="false" outlineLevel="0" collapsed="false">
      <c r="A994" s="21"/>
      <c r="B994" s="4"/>
      <c r="C994" s="22"/>
      <c r="D994" s="5" t="str">
        <f aca="false">IF(B994="","",IFERROR(INDEX(DE_PARA!$B$6:$B$205,MATCH(B994,DE_PARA!$A$6:$A$205,0)),"SEM DE-PARA"))</f>
        <v/>
      </c>
      <c r="E994" s="23" t="str">
        <f aca="false">IF(A994="","",DATE(YEAR(A994),MONTH(A994),1))</f>
        <v/>
      </c>
    </row>
    <row r="995" customFormat="false" ht="15" hidden="false" customHeight="false" outlineLevel="0" collapsed="false">
      <c r="A995" s="21"/>
      <c r="B995" s="4"/>
      <c r="C995" s="22"/>
      <c r="D995" s="5" t="str">
        <f aca="false">IF(B995="","",IFERROR(INDEX(DE_PARA!$B$6:$B$205,MATCH(B995,DE_PARA!$A$6:$A$205,0)),"SEM DE-PARA"))</f>
        <v/>
      </c>
      <c r="E995" s="23" t="str">
        <f aca="false">IF(A995="","",DATE(YEAR(A995),MONTH(A995),1))</f>
        <v/>
      </c>
    </row>
    <row r="996" customFormat="false" ht="15" hidden="false" customHeight="false" outlineLevel="0" collapsed="false">
      <c r="A996" s="21"/>
      <c r="B996" s="4"/>
      <c r="C996" s="22"/>
      <c r="D996" s="5" t="str">
        <f aca="false">IF(B996="","",IFERROR(INDEX(DE_PARA!$B$6:$B$205,MATCH(B996,DE_PARA!$A$6:$A$205,0)),"SEM DE-PARA"))</f>
        <v/>
      </c>
      <c r="E996" s="23" t="str">
        <f aca="false">IF(A996="","",DATE(YEAR(A996),MONTH(A996),1))</f>
        <v/>
      </c>
    </row>
    <row r="997" customFormat="false" ht="15" hidden="false" customHeight="false" outlineLevel="0" collapsed="false">
      <c r="A997" s="21"/>
      <c r="B997" s="4"/>
      <c r="C997" s="22"/>
      <c r="D997" s="5" t="str">
        <f aca="false">IF(B997="","",IFERROR(INDEX(DE_PARA!$B$6:$B$205,MATCH(B997,DE_PARA!$A$6:$A$205,0)),"SEM DE-PARA"))</f>
        <v/>
      </c>
      <c r="E997" s="23" t="str">
        <f aca="false">IF(A997="","",DATE(YEAR(A997),MONTH(A997),1))</f>
        <v/>
      </c>
    </row>
    <row r="998" customFormat="false" ht="15" hidden="false" customHeight="false" outlineLevel="0" collapsed="false">
      <c r="A998" s="21"/>
      <c r="B998" s="4"/>
      <c r="C998" s="22"/>
      <c r="D998" s="5" t="str">
        <f aca="false">IF(B998="","",IFERROR(INDEX(DE_PARA!$B$6:$B$205,MATCH(B998,DE_PARA!$A$6:$A$205,0)),"SEM DE-PARA"))</f>
        <v/>
      </c>
      <c r="E998" s="23" t="str">
        <f aca="false">IF(A998="","",DATE(YEAR(A998),MONTH(A998),1))</f>
        <v/>
      </c>
    </row>
    <row r="999" customFormat="false" ht="15" hidden="false" customHeight="false" outlineLevel="0" collapsed="false">
      <c r="A999" s="21"/>
      <c r="B999" s="4"/>
      <c r="C999" s="22"/>
      <c r="D999" s="5" t="str">
        <f aca="false">IF(B999="","",IFERROR(INDEX(DE_PARA!$B$6:$B$205,MATCH(B999,DE_PARA!$A$6:$A$205,0)),"SEM DE-PARA"))</f>
        <v/>
      </c>
      <c r="E999" s="23" t="str">
        <f aca="false">IF(A999="","",DATE(YEAR(A999),MONTH(A999),1))</f>
        <v/>
      </c>
    </row>
    <row r="1000" customFormat="false" ht="15" hidden="false" customHeight="false" outlineLevel="0" collapsed="false">
      <c r="A1000" s="21"/>
      <c r="B1000" s="4"/>
      <c r="C1000" s="22"/>
      <c r="D1000" s="5" t="str">
        <f aca="false">IF(B1000="","",IFERROR(INDEX(DE_PARA!$B$6:$B$205,MATCH(B1000,DE_PARA!$A$6:$A$205,0)),"SEM DE-PARA"))</f>
        <v/>
      </c>
      <c r="E1000" s="23" t="str">
        <f aca="false">IF(A1000="","",DATE(YEAR(A1000),MONTH(A1000),1))</f>
        <v/>
      </c>
    </row>
    <row r="1001" customFormat="false" ht="15" hidden="false" customHeight="false" outlineLevel="0" collapsed="false">
      <c r="A1001" s="21"/>
      <c r="B1001" s="4"/>
      <c r="C1001" s="22"/>
      <c r="D1001" s="5" t="str">
        <f aca="false">IF(B1001="","",IFERROR(INDEX(DE_PARA!$B$6:$B$205,MATCH(B1001,DE_PARA!$A$6:$A$205,0)),"SEM DE-PARA"))</f>
        <v/>
      </c>
      <c r="E1001" s="23" t="str">
        <f aca="false">IF(A1001="","",DATE(YEAR(A1001),MONTH(A1001),1))</f>
        <v/>
      </c>
    </row>
    <row r="1002" customFormat="false" ht="15" hidden="false" customHeight="false" outlineLevel="0" collapsed="false">
      <c r="A1002" s="21"/>
      <c r="B1002" s="4"/>
      <c r="C1002" s="22"/>
      <c r="D1002" s="5" t="str">
        <f aca="false">IF(B1002="","",IFERROR(INDEX(DE_PARA!$B$6:$B$205,MATCH(B1002,DE_PARA!$A$6:$A$205,0)),"SEM DE-PARA"))</f>
        <v/>
      </c>
      <c r="E1002" s="23" t="str">
        <f aca="false">IF(A1002="","",DATE(YEAR(A1002),MONTH(A1002),1))</f>
        <v/>
      </c>
    </row>
    <row r="1003" customFormat="false" ht="15" hidden="false" customHeight="false" outlineLevel="0" collapsed="false">
      <c r="A1003" s="21"/>
      <c r="B1003" s="4"/>
      <c r="C1003" s="22"/>
      <c r="D1003" s="5" t="str">
        <f aca="false">IF(B1003="","",IFERROR(INDEX(DE_PARA!$B$6:$B$205,MATCH(B1003,DE_PARA!$A$6:$A$205,0)),"SEM DE-PARA"))</f>
        <v/>
      </c>
      <c r="E1003" s="23" t="str">
        <f aca="false">IF(A1003="","",DATE(YEAR(A1003),MONTH(A1003),1))</f>
        <v/>
      </c>
    </row>
    <row r="1004" customFormat="false" ht="15" hidden="false" customHeight="false" outlineLevel="0" collapsed="false">
      <c r="A1004" s="21"/>
      <c r="B1004" s="4"/>
      <c r="C1004" s="22"/>
      <c r="D1004" s="5" t="str">
        <f aca="false">IF(B1004="","",IFERROR(INDEX(DE_PARA!$B$6:$B$205,MATCH(B1004,DE_PARA!$A$6:$A$205,0)),"SEM DE-PARA"))</f>
        <v/>
      </c>
      <c r="E1004" s="23" t="str">
        <f aca="false">IF(A1004="","",DATE(YEAR(A1004),MONTH(A1004),1))</f>
        <v/>
      </c>
    </row>
    <row r="1005" customFormat="false" ht="15" hidden="false" customHeight="false" outlineLevel="0" collapsed="false">
      <c r="A1005" s="21"/>
      <c r="B1005" s="4"/>
      <c r="C1005" s="22"/>
      <c r="D1005" s="5" t="str">
        <f aca="false">IF(B1005="","",IFERROR(INDEX(DE_PARA!$B$6:$B$205,MATCH(B1005,DE_PARA!$A$6:$A$205,0)),"SEM DE-PARA"))</f>
        <v/>
      </c>
      <c r="E1005" s="23" t="str">
        <f aca="false">IF(A1005="","",DATE(YEAR(A1005),MONTH(A1005),1))</f>
        <v/>
      </c>
    </row>
    <row r="1006" customFormat="false" ht="15" hidden="false" customHeight="false" outlineLevel="0" collapsed="false">
      <c r="A1006" s="21"/>
      <c r="B1006" s="4"/>
      <c r="C1006" s="22"/>
      <c r="D1006" s="5" t="str">
        <f aca="false">IF(B1006="","",IFERROR(INDEX(DE_PARA!$B$6:$B$205,MATCH(B1006,DE_PARA!$A$6:$A$205,0)),"SEM DE-PARA"))</f>
        <v/>
      </c>
      <c r="E1006" s="23" t="str">
        <f aca="false">IF(A1006="","",DATE(YEAR(A1006),MONTH(A1006),1))</f>
        <v/>
      </c>
    </row>
    <row r="1007" customFormat="false" ht="15" hidden="false" customHeight="false" outlineLevel="0" collapsed="false">
      <c r="A1007" s="21"/>
      <c r="B1007" s="4"/>
      <c r="C1007" s="22"/>
      <c r="D1007" s="5" t="str">
        <f aca="false">IF(B1007="","",IFERROR(INDEX(DE_PARA!$B$6:$B$205,MATCH(B1007,DE_PARA!$A$6:$A$205,0)),"SEM DE-PARA"))</f>
        <v/>
      </c>
      <c r="E1007" s="23" t="str">
        <f aca="false">IF(A1007="","",DATE(YEAR(A1007),MONTH(A1007),1))</f>
        <v/>
      </c>
    </row>
    <row r="1008" customFormat="false" ht="15" hidden="false" customHeight="false" outlineLevel="0" collapsed="false">
      <c r="A1008" s="21"/>
      <c r="B1008" s="4"/>
      <c r="C1008" s="22"/>
      <c r="D1008" s="5" t="str">
        <f aca="false">IF(B1008="","",IFERROR(INDEX(DE_PARA!$B$6:$B$205,MATCH(B1008,DE_PARA!$A$6:$A$205,0)),"SEM DE-PARA"))</f>
        <v/>
      </c>
      <c r="E1008" s="23" t="str">
        <f aca="false">IF(A1008="","",DATE(YEAR(A1008),MONTH(A1008),1))</f>
        <v/>
      </c>
    </row>
    <row r="1009" customFormat="false" ht="15" hidden="false" customHeight="false" outlineLevel="0" collapsed="false">
      <c r="A1009" s="21"/>
      <c r="B1009" s="4"/>
      <c r="C1009" s="22"/>
      <c r="D1009" s="5" t="str">
        <f aca="false">IF(B1009="","",IFERROR(INDEX(DE_PARA!$B$6:$B$205,MATCH(B1009,DE_PARA!$A$6:$A$205,0)),"SEM DE-PARA"))</f>
        <v/>
      </c>
      <c r="E1009" s="23" t="str">
        <f aca="false">IF(A1009="","",DATE(YEAR(A1009),MONTH(A1009),1))</f>
        <v/>
      </c>
    </row>
    <row r="1010" customFormat="false" ht="15" hidden="false" customHeight="false" outlineLevel="0" collapsed="false">
      <c r="A1010" s="21"/>
      <c r="B1010" s="4"/>
      <c r="C1010" s="22"/>
      <c r="D1010" s="5" t="str">
        <f aca="false">IF(B1010="","",IFERROR(INDEX(DE_PARA!$B$6:$B$205,MATCH(B1010,DE_PARA!$A$6:$A$205,0)),"SEM DE-PARA"))</f>
        <v/>
      </c>
      <c r="E1010" s="23" t="str">
        <f aca="false">IF(A1010="","",DATE(YEAR(A1010),MONTH(A1010),1))</f>
        <v/>
      </c>
    </row>
    <row r="1011" customFormat="false" ht="15" hidden="false" customHeight="false" outlineLevel="0" collapsed="false">
      <c r="A1011" s="21"/>
      <c r="B1011" s="4"/>
      <c r="C1011" s="22"/>
      <c r="D1011" s="5" t="str">
        <f aca="false">IF(B1011="","",IFERROR(INDEX(DE_PARA!$B$6:$B$205,MATCH(B1011,DE_PARA!$A$6:$A$205,0)),"SEM DE-PARA"))</f>
        <v/>
      </c>
      <c r="E1011" s="23" t="str">
        <f aca="false">IF(A1011="","",DATE(YEAR(A1011),MONTH(A1011),1))</f>
        <v/>
      </c>
    </row>
    <row r="1012" customFormat="false" ht="15" hidden="false" customHeight="false" outlineLevel="0" collapsed="false">
      <c r="A1012" s="21"/>
      <c r="B1012" s="4"/>
      <c r="C1012" s="22"/>
      <c r="D1012" s="5" t="str">
        <f aca="false">IF(B1012="","",IFERROR(INDEX(DE_PARA!$B$6:$B$205,MATCH(B1012,DE_PARA!$A$6:$A$205,0)),"SEM DE-PARA"))</f>
        <v/>
      </c>
      <c r="E1012" s="23" t="str">
        <f aca="false">IF(A1012="","",DATE(YEAR(A1012),MONTH(A1012),1))</f>
        <v/>
      </c>
    </row>
    <row r="1013" customFormat="false" ht="15" hidden="false" customHeight="false" outlineLevel="0" collapsed="false">
      <c r="A1013" s="21"/>
      <c r="B1013" s="4"/>
      <c r="C1013" s="22"/>
      <c r="D1013" s="5" t="str">
        <f aca="false">IF(B1013="","",IFERROR(INDEX(DE_PARA!$B$6:$B$205,MATCH(B1013,DE_PARA!$A$6:$A$205,0)),"SEM DE-PARA"))</f>
        <v/>
      </c>
      <c r="E1013" s="23" t="str">
        <f aca="false">IF(A1013="","",DATE(YEAR(A1013),MONTH(A1013),1))</f>
        <v/>
      </c>
    </row>
    <row r="1014" customFormat="false" ht="15" hidden="false" customHeight="false" outlineLevel="0" collapsed="false">
      <c r="A1014" s="21"/>
      <c r="B1014" s="4"/>
      <c r="C1014" s="22"/>
      <c r="D1014" s="5" t="str">
        <f aca="false">IF(B1014="","",IFERROR(INDEX(DE_PARA!$B$6:$B$205,MATCH(B1014,DE_PARA!$A$6:$A$205,0)),"SEM DE-PARA"))</f>
        <v/>
      </c>
      <c r="E1014" s="23" t="str">
        <f aca="false">IF(A1014="","",DATE(YEAR(A1014),MONTH(A1014),1))</f>
        <v/>
      </c>
    </row>
    <row r="1015" customFormat="false" ht="15" hidden="false" customHeight="false" outlineLevel="0" collapsed="false">
      <c r="A1015" s="21"/>
      <c r="B1015" s="4"/>
      <c r="C1015" s="22"/>
      <c r="D1015" s="5" t="str">
        <f aca="false">IF(B1015="","",IFERROR(INDEX(DE_PARA!$B$6:$B$205,MATCH(B1015,DE_PARA!$A$6:$A$205,0)),"SEM DE-PARA"))</f>
        <v/>
      </c>
      <c r="E1015" s="23" t="str">
        <f aca="false">IF(A1015="","",DATE(YEAR(A1015),MONTH(A1015),1))</f>
        <v/>
      </c>
    </row>
    <row r="1016" customFormat="false" ht="15" hidden="false" customHeight="false" outlineLevel="0" collapsed="false">
      <c r="A1016" s="21"/>
      <c r="B1016" s="4"/>
      <c r="C1016" s="22"/>
      <c r="D1016" s="5" t="str">
        <f aca="false">IF(B1016="","",IFERROR(INDEX(DE_PARA!$B$6:$B$205,MATCH(B1016,DE_PARA!$A$6:$A$205,0)),"SEM DE-PARA"))</f>
        <v/>
      </c>
      <c r="E1016" s="23" t="str">
        <f aca="false">IF(A1016="","",DATE(YEAR(A1016),MONTH(A1016),1))</f>
        <v/>
      </c>
    </row>
    <row r="1017" customFormat="false" ht="15" hidden="false" customHeight="false" outlineLevel="0" collapsed="false">
      <c r="A1017" s="21"/>
      <c r="B1017" s="4"/>
      <c r="C1017" s="22"/>
      <c r="D1017" s="5" t="str">
        <f aca="false">IF(B1017="","",IFERROR(INDEX(DE_PARA!$B$6:$B$205,MATCH(B1017,DE_PARA!$A$6:$A$205,0)),"SEM DE-PARA"))</f>
        <v/>
      </c>
      <c r="E1017" s="23" t="str">
        <f aca="false">IF(A1017="","",DATE(YEAR(A1017),MONTH(A1017),1))</f>
        <v/>
      </c>
    </row>
    <row r="1018" customFormat="false" ht="15" hidden="false" customHeight="false" outlineLevel="0" collapsed="false">
      <c r="A1018" s="21"/>
      <c r="B1018" s="4"/>
      <c r="C1018" s="22"/>
      <c r="D1018" s="5" t="str">
        <f aca="false">IF(B1018="","",IFERROR(INDEX(DE_PARA!$B$6:$B$205,MATCH(B1018,DE_PARA!$A$6:$A$205,0)),"SEM DE-PARA"))</f>
        <v/>
      </c>
      <c r="E1018" s="23" t="str">
        <f aca="false">IF(A1018="","",DATE(YEAR(A1018),MONTH(A1018),1))</f>
        <v/>
      </c>
    </row>
    <row r="1019" customFormat="false" ht="15" hidden="false" customHeight="false" outlineLevel="0" collapsed="false">
      <c r="A1019" s="21"/>
      <c r="B1019" s="4"/>
      <c r="C1019" s="22"/>
      <c r="D1019" s="5" t="str">
        <f aca="false">IF(B1019="","",IFERROR(INDEX(DE_PARA!$B$6:$B$205,MATCH(B1019,DE_PARA!$A$6:$A$205,0)),"SEM DE-PARA"))</f>
        <v/>
      </c>
      <c r="E1019" s="23" t="str">
        <f aca="false">IF(A1019="","",DATE(YEAR(A1019),MONTH(A1019),1))</f>
        <v/>
      </c>
    </row>
    <row r="1020" customFormat="false" ht="15" hidden="false" customHeight="false" outlineLevel="0" collapsed="false">
      <c r="A1020" s="21"/>
      <c r="B1020" s="4"/>
      <c r="C1020" s="22"/>
      <c r="D1020" s="5" t="str">
        <f aca="false">IF(B1020="","",IFERROR(INDEX(DE_PARA!$B$6:$B$205,MATCH(B1020,DE_PARA!$A$6:$A$205,0)),"SEM DE-PARA"))</f>
        <v/>
      </c>
      <c r="E1020" s="23" t="str">
        <f aca="false">IF(A1020="","",DATE(YEAR(A1020),MONTH(A1020),1))</f>
        <v/>
      </c>
    </row>
    <row r="1021" customFormat="false" ht="15" hidden="false" customHeight="false" outlineLevel="0" collapsed="false">
      <c r="A1021" s="21"/>
      <c r="B1021" s="4"/>
      <c r="C1021" s="22"/>
      <c r="D1021" s="5" t="str">
        <f aca="false">IF(B1021="","",IFERROR(INDEX(DE_PARA!$B$6:$B$205,MATCH(B1021,DE_PARA!$A$6:$A$205,0)),"SEM DE-PARA"))</f>
        <v/>
      </c>
      <c r="E1021" s="23" t="str">
        <f aca="false">IF(A1021="","",DATE(YEAR(A1021),MONTH(A1021),1))</f>
        <v/>
      </c>
    </row>
    <row r="1022" customFormat="false" ht="15" hidden="false" customHeight="false" outlineLevel="0" collapsed="false">
      <c r="A1022" s="21"/>
      <c r="B1022" s="4"/>
      <c r="C1022" s="22"/>
      <c r="D1022" s="5" t="str">
        <f aca="false">IF(B1022="","",IFERROR(INDEX(DE_PARA!$B$6:$B$205,MATCH(B1022,DE_PARA!$A$6:$A$205,0)),"SEM DE-PARA"))</f>
        <v/>
      </c>
      <c r="E1022" s="23" t="str">
        <f aca="false">IF(A1022="","",DATE(YEAR(A1022),MONTH(A1022),1))</f>
        <v/>
      </c>
    </row>
    <row r="1023" customFormat="false" ht="15" hidden="false" customHeight="false" outlineLevel="0" collapsed="false">
      <c r="A1023" s="21"/>
      <c r="B1023" s="4"/>
      <c r="C1023" s="22"/>
      <c r="D1023" s="5" t="str">
        <f aca="false">IF(B1023="","",IFERROR(INDEX(DE_PARA!$B$6:$B$205,MATCH(B1023,DE_PARA!$A$6:$A$205,0)),"SEM DE-PARA"))</f>
        <v/>
      </c>
      <c r="E1023" s="23" t="str">
        <f aca="false">IF(A1023="","",DATE(YEAR(A1023),MONTH(A1023),1))</f>
        <v/>
      </c>
    </row>
    <row r="1024" customFormat="false" ht="15" hidden="false" customHeight="false" outlineLevel="0" collapsed="false">
      <c r="A1024" s="21"/>
      <c r="B1024" s="4"/>
      <c r="C1024" s="22"/>
      <c r="D1024" s="5" t="str">
        <f aca="false">IF(B1024="","",IFERROR(INDEX(DE_PARA!$B$6:$B$205,MATCH(B1024,DE_PARA!$A$6:$A$205,0)),"SEM DE-PARA"))</f>
        <v/>
      </c>
      <c r="E1024" s="23" t="str">
        <f aca="false">IF(A1024="","",DATE(YEAR(A1024),MONTH(A1024),1))</f>
        <v/>
      </c>
    </row>
    <row r="1025" customFormat="false" ht="15" hidden="false" customHeight="false" outlineLevel="0" collapsed="false">
      <c r="A1025" s="21"/>
      <c r="B1025" s="4"/>
      <c r="C1025" s="22"/>
      <c r="D1025" s="5" t="str">
        <f aca="false">IF(B1025="","",IFERROR(INDEX(DE_PARA!$B$6:$B$205,MATCH(B1025,DE_PARA!$A$6:$A$205,0)),"SEM DE-PARA"))</f>
        <v/>
      </c>
      <c r="E1025" s="23" t="str">
        <f aca="false">IF(A1025="","",DATE(YEAR(A1025),MONTH(A1025),1))</f>
        <v/>
      </c>
    </row>
    <row r="1026" customFormat="false" ht="15" hidden="false" customHeight="false" outlineLevel="0" collapsed="false">
      <c r="A1026" s="21"/>
      <c r="B1026" s="4"/>
      <c r="C1026" s="22"/>
      <c r="D1026" s="5" t="str">
        <f aca="false">IF(B1026="","",IFERROR(INDEX(DE_PARA!$B$6:$B$205,MATCH(B1026,DE_PARA!$A$6:$A$205,0)),"SEM DE-PARA"))</f>
        <v/>
      </c>
      <c r="E1026" s="23" t="str">
        <f aca="false">IF(A1026="","",DATE(YEAR(A1026),MONTH(A1026),1))</f>
        <v/>
      </c>
    </row>
    <row r="1027" customFormat="false" ht="15" hidden="false" customHeight="false" outlineLevel="0" collapsed="false">
      <c r="A1027" s="21"/>
      <c r="B1027" s="4"/>
      <c r="C1027" s="22"/>
      <c r="D1027" s="5" t="str">
        <f aca="false">IF(B1027="","",IFERROR(INDEX(DE_PARA!$B$6:$B$205,MATCH(B1027,DE_PARA!$A$6:$A$205,0)),"SEM DE-PARA"))</f>
        <v/>
      </c>
      <c r="E1027" s="23" t="str">
        <f aca="false">IF(A1027="","",DATE(YEAR(A1027),MONTH(A1027),1))</f>
        <v/>
      </c>
    </row>
    <row r="1028" customFormat="false" ht="15" hidden="false" customHeight="false" outlineLevel="0" collapsed="false">
      <c r="A1028" s="21"/>
      <c r="B1028" s="4"/>
      <c r="C1028" s="22"/>
      <c r="D1028" s="5" t="str">
        <f aca="false">IF(B1028="","",IFERROR(INDEX(DE_PARA!$B$6:$B$205,MATCH(B1028,DE_PARA!$A$6:$A$205,0)),"SEM DE-PARA"))</f>
        <v/>
      </c>
      <c r="E1028" s="23" t="str">
        <f aca="false">IF(A1028="","",DATE(YEAR(A1028),MONTH(A1028),1))</f>
        <v/>
      </c>
    </row>
    <row r="1029" customFormat="false" ht="15" hidden="false" customHeight="false" outlineLevel="0" collapsed="false">
      <c r="A1029" s="21"/>
      <c r="B1029" s="4"/>
      <c r="C1029" s="22"/>
      <c r="D1029" s="5" t="str">
        <f aca="false">IF(B1029="","",IFERROR(INDEX(DE_PARA!$B$6:$B$205,MATCH(B1029,DE_PARA!$A$6:$A$205,0)),"SEM DE-PARA"))</f>
        <v/>
      </c>
      <c r="E1029" s="23" t="str">
        <f aca="false">IF(A1029="","",DATE(YEAR(A1029),MONTH(A1029),1))</f>
        <v/>
      </c>
    </row>
    <row r="1030" customFormat="false" ht="15" hidden="false" customHeight="false" outlineLevel="0" collapsed="false">
      <c r="A1030" s="21"/>
      <c r="B1030" s="4"/>
      <c r="C1030" s="22"/>
      <c r="D1030" s="5" t="str">
        <f aca="false">IF(B1030="","",IFERROR(INDEX(DE_PARA!$B$6:$B$205,MATCH(B1030,DE_PARA!$A$6:$A$205,0)),"SEM DE-PARA"))</f>
        <v/>
      </c>
      <c r="E1030" s="23" t="str">
        <f aca="false">IF(A1030="","",DATE(YEAR(A1030),MONTH(A1030),1))</f>
        <v/>
      </c>
    </row>
    <row r="1031" customFormat="false" ht="15" hidden="false" customHeight="false" outlineLevel="0" collapsed="false">
      <c r="A1031" s="21"/>
      <c r="B1031" s="4"/>
      <c r="C1031" s="22"/>
      <c r="D1031" s="5" t="str">
        <f aca="false">IF(B1031="","",IFERROR(INDEX(DE_PARA!$B$6:$B$205,MATCH(B1031,DE_PARA!$A$6:$A$205,0)),"SEM DE-PARA"))</f>
        <v/>
      </c>
      <c r="E1031" s="23" t="str">
        <f aca="false">IF(A1031="","",DATE(YEAR(A1031),MONTH(A1031),1))</f>
        <v/>
      </c>
    </row>
    <row r="1032" customFormat="false" ht="15" hidden="false" customHeight="false" outlineLevel="0" collapsed="false">
      <c r="A1032" s="21"/>
      <c r="B1032" s="4"/>
      <c r="C1032" s="22"/>
      <c r="D1032" s="5" t="str">
        <f aca="false">IF(B1032="","",IFERROR(INDEX(DE_PARA!$B$6:$B$205,MATCH(B1032,DE_PARA!$A$6:$A$205,0)),"SEM DE-PARA"))</f>
        <v/>
      </c>
      <c r="E1032" s="23" t="str">
        <f aca="false">IF(A1032="","",DATE(YEAR(A1032),MONTH(A1032),1))</f>
        <v/>
      </c>
    </row>
    <row r="1033" customFormat="false" ht="15" hidden="false" customHeight="false" outlineLevel="0" collapsed="false">
      <c r="A1033" s="21"/>
      <c r="B1033" s="4"/>
      <c r="C1033" s="22"/>
      <c r="D1033" s="5" t="str">
        <f aca="false">IF(B1033="","",IFERROR(INDEX(DE_PARA!$B$6:$B$205,MATCH(B1033,DE_PARA!$A$6:$A$205,0)),"SEM DE-PARA"))</f>
        <v/>
      </c>
      <c r="E1033" s="23" t="str">
        <f aca="false">IF(A1033="","",DATE(YEAR(A1033),MONTH(A1033),1))</f>
        <v/>
      </c>
    </row>
    <row r="1034" customFormat="false" ht="15" hidden="false" customHeight="false" outlineLevel="0" collapsed="false">
      <c r="A1034" s="21"/>
      <c r="B1034" s="4"/>
      <c r="C1034" s="22"/>
      <c r="D1034" s="5" t="str">
        <f aca="false">IF(B1034="","",IFERROR(INDEX(DE_PARA!$B$6:$B$205,MATCH(B1034,DE_PARA!$A$6:$A$205,0)),"SEM DE-PARA"))</f>
        <v/>
      </c>
      <c r="E1034" s="23" t="str">
        <f aca="false">IF(A1034="","",DATE(YEAR(A1034),MONTH(A1034),1))</f>
        <v/>
      </c>
    </row>
    <row r="1035" customFormat="false" ht="15" hidden="false" customHeight="false" outlineLevel="0" collapsed="false">
      <c r="A1035" s="21"/>
      <c r="B1035" s="4"/>
      <c r="C1035" s="22"/>
      <c r="D1035" s="5" t="str">
        <f aca="false">IF(B1035="","",IFERROR(INDEX(DE_PARA!$B$6:$B$205,MATCH(B1035,DE_PARA!$A$6:$A$205,0)),"SEM DE-PARA"))</f>
        <v/>
      </c>
      <c r="E1035" s="23" t="str">
        <f aca="false">IF(A1035="","",DATE(YEAR(A1035),MONTH(A1035),1))</f>
        <v/>
      </c>
    </row>
    <row r="1036" customFormat="false" ht="15" hidden="false" customHeight="false" outlineLevel="0" collapsed="false">
      <c r="A1036" s="21"/>
      <c r="B1036" s="4"/>
      <c r="C1036" s="22"/>
      <c r="D1036" s="5" t="str">
        <f aca="false">IF(B1036="","",IFERROR(INDEX(DE_PARA!$B$6:$B$205,MATCH(B1036,DE_PARA!$A$6:$A$205,0)),"SEM DE-PARA"))</f>
        <v/>
      </c>
      <c r="E1036" s="23" t="str">
        <f aca="false">IF(A1036="","",DATE(YEAR(A1036),MONTH(A1036),1))</f>
        <v/>
      </c>
    </row>
    <row r="1037" customFormat="false" ht="15" hidden="false" customHeight="false" outlineLevel="0" collapsed="false">
      <c r="A1037" s="21"/>
      <c r="B1037" s="4"/>
      <c r="C1037" s="22"/>
      <c r="D1037" s="5" t="str">
        <f aca="false">IF(B1037="","",IFERROR(INDEX(DE_PARA!$B$6:$B$205,MATCH(B1037,DE_PARA!$A$6:$A$205,0)),"SEM DE-PARA"))</f>
        <v/>
      </c>
      <c r="E1037" s="23" t="str">
        <f aca="false">IF(A1037="","",DATE(YEAR(A1037),MONTH(A1037),1))</f>
        <v/>
      </c>
    </row>
    <row r="1038" customFormat="false" ht="15" hidden="false" customHeight="false" outlineLevel="0" collapsed="false">
      <c r="A1038" s="21"/>
      <c r="B1038" s="4"/>
      <c r="C1038" s="22"/>
      <c r="D1038" s="5" t="str">
        <f aca="false">IF(B1038="","",IFERROR(INDEX(DE_PARA!$B$6:$B$205,MATCH(B1038,DE_PARA!$A$6:$A$205,0)),"SEM DE-PARA"))</f>
        <v/>
      </c>
      <c r="E1038" s="23" t="str">
        <f aca="false">IF(A1038="","",DATE(YEAR(A1038),MONTH(A1038),1))</f>
        <v/>
      </c>
    </row>
    <row r="1039" customFormat="false" ht="15" hidden="false" customHeight="false" outlineLevel="0" collapsed="false">
      <c r="A1039" s="21"/>
      <c r="B1039" s="4"/>
      <c r="C1039" s="22"/>
      <c r="D1039" s="5" t="str">
        <f aca="false">IF(B1039="","",IFERROR(INDEX(DE_PARA!$B$6:$B$205,MATCH(B1039,DE_PARA!$A$6:$A$205,0)),"SEM DE-PARA"))</f>
        <v/>
      </c>
      <c r="E1039" s="23" t="str">
        <f aca="false">IF(A1039="","",DATE(YEAR(A1039),MONTH(A1039),1))</f>
        <v/>
      </c>
    </row>
    <row r="1040" customFormat="false" ht="15" hidden="false" customHeight="false" outlineLevel="0" collapsed="false">
      <c r="A1040" s="21"/>
      <c r="B1040" s="4"/>
      <c r="C1040" s="22"/>
      <c r="D1040" s="5" t="str">
        <f aca="false">IF(B1040="","",IFERROR(INDEX(DE_PARA!$B$6:$B$205,MATCH(B1040,DE_PARA!$A$6:$A$205,0)),"SEM DE-PARA"))</f>
        <v/>
      </c>
      <c r="E1040" s="23" t="str">
        <f aca="false">IF(A1040="","",DATE(YEAR(A1040),MONTH(A1040),1))</f>
        <v/>
      </c>
    </row>
    <row r="1041" customFormat="false" ht="15" hidden="false" customHeight="false" outlineLevel="0" collapsed="false">
      <c r="A1041" s="21"/>
      <c r="B1041" s="4"/>
      <c r="C1041" s="22"/>
      <c r="D1041" s="5" t="str">
        <f aca="false">IF(B1041="","",IFERROR(INDEX(DE_PARA!$B$6:$B$205,MATCH(B1041,DE_PARA!$A$6:$A$205,0)),"SEM DE-PARA"))</f>
        <v/>
      </c>
      <c r="E1041" s="23" t="str">
        <f aca="false">IF(A1041="","",DATE(YEAR(A1041),MONTH(A1041),1))</f>
        <v/>
      </c>
    </row>
    <row r="1042" customFormat="false" ht="15" hidden="false" customHeight="false" outlineLevel="0" collapsed="false">
      <c r="A1042" s="21"/>
      <c r="B1042" s="4"/>
      <c r="C1042" s="22"/>
      <c r="D1042" s="5" t="str">
        <f aca="false">IF(B1042="","",IFERROR(INDEX(DE_PARA!$B$6:$B$205,MATCH(B1042,DE_PARA!$A$6:$A$205,0)),"SEM DE-PARA"))</f>
        <v/>
      </c>
      <c r="E1042" s="23" t="str">
        <f aca="false">IF(A1042="","",DATE(YEAR(A1042),MONTH(A1042),1))</f>
        <v/>
      </c>
    </row>
    <row r="1043" customFormat="false" ht="15" hidden="false" customHeight="false" outlineLevel="0" collapsed="false">
      <c r="A1043" s="21"/>
      <c r="B1043" s="4"/>
      <c r="C1043" s="22"/>
      <c r="D1043" s="5" t="str">
        <f aca="false">IF(B1043="","",IFERROR(INDEX(DE_PARA!$B$6:$B$205,MATCH(B1043,DE_PARA!$A$6:$A$205,0)),"SEM DE-PARA"))</f>
        <v/>
      </c>
      <c r="E1043" s="23" t="str">
        <f aca="false">IF(A1043="","",DATE(YEAR(A1043),MONTH(A1043),1))</f>
        <v/>
      </c>
    </row>
    <row r="1044" customFormat="false" ht="15" hidden="false" customHeight="false" outlineLevel="0" collapsed="false">
      <c r="A1044" s="21"/>
      <c r="B1044" s="4"/>
      <c r="C1044" s="22"/>
      <c r="D1044" s="5" t="str">
        <f aca="false">IF(B1044="","",IFERROR(INDEX(DE_PARA!$B$6:$B$205,MATCH(B1044,DE_PARA!$A$6:$A$205,0)),"SEM DE-PARA"))</f>
        <v/>
      </c>
      <c r="E1044" s="23" t="str">
        <f aca="false">IF(A1044="","",DATE(YEAR(A1044),MONTH(A1044),1))</f>
        <v/>
      </c>
    </row>
    <row r="1045" customFormat="false" ht="15" hidden="false" customHeight="false" outlineLevel="0" collapsed="false">
      <c r="A1045" s="21"/>
      <c r="B1045" s="4"/>
      <c r="C1045" s="22"/>
      <c r="D1045" s="5" t="str">
        <f aca="false">IF(B1045="","",IFERROR(INDEX(DE_PARA!$B$6:$B$205,MATCH(B1045,DE_PARA!$A$6:$A$205,0)),"SEM DE-PARA"))</f>
        <v/>
      </c>
      <c r="E1045" s="23" t="str">
        <f aca="false">IF(A1045="","",DATE(YEAR(A1045),MONTH(A1045),1))</f>
        <v/>
      </c>
    </row>
    <row r="1046" customFormat="false" ht="15" hidden="false" customHeight="false" outlineLevel="0" collapsed="false">
      <c r="A1046" s="21"/>
      <c r="B1046" s="4"/>
      <c r="C1046" s="22"/>
      <c r="D1046" s="5" t="str">
        <f aca="false">IF(B1046="","",IFERROR(INDEX(DE_PARA!$B$6:$B$205,MATCH(B1046,DE_PARA!$A$6:$A$205,0)),"SEM DE-PARA"))</f>
        <v/>
      </c>
      <c r="E1046" s="23" t="str">
        <f aca="false">IF(A1046="","",DATE(YEAR(A1046),MONTH(A1046),1))</f>
        <v/>
      </c>
    </row>
    <row r="1047" customFormat="false" ht="15" hidden="false" customHeight="false" outlineLevel="0" collapsed="false">
      <c r="A1047" s="21"/>
      <c r="B1047" s="4"/>
      <c r="C1047" s="22"/>
      <c r="D1047" s="5" t="str">
        <f aca="false">IF(B1047="","",IFERROR(INDEX(DE_PARA!$B$6:$B$205,MATCH(B1047,DE_PARA!$A$6:$A$205,0)),"SEM DE-PARA"))</f>
        <v/>
      </c>
      <c r="E1047" s="23" t="str">
        <f aca="false">IF(A1047="","",DATE(YEAR(A1047),MONTH(A1047),1))</f>
        <v/>
      </c>
    </row>
    <row r="1048" customFormat="false" ht="15" hidden="false" customHeight="false" outlineLevel="0" collapsed="false">
      <c r="A1048" s="21"/>
      <c r="B1048" s="4"/>
      <c r="C1048" s="22"/>
      <c r="D1048" s="5" t="str">
        <f aca="false">IF(B1048="","",IFERROR(INDEX(DE_PARA!$B$6:$B$205,MATCH(B1048,DE_PARA!$A$6:$A$205,0)),"SEM DE-PARA"))</f>
        <v/>
      </c>
      <c r="E1048" s="23" t="str">
        <f aca="false">IF(A1048="","",DATE(YEAR(A1048),MONTH(A1048),1))</f>
        <v/>
      </c>
    </row>
    <row r="1049" customFormat="false" ht="15" hidden="false" customHeight="false" outlineLevel="0" collapsed="false">
      <c r="A1049" s="21"/>
      <c r="B1049" s="4"/>
      <c r="C1049" s="22"/>
      <c r="D1049" s="5" t="str">
        <f aca="false">IF(B1049="","",IFERROR(INDEX(DE_PARA!$B$6:$B$205,MATCH(B1049,DE_PARA!$A$6:$A$205,0)),"SEM DE-PARA"))</f>
        <v/>
      </c>
      <c r="E1049" s="23" t="str">
        <f aca="false">IF(A1049="","",DATE(YEAR(A1049),MONTH(A1049),1))</f>
        <v/>
      </c>
    </row>
    <row r="1050" customFormat="false" ht="15" hidden="false" customHeight="false" outlineLevel="0" collapsed="false">
      <c r="A1050" s="21"/>
      <c r="B1050" s="4"/>
      <c r="C1050" s="22"/>
      <c r="D1050" s="5" t="str">
        <f aca="false">IF(B1050="","",IFERROR(INDEX(DE_PARA!$B$6:$B$205,MATCH(B1050,DE_PARA!$A$6:$A$205,0)),"SEM DE-PARA"))</f>
        <v/>
      </c>
      <c r="E1050" s="23" t="str">
        <f aca="false">IF(A1050="","",DATE(YEAR(A1050),MONTH(A1050),1))</f>
        <v/>
      </c>
    </row>
    <row r="1051" customFormat="false" ht="15" hidden="false" customHeight="false" outlineLevel="0" collapsed="false">
      <c r="A1051" s="21"/>
      <c r="B1051" s="4"/>
      <c r="C1051" s="22"/>
      <c r="D1051" s="5" t="str">
        <f aca="false">IF(B1051="","",IFERROR(INDEX(DE_PARA!$B$6:$B$205,MATCH(B1051,DE_PARA!$A$6:$A$205,0)),"SEM DE-PARA"))</f>
        <v/>
      </c>
      <c r="E1051" s="23" t="str">
        <f aca="false">IF(A1051="","",DATE(YEAR(A1051),MONTH(A1051),1))</f>
        <v/>
      </c>
    </row>
    <row r="1052" customFormat="false" ht="15" hidden="false" customHeight="false" outlineLevel="0" collapsed="false">
      <c r="A1052" s="21"/>
      <c r="B1052" s="4"/>
      <c r="C1052" s="22"/>
      <c r="D1052" s="5" t="str">
        <f aca="false">IF(B1052="","",IFERROR(INDEX(DE_PARA!$B$6:$B$205,MATCH(B1052,DE_PARA!$A$6:$A$205,0)),"SEM DE-PARA"))</f>
        <v/>
      </c>
      <c r="E1052" s="23" t="str">
        <f aca="false">IF(A1052="","",DATE(YEAR(A1052),MONTH(A1052),1))</f>
        <v/>
      </c>
    </row>
    <row r="1053" customFormat="false" ht="15" hidden="false" customHeight="false" outlineLevel="0" collapsed="false">
      <c r="A1053" s="21"/>
      <c r="B1053" s="4"/>
      <c r="C1053" s="22"/>
      <c r="D1053" s="5" t="str">
        <f aca="false">IF(B1053="","",IFERROR(INDEX(DE_PARA!$B$6:$B$205,MATCH(B1053,DE_PARA!$A$6:$A$205,0)),"SEM DE-PARA"))</f>
        <v/>
      </c>
      <c r="E1053" s="23" t="str">
        <f aca="false">IF(A1053="","",DATE(YEAR(A1053),MONTH(A1053),1))</f>
        <v/>
      </c>
    </row>
    <row r="1054" customFormat="false" ht="15" hidden="false" customHeight="false" outlineLevel="0" collapsed="false">
      <c r="A1054" s="21"/>
      <c r="B1054" s="4"/>
      <c r="C1054" s="22"/>
      <c r="D1054" s="5" t="str">
        <f aca="false">IF(B1054="","",IFERROR(INDEX(DE_PARA!$B$6:$B$205,MATCH(B1054,DE_PARA!$A$6:$A$205,0)),"SEM DE-PARA"))</f>
        <v/>
      </c>
      <c r="E1054" s="23" t="str">
        <f aca="false">IF(A1054="","",DATE(YEAR(A1054),MONTH(A1054),1))</f>
        <v/>
      </c>
    </row>
    <row r="1055" customFormat="false" ht="15" hidden="false" customHeight="false" outlineLevel="0" collapsed="false">
      <c r="A1055" s="21"/>
      <c r="B1055" s="4"/>
      <c r="C1055" s="22"/>
      <c r="D1055" s="5" t="str">
        <f aca="false">IF(B1055="","",IFERROR(INDEX(DE_PARA!$B$6:$B$205,MATCH(B1055,DE_PARA!$A$6:$A$205,0)),"SEM DE-PARA"))</f>
        <v/>
      </c>
      <c r="E1055" s="23" t="str">
        <f aca="false">IF(A1055="","",DATE(YEAR(A1055),MONTH(A1055),1))</f>
        <v/>
      </c>
    </row>
    <row r="1056" customFormat="false" ht="15" hidden="false" customHeight="false" outlineLevel="0" collapsed="false">
      <c r="A1056" s="21"/>
      <c r="B1056" s="4"/>
      <c r="C1056" s="22"/>
      <c r="D1056" s="5" t="str">
        <f aca="false">IF(B1056="","",IFERROR(INDEX(DE_PARA!$B$6:$B$205,MATCH(B1056,DE_PARA!$A$6:$A$205,0)),"SEM DE-PARA"))</f>
        <v/>
      </c>
      <c r="E1056" s="23" t="str">
        <f aca="false">IF(A1056="","",DATE(YEAR(A1056),MONTH(A1056),1))</f>
        <v/>
      </c>
    </row>
    <row r="1057" customFormat="false" ht="15" hidden="false" customHeight="false" outlineLevel="0" collapsed="false">
      <c r="A1057" s="21"/>
      <c r="B1057" s="4"/>
      <c r="C1057" s="22"/>
      <c r="D1057" s="5" t="str">
        <f aca="false">IF(B1057="","",IFERROR(INDEX(DE_PARA!$B$6:$B$205,MATCH(B1057,DE_PARA!$A$6:$A$205,0)),"SEM DE-PARA"))</f>
        <v/>
      </c>
      <c r="E1057" s="23" t="str">
        <f aca="false">IF(A1057="","",DATE(YEAR(A1057),MONTH(A1057),1))</f>
        <v/>
      </c>
    </row>
    <row r="1058" customFormat="false" ht="15" hidden="false" customHeight="false" outlineLevel="0" collapsed="false">
      <c r="A1058" s="21"/>
      <c r="B1058" s="4"/>
      <c r="C1058" s="22"/>
      <c r="D1058" s="5" t="str">
        <f aca="false">IF(B1058="","",IFERROR(INDEX(DE_PARA!$B$6:$B$205,MATCH(B1058,DE_PARA!$A$6:$A$205,0)),"SEM DE-PARA"))</f>
        <v/>
      </c>
      <c r="E1058" s="23" t="str">
        <f aca="false">IF(A1058="","",DATE(YEAR(A1058),MONTH(A1058),1))</f>
        <v/>
      </c>
    </row>
    <row r="1059" customFormat="false" ht="15" hidden="false" customHeight="false" outlineLevel="0" collapsed="false">
      <c r="A1059" s="21"/>
      <c r="B1059" s="4"/>
      <c r="C1059" s="22"/>
      <c r="D1059" s="5" t="str">
        <f aca="false">IF(B1059="","",IFERROR(INDEX(DE_PARA!$B$6:$B$205,MATCH(B1059,DE_PARA!$A$6:$A$205,0)),"SEM DE-PARA"))</f>
        <v/>
      </c>
      <c r="E1059" s="23" t="str">
        <f aca="false">IF(A1059="","",DATE(YEAR(A1059),MONTH(A1059),1))</f>
        <v/>
      </c>
    </row>
    <row r="1060" customFormat="false" ht="15" hidden="false" customHeight="false" outlineLevel="0" collapsed="false">
      <c r="A1060" s="21"/>
      <c r="B1060" s="4"/>
      <c r="C1060" s="22"/>
      <c r="D1060" s="5" t="str">
        <f aca="false">IF(B1060="","",IFERROR(INDEX(DE_PARA!$B$6:$B$205,MATCH(B1060,DE_PARA!$A$6:$A$205,0)),"SEM DE-PARA"))</f>
        <v/>
      </c>
      <c r="E1060" s="23" t="str">
        <f aca="false">IF(A1060="","",DATE(YEAR(A1060),MONTH(A1060),1))</f>
        <v/>
      </c>
    </row>
    <row r="1061" customFormat="false" ht="15" hidden="false" customHeight="false" outlineLevel="0" collapsed="false">
      <c r="A1061" s="21"/>
      <c r="B1061" s="4"/>
      <c r="C1061" s="22"/>
      <c r="D1061" s="5" t="str">
        <f aca="false">IF(B1061="","",IFERROR(INDEX(DE_PARA!$B$6:$B$205,MATCH(B1061,DE_PARA!$A$6:$A$205,0)),"SEM DE-PARA"))</f>
        <v/>
      </c>
      <c r="E1061" s="23" t="str">
        <f aca="false">IF(A1061="","",DATE(YEAR(A1061),MONTH(A1061),1))</f>
        <v/>
      </c>
    </row>
    <row r="1062" customFormat="false" ht="15" hidden="false" customHeight="false" outlineLevel="0" collapsed="false">
      <c r="A1062" s="21"/>
      <c r="B1062" s="4"/>
      <c r="C1062" s="22"/>
      <c r="D1062" s="5" t="str">
        <f aca="false">IF(B1062="","",IFERROR(INDEX(DE_PARA!$B$6:$B$205,MATCH(B1062,DE_PARA!$A$6:$A$205,0)),"SEM DE-PARA"))</f>
        <v/>
      </c>
      <c r="E1062" s="23" t="str">
        <f aca="false">IF(A1062="","",DATE(YEAR(A1062),MONTH(A1062),1))</f>
        <v/>
      </c>
    </row>
    <row r="1063" customFormat="false" ht="15" hidden="false" customHeight="false" outlineLevel="0" collapsed="false">
      <c r="A1063" s="21"/>
      <c r="B1063" s="4"/>
      <c r="C1063" s="22"/>
      <c r="D1063" s="5" t="str">
        <f aca="false">IF(B1063="","",IFERROR(INDEX(DE_PARA!$B$6:$B$205,MATCH(B1063,DE_PARA!$A$6:$A$205,0)),"SEM DE-PARA"))</f>
        <v/>
      </c>
      <c r="E1063" s="23" t="str">
        <f aca="false">IF(A1063="","",DATE(YEAR(A1063),MONTH(A1063),1))</f>
        <v/>
      </c>
    </row>
    <row r="1064" customFormat="false" ht="15" hidden="false" customHeight="false" outlineLevel="0" collapsed="false">
      <c r="A1064" s="21"/>
      <c r="B1064" s="4"/>
      <c r="C1064" s="22"/>
      <c r="D1064" s="5" t="str">
        <f aca="false">IF(B1064="","",IFERROR(INDEX(DE_PARA!$B$6:$B$205,MATCH(B1064,DE_PARA!$A$6:$A$205,0)),"SEM DE-PARA"))</f>
        <v/>
      </c>
      <c r="E1064" s="23" t="str">
        <f aca="false">IF(A1064="","",DATE(YEAR(A1064),MONTH(A1064),1))</f>
        <v/>
      </c>
    </row>
    <row r="1065" customFormat="false" ht="15" hidden="false" customHeight="false" outlineLevel="0" collapsed="false">
      <c r="A1065" s="21"/>
      <c r="B1065" s="4"/>
      <c r="C1065" s="22"/>
      <c r="D1065" s="5" t="str">
        <f aca="false">IF(B1065="","",IFERROR(INDEX(DE_PARA!$B$6:$B$205,MATCH(B1065,DE_PARA!$A$6:$A$205,0)),"SEM DE-PARA"))</f>
        <v/>
      </c>
      <c r="E1065" s="23" t="str">
        <f aca="false">IF(A1065="","",DATE(YEAR(A1065),MONTH(A1065),1))</f>
        <v/>
      </c>
    </row>
    <row r="1066" customFormat="false" ht="15" hidden="false" customHeight="false" outlineLevel="0" collapsed="false">
      <c r="A1066" s="21"/>
      <c r="B1066" s="4"/>
      <c r="C1066" s="22"/>
      <c r="D1066" s="5" t="str">
        <f aca="false">IF(B1066="","",IFERROR(INDEX(DE_PARA!$B$6:$B$205,MATCH(B1066,DE_PARA!$A$6:$A$205,0)),"SEM DE-PARA"))</f>
        <v/>
      </c>
      <c r="E1066" s="23" t="str">
        <f aca="false">IF(A1066="","",DATE(YEAR(A1066),MONTH(A1066),1))</f>
        <v/>
      </c>
    </row>
    <row r="1067" customFormat="false" ht="15" hidden="false" customHeight="false" outlineLevel="0" collapsed="false">
      <c r="A1067" s="21"/>
      <c r="B1067" s="4"/>
      <c r="C1067" s="22"/>
      <c r="D1067" s="5" t="str">
        <f aca="false">IF(B1067="","",IFERROR(INDEX(DE_PARA!$B$6:$B$205,MATCH(B1067,DE_PARA!$A$6:$A$205,0)),"SEM DE-PARA"))</f>
        <v/>
      </c>
      <c r="E1067" s="23" t="str">
        <f aca="false">IF(A1067="","",DATE(YEAR(A1067),MONTH(A1067),1))</f>
        <v/>
      </c>
    </row>
    <row r="1068" customFormat="false" ht="15" hidden="false" customHeight="false" outlineLevel="0" collapsed="false">
      <c r="A1068" s="21"/>
      <c r="B1068" s="4"/>
      <c r="C1068" s="22"/>
      <c r="D1068" s="5" t="str">
        <f aca="false">IF(B1068="","",IFERROR(INDEX(DE_PARA!$B$6:$B$205,MATCH(B1068,DE_PARA!$A$6:$A$205,0)),"SEM DE-PARA"))</f>
        <v/>
      </c>
      <c r="E1068" s="23" t="str">
        <f aca="false">IF(A1068="","",DATE(YEAR(A1068),MONTH(A1068),1))</f>
        <v/>
      </c>
    </row>
    <row r="1069" customFormat="false" ht="15" hidden="false" customHeight="false" outlineLevel="0" collapsed="false">
      <c r="A1069" s="21"/>
      <c r="B1069" s="4"/>
      <c r="C1069" s="22"/>
      <c r="D1069" s="5" t="str">
        <f aca="false">IF(B1069="","",IFERROR(INDEX(DE_PARA!$B$6:$B$205,MATCH(B1069,DE_PARA!$A$6:$A$205,0)),"SEM DE-PARA"))</f>
        <v/>
      </c>
      <c r="E1069" s="23" t="str">
        <f aca="false">IF(A1069="","",DATE(YEAR(A1069),MONTH(A1069),1))</f>
        <v/>
      </c>
    </row>
    <row r="1070" customFormat="false" ht="15" hidden="false" customHeight="false" outlineLevel="0" collapsed="false">
      <c r="A1070" s="21"/>
      <c r="B1070" s="4"/>
      <c r="C1070" s="22"/>
      <c r="D1070" s="5" t="str">
        <f aca="false">IF(B1070="","",IFERROR(INDEX(DE_PARA!$B$6:$B$205,MATCH(B1070,DE_PARA!$A$6:$A$205,0)),"SEM DE-PARA"))</f>
        <v/>
      </c>
      <c r="E1070" s="23" t="str">
        <f aca="false">IF(A1070="","",DATE(YEAR(A1070),MONTH(A1070),1))</f>
        <v/>
      </c>
    </row>
    <row r="1071" customFormat="false" ht="15" hidden="false" customHeight="false" outlineLevel="0" collapsed="false">
      <c r="A1071" s="21"/>
      <c r="B1071" s="4"/>
      <c r="C1071" s="22"/>
      <c r="D1071" s="5" t="str">
        <f aca="false">IF(B1071="","",IFERROR(INDEX(DE_PARA!$B$6:$B$205,MATCH(B1071,DE_PARA!$A$6:$A$205,0)),"SEM DE-PARA"))</f>
        <v/>
      </c>
      <c r="E1071" s="23" t="str">
        <f aca="false">IF(A1071="","",DATE(YEAR(A1071),MONTH(A1071),1))</f>
        <v/>
      </c>
    </row>
    <row r="1072" customFormat="false" ht="15" hidden="false" customHeight="false" outlineLevel="0" collapsed="false">
      <c r="A1072" s="21"/>
      <c r="B1072" s="4"/>
      <c r="C1072" s="22"/>
      <c r="D1072" s="5" t="str">
        <f aca="false">IF(B1072="","",IFERROR(INDEX(DE_PARA!$B$6:$B$205,MATCH(B1072,DE_PARA!$A$6:$A$205,0)),"SEM DE-PARA"))</f>
        <v/>
      </c>
      <c r="E1072" s="23" t="str">
        <f aca="false">IF(A1072="","",DATE(YEAR(A1072),MONTH(A1072),1))</f>
        <v/>
      </c>
    </row>
    <row r="1073" customFormat="false" ht="15" hidden="false" customHeight="false" outlineLevel="0" collapsed="false">
      <c r="A1073" s="21"/>
      <c r="B1073" s="4"/>
      <c r="C1073" s="22"/>
      <c r="D1073" s="5" t="str">
        <f aca="false">IF(B1073="","",IFERROR(INDEX(DE_PARA!$B$6:$B$205,MATCH(B1073,DE_PARA!$A$6:$A$205,0)),"SEM DE-PARA"))</f>
        <v/>
      </c>
      <c r="E1073" s="23" t="str">
        <f aca="false">IF(A1073="","",DATE(YEAR(A1073),MONTH(A1073),1))</f>
        <v/>
      </c>
    </row>
    <row r="1074" customFormat="false" ht="15" hidden="false" customHeight="false" outlineLevel="0" collapsed="false">
      <c r="A1074" s="21"/>
      <c r="B1074" s="4"/>
      <c r="C1074" s="22"/>
      <c r="D1074" s="5" t="str">
        <f aca="false">IF(B1074="","",IFERROR(INDEX(DE_PARA!$B$6:$B$205,MATCH(B1074,DE_PARA!$A$6:$A$205,0)),"SEM DE-PARA"))</f>
        <v/>
      </c>
      <c r="E1074" s="23" t="str">
        <f aca="false">IF(A1074="","",DATE(YEAR(A1074),MONTH(A1074),1))</f>
        <v/>
      </c>
    </row>
    <row r="1075" customFormat="false" ht="15" hidden="false" customHeight="false" outlineLevel="0" collapsed="false">
      <c r="A1075" s="21"/>
      <c r="B1075" s="4"/>
      <c r="C1075" s="22"/>
      <c r="D1075" s="5" t="str">
        <f aca="false">IF(B1075="","",IFERROR(INDEX(DE_PARA!$B$6:$B$205,MATCH(B1075,DE_PARA!$A$6:$A$205,0)),"SEM DE-PARA"))</f>
        <v/>
      </c>
      <c r="E1075" s="23" t="str">
        <f aca="false">IF(A1075="","",DATE(YEAR(A1075),MONTH(A1075),1))</f>
        <v/>
      </c>
    </row>
    <row r="1076" customFormat="false" ht="15" hidden="false" customHeight="false" outlineLevel="0" collapsed="false">
      <c r="A1076" s="21"/>
      <c r="B1076" s="4"/>
      <c r="C1076" s="22"/>
      <c r="D1076" s="5" t="str">
        <f aca="false">IF(B1076="","",IFERROR(INDEX(DE_PARA!$B$6:$B$205,MATCH(B1076,DE_PARA!$A$6:$A$205,0)),"SEM DE-PARA"))</f>
        <v/>
      </c>
      <c r="E1076" s="23" t="str">
        <f aca="false">IF(A1076="","",DATE(YEAR(A1076),MONTH(A1076),1))</f>
        <v/>
      </c>
    </row>
    <row r="1077" customFormat="false" ht="15" hidden="false" customHeight="false" outlineLevel="0" collapsed="false">
      <c r="A1077" s="21"/>
      <c r="B1077" s="4"/>
      <c r="C1077" s="22"/>
      <c r="D1077" s="5" t="str">
        <f aca="false">IF(B1077="","",IFERROR(INDEX(DE_PARA!$B$6:$B$205,MATCH(B1077,DE_PARA!$A$6:$A$205,0)),"SEM DE-PARA"))</f>
        <v/>
      </c>
      <c r="E1077" s="23" t="str">
        <f aca="false">IF(A1077="","",DATE(YEAR(A1077),MONTH(A1077),1))</f>
        <v/>
      </c>
    </row>
    <row r="1078" customFormat="false" ht="15" hidden="false" customHeight="false" outlineLevel="0" collapsed="false">
      <c r="A1078" s="21"/>
      <c r="B1078" s="4"/>
      <c r="C1078" s="22"/>
      <c r="D1078" s="5" t="str">
        <f aca="false">IF(B1078="","",IFERROR(INDEX(DE_PARA!$B$6:$B$205,MATCH(B1078,DE_PARA!$A$6:$A$205,0)),"SEM DE-PARA"))</f>
        <v/>
      </c>
      <c r="E1078" s="23" t="str">
        <f aca="false">IF(A1078="","",DATE(YEAR(A1078),MONTH(A1078),1))</f>
        <v/>
      </c>
    </row>
    <row r="1079" customFormat="false" ht="15" hidden="false" customHeight="false" outlineLevel="0" collapsed="false">
      <c r="A1079" s="21"/>
      <c r="B1079" s="4"/>
      <c r="C1079" s="22"/>
      <c r="D1079" s="5" t="str">
        <f aca="false">IF(B1079="","",IFERROR(INDEX(DE_PARA!$B$6:$B$205,MATCH(B1079,DE_PARA!$A$6:$A$205,0)),"SEM DE-PARA"))</f>
        <v/>
      </c>
      <c r="E1079" s="23" t="str">
        <f aca="false">IF(A1079="","",DATE(YEAR(A1079),MONTH(A1079),1))</f>
        <v/>
      </c>
    </row>
    <row r="1080" customFormat="false" ht="15" hidden="false" customHeight="false" outlineLevel="0" collapsed="false">
      <c r="A1080" s="21"/>
      <c r="B1080" s="4"/>
      <c r="C1080" s="22"/>
      <c r="D1080" s="5" t="str">
        <f aca="false">IF(B1080="","",IFERROR(INDEX(DE_PARA!$B$6:$B$205,MATCH(B1080,DE_PARA!$A$6:$A$205,0)),"SEM DE-PARA"))</f>
        <v/>
      </c>
      <c r="E1080" s="23" t="str">
        <f aca="false">IF(A1080="","",DATE(YEAR(A1080),MONTH(A1080),1))</f>
        <v/>
      </c>
    </row>
    <row r="1081" customFormat="false" ht="15" hidden="false" customHeight="false" outlineLevel="0" collapsed="false">
      <c r="A1081" s="21"/>
      <c r="B1081" s="4"/>
      <c r="C1081" s="22"/>
      <c r="D1081" s="5" t="str">
        <f aca="false">IF(B1081="","",IFERROR(INDEX(DE_PARA!$B$6:$B$205,MATCH(B1081,DE_PARA!$A$6:$A$205,0)),"SEM DE-PARA"))</f>
        <v/>
      </c>
      <c r="E1081" s="23" t="str">
        <f aca="false">IF(A1081="","",DATE(YEAR(A1081),MONTH(A1081),1))</f>
        <v/>
      </c>
    </row>
    <row r="1082" customFormat="false" ht="15" hidden="false" customHeight="false" outlineLevel="0" collapsed="false">
      <c r="A1082" s="21"/>
      <c r="B1082" s="4"/>
      <c r="C1082" s="22"/>
      <c r="D1082" s="5" t="str">
        <f aca="false">IF(B1082="","",IFERROR(INDEX(DE_PARA!$B$6:$B$205,MATCH(B1082,DE_PARA!$A$6:$A$205,0)),"SEM DE-PARA"))</f>
        <v/>
      </c>
      <c r="E1082" s="23" t="str">
        <f aca="false">IF(A1082="","",DATE(YEAR(A1082),MONTH(A1082),1))</f>
        <v/>
      </c>
    </row>
    <row r="1083" customFormat="false" ht="15" hidden="false" customHeight="false" outlineLevel="0" collapsed="false">
      <c r="A1083" s="21"/>
      <c r="B1083" s="4"/>
      <c r="C1083" s="22"/>
      <c r="D1083" s="5" t="str">
        <f aca="false">IF(B1083="","",IFERROR(INDEX(DE_PARA!$B$6:$B$205,MATCH(B1083,DE_PARA!$A$6:$A$205,0)),"SEM DE-PARA"))</f>
        <v/>
      </c>
      <c r="E1083" s="23" t="str">
        <f aca="false">IF(A1083="","",DATE(YEAR(A1083),MONTH(A1083),1))</f>
        <v/>
      </c>
    </row>
    <row r="1084" customFormat="false" ht="15" hidden="false" customHeight="false" outlineLevel="0" collapsed="false">
      <c r="A1084" s="21"/>
      <c r="B1084" s="4"/>
      <c r="C1084" s="22"/>
      <c r="D1084" s="5" t="str">
        <f aca="false">IF(B1084="","",IFERROR(INDEX(DE_PARA!$B$6:$B$205,MATCH(B1084,DE_PARA!$A$6:$A$205,0)),"SEM DE-PARA"))</f>
        <v/>
      </c>
      <c r="E1084" s="23" t="str">
        <f aca="false">IF(A1084="","",DATE(YEAR(A1084),MONTH(A1084),1))</f>
        <v/>
      </c>
    </row>
    <row r="1085" customFormat="false" ht="15" hidden="false" customHeight="false" outlineLevel="0" collapsed="false">
      <c r="A1085" s="21"/>
      <c r="B1085" s="4"/>
      <c r="C1085" s="22"/>
      <c r="D1085" s="5" t="str">
        <f aca="false">IF(B1085="","",IFERROR(INDEX(DE_PARA!$B$6:$B$205,MATCH(B1085,DE_PARA!$A$6:$A$205,0)),"SEM DE-PARA"))</f>
        <v/>
      </c>
      <c r="E1085" s="23" t="str">
        <f aca="false">IF(A1085="","",DATE(YEAR(A1085),MONTH(A1085),1))</f>
        <v/>
      </c>
    </row>
    <row r="1086" customFormat="false" ht="15" hidden="false" customHeight="false" outlineLevel="0" collapsed="false">
      <c r="A1086" s="21"/>
      <c r="B1086" s="4"/>
      <c r="C1086" s="22"/>
      <c r="D1086" s="5" t="str">
        <f aca="false">IF(B1086="","",IFERROR(INDEX(DE_PARA!$B$6:$B$205,MATCH(B1086,DE_PARA!$A$6:$A$205,0)),"SEM DE-PARA"))</f>
        <v/>
      </c>
      <c r="E1086" s="23" t="str">
        <f aca="false">IF(A1086="","",DATE(YEAR(A1086),MONTH(A1086),1))</f>
        <v/>
      </c>
    </row>
    <row r="1087" customFormat="false" ht="15" hidden="false" customHeight="false" outlineLevel="0" collapsed="false">
      <c r="A1087" s="21"/>
      <c r="B1087" s="4"/>
      <c r="C1087" s="22"/>
      <c r="D1087" s="5" t="str">
        <f aca="false">IF(B1087="","",IFERROR(INDEX(DE_PARA!$B$6:$B$205,MATCH(B1087,DE_PARA!$A$6:$A$205,0)),"SEM DE-PARA"))</f>
        <v/>
      </c>
      <c r="E1087" s="23" t="str">
        <f aca="false">IF(A1087="","",DATE(YEAR(A1087),MONTH(A1087),1))</f>
        <v/>
      </c>
    </row>
    <row r="1088" customFormat="false" ht="15" hidden="false" customHeight="false" outlineLevel="0" collapsed="false">
      <c r="A1088" s="21"/>
      <c r="B1088" s="4"/>
      <c r="C1088" s="22"/>
      <c r="D1088" s="5" t="str">
        <f aca="false">IF(B1088="","",IFERROR(INDEX(DE_PARA!$B$6:$B$205,MATCH(B1088,DE_PARA!$A$6:$A$205,0)),"SEM DE-PARA"))</f>
        <v/>
      </c>
      <c r="E1088" s="23" t="str">
        <f aca="false">IF(A1088="","",DATE(YEAR(A1088),MONTH(A1088),1))</f>
        <v/>
      </c>
    </row>
    <row r="1089" customFormat="false" ht="15" hidden="false" customHeight="false" outlineLevel="0" collapsed="false">
      <c r="A1089" s="21"/>
      <c r="B1089" s="4"/>
      <c r="C1089" s="22"/>
      <c r="D1089" s="5" t="str">
        <f aca="false">IF(B1089="","",IFERROR(INDEX(DE_PARA!$B$6:$B$205,MATCH(B1089,DE_PARA!$A$6:$A$205,0)),"SEM DE-PARA"))</f>
        <v/>
      </c>
      <c r="E1089" s="23" t="str">
        <f aca="false">IF(A1089="","",DATE(YEAR(A1089),MONTH(A1089),1))</f>
        <v/>
      </c>
    </row>
    <row r="1090" customFormat="false" ht="15" hidden="false" customHeight="false" outlineLevel="0" collapsed="false">
      <c r="A1090" s="21"/>
      <c r="B1090" s="4"/>
      <c r="C1090" s="22"/>
      <c r="D1090" s="5" t="str">
        <f aca="false">IF(B1090="","",IFERROR(INDEX(DE_PARA!$B$6:$B$205,MATCH(B1090,DE_PARA!$A$6:$A$205,0)),"SEM DE-PARA"))</f>
        <v/>
      </c>
      <c r="E1090" s="23" t="str">
        <f aca="false">IF(A1090="","",DATE(YEAR(A1090),MONTH(A1090),1))</f>
        <v/>
      </c>
    </row>
    <row r="1091" customFormat="false" ht="15" hidden="false" customHeight="false" outlineLevel="0" collapsed="false">
      <c r="A1091" s="21"/>
      <c r="B1091" s="4"/>
      <c r="C1091" s="22"/>
      <c r="D1091" s="5" t="str">
        <f aca="false">IF(B1091="","",IFERROR(INDEX(DE_PARA!$B$6:$B$205,MATCH(B1091,DE_PARA!$A$6:$A$205,0)),"SEM DE-PARA"))</f>
        <v/>
      </c>
      <c r="E1091" s="23" t="str">
        <f aca="false">IF(A1091="","",DATE(YEAR(A1091),MONTH(A1091),1))</f>
        <v/>
      </c>
    </row>
    <row r="1092" customFormat="false" ht="15" hidden="false" customHeight="false" outlineLevel="0" collapsed="false">
      <c r="A1092" s="21"/>
      <c r="B1092" s="4"/>
      <c r="C1092" s="22"/>
      <c r="D1092" s="5" t="str">
        <f aca="false">IF(B1092="","",IFERROR(INDEX(DE_PARA!$B$6:$B$205,MATCH(B1092,DE_PARA!$A$6:$A$205,0)),"SEM DE-PARA"))</f>
        <v/>
      </c>
      <c r="E1092" s="23" t="str">
        <f aca="false">IF(A1092="","",DATE(YEAR(A1092),MONTH(A1092),1))</f>
        <v/>
      </c>
    </row>
    <row r="1093" customFormat="false" ht="15" hidden="false" customHeight="false" outlineLevel="0" collapsed="false">
      <c r="A1093" s="21"/>
      <c r="B1093" s="4"/>
      <c r="C1093" s="22"/>
      <c r="D1093" s="5" t="str">
        <f aca="false">IF(B1093="","",IFERROR(INDEX(DE_PARA!$B$6:$B$205,MATCH(B1093,DE_PARA!$A$6:$A$205,0)),"SEM DE-PARA"))</f>
        <v/>
      </c>
      <c r="E1093" s="23" t="str">
        <f aca="false">IF(A1093="","",DATE(YEAR(A1093),MONTH(A1093),1))</f>
        <v/>
      </c>
    </row>
    <row r="1094" customFormat="false" ht="15" hidden="false" customHeight="false" outlineLevel="0" collapsed="false">
      <c r="A1094" s="21"/>
      <c r="B1094" s="4"/>
      <c r="C1094" s="22"/>
      <c r="D1094" s="5" t="str">
        <f aca="false">IF(B1094="","",IFERROR(INDEX(DE_PARA!$B$6:$B$205,MATCH(B1094,DE_PARA!$A$6:$A$205,0)),"SEM DE-PARA"))</f>
        <v/>
      </c>
      <c r="E1094" s="23" t="str">
        <f aca="false">IF(A1094="","",DATE(YEAR(A1094),MONTH(A1094),1))</f>
        <v/>
      </c>
    </row>
    <row r="1095" customFormat="false" ht="15" hidden="false" customHeight="false" outlineLevel="0" collapsed="false">
      <c r="A1095" s="21"/>
      <c r="B1095" s="4"/>
      <c r="C1095" s="22"/>
      <c r="D1095" s="5" t="str">
        <f aca="false">IF(B1095="","",IFERROR(INDEX(DE_PARA!$B$6:$B$205,MATCH(B1095,DE_PARA!$A$6:$A$205,0)),"SEM DE-PARA"))</f>
        <v/>
      </c>
      <c r="E1095" s="23" t="str">
        <f aca="false">IF(A1095="","",DATE(YEAR(A1095),MONTH(A1095),1))</f>
        <v/>
      </c>
    </row>
    <row r="1096" customFormat="false" ht="15" hidden="false" customHeight="false" outlineLevel="0" collapsed="false">
      <c r="A1096" s="21"/>
      <c r="B1096" s="4"/>
      <c r="C1096" s="22"/>
      <c r="D1096" s="5" t="str">
        <f aca="false">IF(B1096="","",IFERROR(INDEX(DE_PARA!$B$6:$B$205,MATCH(B1096,DE_PARA!$A$6:$A$205,0)),"SEM DE-PARA"))</f>
        <v/>
      </c>
      <c r="E1096" s="23" t="str">
        <f aca="false">IF(A1096="","",DATE(YEAR(A1096),MONTH(A1096),1))</f>
        <v/>
      </c>
    </row>
    <row r="1097" customFormat="false" ht="15" hidden="false" customHeight="false" outlineLevel="0" collapsed="false">
      <c r="A1097" s="21"/>
      <c r="B1097" s="4"/>
      <c r="C1097" s="22"/>
      <c r="D1097" s="5" t="str">
        <f aca="false">IF(B1097="","",IFERROR(INDEX(DE_PARA!$B$6:$B$205,MATCH(B1097,DE_PARA!$A$6:$A$205,0)),"SEM DE-PARA"))</f>
        <v/>
      </c>
      <c r="E1097" s="23" t="str">
        <f aca="false">IF(A1097="","",DATE(YEAR(A1097),MONTH(A1097),1))</f>
        <v/>
      </c>
    </row>
    <row r="1098" customFormat="false" ht="15" hidden="false" customHeight="false" outlineLevel="0" collapsed="false">
      <c r="A1098" s="21"/>
      <c r="B1098" s="4"/>
      <c r="C1098" s="22"/>
      <c r="D1098" s="5" t="str">
        <f aca="false">IF(B1098="","",IFERROR(INDEX(DE_PARA!$B$6:$B$205,MATCH(B1098,DE_PARA!$A$6:$A$205,0)),"SEM DE-PARA"))</f>
        <v/>
      </c>
      <c r="E1098" s="23" t="str">
        <f aca="false">IF(A1098="","",DATE(YEAR(A1098),MONTH(A1098),1))</f>
        <v/>
      </c>
    </row>
    <row r="1099" customFormat="false" ht="15" hidden="false" customHeight="false" outlineLevel="0" collapsed="false">
      <c r="A1099" s="21"/>
      <c r="B1099" s="4"/>
      <c r="C1099" s="22"/>
      <c r="D1099" s="5" t="str">
        <f aca="false">IF(B1099="","",IFERROR(INDEX(DE_PARA!$B$6:$B$205,MATCH(B1099,DE_PARA!$A$6:$A$205,0)),"SEM DE-PARA"))</f>
        <v/>
      </c>
      <c r="E1099" s="23" t="str">
        <f aca="false">IF(A1099="","",DATE(YEAR(A1099),MONTH(A1099),1))</f>
        <v/>
      </c>
    </row>
    <row r="1100" customFormat="false" ht="15" hidden="false" customHeight="false" outlineLevel="0" collapsed="false">
      <c r="A1100" s="21"/>
      <c r="B1100" s="4"/>
      <c r="C1100" s="22"/>
      <c r="D1100" s="5" t="str">
        <f aca="false">IF(B1100="","",IFERROR(INDEX(DE_PARA!$B$6:$B$205,MATCH(B1100,DE_PARA!$A$6:$A$205,0)),"SEM DE-PARA"))</f>
        <v/>
      </c>
      <c r="E1100" s="23" t="str">
        <f aca="false">IF(A1100="","",DATE(YEAR(A1100),MONTH(A1100),1))</f>
        <v/>
      </c>
    </row>
    <row r="1101" customFormat="false" ht="15" hidden="false" customHeight="false" outlineLevel="0" collapsed="false">
      <c r="A1101" s="21"/>
      <c r="B1101" s="4"/>
      <c r="C1101" s="22"/>
      <c r="D1101" s="5" t="str">
        <f aca="false">IF(B1101="","",IFERROR(INDEX(DE_PARA!$B$6:$B$205,MATCH(B1101,DE_PARA!$A$6:$A$205,0)),"SEM DE-PARA"))</f>
        <v/>
      </c>
      <c r="E1101" s="23" t="str">
        <f aca="false">IF(A1101="","",DATE(YEAR(A1101),MONTH(A1101),1))</f>
        <v/>
      </c>
    </row>
    <row r="1102" customFormat="false" ht="15" hidden="false" customHeight="false" outlineLevel="0" collapsed="false">
      <c r="A1102" s="21"/>
      <c r="B1102" s="4"/>
      <c r="C1102" s="22"/>
      <c r="D1102" s="5" t="str">
        <f aca="false">IF(B1102="","",IFERROR(INDEX(DE_PARA!$B$6:$B$205,MATCH(B1102,DE_PARA!$A$6:$A$205,0)),"SEM DE-PARA"))</f>
        <v/>
      </c>
      <c r="E1102" s="23" t="str">
        <f aca="false">IF(A1102="","",DATE(YEAR(A1102),MONTH(A1102),1))</f>
        <v/>
      </c>
    </row>
    <row r="1103" customFormat="false" ht="15" hidden="false" customHeight="false" outlineLevel="0" collapsed="false">
      <c r="A1103" s="21"/>
      <c r="B1103" s="4"/>
      <c r="C1103" s="22"/>
      <c r="D1103" s="5" t="str">
        <f aca="false">IF(B1103="","",IFERROR(INDEX(DE_PARA!$B$6:$B$205,MATCH(B1103,DE_PARA!$A$6:$A$205,0)),"SEM DE-PARA"))</f>
        <v/>
      </c>
      <c r="E1103" s="23" t="str">
        <f aca="false">IF(A1103="","",DATE(YEAR(A1103),MONTH(A1103),1))</f>
        <v/>
      </c>
    </row>
    <row r="1104" customFormat="false" ht="15" hidden="false" customHeight="false" outlineLevel="0" collapsed="false">
      <c r="A1104" s="21"/>
      <c r="B1104" s="4"/>
      <c r="C1104" s="22"/>
      <c r="D1104" s="5" t="str">
        <f aca="false">IF(B1104="","",IFERROR(INDEX(DE_PARA!$B$6:$B$205,MATCH(B1104,DE_PARA!$A$6:$A$205,0)),"SEM DE-PARA"))</f>
        <v/>
      </c>
      <c r="E1104" s="23" t="str">
        <f aca="false">IF(A1104="","",DATE(YEAR(A1104),MONTH(A1104),1))</f>
        <v/>
      </c>
    </row>
    <row r="1105" customFormat="false" ht="15" hidden="false" customHeight="false" outlineLevel="0" collapsed="false">
      <c r="A1105" s="21"/>
      <c r="B1105" s="4"/>
      <c r="C1105" s="22"/>
      <c r="D1105" s="5" t="str">
        <f aca="false">IF(B1105="","",IFERROR(INDEX(DE_PARA!$B$6:$B$205,MATCH(B1105,DE_PARA!$A$6:$A$205,0)),"SEM DE-PARA"))</f>
        <v/>
      </c>
      <c r="E1105" s="23" t="str">
        <f aca="false">IF(A1105="","",DATE(YEAR(A1105),MONTH(A1105),1))</f>
        <v/>
      </c>
    </row>
    <row r="1106" customFormat="false" ht="15" hidden="false" customHeight="false" outlineLevel="0" collapsed="false">
      <c r="A1106" s="21"/>
      <c r="B1106" s="4"/>
      <c r="C1106" s="22"/>
      <c r="D1106" s="5" t="str">
        <f aca="false">IF(B1106="","",IFERROR(INDEX(DE_PARA!$B$6:$B$205,MATCH(B1106,DE_PARA!$A$6:$A$205,0)),"SEM DE-PARA"))</f>
        <v/>
      </c>
      <c r="E1106" s="23" t="str">
        <f aca="false">IF(A1106="","",DATE(YEAR(A1106),MONTH(A1106),1))</f>
        <v/>
      </c>
    </row>
    <row r="1107" customFormat="false" ht="15" hidden="false" customHeight="false" outlineLevel="0" collapsed="false">
      <c r="A1107" s="21"/>
      <c r="B1107" s="4"/>
      <c r="C1107" s="22"/>
      <c r="D1107" s="5" t="str">
        <f aca="false">IF(B1107="","",IFERROR(INDEX(DE_PARA!$B$6:$B$205,MATCH(B1107,DE_PARA!$A$6:$A$205,0)),"SEM DE-PARA"))</f>
        <v/>
      </c>
      <c r="E1107" s="23" t="str">
        <f aca="false">IF(A1107="","",DATE(YEAR(A1107),MONTH(A1107),1))</f>
        <v/>
      </c>
    </row>
    <row r="1108" customFormat="false" ht="15" hidden="false" customHeight="false" outlineLevel="0" collapsed="false">
      <c r="A1108" s="21"/>
      <c r="B1108" s="4"/>
      <c r="C1108" s="22"/>
      <c r="D1108" s="5" t="str">
        <f aca="false">IF(B1108="","",IFERROR(INDEX(DE_PARA!$B$6:$B$205,MATCH(B1108,DE_PARA!$A$6:$A$205,0)),"SEM DE-PARA"))</f>
        <v/>
      </c>
      <c r="E1108" s="23" t="str">
        <f aca="false">IF(A1108="","",DATE(YEAR(A1108),MONTH(A1108),1))</f>
        <v/>
      </c>
    </row>
    <row r="1109" customFormat="false" ht="15" hidden="false" customHeight="false" outlineLevel="0" collapsed="false">
      <c r="A1109" s="21"/>
      <c r="B1109" s="4"/>
      <c r="C1109" s="22"/>
      <c r="D1109" s="5" t="str">
        <f aca="false">IF(B1109="","",IFERROR(INDEX(DE_PARA!$B$6:$B$205,MATCH(B1109,DE_PARA!$A$6:$A$205,0)),"SEM DE-PARA"))</f>
        <v/>
      </c>
      <c r="E1109" s="23" t="str">
        <f aca="false">IF(A1109="","",DATE(YEAR(A1109),MONTH(A1109),1))</f>
        <v/>
      </c>
    </row>
    <row r="1110" customFormat="false" ht="15" hidden="false" customHeight="false" outlineLevel="0" collapsed="false">
      <c r="A1110" s="21"/>
      <c r="B1110" s="4"/>
      <c r="C1110" s="22"/>
      <c r="D1110" s="5" t="str">
        <f aca="false">IF(B1110="","",IFERROR(INDEX(DE_PARA!$B$6:$B$205,MATCH(B1110,DE_PARA!$A$6:$A$205,0)),"SEM DE-PARA"))</f>
        <v/>
      </c>
      <c r="E1110" s="23" t="str">
        <f aca="false">IF(A1110="","",DATE(YEAR(A1110),MONTH(A1110),1))</f>
        <v/>
      </c>
    </row>
    <row r="1111" customFormat="false" ht="15" hidden="false" customHeight="false" outlineLevel="0" collapsed="false">
      <c r="A1111" s="21"/>
      <c r="B1111" s="4"/>
      <c r="C1111" s="22"/>
      <c r="D1111" s="5" t="str">
        <f aca="false">IF(B1111="","",IFERROR(INDEX(DE_PARA!$B$6:$B$205,MATCH(B1111,DE_PARA!$A$6:$A$205,0)),"SEM DE-PARA"))</f>
        <v/>
      </c>
      <c r="E1111" s="23" t="str">
        <f aca="false">IF(A1111="","",DATE(YEAR(A1111),MONTH(A1111),1))</f>
        <v/>
      </c>
    </row>
    <row r="1112" customFormat="false" ht="15" hidden="false" customHeight="false" outlineLevel="0" collapsed="false">
      <c r="A1112" s="21"/>
      <c r="B1112" s="4"/>
      <c r="C1112" s="22"/>
      <c r="D1112" s="5" t="str">
        <f aca="false">IF(B1112="","",IFERROR(INDEX(DE_PARA!$B$6:$B$205,MATCH(B1112,DE_PARA!$A$6:$A$205,0)),"SEM DE-PARA"))</f>
        <v/>
      </c>
      <c r="E1112" s="23" t="str">
        <f aca="false">IF(A1112="","",DATE(YEAR(A1112),MONTH(A1112),1))</f>
        <v/>
      </c>
    </row>
    <row r="1113" customFormat="false" ht="15" hidden="false" customHeight="false" outlineLevel="0" collapsed="false">
      <c r="A1113" s="21"/>
      <c r="B1113" s="4"/>
      <c r="C1113" s="22"/>
      <c r="D1113" s="5" t="str">
        <f aca="false">IF(B1113="","",IFERROR(INDEX(DE_PARA!$B$6:$B$205,MATCH(B1113,DE_PARA!$A$6:$A$205,0)),"SEM DE-PARA"))</f>
        <v/>
      </c>
      <c r="E1113" s="23" t="str">
        <f aca="false">IF(A1113="","",DATE(YEAR(A1113),MONTH(A1113),1))</f>
        <v/>
      </c>
    </row>
    <row r="1114" customFormat="false" ht="15" hidden="false" customHeight="false" outlineLevel="0" collapsed="false">
      <c r="A1114" s="21"/>
      <c r="B1114" s="4"/>
      <c r="C1114" s="22"/>
      <c r="D1114" s="5" t="str">
        <f aca="false">IF(B1114="","",IFERROR(INDEX(DE_PARA!$B$6:$B$205,MATCH(B1114,DE_PARA!$A$6:$A$205,0)),"SEM DE-PARA"))</f>
        <v/>
      </c>
      <c r="E1114" s="23" t="str">
        <f aca="false">IF(A1114="","",DATE(YEAR(A1114),MONTH(A1114),1))</f>
        <v/>
      </c>
    </row>
    <row r="1115" customFormat="false" ht="15" hidden="false" customHeight="false" outlineLevel="0" collapsed="false">
      <c r="A1115" s="21"/>
      <c r="B1115" s="4"/>
      <c r="C1115" s="22"/>
      <c r="D1115" s="5" t="str">
        <f aca="false">IF(B1115="","",IFERROR(INDEX(DE_PARA!$B$6:$B$205,MATCH(B1115,DE_PARA!$A$6:$A$205,0)),"SEM DE-PARA"))</f>
        <v/>
      </c>
      <c r="E1115" s="23" t="str">
        <f aca="false">IF(A1115="","",DATE(YEAR(A1115),MONTH(A1115),1))</f>
        <v/>
      </c>
    </row>
    <row r="1116" customFormat="false" ht="15" hidden="false" customHeight="false" outlineLevel="0" collapsed="false">
      <c r="A1116" s="21"/>
      <c r="B1116" s="4"/>
      <c r="C1116" s="22"/>
      <c r="D1116" s="5" t="str">
        <f aca="false">IF(B1116="","",IFERROR(INDEX(DE_PARA!$B$6:$B$205,MATCH(B1116,DE_PARA!$A$6:$A$205,0)),"SEM DE-PARA"))</f>
        <v/>
      </c>
      <c r="E1116" s="23" t="str">
        <f aca="false">IF(A1116="","",DATE(YEAR(A1116),MONTH(A1116),1))</f>
        <v/>
      </c>
    </row>
    <row r="1117" customFormat="false" ht="15" hidden="false" customHeight="false" outlineLevel="0" collapsed="false">
      <c r="A1117" s="21"/>
      <c r="B1117" s="4"/>
      <c r="C1117" s="22"/>
      <c r="D1117" s="5" t="str">
        <f aca="false">IF(B1117="","",IFERROR(INDEX(DE_PARA!$B$6:$B$205,MATCH(B1117,DE_PARA!$A$6:$A$205,0)),"SEM DE-PARA"))</f>
        <v/>
      </c>
      <c r="E1117" s="23" t="str">
        <f aca="false">IF(A1117="","",DATE(YEAR(A1117),MONTH(A1117),1))</f>
        <v/>
      </c>
    </row>
    <row r="1118" customFormat="false" ht="15" hidden="false" customHeight="false" outlineLevel="0" collapsed="false">
      <c r="A1118" s="21"/>
      <c r="B1118" s="4"/>
      <c r="C1118" s="22"/>
      <c r="D1118" s="5" t="str">
        <f aca="false">IF(B1118="","",IFERROR(INDEX(DE_PARA!$B$6:$B$205,MATCH(B1118,DE_PARA!$A$6:$A$205,0)),"SEM DE-PARA"))</f>
        <v/>
      </c>
      <c r="E1118" s="23" t="str">
        <f aca="false">IF(A1118="","",DATE(YEAR(A1118),MONTH(A1118),1))</f>
        <v/>
      </c>
    </row>
    <row r="1119" customFormat="false" ht="15" hidden="false" customHeight="false" outlineLevel="0" collapsed="false">
      <c r="A1119" s="21"/>
      <c r="B1119" s="4"/>
      <c r="C1119" s="22"/>
      <c r="D1119" s="5" t="str">
        <f aca="false">IF(B1119="","",IFERROR(INDEX(DE_PARA!$B$6:$B$205,MATCH(B1119,DE_PARA!$A$6:$A$205,0)),"SEM DE-PARA"))</f>
        <v/>
      </c>
      <c r="E1119" s="23" t="str">
        <f aca="false">IF(A1119="","",DATE(YEAR(A1119),MONTH(A1119),1))</f>
        <v/>
      </c>
    </row>
    <row r="1120" customFormat="false" ht="15" hidden="false" customHeight="false" outlineLevel="0" collapsed="false">
      <c r="A1120" s="21"/>
      <c r="B1120" s="4"/>
      <c r="C1120" s="22"/>
      <c r="D1120" s="5" t="str">
        <f aca="false">IF(B1120="","",IFERROR(INDEX(DE_PARA!$B$6:$B$205,MATCH(B1120,DE_PARA!$A$6:$A$205,0)),"SEM DE-PARA"))</f>
        <v/>
      </c>
      <c r="E1120" s="23" t="str">
        <f aca="false">IF(A1120="","",DATE(YEAR(A1120),MONTH(A1120),1))</f>
        <v/>
      </c>
    </row>
    <row r="1121" customFormat="false" ht="15" hidden="false" customHeight="false" outlineLevel="0" collapsed="false">
      <c r="A1121" s="21"/>
      <c r="B1121" s="4"/>
      <c r="C1121" s="22"/>
      <c r="D1121" s="5" t="str">
        <f aca="false">IF(B1121="","",IFERROR(INDEX(DE_PARA!$B$6:$B$205,MATCH(B1121,DE_PARA!$A$6:$A$205,0)),"SEM DE-PARA"))</f>
        <v/>
      </c>
      <c r="E1121" s="23" t="str">
        <f aca="false">IF(A1121="","",DATE(YEAR(A1121),MONTH(A1121),1))</f>
        <v/>
      </c>
    </row>
    <row r="1122" customFormat="false" ht="15" hidden="false" customHeight="false" outlineLevel="0" collapsed="false">
      <c r="A1122" s="21"/>
      <c r="B1122" s="4"/>
      <c r="C1122" s="22"/>
      <c r="D1122" s="5" t="str">
        <f aca="false">IF(B1122="","",IFERROR(INDEX(DE_PARA!$B$6:$B$205,MATCH(B1122,DE_PARA!$A$6:$A$205,0)),"SEM DE-PARA"))</f>
        <v/>
      </c>
      <c r="E1122" s="23" t="str">
        <f aca="false">IF(A1122="","",DATE(YEAR(A1122),MONTH(A1122),1))</f>
        <v/>
      </c>
    </row>
    <row r="1123" customFormat="false" ht="15" hidden="false" customHeight="false" outlineLevel="0" collapsed="false">
      <c r="A1123" s="21"/>
      <c r="B1123" s="4"/>
      <c r="C1123" s="22"/>
      <c r="D1123" s="5" t="str">
        <f aca="false">IF(B1123="","",IFERROR(INDEX(DE_PARA!$B$6:$B$205,MATCH(B1123,DE_PARA!$A$6:$A$205,0)),"SEM DE-PARA"))</f>
        <v/>
      </c>
      <c r="E1123" s="23" t="str">
        <f aca="false">IF(A1123="","",DATE(YEAR(A1123),MONTH(A1123),1))</f>
        <v/>
      </c>
    </row>
    <row r="1124" customFormat="false" ht="15" hidden="false" customHeight="false" outlineLevel="0" collapsed="false">
      <c r="A1124" s="21"/>
      <c r="B1124" s="4"/>
      <c r="C1124" s="22"/>
      <c r="D1124" s="5" t="str">
        <f aca="false">IF(B1124="","",IFERROR(INDEX(DE_PARA!$B$6:$B$205,MATCH(B1124,DE_PARA!$A$6:$A$205,0)),"SEM DE-PARA"))</f>
        <v/>
      </c>
      <c r="E1124" s="23" t="str">
        <f aca="false">IF(A1124="","",DATE(YEAR(A1124),MONTH(A1124),1))</f>
        <v/>
      </c>
    </row>
    <row r="1125" customFormat="false" ht="15" hidden="false" customHeight="false" outlineLevel="0" collapsed="false">
      <c r="A1125" s="21"/>
      <c r="B1125" s="4"/>
      <c r="C1125" s="22"/>
      <c r="D1125" s="5" t="str">
        <f aca="false">IF(B1125="","",IFERROR(INDEX(DE_PARA!$B$6:$B$205,MATCH(B1125,DE_PARA!$A$6:$A$205,0)),"SEM DE-PARA"))</f>
        <v/>
      </c>
      <c r="E1125" s="23" t="str">
        <f aca="false">IF(A1125="","",DATE(YEAR(A1125),MONTH(A1125),1))</f>
        <v/>
      </c>
    </row>
    <row r="1126" customFormat="false" ht="15" hidden="false" customHeight="false" outlineLevel="0" collapsed="false">
      <c r="A1126" s="21"/>
      <c r="B1126" s="4"/>
      <c r="C1126" s="22"/>
      <c r="D1126" s="5" t="str">
        <f aca="false">IF(B1126="","",IFERROR(INDEX(DE_PARA!$B$6:$B$205,MATCH(B1126,DE_PARA!$A$6:$A$205,0)),"SEM DE-PARA"))</f>
        <v/>
      </c>
      <c r="E1126" s="23" t="str">
        <f aca="false">IF(A1126="","",DATE(YEAR(A1126),MONTH(A1126),1))</f>
        <v/>
      </c>
    </row>
    <row r="1127" customFormat="false" ht="15" hidden="false" customHeight="false" outlineLevel="0" collapsed="false">
      <c r="A1127" s="21"/>
      <c r="B1127" s="4"/>
      <c r="C1127" s="22"/>
      <c r="D1127" s="5" t="str">
        <f aca="false">IF(B1127="","",IFERROR(INDEX(DE_PARA!$B$6:$B$205,MATCH(B1127,DE_PARA!$A$6:$A$205,0)),"SEM DE-PARA"))</f>
        <v/>
      </c>
      <c r="E1127" s="23" t="str">
        <f aca="false">IF(A1127="","",DATE(YEAR(A1127),MONTH(A1127),1))</f>
        <v/>
      </c>
    </row>
    <row r="1128" customFormat="false" ht="15" hidden="false" customHeight="false" outlineLevel="0" collapsed="false">
      <c r="A1128" s="21"/>
      <c r="B1128" s="4"/>
      <c r="C1128" s="22"/>
      <c r="D1128" s="5" t="str">
        <f aca="false">IF(B1128="","",IFERROR(INDEX(DE_PARA!$B$6:$B$205,MATCH(B1128,DE_PARA!$A$6:$A$205,0)),"SEM DE-PARA"))</f>
        <v/>
      </c>
      <c r="E1128" s="23" t="str">
        <f aca="false">IF(A1128="","",DATE(YEAR(A1128),MONTH(A1128),1))</f>
        <v/>
      </c>
    </row>
    <row r="1129" customFormat="false" ht="15" hidden="false" customHeight="false" outlineLevel="0" collapsed="false">
      <c r="A1129" s="21"/>
      <c r="B1129" s="4"/>
      <c r="C1129" s="22"/>
      <c r="D1129" s="5" t="str">
        <f aca="false">IF(B1129="","",IFERROR(INDEX(DE_PARA!$B$6:$B$205,MATCH(B1129,DE_PARA!$A$6:$A$205,0)),"SEM DE-PARA"))</f>
        <v/>
      </c>
      <c r="E1129" s="23" t="str">
        <f aca="false">IF(A1129="","",DATE(YEAR(A1129),MONTH(A1129),1))</f>
        <v/>
      </c>
    </row>
    <row r="1130" customFormat="false" ht="15" hidden="false" customHeight="false" outlineLevel="0" collapsed="false">
      <c r="A1130" s="21"/>
      <c r="B1130" s="4"/>
      <c r="C1130" s="22"/>
      <c r="D1130" s="5" t="str">
        <f aca="false">IF(B1130="","",IFERROR(INDEX(DE_PARA!$B$6:$B$205,MATCH(B1130,DE_PARA!$A$6:$A$205,0)),"SEM DE-PARA"))</f>
        <v/>
      </c>
      <c r="E1130" s="23" t="str">
        <f aca="false">IF(A1130="","",DATE(YEAR(A1130),MONTH(A1130),1))</f>
        <v/>
      </c>
    </row>
    <row r="1131" customFormat="false" ht="15" hidden="false" customHeight="false" outlineLevel="0" collapsed="false">
      <c r="A1131" s="21"/>
      <c r="B1131" s="4"/>
      <c r="C1131" s="22"/>
      <c r="D1131" s="5" t="str">
        <f aca="false">IF(B1131="","",IFERROR(INDEX(DE_PARA!$B$6:$B$205,MATCH(B1131,DE_PARA!$A$6:$A$205,0)),"SEM DE-PARA"))</f>
        <v/>
      </c>
      <c r="E1131" s="23" t="str">
        <f aca="false">IF(A1131="","",DATE(YEAR(A1131),MONTH(A1131),1))</f>
        <v/>
      </c>
    </row>
    <row r="1132" customFormat="false" ht="15" hidden="false" customHeight="false" outlineLevel="0" collapsed="false">
      <c r="A1132" s="21"/>
      <c r="B1132" s="4"/>
      <c r="C1132" s="22"/>
      <c r="D1132" s="5" t="str">
        <f aca="false">IF(B1132="","",IFERROR(INDEX(DE_PARA!$B$6:$B$205,MATCH(B1132,DE_PARA!$A$6:$A$205,0)),"SEM DE-PARA"))</f>
        <v/>
      </c>
      <c r="E1132" s="23" t="str">
        <f aca="false">IF(A1132="","",DATE(YEAR(A1132),MONTH(A1132),1))</f>
        <v/>
      </c>
    </row>
    <row r="1133" customFormat="false" ht="15" hidden="false" customHeight="false" outlineLevel="0" collapsed="false">
      <c r="A1133" s="21"/>
      <c r="B1133" s="4"/>
      <c r="C1133" s="22"/>
      <c r="D1133" s="5" t="str">
        <f aca="false">IF(B1133="","",IFERROR(INDEX(DE_PARA!$B$6:$B$205,MATCH(B1133,DE_PARA!$A$6:$A$205,0)),"SEM DE-PARA"))</f>
        <v/>
      </c>
      <c r="E1133" s="23" t="str">
        <f aca="false">IF(A1133="","",DATE(YEAR(A1133),MONTH(A1133),1))</f>
        <v/>
      </c>
    </row>
    <row r="1134" customFormat="false" ht="15" hidden="false" customHeight="false" outlineLevel="0" collapsed="false">
      <c r="A1134" s="21"/>
      <c r="B1134" s="4"/>
      <c r="C1134" s="22"/>
      <c r="D1134" s="5" t="str">
        <f aca="false">IF(B1134="","",IFERROR(INDEX(DE_PARA!$B$6:$B$205,MATCH(B1134,DE_PARA!$A$6:$A$205,0)),"SEM DE-PARA"))</f>
        <v/>
      </c>
      <c r="E1134" s="23" t="str">
        <f aca="false">IF(A1134="","",DATE(YEAR(A1134),MONTH(A1134),1))</f>
        <v/>
      </c>
    </row>
    <row r="1135" customFormat="false" ht="15" hidden="false" customHeight="false" outlineLevel="0" collapsed="false">
      <c r="A1135" s="21"/>
      <c r="B1135" s="4"/>
      <c r="C1135" s="22"/>
      <c r="D1135" s="5" t="str">
        <f aca="false">IF(B1135="","",IFERROR(INDEX(DE_PARA!$B$6:$B$205,MATCH(B1135,DE_PARA!$A$6:$A$205,0)),"SEM DE-PARA"))</f>
        <v/>
      </c>
      <c r="E1135" s="23" t="str">
        <f aca="false">IF(A1135="","",DATE(YEAR(A1135),MONTH(A1135),1))</f>
        <v/>
      </c>
    </row>
    <row r="1136" customFormat="false" ht="15" hidden="false" customHeight="false" outlineLevel="0" collapsed="false">
      <c r="A1136" s="21"/>
      <c r="B1136" s="4"/>
      <c r="C1136" s="22"/>
      <c r="D1136" s="5" t="str">
        <f aca="false">IF(B1136="","",IFERROR(INDEX(DE_PARA!$B$6:$B$205,MATCH(B1136,DE_PARA!$A$6:$A$205,0)),"SEM DE-PARA"))</f>
        <v/>
      </c>
      <c r="E1136" s="23" t="str">
        <f aca="false">IF(A1136="","",DATE(YEAR(A1136),MONTH(A1136),1))</f>
        <v/>
      </c>
    </row>
    <row r="1137" customFormat="false" ht="15" hidden="false" customHeight="false" outlineLevel="0" collapsed="false">
      <c r="A1137" s="21"/>
      <c r="B1137" s="4"/>
      <c r="C1137" s="22"/>
      <c r="D1137" s="5" t="str">
        <f aca="false">IF(B1137="","",IFERROR(INDEX(DE_PARA!$B$6:$B$205,MATCH(B1137,DE_PARA!$A$6:$A$205,0)),"SEM DE-PARA"))</f>
        <v/>
      </c>
      <c r="E1137" s="23" t="str">
        <f aca="false">IF(A1137="","",DATE(YEAR(A1137),MONTH(A1137),1))</f>
        <v/>
      </c>
    </row>
    <row r="1138" customFormat="false" ht="15" hidden="false" customHeight="false" outlineLevel="0" collapsed="false">
      <c r="A1138" s="21"/>
      <c r="B1138" s="4"/>
      <c r="C1138" s="22"/>
      <c r="D1138" s="5" t="str">
        <f aca="false">IF(B1138="","",IFERROR(INDEX(DE_PARA!$B$6:$B$205,MATCH(B1138,DE_PARA!$A$6:$A$205,0)),"SEM DE-PARA"))</f>
        <v/>
      </c>
      <c r="E1138" s="23" t="str">
        <f aca="false">IF(A1138="","",DATE(YEAR(A1138),MONTH(A1138),1))</f>
        <v/>
      </c>
    </row>
    <row r="1139" customFormat="false" ht="15" hidden="false" customHeight="false" outlineLevel="0" collapsed="false">
      <c r="A1139" s="21"/>
      <c r="B1139" s="4"/>
      <c r="C1139" s="22"/>
      <c r="D1139" s="5" t="str">
        <f aca="false">IF(B1139="","",IFERROR(INDEX(DE_PARA!$B$6:$B$205,MATCH(B1139,DE_PARA!$A$6:$A$205,0)),"SEM DE-PARA"))</f>
        <v/>
      </c>
      <c r="E1139" s="23" t="str">
        <f aca="false">IF(A1139="","",DATE(YEAR(A1139),MONTH(A1139),1))</f>
        <v/>
      </c>
    </row>
    <row r="1140" customFormat="false" ht="15" hidden="false" customHeight="false" outlineLevel="0" collapsed="false">
      <c r="A1140" s="21"/>
      <c r="B1140" s="4"/>
      <c r="C1140" s="22"/>
      <c r="D1140" s="5" t="str">
        <f aca="false">IF(B1140="","",IFERROR(INDEX(DE_PARA!$B$6:$B$205,MATCH(B1140,DE_PARA!$A$6:$A$205,0)),"SEM DE-PARA"))</f>
        <v/>
      </c>
      <c r="E1140" s="23" t="str">
        <f aca="false">IF(A1140="","",DATE(YEAR(A1140),MONTH(A1140),1))</f>
        <v/>
      </c>
    </row>
    <row r="1141" customFormat="false" ht="15" hidden="false" customHeight="false" outlineLevel="0" collapsed="false">
      <c r="A1141" s="21"/>
      <c r="B1141" s="4"/>
      <c r="C1141" s="22"/>
      <c r="D1141" s="5" t="str">
        <f aca="false">IF(B1141="","",IFERROR(INDEX(DE_PARA!$B$6:$B$205,MATCH(B1141,DE_PARA!$A$6:$A$205,0)),"SEM DE-PARA"))</f>
        <v/>
      </c>
      <c r="E1141" s="23" t="str">
        <f aca="false">IF(A1141="","",DATE(YEAR(A1141),MONTH(A1141),1))</f>
        <v/>
      </c>
    </row>
    <row r="1142" customFormat="false" ht="15" hidden="false" customHeight="false" outlineLevel="0" collapsed="false">
      <c r="A1142" s="21"/>
      <c r="B1142" s="4"/>
      <c r="C1142" s="22"/>
      <c r="D1142" s="5" t="str">
        <f aca="false">IF(B1142="","",IFERROR(INDEX(DE_PARA!$B$6:$B$205,MATCH(B1142,DE_PARA!$A$6:$A$205,0)),"SEM DE-PARA"))</f>
        <v/>
      </c>
      <c r="E1142" s="23" t="str">
        <f aca="false">IF(A1142="","",DATE(YEAR(A1142),MONTH(A1142),1))</f>
        <v/>
      </c>
    </row>
    <row r="1143" customFormat="false" ht="15" hidden="false" customHeight="false" outlineLevel="0" collapsed="false">
      <c r="A1143" s="21"/>
      <c r="B1143" s="4"/>
      <c r="C1143" s="22"/>
      <c r="D1143" s="5" t="str">
        <f aca="false">IF(B1143="","",IFERROR(INDEX(DE_PARA!$B$6:$B$205,MATCH(B1143,DE_PARA!$A$6:$A$205,0)),"SEM DE-PARA"))</f>
        <v/>
      </c>
      <c r="E1143" s="23" t="str">
        <f aca="false">IF(A1143="","",DATE(YEAR(A1143),MONTH(A1143),1))</f>
        <v/>
      </c>
    </row>
    <row r="1144" customFormat="false" ht="15" hidden="false" customHeight="false" outlineLevel="0" collapsed="false">
      <c r="A1144" s="21"/>
      <c r="B1144" s="4"/>
      <c r="C1144" s="22"/>
      <c r="D1144" s="5" t="str">
        <f aca="false">IF(B1144="","",IFERROR(INDEX(DE_PARA!$B$6:$B$205,MATCH(B1144,DE_PARA!$A$6:$A$205,0)),"SEM DE-PARA"))</f>
        <v/>
      </c>
      <c r="E1144" s="23" t="str">
        <f aca="false">IF(A1144="","",DATE(YEAR(A1144),MONTH(A1144),1))</f>
        <v/>
      </c>
    </row>
    <row r="1145" customFormat="false" ht="15" hidden="false" customHeight="false" outlineLevel="0" collapsed="false">
      <c r="A1145" s="21"/>
      <c r="B1145" s="4"/>
      <c r="C1145" s="22"/>
      <c r="D1145" s="5" t="str">
        <f aca="false">IF(B1145="","",IFERROR(INDEX(DE_PARA!$B$6:$B$205,MATCH(B1145,DE_PARA!$A$6:$A$205,0)),"SEM DE-PARA"))</f>
        <v/>
      </c>
      <c r="E1145" s="23" t="str">
        <f aca="false">IF(A1145="","",DATE(YEAR(A1145),MONTH(A1145),1))</f>
        <v/>
      </c>
    </row>
    <row r="1146" customFormat="false" ht="15" hidden="false" customHeight="false" outlineLevel="0" collapsed="false">
      <c r="A1146" s="21"/>
      <c r="B1146" s="4"/>
      <c r="C1146" s="22"/>
      <c r="D1146" s="5" t="str">
        <f aca="false">IF(B1146="","",IFERROR(INDEX(DE_PARA!$B$6:$B$205,MATCH(B1146,DE_PARA!$A$6:$A$205,0)),"SEM DE-PARA"))</f>
        <v/>
      </c>
      <c r="E1146" s="23" t="str">
        <f aca="false">IF(A1146="","",DATE(YEAR(A1146),MONTH(A1146),1))</f>
        <v/>
      </c>
    </row>
    <row r="1147" customFormat="false" ht="15" hidden="false" customHeight="false" outlineLevel="0" collapsed="false">
      <c r="A1147" s="21"/>
      <c r="B1147" s="4"/>
      <c r="C1147" s="22"/>
      <c r="D1147" s="5" t="str">
        <f aca="false">IF(B1147="","",IFERROR(INDEX(DE_PARA!$B$6:$B$205,MATCH(B1147,DE_PARA!$A$6:$A$205,0)),"SEM DE-PARA"))</f>
        <v/>
      </c>
      <c r="E1147" s="23" t="str">
        <f aca="false">IF(A1147="","",DATE(YEAR(A1147),MONTH(A1147),1))</f>
        <v/>
      </c>
    </row>
    <row r="1148" customFormat="false" ht="15" hidden="false" customHeight="false" outlineLevel="0" collapsed="false">
      <c r="A1148" s="21"/>
      <c r="B1148" s="4"/>
      <c r="C1148" s="22"/>
      <c r="D1148" s="5" t="str">
        <f aca="false">IF(B1148="","",IFERROR(INDEX(DE_PARA!$B$6:$B$205,MATCH(B1148,DE_PARA!$A$6:$A$205,0)),"SEM DE-PARA"))</f>
        <v/>
      </c>
      <c r="E1148" s="23" t="str">
        <f aca="false">IF(A1148="","",DATE(YEAR(A1148),MONTH(A1148),1))</f>
        <v/>
      </c>
    </row>
    <row r="1149" customFormat="false" ht="15" hidden="false" customHeight="false" outlineLevel="0" collapsed="false">
      <c r="A1149" s="21"/>
      <c r="B1149" s="4"/>
      <c r="C1149" s="22"/>
      <c r="D1149" s="5" t="str">
        <f aca="false">IF(B1149="","",IFERROR(INDEX(DE_PARA!$B$6:$B$205,MATCH(B1149,DE_PARA!$A$6:$A$205,0)),"SEM DE-PARA"))</f>
        <v/>
      </c>
      <c r="E1149" s="23" t="str">
        <f aca="false">IF(A1149="","",DATE(YEAR(A1149),MONTH(A1149),1))</f>
        <v/>
      </c>
    </row>
    <row r="1150" customFormat="false" ht="15" hidden="false" customHeight="false" outlineLevel="0" collapsed="false">
      <c r="A1150" s="21"/>
      <c r="B1150" s="4"/>
      <c r="C1150" s="22"/>
      <c r="D1150" s="5" t="str">
        <f aca="false">IF(B1150="","",IFERROR(INDEX(DE_PARA!$B$6:$B$205,MATCH(B1150,DE_PARA!$A$6:$A$205,0)),"SEM DE-PARA"))</f>
        <v/>
      </c>
      <c r="E1150" s="23" t="str">
        <f aca="false">IF(A1150="","",DATE(YEAR(A1150),MONTH(A1150),1))</f>
        <v/>
      </c>
    </row>
    <row r="1151" customFormat="false" ht="15" hidden="false" customHeight="false" outlineLevel="0" collapsed="false">
      <c r="A1151" s="21"/>
      <c r="B1151" s="4"/>
      <c r="C1151" s="22"/>
      <c r="D1151" s="5" t="str">
        <f aca="false">IF(B1151="","",IFERROR(INDEX(DE_PARA!$B$6:$B$205,MATCH(B1151,DE_PARA!$A$6:$A$205,0)),"SEM DE-PARA"))</f>
        <v/>
      </c>
      <c r="E1151" s="23" t="str">
        <f aca="false">IF(A1151="","",DATE(YEAR(A1151),MONTH(A1151),1))</f>
        <v/>
      </c>
    </row>
    <row r="1152" customFormat="false" ht="15" hidden="false" customHeight="false" outlineLevel="0" collapsed="false">
      <c r="A1152" s="21"/>
      <c r="B1152" s="4"/>
      <c r="C1152" s="22"/>
      <c r="D1152" s="5" t="str">
        <f aca="false">IF(B1152="","",IFERROR(INDEX(DE_PARA!$B$6:$B$205,MATCH(B1152,DE_PARA!$A$6:$A$205,0)),"SEM DE-PARA"))</f>
        <v/>
      </c>
      <c r="E1152" s="23" t="str">
        <f aca="false">IF(A1152="","",DATE(YEAR(A1152),MONTH(A1152),1))</f>
        <v/>
      </c>
    </row>
    <row r="1153" customFormat="false" ht="15" hidden="false" customHeight="false" outlineLevel="0" collapsed="false">
      <c r="A1153" s="21"/>
      <c r="B1153" s="4"/>
      <c r="C1153" s="22"/>
      <c r="D1153" s="5" t="str">
        <f aca="false">IF(B1153="","",IFERROR(INDEX(DE_PARA!$B$6:$B$205,MATCH(B1153,DE_PARA!$A$6:$A$205,0)),"SEM DE-PARA"))</f>
        <v/>
      </c>
      <c r="E1153" s="23" t="str">
        <f aca="false">IF(A1153="","",DATE(YEAR(A1153),MONTH(A1153),1))</f>
        <v/>
      </c>
    </row>
    <row r="1154" customFormat="false" ht="15" hidden="false" customHeight="false" outlineLevel="0" collapsed="false">
      <c r="A1154" s="21"/>
      <c r="B1154" s="4"/>
      <c r="C1154" s="22"/>
      <c r="D1154" s="5" t="str">
        <f aca="false">IF(B1154="","",IFERROR(INDEX(DE_PARA!$B$6:$B$205,MATCH(B1154,DE_PARA!$A$6:$A$205,0)),"SEM DE-PARA"))</f>
        <v/>
      </c>
      <c r="E1154" s="23" t="str">
        <f aca="false">IF(A1154="","",DATE(YEAR(A1154),MONTH(A1154),1))</f>
        <v/>
      </c>
    </row>
    <row r="1155" customFormat="false" ht="15" hidden="false" customHeight="false" outlineLevel="0" collapsed="false">
      <c r="A1155" s="21"/>
      <c r="B1155" s="4"/>
      <c r="C1155" s="22"/>
      <c r="D1155" s="5" t="str">
        <f aca="false">IF(B1155="","",IFERROR(INDEX(DE_PARA!$B$6:$B$205,MATCH(B1155,DE_PARA!$A$6:$A$205,0)),"SEM DE-PARA"))</f>
        <v/>
      </c>
      <c r="E1155" s="23" t="str">
        <f aca="false">IF(A1155="","",DATE(YEAR(A1155),MONTH(A1155),1))</f>
        <v/>
      </c>
    </row>
    <row r="1156" customFormat="false" ht="15" hidden="false" customHeight="false" outlineLevel="0" collapsed="false">
      <c r="A1156" s="21"/>
      <c r="B1156" s="4"/>
      <c r="C1156" s="22"/>
      <c r="D1156" s="5" t="str">
        <f aca="false">IF(B1156="","",IFERROR(INDEX(DE_PARA!$B$6:$B$205,MATCH(B1156,DE_PARA!$A$6:$A$205,0)),"SEM DE-PARA"))</f>
        <v/>
      </c>
      <c r="E1156" s="23" t="str">
        <f aca="false">IF(A1156="","",DATE(YEAR(A1156),MONTH(A1156),1))</f>
        <v/>
      </c>
    </row>
    <row r="1157" customFormat="false" ht="15" hidden="false" customHeight="false" outlineLevel="0" collapsed="false">
      <c r="A1157" s="21"/>
      <c r="B1157" s="4"/>
      <c r="C1157" s="22"/>
      <c r="D1157" s="5" t="str">
        <f aca="false">IF(B1157="","",IFERROR(INDEX(DE_PARA!$B$6:$B$205,MATCH(B1157,DE_PARA!$A$6:$A$205,0)),"SEM DE-PARA"))</f>
        <v/>
      </c>
      <c r="E1157" s="23" t="str">
        <f aca="false">IF(A1157="","",DATE(YEAR(A1157),MONTH(A1157),1))</f>
        <v/>
      </c>
    </row>
    <row r="1158" customFormat="false" ht="15" hidden="false" customHeight="false" outlineLevel="0" collapsed="false">
      <c r="A1158" s="21"/>
      <c r="B1158" s="4"/>
      <c r="C1158" s="22"/>
      <c r="D1158" s="5" t="str">
        <f aca="false">IF(B1158="","",IFERROR(INDEX(DE_PARA!$B$6:$B$205,MATCH(B1158,DE_PARA!$A$6:$A$205,0)),"SEM DE-PARA"))</f>
        <v/>
      </c>
      <c r="E1158" s="23" t="str">
        <f aca="false">IF(A1158="","",DATE(YEAR(A1158),MONTH(A1158),1))</f>
        <v/>
      </c>
    </row>
    <row r="1159" customFormat="false" ht="15" hidden="false" customHeight="false" outlineLevel="0" collapsed="false">
      <c r="A1159" s="21"/>
      <c r="B1159" s="4"/>
      <c r="C1159" s="22"/>
      <c r="D1159" s="5" t="str">
        <f aca="false">IF(B1159="","",IFERROR(INDEX(DE_PARA!$B$6:$B$205,MATCH(B1159,DE_PARA!$A$6:$A$205,0)),"SEM DE-PARA"))</f>
        <v/>
      </c>
      <c r="E1159" s="23" t="str">
        <f aca="false">IF(A1159="","",DATE(YEAR(A1159),MONTH(A1159),1))</f>
        <v/>
      </c>
    </row>
    <row r="1160" customFormat="false" ht="15" hidden="false" customHeight="false" outlineLevel="0" collapsed="false">
      <c r="A1160" s="21"/>
      <c r="B1160" s="4"/>
      <c r="C1160" s="22"/>
      <c r="D1160" s="5" t="str">
        <f aca="false">IF(B1160="","",IFERROR(INDEX(DE_PARA!$B$6:$B$205,MATCH(B1160,DE_PARA!$A$6:$A$205,0)),"SEM DE-PARA"))</f>
        <v/>
      </c>
      <c r="E1160" s="23" t="str">
        <f aca="false">IF(A1160="","",DATE(YEAR(A1160),MONTH(A1160),1))</f>
        <v/>
      </c>
    </row>
    <row r="1161" customFormat="false" ht="15" hidden="false" customHeight="false" outlineLevel="0" collapsed="false">
      <c r="A1161" s="21"/>
      <c r="B1161" s="4"/>
      <c r="C1161" s="22"/>
      <c r="D1161" s="5" t="str">
        <f aca="false">IF(B1161="","",IFERROR(INDEX(DE_PARA!$B$6:$B$205,MATCH(B1161,DE_PARA!$A$6:$A$205,0)),"SEM DE-PARA"))</f>
        <v/>
      </c>
      <c r="E1161" s="23" t="str">
        <f aca="false">IF(A1161="","",DATE(YEAR(A1161),MONTH(A1161),1))</f>
        <v/>
      </c>
    </row>
    <row r="1162" customFormat="false" ht="15" hidden="false" customHeight="false" outlineLevel="0" collapsed="false">
      <c r="A1162" s="21"/>
      <c r="B1162" s="4"/>
      <c r="C1162" s="22"/>
      <c r="D1162" s="5" t="str">
        <f aca="false">IF(B1162="","",IFERROR(INDEX(DE_PARA!$B$6:$B$205,MATCH(B1162,DE_PARA!$A$6:$A$205,0)),"SEM DE-PARA"))</f>
        <v/>
      </c>
      <c r="E1162" s="23" t="str">
        <f aca="false">IF(A1162="","",DATE(YEAR(A1162),MONTH(A1162),1))</f>
        <v/>
      </c>
    </row>
    <row r="1163" customFormat="false" ht="15" hidden="false" customHeight="false" outlineLevel="0" collapsed="false">
      <c r="A1163" s="21"/>
      <c r="B1163" s="4"/>
      <c r="C1163" s="22"/>
      <c r="D1163" s="5" t="str">
        <f aca="false">IF(B1163="","",IFERROR(INDEX(DE_PARA!$B$6:$B$205,MATCH(B1163,DE_PARA!$A$6:$A$205,0)),"SEM DE-PARA"))</f>
        <v/>
      </c>
      <c r="E1163" s="23" t="str">
        <f aca="false">IF(A1163="","",DATE(YEAR(A1163),MONTH(A1163),1))</f>
        <v/>
      </c>
    </row>
    <row r="1164" customFormat="false" ht="15" hidden="false" customHeight="false" outlineLevel="0" collapsed="false">
      <c r="A1164" s="21"/>
      <c r="B1164" s="4"/>
      <c r="C1164" s="22"/>
      <c r="D1164" s="5" t="str">
        <f aca="false">IF(B1164="","",IFERROR(INDEX(DE_PARA!$B$6:$B$205,MATCH(B1164,DE_PARA!$A$6:$A$205,0)),"SEM DE-PARA"))</f>
        <v/>
      </c>
      <c r="E1164" s="23" t="str">
        <f aca="false">IF(A1164="","",DATE(YEAR(A1164),MONTH(A1164),1))</f>
        <v/>
      </c>
    </row>
    <row r="1165" customFormat="false" ht="15" hidden="false" customHeight="false" outlineLevel="0" collapsed="false">
      <c r="A1165" s="21"/>
      <c r="B1165" s="4"/>
      <c r="C1165" s="22"/>
      <c r="D1165" s="5" t="str">
        <f aca="false">IF(B1165="","",IFERROR(INDEX(DE_PARA!$B$6:$B$205,MATCH(B1165,DE_PARA!$A$6:$A$205,0)),"SEM DE-PARA"))</f>
        <v/>
      </c>
      <c r="E1165" s="23" t="str">
        <f aca="false">IF(A1165="","",DATE(YEAR(A1165),MONTH(A1165),1))</f>
        <v/>
      </c>
    </row>
    <row r="1166" customFormat="false" ht="15" hidden="false" customHeight="false" outlineLevel="0" collapsed="false">
      <c r="A1166" s="21"/>
      <c r="B1166" s="4"/>
      <c r="C1166" s="22"/>
      <c r="D1166" s="5" t="str">
        <f aca="false">IF(B1166="","",IFERROR(INDEX(DE_PARA!$B$6:$B$205,MATCH(B1166,DE_PARA!$A$6:$A$205,0)),"SEM DE-PARA"))</f>
        <v/>
      </c>
      <c r="E1166" s="23" t="str">
        <f aca="false">IF(A1166="","",DATE(YEAR(A1166),MONTH(A1166),1))</f>
        <v/>
      </c>
    </row>
    <row r="1167" customFormat="false" ht="15" hidden="false" customHeight="false" outlineLevel="0" collapsed="false">
      <c r="A1167" s="21"/>
      <c r="B1167" s="4"/>
      <c r="C1167" s="22"/>
      <c r="D1167" s="5" t="str">
        <f aca="false">IF(B1167="","",IFERROR(INDEX(DE_PARA!$B$6:$B$205,MATCH(B1167,DE_PARA!$A$6:$A$205,0)),"SEM DE-PARA"))</f>
        <v/>
      </c>
      <c r="E1167" s="23" t="str">
        <f aca="false">IF(A1167="","",DATE(YEAR(A1167),MONTH(A1167),1))</f>
        <v/>
      </c>
    </row>
    <row r="1168" customFormat="false" ht="15" hidden="false" customHeight="false" outlineLevel="0" collapsed="false">
      <c r="A1168" s="21"/>
      <c r="B1168" s="4"/>
      <c r="C1168" s="22"/>
      <c r="D1168" s="5" t="str">
        <f aca="false">IF(B1168="","",IFERROR(INDEX(DE_PARA!$B$6:$B$205,MATCH(B1168,DE_PARA!$A$6:$A$205,0)),"SEM DE-PARA"))</f>
        <v/>
      </c>
      <c r="E1168" s="23" t="str">
        <f aca="false">IF(A1168="","",DATE(YEAR(A1168),MONTH(A1168),1))</f>
        <v/>
      </c>
    </row>
    <row r="1169" customFormat="false" ht="15" hidden="false" customHeight="false" outlineLevel="0" collapsed="false">
      <c r="A1169" s="21"/>
      <c r="B1169" s="4"/>
      <c r="C1169" s="22"/>
      <c r="D1169" s="5" t="str">
        <f aca="false">IF(B1169="","",IFERROR(INDEX(DE_PARA!$B$6:$B$205,MATCH(B1169,DE_PARA!$A$6:$A$205,0)),"SEM DE-PARA"))</f>
        <v/>
      </c>
      <c r="E1169" s="23" t="str">
        <f aca="false">IF(A1169="","",DATE(YEAR(A1169),MONTH(A1169),1))</f>
        <v/>
      </c>
    </row>
    <row r="1170" customFormat="false" ht="15" hidden="false" customHeight="false" outlineLevel="0" collapsed="false">
      <c r="A1170" s="21"/>
      <c r="B1170" s="4"/>
      <c r="C1170" s="22"/>
      <c r="D1170" s="5" t="str">
        <f aca="false">IF(B1170="","",IFERROR(INDEX(DE_PARA!$B$6:$B$205,MATCH(B1170,DE_PARA!$A$6:$A$205,0)),"SEM DE-PARA"))</f>
        <v/>
      </c>
      <c r="E1170" s="23" t="str">
        <f aca="false">IF(A1170="","",DATE(YEAR(A1170),MONTH(A1170),1))</f>
        <v/>
      </c>
    </row>
    <row r="1171" customFormat="false" ht="15" hidden="false" customHeight="false" outlineLevel="0" collapsed="false">
      <c r="A1171" s="21"/>
      <c r="B1171" s="4"/>
      <c r="C1171" s="22"/>
      <c r="D1171" s="5" t="str">
        <f aca="false">IF(B1171="","",IFERROR(INDEX(DE_PARA!$B$6:$B$205,MATCH(B1171,DE_PARA!$A$6:$A$205,0)),"SEM DE-PARA"))</f>
        <v/>
      </c>
      <c r="E1171" s="23" t="str">
        <f aca="false">IF(A1171="","",DATE(YEAR(A1171),MONTH(A1171),1))</f>
        <v/>
      </c>
    </row>
    <row r="1172" customFormat="false" ht="15" hidden="false" customHeight="false" outlineLevel="0" collapsed="false">
      <c r="A1172" s="21"/>
      <c r="B1172" s="4"/>
      <c r="C1172" s="22"/>
      <c r="D1172" s="5" t="str">
        <f aca="false">IF(B1172="","",IFERROR(INDEX(DE_PARA!$B$6:$B$205,MATCH(B1172,DE_PARA!$A$6:$A$205,0)),"SEM DE-PARA"))</f>
        <v/>
      </c>
      <c r="E1172" s="23" t="str">
        <f aca="false">IF(A1172="","",DATE(YEAR(A1172),MONTH(A1172),1))</f>
        <v/>
      </c>
    </row>
    <row r="1173" customFormat="false" ht="15" hidden="false" customHeight="false" outlineLevel="0" collapsed="false">
      <c r="A1173" s="21"/>
      <c r="B1173" s="4"/>
      <c r="C1173" s="22"/>
      <c r="D1173" s="5" t="str">
        <f aca="false">IF(B1173="","",IFERROR(INDEX(DE_PARA!$B$6:$B$205,MATCH(B1173,DE_PARA!$A$6:$A$205,0)),"SEM DE-PARA"))</f>
        <v/>
      </c>
      <c r="E1173" s="23" t="str">
        <f aca="false">IF(A1173="","",DATE(YEAR(A1173),MONTH(A1173),1))</f>
        <v/>
      </c>
    </row>
    <row r="1174" customFormat="false" ht="15" hidden="false" customHeight="false" outlineLevel="0" collapsed="false">
      <c r="A1174" s="21"/>
      <c r="B1174" s="4"/>
      <c r="C1174" s="22"/>
      <c r="D1174" s="5" t="str">
        <f aca="false">IF(B1174="","",IFERROR(INDEX(DE_PARA!$B$6:$B$205,MATCH(B1174,DE_PARA!$A$6:$A$205,0)),"SEM DE-PARA"))</f>
        <v/>
      </c>
      <c r="E1174" s="23" t="str">
        <f aca="false">IF(A1174="","",DATE(YEAR(A1174),MONTH(A1174),1))</f>
        <v/>
      </c>
    </row>
    <row r="1175" customFormat="false" ht="15" hidden="false" customHeight="false" outlineLevel="0" collapsed="false">
      <c r="A1175" s="21"/>
      <c r="B1175" s="4"/>
      <c r="C1175" s="22"/>
      <c r="D1175" s="5" t="str">
        <f aca="false">IF(B1175="","",IFERROR(INDEX(DE_PARA!$B$6:$B$205,MATCH(B1175,DE_PARA!$A$6:$A$205,0)),"SEM DE-PARA"))</f>
        <v/>
      </c>
      <c r="E1175" s="23" t="str">
        <f aca="false">IF(A1175="","",DATE(YEAR(A1175),MONTH(A1175),1))</f>
        <v/>
      </c>
    </row>
    <row r="1176" customFormat="false" ht="15" hidden="false" customHeight="false" outlineLevel="0" collapsed="false">
      <c r="A1176" s="21"/>
      <c r="B1176" s="4"/>
      <c r="C1176" s="22"/>
      <c r="D1176" s="5" t="str">
        <f aca="false">IF(B1176="","",IFERROR(INDEX(DE_PARA!$B$6:$B$205,MATCH(B1176,DE_PARA!$A$6:$A$205,0)),"SEM DE-PARA"))</f>
        <v/>
      </c>
      <c r="E1176" s="23" t="str">
        <f aca="false">IF(A1176="","",DATE(YEAR(A1176),MONTH(A1176),1))</f>
        <v/>
      </c>
    </row>
    <row r="1177" customFormat="false" ht="15" hidden="false" customHeight="false" outlineLevel="0" collapsed="false">
      <c r="A1177" s="21"/>
      <c r="B1177" s="4"/>
      <c r="C1177" s="22"/>
      <c r="D1177" s="5" t="str">
        <f aca="false">IF(B1177="","",IFERROR(INDEX(DE_PARA!$B$6:$B$205,MATCH(B1177,DE_PARA!$A$6:$A$205,0)),"SEM DE-PARA"))</f>
        <v/>
      </c>
      <c r="E1177" s="23" t="str">
        <f aca="false">IF(A1177="","",DATE(YEAR(A1177),MONTH(A1177),1))</f>
        <v/>
      </c>
    </row>
    <row r="1178" customFormat="false" ht="15" hidden="false" customHeight="false" outlineLevel="0" collapsed="false">
      <c r="A1178" s="21"/>
      <c r="B1178" s="4"/>
      <c r="C1178" s="22"/>
      <c r="D1178" s="5" t="str">
        <f aca="false">IF(B1178="","",IFERROR(INDEX(DE_PARA!$B$6:$B$205,MATCH(B1178,DE_PARA!$A$6:$A$205,0)),"SEM DE-PARA"))</f>
        <v/>
      </c>
      <c r="E1178" s="23" t="str">
        <f aca="false">IF(A1178="","",DATE(YEAR(A1178),MONTH(A1178),1))</f>
        <v/>
      </c>
    </row>
    <row r="1179" customFormat="false" ht="15" hidden="false" customHeight="false" outlineLevel="0" collapsed="false">
      <c r="A1179" s="21"/>
      <c r="B1179" s="4"/>
      <c r="C1179" s="22"/>
      <c r="D1179" s="5" t="str">
        <f aca="false">IF(B1179="","",IFERROR(INDEX(DE_PARA!$B$6:$B$205,MATCH(B1179,DE_PARA!$A$6:$A$205,0)),"SEM DE-PARA"))</f>
        <v/>
      </c>
      <c r="E1179" s="23" t="str">
        <f aca="false">IF(A1179="","",DATE(YEAR(A1179),MONTH(A1179),1))</f>
        <v/>
      </c>
    </row>
    <row r="1180" customFormat="false" ht="15" hidden="false" customHeight="false" outlineLevel="0" collapsed="false">
      <c r="A1180" s="21"/>
      <c r="B1180" s="4"/>
      <c r="C1180" s="22"/>
      <c r="D1180" s="5" t="str">
        <f aca="false">IF(B1180="","",IFERROR(INDEX(DE_PARA!$B$6:$B$205,MATCH(B1180,DE_PARA!$A$6:$A$205,0)),"SEM DE-PARA"))</f>
        <v/>
      </c>
      <c r="E1180" s="23" t="str">
        <f aca="false">IF(A1180="","",DATE(YEAR(A1180),MONTH(A1180),1))</f>
        <v/>
      </c>
    </row>
    <row r="1181" customFormat="false" ht="15" hidden="false" customHeight="false" outlineLevel="0" collapsed="false">
      <c r="A1181" s="21"/>
      <c r="B1181" s="4"/>
      <c r="C1181" s="22"/>
      <c r="D1181" s="5" t="str">
        <f aca="false">IF(B1181="","",IFERROR(INDEX(DE_PARA!$B$6:$B$205,MATCH(B1181,DE_PARA!$A$6:$A$205,0)),"SEM DE-PARA"))</f>
        <v/>
      </c>
      <c r="E1181" s="23" t="str">
        <f aca="false">IF(A1181="","",DATE(YEAR(A1181),MONTH(A1181),1))</f>
        <v/>
      </c>
    </row>
    <row r="1182" customFormat="false" ht="15" hidden="false" customHeight="false" outlineLevel="0" collapsed="false">
      <c r="A1182" s="21"/>
      <c r="B1182" s="4"/>
      <c r="C1182" s="22"/>
      <c r="D1182" s="5" t="str">
        <f aca="false">IF(B1182="","",IFERROR(INDEX(DE_PARA!$B$6:$B$205,MATCH(B1182,DE_PARA!$A$6:$A$205,0)),"SEM DE-PARA"))</f>
        <v/>
      </c>
      <c r="E1182" s="23" t="str">
        <f aca="false">IF(A1182="","",DATE(YEAR(A1182),MONTH(A1182),1))</f>
        <v/>
      </c>
    </row>
    <row r="1183" customFormat="false" ht="15" hidden="false" customHeight="false" outlineLevel="0" collapsed="false">
      <c r="A1183" s="21"/>
      <c r="B1183" s="4"/>
      <c r="C1183" s="22"/>
      <c r="D1183" s="5" t="str">
        <f aca="false">IF(B1183="","",IFERROR(INDEX(DE_PARA!$B$6:$B$205,MATCH(B1183,DE_PARA!$A$6:$A$205,0)),"SEM DE-PARA"))</f>
        <v/>
      </c>
      <c r="E1183" s="23" t="str">
        <f aca="false">IF(A1183="","",DATE(YEAR(A1183),MONTH(A1183),1))</f>
        <v/>
      </c>
    </row>
    <row r="1184" customFormat="false" ht="15" hidden="false" customHeight="false" outlineLevel="0" collapsed="false">
      <c r="A1184" s="21"/>
      <c r="B1184" s="4"/>
      <c r="C1184" s="22"/>
      <c r="D1184" s="5" t="str">
        <f aca="false">IF(B1184="","",IFERROR(INDEX(DE_PARA!$B$6:$B$205,MATCH(B1184,DE_PARA!$A$6:$A$205,0)),"SEM DE-PARA"))</f>
        <v/>
      </c>
      <c r="E1184" s="23" t="str">
        <f aca="false">IF(A1184="","",DATE(YEAR(A1184),MONTH(A1184),1))</f>
        <v/>
      </c>
    </row>
    <row r="1185" customFormat="false" ht="15" hidden="false" customHeight="false" outlineLevel="0" collapsed="false">
      <c r="A1185" s="21"/>
      <c r="B1185" s="4"/>
      <c r="C1185" s="22"/>
      <c r="D1185" s="5" t="str">
        <f aca="false">IF(B1185="","",IFERROR(INDEX(DE_PARA!$B$6:$B$205,MATCH(B1185,DE_PARA!$A$6:$A$205,0)),"SEM DE-PARA"))</f>
        <v/>
      </c>
      <c r="E1185" s="23" t="str">
        <f aca="false">IF(A1185="","",DATE(YEAR(A1185),MONTH(A1185),1))</f>
        <v/>
      </c>
    </row>
    <row r="1186" customFormat="false" ht="15" hidden="false" customHeight="false" outlineLevel="0" collapsed="false">
      <c r="A1186" s="21"/>
      <c r="B1186" s="4"/>
      <c r="C1186" s="22"/>
      <c r="D1186" s="5" t="str">
        <f aca="false">IF(B1186="","",IFERROR(INDEX(DE_PARA!$B$6:$B$205,MATCH(B1186,DE_PARA!$A$6:$A$205,0)),"SEM DE-PARA"))</f>
        <v/>
      </c>
      <c r="E1186" s="23" t="str">
        <f aca="false">IF(A1186="","",DATE(YEAR(A1186),MONTH(A1186),1))</f>
        <v/>
      </c>
    </row>
    <row r="1187" customFormat="false" ht="15" hidden="false" customHeight="false" outlineLevel="0" collapsed="false">
      <c r="A1187" s="21"/>
      <c r="B1187" s="4"/>
      <c r="C1187" s="22"/>
      <c r="D1187" s="5" t="str">
        <f aca="false">IF(B1187="","",IFERROR(INDEX(DE_PARA!$B$6:$B$205,MATCH(B1187,DE_PARA!$A$6:$A$205,0)),"SEM DE-PARA"))</f>
        <v/>
      </c>
      <c r="E1187" s="23" t="str">
        <f aca="false">IF(A1187="","",DATE(YEAR(A1187),MONTH(A1187),1))</f>
        <v/>
      </c>
    </row>
    <row r="1188" customFormat="false" ht="15" hidden="false" customHeight="false" outlineLevel="0" collapsed="false">
      <c r="A1188" s="21"/>
      <c r="B1188" s="4"/>
      <c r="C1188" s="22"/>
      <c r="D1188" s="5" t="str">
        <f aca="false">IF(B1188="","",IFERROR(INDEX(DE_PARA!$B$6:$B$205,MATCH(B1188,DE_PARA!$A$6:$A$205,0)),"SEM DE-PARA"))</f>
        <v/>
      </c>
      <c r="E1188" s="23" t="str">
        <f aca="false">IF(A1188="","",DATE(YEAR(A1188),MONTH(A1188),1))</f>
        <v/>
      </c>
    </row>
    <row r="1189" customFormat="false" ht="15" hidden="false" customHeight="false" outlineLevel="0" collapsed="false">
      <c r="A1189" s="21"/>
      <c r="B1189" s="4"/>
      <c r="C1189" s="22"/>
      <c r="D1189" s="5" t="str">
        <f aca="false">IF(B1189="","",IFERROR(INDEX(DE_PARA!$B$6:$B$205,MATCH(B1189,DE_PARA!$A$6:$A$205,0)),"SEM DE-PARA"))</f>
        <v/>
      </c>
      <c r="E1189" s="23" t="str">
        <f aca="false">IF(A1189="","",DATE(YEAR(A1189),MONTH(A1189),1))</f>
        <v/>
      </c>
    </row>
    <row r="1190" customFormat="false" ht="15" hidden="false" customHeight="false" outlineLevel="0" collapsed="false">
      <c r="A1190" s="21"/>
      <c r="B1190" s="4"/>
      <c r="C1190" s="22"/>
      <c r="D1190" s="5" t="str">
        <f aca="false">IF(B1190="","",IFERROR(INDEX(DE_PARA!$B$6:$B$205,MATCH(B1190,DE_PARA!$A$6:$A$205,0)),"SEM DE-PARA"))</f>
        <v/>
      </c>
      <c r="E1190" s="23" t="str">
        <f aca="false">IF(A1190="","",DATE(YEAR(A1190),MONTH(A1190),1))</f>
        <v/>
      </c>
    </row>
    <row r="1191" customFormat="false" ht="15" hidden="false" customHeight="false" outlineLevel="0" collapsed="false">
      <c r="A1191" s="21"/>
      <c r="B1191" s="4"/>
      <c r="C1191" s="22"/>
      <c r="D1191" s="5" t="str">
        <f aca="false">IF(B1191="","",IFERROR(INDEX(DE_PARA!$B$6:$B$205,MATCH(B1191,DE_PARA!$A$6:$A$205,0)),"SEM DE-PARA"))</f>
        <v/>
      </c>
      <c r="E1191" s="23" t="str">
        <f aca="false">IF(A1191="","",DATE(YEAR(A1191),MONTH(A1191),1))</f>
        <v/>
      </c>
    </row>
    <row r="1192" customFormat="false" ht="15" hidden="false" customHeight="false" outlineLevel="0" collapsed="false">
      <c r="A1192" s="21"/>
      <c r="B1192" s="4"/>
      <c r="C1192" s="22"/>
      <c r="D1192" s="5" t="str">
        <f aca="false">IF(B1192="","",IFERROR(INDEX(DE_PARA!$B$6:$B$205,MATCH(B1192,DE_PARA!$A$6:$A$205,0)),"SEM DE-PARA"))</f>
        <v/>
      </c>
      <c r="E1192" s="23" t="str">
        <f aca="false">IF(A1192="","",DATE(YEAR(A1192),MONTH(A1192),1))</f>
        <v/>
      </c>
    </row>
    <row r="1193" customFormat="false" ht="15" hidden="false" customHeight="false" outlineLevel="0" collapsed="false">
      <c r="A1193" s="21"/>
      <c r="B1193" s="4"/>
      <c r="C1193" s="22"/>
      <c r="D1193" s="5" t="str">
        <f aca="false">IF(B1193="","",IFERROR(INDEX(DE_PARA!$B$6:$B$205,MATCH(B1193,DE_PARA!$A$6:$A$205,0)),"SEM DE-PARA"))</f>
        <v/>
      </c>
      <c r="E1193" s="23" t="str">
        <f aca="false">IF(A1193="","",DATE(YEAR(A1193),MONTH(A1193),1))</f>
        <v/>
      </c>
    </row>
    <row r="1194" customFormat="false" ht="15" hidden="false" customHeight="false" outlineLevel="0" collapsed="false">
      <c r="A1194" s="21"/>
      <c r="B1194" s="4"/>
      <c r="C1194" s="22"/>
      <c r="D1194" s="5" t="str">
        <f aca="false">IF(B1194="","",IFERROR(INDEX(DE_PARA!$B$6:$B$205,MATCH(B1194,DE_PARA!$A$6:$A$205,0)),"SEM DE-PARA"))</f>
        <v/>
      </c>
      <c r="E1194" s="23" t="str">
        <f aca="false">IF(A1194="","",DATE(YEAR(A1194),MONTH(A1194),1))</f>
        <v/>
      </c>
    </row>
    <row r="1195" customFormat="false" ht="15" hidden="false" customHeight="false" outlineLevel="0" collapsed="false">
      <c r="A1195" s="21"/>
      <c r="B1195" s="4"/>
      <c r="C1195" s="22"/>
      <c r="D1195" s="5" t="str">
        <f aca="false">IF(B1195="","",IFERROR(INDEX(DE_PARA!$B$6:$B$205,MATCH(B1195,DE_PARA!$A$6:$A$205,0)),"SEM DE-PARA"))</f>
        <v/>
      </c>
      <c r="E1195" s="23" t="str">
        <f aca="false">IF(A1195="","",DATE(YEAR(A1195),MONTH(A1195),1))</f>
        <v/>
      </c>
    </row>
    <row r="1196" customFormat="false" ht="15" hidden="false" customHeight="false" outlineLevel="0" collapsed="false">
      <c r="A1196" s="21"/>
      <c r="B1196" s="4"/>
      <c r="C1196" s="22"/>
      <c r="D1196" s="5" t="str">
        <f aca="false">IF(B1196="","",IFERROR(INDEX(DE_PARA!$B$6:$B$205,MATCH(B1196,DE_PARA!$A$6:$A$205,0)),"SEM DE-PARA"))</f>
        <v/>
      </c>
      <c r="E1196" s="23" t="str">
        <f aca="false">IF(A1196="","",DATE(YEAR(A1196),MONTH(A1196),1))</f>
        <v/>
      </c>
    </row>
    <row r="1197" customFormat="false" ht="15" hidden="false" customHeight="false" outlineLevel="0" collapsed="false">
      <c r="A1197" s="21"/>
      <c r="B1197" s="4"/>
      <c r="C1197" s="22"/>
      <c r="D1197" s="5" t="str">
        <f aca="false">IF(B1197="","",IFERROR(INDEX(DE_PARA!$B$6:$B$205,MATCH(B1197,DE_PARA!$A$6:$A$205,0)),"SEM DE-PARA"))</f>
        <v/>
      </c>
      <c r="E1197" s="23" t="str">
        <f aca="false">IF(A1197="","",DATE(YEAR(A1197),MONTH(A1197),1))</f>
        <v/>
      </c>
    </row>
    <row r="1198" customFormat="false" ht="15" hidden="false" customHeight="false" outlineLevel="0" collapsed="false">
      <c r="A1198" s="21"/>
      <c r="B1198" s="4"/>
      <c r="C1198" s="22"/>
      <c r="D1198" s="5" t="str">
        <f aca="false">IF(B1198="","",IFERROR(INDEX(DE_PARA!$B$6:$B$205,MATCH(B1198,DE_PARA!$A$6:$A$205,0)),"SEM DE-PARA"))</f>
        <v/>
      </c>
      <c r="E1198" s="23" t="str">
        <f aca="false">IF(A1198="","",DATE(YEAR(A1198),MONTH(A1198),1))</f>
        <v/>
      </c>
    </row>
    <row r="1199" customFormat="false" ht="15" hidden="false" customHeight="false" outlineLevel="0" collapsed="false">
      <c r="A1199" s="21"/>
      <c r="B1199" s="4"/>
      <c r="C1199" s="22"/>
      <c r="D1199" s="5" t="str">
        <f aca="false">IF(B1199="","",IFERROR(INDEX(DE_PARA!$B$6:$B$205,MATCH(B1199,DE_PARA!$A$6:$A$205,0)),"SEM DE-PARA"))</f>
        <v/>
      </c>
      <c r="E1199" s="23" t="str">
        <f aca="false">IF(A1199="","",DATE(YEAR(A1199),MONTH(A1199),1))</f>
        <v/>
      </c>
    </row>
    <row r="1200" customFormat="false" ht="15" hidden="false" customHeight="false" outlineLevel="0" collapsed="false">
      <c r="A1200" s="21"/>
      <c r="B1200" s="4"/>
      <c r="C1200" s="22"/>
      <c r="D1200" s="5" t="str">
        <f aca="false">IF(B1200="","",IFERROR(INDEX(DE_PARA!$B$6:$B$205,MATCH(B1200,DE_PARA!$A$6:$A$205,0)),"SEM DE-PARA"))</f>
        <v/>
      </c>
      <c r="E1200" s="23" t="str">
        <f aca="false">IF(A1200="","",DATE(YEAR(A1200),MONTH(A1200),1))</f>
        <v/>
      </c>
    </row>
    <row r="1201" customFormat="false" ht="15" hidden="false" customHeight="false" outlineLevel="0" collapsed="false">
      <c r="A1201" s="21"/>
      <c r="B1201" s="4"/>
      <c r="C1201" s="22"/>
      <c r="D1201" s="5" t="str">
        <f aca="false">IF(B1201="","",IFERROR(INDEX(DE_PARA!$B$6:$B$205,MATCH(B1201,DE_PARA!$A$6:$A$205,0)),"SEM DE-PARA"))</f>
        <v/>
      </c>
      <c r="E1201" s="23" t="str">
        <f aca="false">IF(A1201="","",DATE(YEAR(A1201),MONTH(A1201),1))</f>
        <v/>
      </c>
    </row>
    <row r="1202" customFormat="false" ht="15" hidden="false" customHeight="false" outlineLevel="0" collapsed="false">
      <c r="A1202" s="21"/>
      <c r="B1202" s="4"/>
      <c r="C1202" s="22"/>
      <c r="D1202" s="5" t="str">
        <f aca="false">IF(B1202="","",IFERROR(INDEX(DE_PARA!$B$6:$B$205,MATCH(B1202,DE_PARA!$A$6:$A$205,0)),"SEM DE-PARA"))</f>
        <v/>
      </c>
      <c r="E1202" s="23" t="str">
        <f aca="false">IF(A1202="","",DATE(YEAR(A1202),MONTH(A1202),1))</f>
        <v/>
      </c>
    </row>
    <row r="1203" customFormat="false" ht="15" hidden="false" customHeight="false" outlineLevel="0" collapsed="false">
      <c r="A1203" s="21"/>
      <c r="B1203" s="4"/>
      <c r="C1203" s="22"/>
      <c r="D1203" s="5" t="str">
        <f aca="false">IF(B1203="","",IFERROR(INDEX(DE_PARA!$B$6:$B$205,MATCH(B1203,DE_PARA!$A$6:$A$205,0)),"SEM DE-PARA"))</f>
        <v/>
      </c>
      <c r="E1203" s="23" t="str">
        <f aca="false">IF(A1203="","",DATE(YEAR(A1203),MONTH(A1203),1))</f>
        <v/>
      </c>
    </row>
    <row r="1204" customFormat="false" ht="15" hidden="false" customHeight="false" outlineLevel="0" collapsed="false">
      <c r="A1204" s="21"/>
      <c r="B1204" s="4"/>
      <c r="C1204" s="22"/>
      <c r="D1204" s="5" t="str">
        <f aca="false">IF(B1204="","",IFERROR(INDEX(DE_PARA!$B$6:$B$205,MATCH(B1204,DE_PARA!$A$6:$A$205,0)),"SEM DE-PARA"))</f>
        <v/>
      </c>
      <c r="E1204" s="23" t="str">
        <f aca="false">IF(A1204="","",DATE(YEAR(A1204),MONTH(A1204),1))</f>
        <v/>
      </c>
    </row>
    <row r="1205" customFormat="false" ht="15" hidden="false" customHeight="false" outlineLevel="0" collapsed="false">
      <c r="A1205" s="21"/>
      <c r="B1205" s="4"/>
      <c r="C1205" s="22"/>
      <c r="D1205" s="5" t="str">
        <f aca="false">IF(B1205="","",IFERROR(INDEX(DE_PARA!$B$6:$B$205,MATCH(B1205,DE_PARA!$A$6:$A$205,0)),"SEM DE-PARA"))</f>
        <v/>
      </c>
      <c r="E1205" s="23" t="str">
        <f aca="false">IF(A1205="","",DATE(YEAR(A1205),MONTH(A1205),1))</f>
        <v/>
      </c>
    </row>
    <row r="1206" customFormat="false" ht="15" hidden="false" customHeight="false" outlineLevel="0" collapsed="false">
      <c r="A1206" s="21"/>
      <c r="B1206" s="4"/>
      <c r="C1206" s="22"/>
      <c r="D1206" s="5" t="str">
        <f aca="false">IF(B1206="","",IFERROR(INDEX(DE_PARA!$B$6:$B$205,MATCH(B1206,DE_PARA!$A$6:$A$205,0)),"SEM DE-PARA"))</f>
        <v/>
      </c>
      <c r="E1206" s="23" t="str">
        <f aca="false">IF(A1206="","",DATE(YEAR(A1206),MONTH(A1206),1))</f>
        <v/>
      </c>
    </row>
    <row r="1207" customFormat="false" ht="15" hidden="false" customHeight="false" outlineLevel="0" collapsed="false">
      <c r="A1207" s="21"/>
      <c r="B1207" s="4"/>
      <c r="C1207" s="22"/>
      <c r="D1207" s="5" t="str">
        <f aca="false">IF(B1207="","",IFERROR(INDEX(DE_PARA!$B$6:$B$205,MATCH(B1207,DE_PARA!$A$6:$A$205,0)),"SEM DE-PARA"))</f>
        <v/>
      </c>
      <c r="E1207" s="23" t="str">
        <f aca="false">IF(A1207="","",DATE(YEAR(A1207),MONTH(A1207),1))</f>
        <v/>
      </c>
    </row>
    <row r="1208" customFormat="false" ht="15" hidden="false" customHeight="false" outlineLevel="0" collapsed="false">
      <c r="A1208" s="21"/>
      <c r="B1208" s="4"/>
      <c r="C1208" s="22"/>
      <c r="D1208" s="5" t="str">
        <f aca="false">IF(B1208="","",IFERROR(INDEX(DE_PARA!$B$6:$B$205,MATCH(B1208,DE_PARA!$A$6:$A$205,0)),"SEM DE-PARA"))</f>
        <v/>
      </c>
      <c r="E1208" s="23" t="str">
        <f aca="false">IF(A1208="","",DATE(YEAR(A1208),MONTH(A1208),1))</f>
        <v/>
      </c>
    </row>
    <row r="1209" customFormat="false" ht="15" hidden="false" customHeight="false" outlineLevel="0" collapsed="false">
      <c r="A1209" s="21"/>
      <c r="B1209" s="4"/>
      <c r="C1209" s="22"/>
      <c r="D1209" s="5" t="str">
        <f aca="false">IF(B1209="","",IFERROR(INDEX(DE_PARA!$B$6:$B$205,MATCH(B1209,DE_PARA!$A$6:$A$205,0)),"SEM DE-PARA"))</f>
        <v/>
      </c>
      <c r="E1209" s="23" t="str">
        <f aca="false">IF(A1209="","",DATE(YEAR(A1209),MONTH(A1209),1))</f>
        <v/>
      </c>
    </row>
    <row r="1210" customFormat="false" ht="15" hidden="false" customHeight="false" outlineLevel="0" collapsed="false">
      <c r="A1210" s="21"/>
      <c r="B1210" s="4"/>
      <c r="C1210" s="22"/>
      <c r="D1210" s="5" t="str">
        <f aca="false">IF(B1210="","",IFERROR(INDEX(DE_PARA!$B$6:$B$205,MATCH(B1210,DE_PARA!$A$6:$A$205,0)),"SEM DE-PARA"))</f>
        <v/>
      </c>
      <c r="E1210" s="23" t="str">
        <f aca="false">IF(A1210="","",DATE(YEAR(A1210),MONTH(A1210),1))</f>
        <v/>
      </c>
    </row>
    <row r="1211" customFormat="false" ht="15" hidden="false" customHeight="false" outlineLevel="0" collapsed="false">
      <c r="A1211" s="21"/>
      <c r="B1211" s="4"/>
      <c r="C1211" s="22"/>
      <c r="D1211" s="5" t="str">
        <f aca="false">IF(B1211="","",IFERROR(INDEX(DE_PARA!$B$6:$B$205,MATCH(B1211,DE_PARA!$A$6:$A$205,0)),"SEM DE-PARA"))</f>
        <v/>
      </c>
      <c r="E1211" s="23" t="str">
        <f aca="false">IF(A1211="","",DATE(YEAR(A1211),MONTH(A1211),1))</f>
        <v/>
      </c>
    </row>
    <row r="1212" customFormat="false" ht="15" hidden="false" customHeight="false" outlineLevel="0" collapsed="false">
      <c r="A1212" s="21"/>
      <c r="B1212" s="4"/>
      <c r="C1212" s="22"/>
      <c r="D1212" s="5" t="str">
        <f aca="false">IF(B1212="","",IFERROR(INDEX(DE_PARA!$B$6:$B$205,MATCH(B1212,DE_PARA!$A$6:$A$205,0)),"SEM DE-PARA"))</f>
        <v/>
      </c>
      <c r="E1212" s="23" t="str">
        <f aca="false">IF(A1212="","",DATE(YEAR(A1212),MONTH(A1212),1))</f>
        <v/>
      </c>
    </row>
    <row r="1213" customFormat="false" ht="15" hidden="false" customHeight="false" outlineLevel="0" collapsed="false">
      <c r="A1213" s="21"/>
      <c r="B1213" s="4"/>
      <c r="C1213" s="22"/>
      <c r="D1213" s="5" t="str">
        <f aca="false">IF(B1213="","",IFERROR(INDEX(DE_PARA!$B$6:$B$205,MATCH(B1213,DE_PARA!$A$6:$A$205,0)),"SEM DE-PARA"))</f>
        <v/>
      </c>
      <c r="E1213" s="23" t="str">
        <f aca="false">IF(A1213="","",DATE(YEAR(A1213),MONTH(A1213),1))</f>
        <v/>
      </c>
    </row>
    <row r="1214" customFormat="false" ht="15" hidden="false" customHeight="false" outlineLevel="0" collapsed="false">
      <c r="A1214" s="21"/>
      <c r="B1214" s="4"/>
      <c r="C1214" s="22"/>
      <c r="D1214" s="5" t="str">
        <f aca="false">IF(B1214="","",IFERROR(INDEX(DE_PARA!$B$6:$B$205,MATCH(B1214,DE_PARA!$A$6:$A$205,0)),"SEM DE-PARA"))</f>
        <v/>
      </c>
      <c r="E1214" s="23" t="str">
        <f aca="false">IF(A1214="","",DATE(YEAR(A1214),MONTH(A1214),1))</f>
        <v/>
      </c>
    </row>
    <row r="1215" customFormat="false" ht="15" hidden="false" customHeight="false" outlineLevel="0" collapsed="false">
      <c r="A1215" s="21"/>
      <c r="B1215" s="4"/>
      <c r="C1215" s="22"/>
      <c r="D1215" s="5" t="str">
        <f aca="false">IF(B1215="","",IFERROR(INDEX(DE_PARA!$B$6:$B$205,MATCH(B1215,DE_PARA!$A$6:$A$205,0)),"SEM DE-PARA"))</f>
        <v/>
      </c>
      <c r="E1215" s="23" t="str">
        <f aca="false">IF(A1215="","",DATE(YEAR(A1215),MONTH(A1215),1))</f>
        <v/>
      </c>
    </row>
    <row r="1216" customFormat="false" ht="15" hidden="false" customHeight="false" outlineLevel="0" collapsed="false">
      <c r="A1216" s="21"/>
      <c r="B1216" s="4"/>
      <c r="C1216" s="22"/>
      <c r="D1216" s="5" t="str">
        <f aca="false">IF(B1216="","",IFERROR(INDEX(DE_PARA!$B$6:$B$205,MATCH(B1216,DE_PARA!$A$6:$A$205,0)),"SEM DE-PARA"))</f>
        <v/>
      </c>
      <c r="E1216" s="23" t="str">
        <f aca="false">IF(A1216="","",DATE(YEAR(A1216),MONTH(A1216),1))</f>
        <v/>
      </c>
    </row>
    <row r="1217" customFormat="false" ht="15" hidden="false" customHeight="false" outlineLevel="0" collapsed="false">
      <c r="A1217" s="21"/>
      <c r="B1217" s="4"/>
      <c r="C1217" s="22"/>
      <c r="D1217" s="5" t="str">
        <f aca="false">IF(B1217="","",IFERROR(INDEX(DE_PARA!$B$6:$B$205,MATCH(B1217,DE_PARA!$A$6:$A$205,0)),"SEM DE-PARA"))</f>
        <v/>
      </c>
      <c r="E1217" s="23" t="str">
        <f aca="false">IF(A1217="","",DATE(YEAR(A1217),MONTH(A1217),1))</f>
        <v/>
      </c>
    </row>
    <row r="1218" customFormat="false" ht="15" hidden="false" customHeight="false" outlineLevel="0" collapsed="false">
      <c r="A1218" s="21"/>
      <c r="B1218" s="4"/>
      <c r="C1218" s="22"/>
      <c r="D1218" s="5" t="str">
        <f aca="false">IF(B1218="","",IFERROR(INDEX(DE_PARA!$B$6:$B$205,MATCH(B1218,DE_PARA!$A$6:$A$205,0)),"SEM DE-PARA"))</f>
        <v/>
      </c>
      <c r="E1218" s="23" t="str">
        <f aca="false">IF(A1218="","",DATE(YEAR(A1218),MONTH(A1218),1))</f>
        <v/>
      </c>
    </row>
    <row r="1219" customFormat="false" ht="15" hidden="false" customHeight="false" outlineLevel="0" collapsed="false">
      <c r="A1219" s="21"/>
      <c r="B1219" s="4"/>
      <c r="C1219" s="22"/>
      <c r="D1219" s="5" t="str">
        <f aca="false">IF(B1219="","",IFERROR(INDEX(DE_PARA!$B$6:$B$205,MATCH(B1219,DE_PARA!$A$6:$A$205,0)),"SEM DE-PARA"))</f>
        <v/>
      </c>
      <c r="E1219" s="23" t="str">
        <f aca="false">IF(A1219="","",DATE(YEAR(A1219),MONTH(A1219),1))</f>
        <v/>
      </c>
    </row>
    <row r="1220" customFormat="false" ht="15" hidden="false" customHeight="false" outlineLevel="0" collapsed="false">
      <c r="A1220" s="21"/>
      <c r="B1220" s="4"/>
      <c r="C1220" s="22"/>
      <c r="D1220" s="5" t="str">
        <f aca="false">IF(B1220="","",IFERROR(INDEX(DE_PARA!$B$6:$B$205,MATCH(B1220,DE_PARA!$A$6:$A$205,0)),"SEM DE-PARA"))</f>
        <v/>
      </c>
      <c r="E1220" s="23" t="str">
        <f aca="false">IF(A1220="","",DATE(YEAR(A1220),MONTH(A1220),1))</f>
        <v/>
      </c>
    </row>
    <row r="1221" customFormat="false" ht="15" hidden="false" customHeight="false" outlineLevel="0" collapsed="false">
      <c r="A1221" s="21"/>
      <c r="B1221" s="4"/>
      <c r="C1221" s="22"/>
      <c r="D1221" s="5" t="str">
        <f aca="false">IF(B1221="","",IFERROR(INDEX(DE_PARA!$B$6:$B$205,MATCH(B1221,DE_PARA!$A$6:$A$205,0)),"SEM DE-PARA"))</f>
        <v/>
      </c>
      <c r="E1221" s="23" t="str">
        <f aca="false">IF(A1221="","",DATE(YEAR(A1221),MONTH(A1221),1))</f>
        <v/>
      </c>
    </row>
    <row r="1222" customFormat="false" ht="15" hidden="false" customHeight="false" outlineLevel="0" collapsed="false">
      <c r="A1222" s="21"/>
      <c r="B1222" s="4"/>
      <c r="C1222" s="22"/>
      <c r="D1222" s="5" t="str">
        <f aca="false">IF(B1222="","",IFERROR(INDEX(DE_PARA!$B$6:$B$205,MATCH(B1222,DE_PARA!$A$6:$A$205,0)),"SEM DE-PARA"))</f>
        <v/>
      </c>
      <c r="E1222" s="23" t="str">
        <f aca="false">IF(A1222="","",DATE(YEAR(A1222),MONTH(A1222),1))</f>
        <v/>
      </c>
    </row>
    <row r="1223" customFormat="false" ht="15" hidden="false" customHeight="false" outlineLevel="0" collapsed="false">
      <c r="A1223" s="21"/>
      <c r="B1223" s="4"/>
      <c r="C1223" s="22"/>
      <c r="D1223" s="5" t="str">
        <f aca="false">IF(B1223="","",IFERROR(INDEX(DE_PARA!$B$6:$B$205,MATCH(B1223,DE_PARA!$A$6:$A$205,0)),"SEM DE-PARA"))</f>
        <v/>
      </c>
      <c r="E1223" s="23" t="str">
        <f aca="false">IF(A1223="","",DATE(YEAR(A1223),MONTH(A1223),1))</f>
        <v/>
      </c>
    </row>
    <row r="1224" customFormat="false" ht="15" hidden="false" customHeight="false" outlineLevel="0" collapsed="false">
      <c r="A1224" s="21"/>
      <c r="B1224" s="4"/>
      <c r="C1224" s="22"/>
      <c r="D1224" s="5" t="str">
        <f aca="false">IF(B1224="","",IFERROR(INDEX(DE_PARA!$B$6:$B$205,MATCH(B1224,DE_PARA!$A$6:$A$205,0)),"SEM DE-PARA"))</f>
        <v/>
      </c>
      <c r="E1224" s="23" t="str">
        <f aca="false">IF(A1224="","",DATE(YEAR(A1224),MONTH(A1224),1))</f>
        <v/>
      </c>
    </row>
    <row r="1225" customFormat="false" ht="15" hidden="false" customHeight="false" outlineLevel="0" collapsed="false">
      <c r="A1225" s="21"/>
      <c r="B1225" s="4"/>
      <c r="C1225" s="22"/>
      <c r="D1225" s="5" t="str">
        <f aca="false">IF(B1225="","",IFERROR(INDEX(DE_PARA!$B$6:$B$205,MATCH(B1225,DE_PARA!$A$6:$A$205,0)),"SEM DE-PARA"))</f>
        <v/>
      </c>
      <c r="E1225" s="23" t="str">
        <f aca="false">IF(A1225="","",DATE(YEAR(A1225),MONTH(A1225),1))</f>
        <v/>
      </c>
    </row>
    <row r="1226" customFormat="false" ht="15" hidden="false" customHeight="false" outlineLevel="0" collapsed="false">
      <c r="A1226" s="21"/>
      <c r="B1226" s="4"/>
      <c r="C1226" s="22"/>
      <c r="D1226" s="5" t="str">
        <f aca="false">IF(B1226="","",IFERROR(INDEX(DE_PARA!$B$6:$B$205,MATCH(B1226,DE_PARA!$A$6:$A$205,0)),"SEM DE-PARA"))</f>
        <v/>
      </c>
      <c r="E1226" s="23" t="str">
        <f aca="false">IF(A1226="","",DATE(YEAR(A1226),MONTH(A1226),1))</f>
        <v/>
      </c>
    </row>
    <row r="1227" customFormat="false" ht="15" hidden="false" customHeight="false" outlineLevel="0" collapsed="false">
      <c r="A1227" s="21"/>
      <c r="B1227" s="4"/>
      <c r="C1227" s="22"/>
      <c r="D1227" s="5" t="str">
        <f aca="false">IF(B1227="","",IFERROR(INDEX(DE_PARA!$B$6:$B$205,MATCH(B1227,DE_PARA!$A$6:$A$205,0)),"SEM DE-PARA"))</f>
        <v/>
      </c>
      <c r="E1227" s="23" t="str">
        <f aca="false">IF(A1227="","",DATE(YEAR(A1227),MONTH(A1227),1))</f>
        <v/>
      </c>
    </row>
    <row r="1228" customFormat="false" ht="15" hidden="false" customHeight="false" outlineLevel="0" collapsed="false">
      <c r="A1228" s="21"/>
      <c r="B1228" s="4"/>
      <c r="C1228" s="22"/>
      <c r="D1228" s="5" t="str">
        <f aca="false">IF(B1228="","",IFERROR(INDEX(DE_PARA!$B$6:$B$205,MATCH(B1228,DE_PARA!$A$6:$A$205,0)),"SEM DE-PARA"))</f>
        <v/>
      </c>
      <c r="E1228" s="23" t="str">
        <f aca="false">IF(A1228="","",DATE(YEAR(A1228),MONTH(A1228),1))</f>
        <v/>
      </c>
    </row>
    <row r="1229" customFormat="false" ht="15" hidden="false" customHeight="false" outlineLevel="0" collapsed="false">
      <c r="A1229" s="21"/>
      <c r="B1229" s="4"/>
      <c r="C1229" s="22"/>
      <c r="D1229" s="5" t="str">
        <f aca="false">IF(B1229="","",IFERROR(INDEX(DE_PARA!$B$6:$B$205,MATCH(B1229,DE_PARA!$A$6:$A$205,0)),"SEM DE-PARA"))</f>
        <v/>
      </c>
      <c r="E1229" s="23" t="str">
        <f aca="false">IF(A1229="","",DATE(YEAR(A1229),MONTH(A1229),1))</f>
        <v/>
      </c>
    </row>
    <row r="1230" customFormat="false" ht="15" hidden="false" customHeight="false" outlineLevel="0" collapsed="false">
      <c r="A1230" s="21"/>
      <c r="B1230" s="4"/>
      <c r="C1230" s="22"/>
      <c r="D1230" s="5" t="str">
        <f aca="false">IF(B1230="","",IFERROR(INDEX(DE_PARA!$B$6:$B$205,MATCH(B1230,DE_PARA!$A$6:$A$205,0)),"SEM DE-PARA"))</f>
        <v/>
      </c>
      <c r="E1230" s="23" t="str">
        <f aca="false">IF(A1230="","",DATE(YEAR(A1230),MONTH(A1230),1))</f>
        <v/>
      </c>
    </row>
    <row r="1231" customFormat="false" ht="15" hidden="false" customHeight="false" outlineLevel="0" collapsed="false">
      <c r="A1231" s="21"/>
      <c r="B1231" s="4"/>
      <c r="C1231" s="22"/>
      <c r="D1231" s="5" t="str">
        <f aca="false">IF(B1231="","",IFERROR(INDEX(DE_PARA!$B$6:$B$205,MATCH(B1231,DE_PARA!$A$6:$A$205,0)),"SEM DE-PARA"))</f>
        <v/>
      </c>
      <c r="E1231" s="23" t="str">
        <f aca="false">IF(A1231="","",DATE(YEAR(A1231),MONTH(A1231),1))</f>
        <v/>
      </c>
    </row>
    <row r="1232" customFormat="false" ht="15" hidden="false" customHeight="false" outlineLevel="0" collapsed="false">
      <c r="A1232" s="21"/>
      <c r="B1232" s="4"/>
      <c r="C1232" s="22"/>
      <c r="D1232" s="5" t="str">
        <f aca="false">IF(B1232="","",IFERROR(INDEX(DE_PARA!$B$6:$B$205,MATCH(B1232,DE_PARA!$A$6:$A$205,0)),"SEM DE-PARA"))</f>
        <v/>
      </c>
      <c r="E1232" s="23" t="str">
        <f aca="false">IF(A1232="","",DATE(YEAR(A1232),MONTH(A1232),1))</f>
        <v/>
      </c>
    </row>
    <row r="1233" customFormat="false" ht="15" hidden="false" customHeight="false" outlineLevel="0" collapsed="false">
      <c r="A1233" s="21"/>
      <c r="B1233" s="4"/>
      <c r="C1233" s="22"/>
      <c r="D1233" s="5" t="str">
        <f aca="false">IF(B1233="","",IFERROR(INDEX(DE_PARA!$B$6:$B$205,MATCH(B1233,DE_PARA!$A$6:$A$205,0)),"SEM DE-PARA"))</f>
        <v/>
      </c>
      <c r="E1233" s="23" t="str">
        <f aca="false">IF(A1233="","",DATE(YEAR(A1233),MONTH(A1233),1))</f>
        <v/>
      </c>
    </row>
    <row r="1234" customFormat="false" ht="15" hidden="false" customHeight="false" outlineLevel="0" collapsed="false">
      <c r="A1234" s="21"/>
      <c r="B1234" s="4"/>
      <c r="C1234" s="22"/>
      <c r="D1234" s="5" t="str">
        <f aca="false">IF(B1234="","",IFERROR(INDEX(DE_PARA!$B$6:$B$205,MATCH(B1234,DE_PARA!$A$6:$A$205,0)),"SEM DE-PARA"))</f>
        <v/>
      </c>
      <c r="E1234" s="23" t="str">
        <f aca="false">IF(A1234="","",DATE(YEAR(A1234),MONTH(A1234),1))</f>
        <v/>
      </c>
    </row>
    <row r="1235" customFormat="false" ht="15" hidden="false" customHeight="false" outlineLevel="0" collapsed="false">
      <c r="A1235" s="21"/>
      <c r="B1235" s="4"/>
      <c r="C1235" s="22"/>
      <c r="D1235" s="5" t="str">
        <f aca="false">IF(B1235="","",IFERROR(INDEX(DE_PARA!$B$6:$B$205,MATCH(B1235,DE_PARA!$A$6:$A$205,0)),"SEM DE-PARA"))</f>
        <v/>
      </c>
      <c r="E1235" s="23" t="str">
        <f aca="false">IF(A1235="","",DATE(YEAR(A1235),MONTH(A1235),1))</f>
        <v/>
      </c>
    </row>
    <row r="1236" customFormat="false" ht="15" hidden="false" customHeight="false" outlineLevel="0" collapsed="false">
      <c r="A1236" s="21"/>
      <c r="B1236" s="4"/>
      <c r="C1236" s="22"/>
      <c r="D1236" s="5" t="str">
        <f aca="false">IF(B1236="","",IFERROR(INDEX(DE_PARA!$B$6:$B$205,MATCH(B1236,DE_PARA!$A$6:$A$205,0)),"SEM DE-PARA"))</f>
        <v/>
      </c>
      <c r="E1236" s="23" t="str">
        <f aca="false">IF(A1236="","",DATE(YEAR(A1236),MONTH(A1236),1))</f>
        <v/>
      </c>
    </row>
    <row r="1237" customFormat="false" ht="15" hidden="false" customHeight="false" outlineLevel="0" collapsed="false">
      <c r="A1237" s="21"/>
      <c r="B1237" s="4"/>
      <c r="C1237" s="22"/>
      <c r="D1237" s="5" t="str">
        <f aca="false">IF(B1237="","",IFERROR(INDEX(DE_PARA!$B$6:$B$205,MATCH(B1237,DE_PARA!$A$6:$A$205,0)),"SEM DE-PARA"))</f>
        <v/>
      </c>
      <c r="E1237" s="23" t="str">
        <f aca="false">IF(A1237="","",DATE(YEAR(A1237),MONTH(A1237),1))</f>
        <v/>
      </c>
    </row>
    <row r="1238" customFormat="false" ht="15" hidden="false" customHeight="false" outlineLevel="0" collapsed="false">
      <c r="A1238" s="21"/>
      <c r="B1238" s="4"/>
      <c r="C1238" s="22"/>
      <c r="D1238" s="5" t="str">
        <f aca="false">IF(B1238="","",IFERROR(INDEX(DE_PARA!$B$6:$B$205,MATCH(B1238,DE_PARA!$A$6:$A$205,0)),"SEM DE-PARA"))</f>
        <v/>
      </c>
      <c r="E1238" s="23" t="str">
        <f aca="false">IF(A1238="","",DATE(YEAR(A1238),MONTH(A1238),1))</f>
        <v/>
      </c>
    </row>
    <row r="1239" customFormat="false" ht="15" hidden="false" customHeight="false" outlineLevel="0" collapsed="false">
      <c r="A1239" s="21"/>
      <c r="B1239" s="4"/>
      <c r="C1239" s="22"/>
      <c r="D1239" s="5" t="str">
        <f aca="false">IF(B1239="","",IFERROR(INDEX(DE_PARA!$B$6:$B$205,MATCH(B1239,DE_PARA!$A$6:$A$205,0)),"SEM DE-PARA"))</f>
        <v/>
      </c>
      <c r="E1239" s="23" t="str">
        <f aca="false">IF(A1239="","",DATE(YEAR(A1239),MONTH(A1239),1))</f>
        <v/>
      </c>
    </row>
    <row r="1240" customFormat="false" ht="15" hidden="false" customHeight="false" outlineLevel="0" collapsed="false">
      <c r="A1240" s="21"/>
      <c r="B1240" s="4"/>
      <c r="C1240" s="22"/>
      <c r="D1240" s="5" t="str">
        <f aca="false">IF(B1240="","",IFERROR(INDEX(DE_PARA!$B$6:$B$205,MATCH(B1240,DE_PARA!$A$6:$A$205,0)),"SEM DE-PARA"))</f>
        <v/>
      </c>
      <c r="E1240" s="23" t="str">
        <f aca="false">IF(A1240="","",DATE(YEAR(A1240),MONTH(A1240),1))</f>
        <v/>
      </c>
    </row>
    <row r="1241" customFormat="false" ht="15" hidden="false" customHeight="false" outlineLevel="0" collapsed="false">
      <c r="A1241" s="21"/>
      <c r="B1241" s="4"/>
      <c r="C1241" s="22"/>
      <c r="D1241" s="5" t="str">
        <f aca="false">IF(B1241="","",IFERROR(INDEX(DE_PARA!$B$6:$B$205,MATCH(B1241,DE_PARA!$A$6:$A$205,0)),"SEM DE-PARA"))</f>
        <v/>
      </c>
      <c r="E1241" s="23" t="str">
        <f aca="false">IF(A1241="","",DATE(YEAR(A1241),MONTH(A1241),1))</f>
        <v/>
      </c>
    </row>
    <row r="1242" customFormat="false" ht="15" hidden="false" customHeight="false" outlineLevel="0" collapsed="false">
      <c r="A1242" s="21"/>
      <c r="B1242" s="4"/>
      <c r="C1242" s="22"/>
      <c r="D1242" s="5" t="str">
        <f aca="false">IF(B1242="","",IFERROR(INDEX(DE_PARA!$B$6:$B$205,MATCH(B1242,DE_PARA!$A$6:$A$205,0)),"SEM DE-PARA"))</f>
        <v/>
      </c>
      <c r="E1242" s="23" t="str">
        <f aca="false">IF(A1242="","",DATE(YEAR(A1242),MONTH(A1242),1))</f>
        <v/>
      </c>
    </row>
    <row r="1243" customFormat="false" ht="15" hidden="false" customHeight="false" outlineLevel="0" collapsed="false">
      <c r="A1243" s="21"/>
      <c r="B1243" s="4"/>
      <c r="C1243" s="22"/>
      <c r="D1243" s="5" t="str">
        <f aca="false">IF(B1243="","",IFERROR(INDEX(DE_PARA!$B$6:$B$205,MATCH(B1243,DE_PARA!$A$6:$A$205,0)),"SEM DE-PARA"))</f>
        <v/>
      </c>
      <c r="E1243" s="23" t="str">
        <f aca="false">IF(A1243="","",DATE(YEAR(A1243),MONTH(A1243),1))</f>
        <v/>
      </c>
    </row>
    <row r="1244" customFormat="false" ht="15" hidden="false" customHeight="false" outlineLevel="0" collapsed="false">
      <c r="A1244" s="21"/>
      <c r="B1244" s="4"/>
      <c r="C1244" s="22"/>
      <c r="D1244" s="5" t="str">
        <f aca="false">IF(B1244="","",IFERROR(INDEX(DE_PARA!$B$6:$B$205,MATCH(B1244,DE_PARA!$A$6:$A$205,0)),"SEM DE-PARA"))</f>
        <v/>
      </c>
      <c r="E1244" s="23" t="str">
        <f aca="false">IF(A1244="","",DATE(YEAR(A1244),MONTH(A1244),1))</f>
        <v/>
      </c>
    </row>
    <row r="1245" customFormat="false" ht="15" hidden="false" customHeight="false" outlineLevel="0" collapsed="false">
      <c r="A1245" s="21"/>
      <c r="B1245" s="4"/>
      <c r="C1245" s="22"/>
      <c r="D1245" s="5" t="str">
        <f aca="false">IF(B1245="","",IFERROR(INDEX(DE_PARA!$B$6:$B$205,MATCH(B1245,DE_PARA!$A$6:$A$205,0)),"SEM DE-PARA"))</f>
        <v/>
      </c>
      <c r="E1245" s="23" t="str">
        <f aca="false">IF(A1245="","",DATE(YEAR(A1245),MONTH(A1245),1))</f>
        <v/>
      </c>
    </row>
    <row r="1246" customFormat="false" ht="15" hidden="false" customHeight="false" outlineLevel="0" collapsed="false">
      <c r="A1246" s="21"/>
      <c r="B1246" s="4"/>
      <c r="C1246" s="22"/>
      <c r="D1246" s="5" t="str">
        <f aca="false">IF(B1246="","",IFERROR(INDEX(DE_PARA!$B$6:$B$205,MATCH(B1246,DE_PARA!$A$6:$A$205,0)),"SEM DE-PARA"))</f>
        <v/>
      </c>
      <c r="E1246" s="23" t="str">
        <f aca="false">IF(A1246="","",DATE(YEAR(A1246),MONTH(A1246),1))</f>
        <v/>
      </c>
    </row>
    <row r="1247" customFormat="false" ht="15" hidden="false" customHeight="false" outlineLevel="0" collapsed="false">
      <c r="A1247" s="21"/>
      <c r="B1247" s="4"/>
      <c r="C1247" s="22"/>
      <c r="D1247" s="5" t="str">
        <f aca="false">IF(B1247="","",IFERROR(INDEX(DE_PARA!$B$6:$B$205,MATCH(B1247,DE_PARA!$A$6:$A$205,0)),"SEM DE-PARA"))</f>
        <v/>
      </c>
      <c r="E1247" s="23" t="str">
        <f aca="false">IF(A1247="","",DATE(YEAR(A1247),MONTH(A1247),1))</f>
        <v/>
      </c>
    </row>
    <row r="1248" customFormat="false" ht="15" hidden="false" customHeight="false" outlineLevel="0" collapsed="false">
      <c r="A1248" s="21"/>
      <c r="B1248" s="4"/>
      <c r="C1248" s="22"/>
      <c r="D1248" s="5" t="str">
        <f aca="false">IF(B1248="","",IFERROR(INDEX(DE_PARA!$B$6:$B$205,MATCH(B1248,DE_PARA!$A$6:$A$205,0)),"SEM DE-PARA"))</f>
        <v/>
      </c>
      <c r="E1248" s="23" t="str">
        <f aca="false">IF(A1248="","",DATE(YEAR(A1248),MONTH(A1248),1))</f>
        <v/>
      </c>
    </row>
    <row r="1249" customFormat="false" ht="15" hidden="false" customHeight="false" outlineLevel="0" collapsed="false">
      <c r="A1249" s="21"/>
      <c r="B1249" s="4"/>
      <c r="C1249" s="22"/>
      <c r="D1249" s="5" t="str">
        <f aca="false">IF(B1249="","",IFERROR(INDEX(DE_PARA!$B$6:$B$205,MATCH(B1249,DE_PARA!$A$6:$A$205,0)),"SEM DE-PARA"))</f>
        <v/>
      </c>
      <c r="E1249" s="23" t="str">
        <f aca="false">IF(A1249="","",DATE(YEAR(A1249),MONTH(A1249),1))</f>
        <v/>
      </c>
    </row>
    <row r="1250" customFormat="false" ht="15" hidden="false" customHeight="false" outlineLevel="0" collapsed="false">
      <c r="A1250" s="21"/>
      <c r="B1250" s="4"/>
      <c r="C1250" s="22"/>
      <c r="D1250" s="5" t="str">
        <f aca="false">IF(B1250="","",IFERROR(INDEX(DE_PARA!$B$6:$B$205,MATCH(B1250,DE_PARA!$A$6:$A$205,0)),"SEM DE-PARA"))</f>
        <v/>
      </c>
      <c r="E1250" s="23" t="str">
        <f aca="false">IF(A1250="","",DATE(YEAR(A1250),MONTH(A1250),1))</f>
        <v/>
      </c>
    </row>
    <row r="1251" customFormat="false" ht="15" hidden="false" customHeight="false" outlineLevel="0" collapsed="false">
      <c r="A1251" s="21"/>
      <c r="B1251" s="4"/>
      <c r="C1251" s="22"/>
      <c r="D1251" s="5" t="str">
        <f aca="false">IF(B1251="","",IFERROR(INDEX(DE_PARA!$B$6:$B$205,MATCH(B1251,DE_PARA!$A$6:$A$205,0)),"SEM DE-PARA"))</f>
        <v/>
      </c>
      <c r="E1251" s="23" t="str">
        <f aca="false">IF(A1251="","",DATE(YEAR(A1251),MONTH(A1251),1))</f>
        <v/>
      </c>
    </row>
    <row r="1252" customFormat="false" ht="15" hidden="false" customHeight="false" outlineLevel="0" collapsed="false">
      <c r="A1252" s="21"/>
      <c r="B1252" s="4"/>
      <c r="C1252" s="22"/>
      <c r="D1252" s="5" t="str">
        <f aca="false">IF(B1252="","",IFERROR(INDEX(DE_PARA!$B$6:$B$205,MATCH(B1252,DE_PARA!$A$6:$A$205,0)),"SEM DE-PARA"))</f>
        <v/>
      </c>
      <c r="E1252" s="23" t="str">
        <f aca="false">IF(A1252="","",DATE(YEAR(A1252),MONTH(A1252),1))</f>
        <v/>
      </c>
    </row>
    <row r="1253" customFormat="false" ht="15" hidden="false" customHeight="false" outlineLevel="0" collapsed="false">
      <c r="A1253" s="21"/>
      <c r="B1253" s="4"/>
      <c r="C1253" s="22"/>
      <c r="D1253" s="5" t="str">
        <f aca="false">IF(B1253="","",IFERROR(INDEX(DE_PARA!$B$6:$B$205,MATCH(B1253,DE_PARA!$A$6:$A$205,0)),"SEM DE-PARA"))</f>
        <v/>
      </c>
      <c r="E1253" s="23" t="str">
        <f aca="false">IF(A1253="","",DATE(YEAR(A1253),MONTH(A1253),1))</f>
        <v/>
      </c>
    </row>
    <row r="1254" customFormat="false" ht="15" hidden="false" customHeight="false" outlineLevel="0" collapsed="false">
      <c r="A1254" s="21"/>
      <c r="B1254" s="4"/>
      <c r="C1254" s="22"/>
      <c r="D1254" s="5" t="str">
        <f aca="false">IF(B1254="","",IFERROR(INDEX(DE_PARA!$B$6:$B$205,MATCH(B1254,DE_PARA!$A$6:$A$205,0)),"SEM DE-PARA"))</f>
        <v/>
      </c>
      <c r="E1254" s="23" t="str">
        <f aca="false">IF(A1254="","",DATE(YEAR(A1254),MONTH(A1254),1))</f>
        <v/>
      </c>
    </row>
    <row r="1255" customFormat="false" ht="15" hidden="false" customHeight="false" outlineLevel="0" collapsed="false">
      <c r="A1255" s="21"/>
      <c r="B1255" s="4"/>
      <c r="C1255" s="22"/>
      <c r="D1255" s="5" t="str">
        <f aca="false">IF(B1255="","",IFERROR(INDEX(DE_PARA!$B$6:$B$205,MATCH(B1255,DE_PARA!$A$6:$A$205,0)),"SEM DE-PARA"))</f>
        <v/>
      </c>
      <c r="E1255" s="23" t="str">
        <f aca="false">IF(A1255="","",DATE(YEAR(A1255),MONTH(A1255),1))</f>
        <v/>
      </c>
    </row>
    <row r="1256" customFormat="false" ht="15" hidden="false" customHeight="false" outlineLevel="0" collapsed="false">
      <c r="A1256" s="21"/>
      <c r="B1256" s="4"/>
      <c r="C1256" s="22"/>
      <c r="D1256" s="5" t="str">
        <f aca="false">IF(B1256="","",IFERROR(INDEX(DE_PARA!$B$6:$B$205,MATCH(B1256,DE_PARA!$A$6:$A$205,0)),"SEM DE-PARA"))</f>
        <v/>
      </c>
      <c r="E1256" s="23" t="str">
        <f aca="false">IF(A1256="","",DATE(YEAR(A1256),MONTH(A1256),1))</f>
        <v/>
      </c>
    </row>
    <row r="1257" customFormat="false" ht="15" hidden="false" customHeight="false" outlineLevel="0" collapsed="false">
      <c r="A1257" s="21"/>
      <c r="B1257" s="4"/>
      <c r="C1257" s="22"/>
      <c r="D1257" s="5" t="str">
        <f aca="false">IF(B1257="","",IFERROR(INDEX(DE_PARA!$B$6:$B$205,MATCH(B1257,DE_PARA!$A$6:$A$205,0)),"SEM DE-PARA"))</f>
        <v/>
      </c>
      <c r="E1257" s="23" t="str">
        <f aca="false">IF(A1257="","",DATE(YEAR(A1257),MONTH(A1257),1))</f>
        <v/>
      </c>
    </row>
    <row r="1258" customFormat="false" ht="15" hidden="false" customHeight="false" outlineLevel="0" collapsed="false">
      <c r="A1258" s="21"/>
      <c r="B1258" s="4"/>
      <c r="C1258" s="22"/>
      <c r="D1258" s="5" t="str">
        <f aca="false">IF(B1258="","",IFERROR(INDEX(DE_PARA!$B$6:$B$205,MATCH(B1258,DE_PARA!$A$6:$A$205,0)),"SEM DE-PARA"))</f>
        <v/>
      </c>
      <c r="E1258" s="23" t="str">
        <f aca="false">IF(A1258="","",DATE(YEAR(A1258),MONTH(A1258),1))</f>
        <v/>
      </c>
    </row>
    <row r="1259" customFormat="false" ht="15" hidden="false" customHeight="false" outlineLevel="0" collapsed="false">
      <c r="A1259" s="21"/>
      <c r="B1259" s="4"/>
      <c r="C1259" s="22"/>
      <c r="D1259" s="5" t="str">
        <f aca="false">IF(B1259="","",IFERROR(INDEX(DE_PARA!$B$6:$B$205,MATCH(B1259,DE_PARA!$A$6:$A$205,0)),"SEM DE-PARA"))</f>
        <v/>
      </c>
      <c r="E1259" s="23" t="str">
        <f aca="false">IF(A1259="","",DATE(YEAR(A1259),MONTH(A1259),1))</f>
        <v/>
      </c>
    </row>
    <row r="1260" customFormat="false" ht="15" hidden="false" customHeight="false" outlineLevel="0" collapsed="false">
      <c r="A1260" s="21"/>
      <c r="B1260" s="4"/>
      <c r="C1260" s="22"/>
      <c r="D1260" s="5" t="str">
        <f aca="false">IF(B1260="","",IFERROR(INDEX(DE_PARA!$B$6:$B$205,MATCH(B1260,DE_PARA!$A$6:$A$205,0)),"SEM DE-PARA"))</f>
        <v/>
      </c>
      <c r="E1260" s="23" t="str">
        <f aca="false">IF(A1260="","",DATE(YEAR(A1260),MONTH(A1260),1))</f>
        <v/>
      </c>
    </row>
    <row r="1261" customFormat="false" ht="15" hidden="false" customHeight="false" outlineLevel="0" collapsed="false">
      <c r="A1261" s="21"/>
      <c r="B1261" s="4"/>
      <c r="C1261" s="22"/>
      <c r="D1261" s="5" t="str">
        <f aca="false">IF(B1261="","",IFERROR(INDEX(DE_PARA!$B$6:$B$205,MATCH(B1261,DE_PARA!$A$6:$A$205,0)),"SEM DE-PARA"))</f>
        <v/>
      </c>
      <c r="E1261" s="23" t="str">
        <f aca="false">IF(A1261="","",DATE(YEAR(A1261),MONTH(A1261),1))</f>
        <v/>
      </c>
    </row>
    <row r="1262" customFormat="false" ht="15" hidden="false" customHeight="false" outlineLevel="0" collapsed="false">
      <c r="A1262" s="21"/>
      <c r="B1262" s="4"/>
      <c r="C1262" s="22"/>
      <c r="D1262" s="5" t="str">
        <f aca="false">IF(B1262="","",IFERROR(INDEX(DE_PARA!$B$6:$B$205,MATCH(B1262,DE_PARA!$A$6:$A$205,0)),"SEM DE-PARA"))</f>
        <v/>
      </c>
      <c r="E1262" s="23" t="str">
        <f aca="false">IF(A1262="","",DATE(YEAR(A1262),MONTH(A1262),1))</f>
        <v/>
      </c>
    </row>
    <row r="1263" customFormat="false" ht="15" hidden="false" customHeight="false" outlineLevel="0" collapsed="false">
      <c r="A1263" s="21"/>
      <c r="B1263" s="4"/>
      <c r="C1263" s="22"/>
      <c r="D1263" s="5" t="str">
        <f aca="false">IF(B1263="","",IFERROR(INDEX(DE_PARA!$B$6:$B$205,MATCH(B1263,DE_PARA!$A$6:$A$205,0)),"SEM DE-PARA"))</f>
        <v/>
      </c>
      <c r="E1263" s="23" t="str">
        <f aca="false">IF(A1263="","",DATE(YEAR(A1263),MONTH(A1263),1))</f>
        <v/>
      </c>
    </row>
    <row r="1264" customFormat="false" ht="15" hidden="false" customHeight="false" outlineLevel="0" collapsed="false">
      <c r="A1264" s="21"/>
      <c r="B1264" s="4"/>
      <c r="C1264" s="22"/>
      <c r="D1264" s="5" t="str">
        <f aca="false">IF(B1264="","",IFERROR(INDEX(DE_PARA!$B$6:$B$205,MATCH(B1264,DE_PARA!$A$6:$A$205,0)),"SEM DE-PARA"))</f>
        <v/>
      </c>
      <c r="E1264" s="23" t="str">
        <f aca="false">IF(A1264="","",DATE(YEAR(A1264),MONTH(A1264),1))</f>
        <v/>
      </c>
    </row>
    <row r="1265" customFormat="false" ht="15" hidden="false" customHeight="false" outlineLevel="0" collapsed="false">
      <c r="A1265" s="21"/>
      <c r="B1265" s="4"/>
      <c r="C1265" s="22"/>
      <c r="D1265" s="5" t="str">
        <f aca="false">IF(B1265="","",IFERROR(INDEX(DE_PARA!$B$6:$B$205,MATCH(B1265,DE_PARA!$A$6:$A$205,0)),"SEM DE-PARA"))</f>
        <v/>
      </c>
      <c r="E1265" s="23" t="str">
        <f aca="false">IF(A1265="","",DATE(YEAR(A1265),MONTH(A1265),1))</f>
        <v/>
      </c>
    </row>
    <row r="1266" customFormat="false" ht="15" hidden="false" customHeight="false" outlineLevel="0" collapsed="false">
      <c r="A1266" s="21"/>
      <c r="B1266" s="4"/>
      <c r="C1266" s="22"/>
      <c r="D1266" s="5" t="str">
        <f aca="false">IF(B1266="","",IFERROR(INDEX(DE_PARA!$B$6:$B$205,MATCH(B1266,DE_PARA!$A$6:$A$205,0)),"SEM DE-PARA"))</f>
        <v/>
      </c>
      <c r="E1266" s="23" t="str">
        <f aca="false">IF(A1266="","",DATE(YEAR(A1266),MONTH(A1266),1))</f>
        <v/>
      </c>
    </row>
    <row r="1267" customFormat="false" ht="15" hidden="false" customHeight="false" outlineLevel="0" collapsed="false">
      <c r="A1267" s="21"/>
      <c r="B1267" s="4"/>
      <c r="C1267" s="22"/>
      <c r="D1267" s="5" t="str">
        <f aca="false">IF(B1267="","",IFERROR(INDEX(DE_PARA!$B$6:$B$205,MATCH(B1267,DE_PARA!$A$6:$A$205,0)),"SEM DE-PARA"))</f>
        <v/>
      </c>
      <c r="E1267" s="23" t="str">
        <f aca="false">IF(A1267="","",DATE(YEAR(A1267),MONTH(A1267),1))</f>
        <v/>
      </c>
    </row>
    <row r="1268" customFormat="false" ht="15" hidden="false" customHeight="false" outlineLevel="0" collapsed="false">
      <c r="A1268" s="21"/>
      <c r="B1268" s="4"/>
      <c r="C1268" s="22"/>
      <c r="D1268" s="5" t="str">
        <f aca="false">IF(B1268="","",IFERROR(INDEX(DE_PARA!$B$6:$B$205,MATCH(B1268,DE_PARA!$A$6:$A$205,0)),"SEM DE-PARA"))</f>
        <v/>
      </c>
      <c r="E1268" s="23" t="str">
        <f aca="false">IF(A1268="","",DATE(YEAR(A1268),MONTH(A1268),1))</f>
        <v/>
      </c>
    </row>
    <row r="1269" customFormat="false" ht="15" hidden="false" customHeight="false" outlineLevel="0" collapsed="false">
      <c r="A1269" s="21"/>
      <c r="B1269" s="4"/>
      <c r="C1269" s="22"/>
      <c r="D1269" s="5" t="str">
        <f aca="false">IF(B1269="","",IFERROR(INDEX(DE_PARA!$B$6:$B$205,MATCH(B1269,DE_PARA!$A$6:$A$205,0)),"SEM DE-PARA"))</f>
        <v/>
      </c>
      <c r="E1269" s="23" t="str">
        <f aca="false">IF(A1269="","",DATE(YEAR(A1269),MONTH(A1269),1))</f>
        <v/>
      </c>
    </row>
    <row r="1270" customFormat="false" ht="15" hidden="false" customHeight="false" outlineLevel="0" collapsed="false">
      <c r="A1270" s="21"/>
      <c r="B1270" s="4"/>
      <c r="C1270" s="22"/>
      <c r="D1270" s="5" t="str">
        <f aca="false">IF(B1270="","",IFERROR(INDEX(DE_PARA!$B$6:$B$205,MATCH(B1270,DE_PARA!$A$6:$A$205,0)),"SEM DE-PARA"))</f>
        <v/>
      </c>
      <c r="E1270" s="23" t="str">
        <f aca="false">IF(A1270="","",DATE(YEAR(A1270),MONTH(A1270),1))</f>
        <v/>
      </c>
    </row>
    <row r="1271" customFormat="false" ht="15" hidden="false" customHeight="false" outlineLevel="0" collapsed="false">
      <c r="A1271" s="21"/>
      <c r="B1271" s="4"/>
      <c r="C1271" s="22"/>
      <c r="D1271" s="5" t="str">
        <f aca="false">IF(B1271="","",IFERROR(INDEX(DE_PARA!$B$6:$B$205,MATCH(B1271,DE_PARA!$A$6:$A$205,0)),"SEM DE-PARA"))</f>
        <v/>
      </c>
      <c r="E1271" s="23" t="str">
        <f aca="false">IF(A1271="","",DATE(YEAR(A1271),MONTH(A1271),1))</f>
        <v/>
      </c>
    </row>
    <row r="1272" customFormat="false" ht="15" hidden="false" customHeight="false" outlineLevel="0" collapsed="false">
      <c r="A1272" s="21"/>
      <c r="B1272" s="4"/>
      <c r="C1272" s="22"/>
      <c r="D1272" s="5" t="str">
        <f aca="false">IF(B1272="","",IFERROR(INDEX(DE_PARA!$B$6:$B$205,MATCH(B1272,DE_PARA!$A$6:$A$205,0)),"SEM DE-PARA"))</f>
        <v/>
      </c>
      <c r="E1272" s="23" t="str">
        <f aca="false">IF(A1272="","",DATE(YEAR(A1272),MONTH(A1272),1))</f>
        <v/>
      </c>
    </row>
    <row r="1273" customFormat="false" ht="15" hidden="false" customHeight="false" outlineLevel="0" collapsed="false">
      <c r="A1273" s="21"/>
      <c r="B1273" s="4"/>
      <c r="C1273" s="22"/>
      <c r="D1273" s="5" t="str">
        <f aca="false">IF(B1273="","",IFERROR(INDEX(DE_PARA!$B$6:$B$205,MATCH(B1273,DE_PARA!$A$6:$A$205,0)),"SEM DE-PARA"))</f>
        <v/>
      </c>
      <c r="E1273" s="23" t="str">
        <f aca="false">IF(A1273="","",DATE(YEAR(A1273),MONTH(A1273),1))</f>
        <v/>
      </c>
    </row>
    <row r="1274" customFormat="false" ht="15" hidden="false" customHeight="false" outlineLevel="0" collapsed="false">
      <c r="A1274" s="21"/>
      <c r="B1274" s="4"/>
      <c r="C1274" s="22"/>
      <c r="D1274" s="5" t="str">
        <f aca="false">IF(B1274="","",IFERROR(INDEX(DE_PARA!$B$6:$B$205,MATCH(B1274,DE_PARA!$A$6:$A$205,0)),"SEM DE-PARA"))</f>
        <v/>
      </c>
      <c r="E1274" s="23" t="str">
        <f aca="false">IF(A1274="","",DATE(YEAR(A1274),MONTH(A1274),1))</f>
        <v/>
      </c>
    </row>
    <row r="1275" customFormat="false" ht="15" hidden="false" customHeight="false" outlineLevel="0" collapsed="false">
      <c r="A1275" s="21"/>
      <c r="B1275" s="4"/>
      <c r="C1275" s="22"/>
      <c r="D1275" s="5" t="str">
        <f aca="false">IF(B1275="","",IFERROR(INDEX(DE_PARA!$B$6:$B$205,MATCH(B1275,DE_PARA!$A$6:$A$205,0)),"SEM DE-PARA"))</f>
        <v/>
      </c>
      <c r="E1275" s="23" t="str">
        <f aca="false">IF(A1275="","",DATE(YEAR(A1275),MONTH(A1275),1))</f>
        <v/>
      </c>
    </row>
    <row r="1276" customFormat="false" ht="15" hidden="false" customHeight="false" outlineLevel="0" collapsed="false">
      <c r="A1276" s="21"/>
      <c r="B1276" s="4"/>
      <c r="C1276" s="22"/>
      <c r="D1276" s="5" t="str">
        <f aca="false">IF(B1276="","",IFERROR(INDEX(DE_PARA!$B$6:$B$205,MATCH(B1276,DE_PARA!$A$6:$A$205,0)),"SEM DE-PARA"))</f>
        <v/>
      </c>
      <c r="E1276" s="23" t="str">
        <f aca="false">IF(A1276="","",DATE(YEAR(A1276),MONTH(A1276),1))</f>
        <v/>
      </c>
    </row>
    <row r="1277" customFormat="false" ht="15" hidden="false" customHeight="false" outlineLevel="0" collapsed="false">
      <c r="A1277" s="21"/>
      <c r="B1277" s="4"/>
      <c r="C1277" s="22"/>
      <c r="D1277" s="5" t="str">
        <f aca="false">IF(B1277="","",IFERROR(INDEX(DE_PARA!$B$6:$B$205,MATCH(B1277,DE_PARA!$A$6:$A$205,0)),"SEM DE-PARA"))</f>
        <v/>
      </c>
      <c r="E1277" s="23" t="str">
        <f aca="false">IF(A1277="","",DATE(YEAR(A1277),MONTH(A1277),1))</f>
        <v/>
      </c>
    </row>
    <row r="1278" customFormat="false" ht="15" hidden="false" customHeight="false" outlineLevel="0" collapsed="false">
      <c r="A1278" s="21"/>
      <c r="B1278" s="4"/>
      <c r="C1278" s="22"/>
      <c r="D1278" s="5" t="str">
        <f aca="false">IF(B1278="","",IFERROR(INDEX(DE_PARA!$B$6:$B$205,MATCH(B1278,DE_PARA!$A$6:$A$205,0)),"SEM DE-PARA"))</f>
        <v/>
      </c>
      <c r="E1278" s="23" t="str">
        <f aca="false">IF(A1278="","",DATE(YEAR(A1278),MONTH(A1278),1))</f>
        <v/>
      </c>
    </row>
    <row r="1279" customFormat="false" ht="15" hidden="false" customHeight="false" outlineLevel="0" collapsed="false">
      <c r="A1279" s="21"/>
      <c r="B1279" s="4"/>
      <c r="C1279" s="22"/>
      <c r="D1279" s="5" t="str">
        <f aca="false">IF(B1279="","",IFERROR(INDEX(DE_PARA!$B$6:$B$205,MATCH(B1279,DE_PARA!$A$6:$A$205,0)),"SEM DE-PARA"))</f>
        <v/>
      </c>
      <c r="E1279" s="23" t="str">
        <f aca="false">IF(A1279="","",DATE(YEAR(A1279),MONTH(A1279),1))</f>
        <v/>
      </c>
    </row>
    <row r="1280" customFormat="false" ht="15" hidden="false" customHeight="false" outlineLevel="0" collapsed="false">
      <c r="A1280" s="21"/>
      <c r="B1280" s="4"/>
      <c r="C1280" s="22"/>
      <c r="D1280" s="5" t="str">
        <f aca="false">IF(B1280="","",IFERROR(INDEX(DE_PARA!$B$6:$B$205,MATCH(B1280,DE_PARA!$A$6:$A$205,0)),"SEM DE-PARA"))</f>
        <v/>
      </c>
      <c r="E1280" s="23" t="str">
        <f aca="false">IF(A1280="","",DATE(YEAR(A1280),MONTH(A1280),1))</f>
        <v/>
      </c>
    </row>
    <row r="1281" customFormat="false" ht="15" hidden="false" customHeight="false" outlineLevel="0" collapsed="false">
      <c r="A1281" s="21"/>
      <c r="B1281" s="4"/>
      <c r="C1281" s="22"/>
      <c r="D1281" s="5" t="str">
        <f aca="false">IF(B1281="","",IFERROR(INDEX(DE_PARA!$B$6:$B$205,MATCH(B1281,DE_PARA!$A$6:$A$205,0)),"SEM DE-PARA"))</f>
        <v/>
      </c>
      <c r="E1281" s="23" t="str">
        <f aca="false">IF(A1281="","",DATE(YEAR(A1281),MONTH(A1281),1))</f>
        <v/>
      </c>
    </row>
    <row r="1282" customFormat="false" ht="15" hidden="false" customHeight="false" outlineLevel="0" collapsed="false">
      <c r="A1282" s="21"/>
      <c r="B1282" s="4"/>
      <c r="C1282" s="22"/>
      <c r="D1282" s="5" t="str">
        <f aca="false">IF(B1282="","",IFERROR(INDEX(DE_PARA!$B$6:$B$205,MATCH(B1282,DE_PARA!$A$6:$A$205,0)),"SEM DE-PARA"))</f>
        <v/>
      </c>
      <c r="E1282" s="23" t="str">
        <f aca="false">IF(A1282="","",DATE(YEAR(A1282),MONTH(A1282),1))</f>
        <v/>
      </c>
    </row>
    <row r="1283" customFormat="false" ht="15" hidden="false" customHeight="false" outlineLevel="0" collapsed="false">
      <c r="A1283" s="21"/>
      <c r="B1283" s="4"/>
      <c r="C1283" s="22"/>
      <c r="D1283" s="5" t="str">
        <f aca="false">IF(B1283="","",IFERROR(INDEX(DE_PARA!$B$6:$B$205,MATCH(B1283,DE_PARA!$A$6:$A$205,0)),"SEM DE-PARA"))</f>
        <v/>
      </c>
      <c r="E1283" s="23" t="str">
        <f aca="false">IF(A1283="","",DATE(YEAR(A1283),MONTH(A1283),1))</f>
        <v/>
      </c>
    </row>
    <row r="1284" customFormat="false" ht="15" hidden="false" customHeight="false" outlineLevel="0" collapsed="false">
      <c r="A1284" s="21"/>
      <c r="B1284" s="4"/>
      <c r="C1284" s="22"/>
      <c r="D1284" s="5" t="str">
        <f aca="false">IF(B1284="","",IFERROR(INDEX(DE_PARA!$B$6:$B$205,MATCH(B1284,DE_PARA!$A$6:$A$205,0)),"SEM DE-PARA"))</f>
        <v/>
      </c>
      <c r="E1284" s="23" t="str">
        <f aca="false">IF(A1284="","",DATE(YEAR(A1284),MONTH(A1284),1))</f>
        <v/>
      </c>
    </row>
    <row r="1285" customFormat="false" ht="15" hidden="false" customHeight="false" outlineLevel="0" collapsed="false">
      <c r="A1285" s="21"/>
      <c r="B1285" s="4"/>
      <c r="C1285" s="22"/>
      <c r="D1285" s="5" t="str">
        <f aca="false">IF(B1285="","",IFERROR(INDEX(DE_PARA!$B$6:$B$205,MATCH(B1285,DE_PARA!$A$6:$A$205,0)),"SEM DE-PARA"))</f>
        <v/>
      </c>
      <c r="E1285" s="23" t="str">
        <f aca="false">IF(A1285="","",DATE(YEAR(A1285),MONTH(A1285),1))</f>
        <v/>
      </c>
    </row>
    <row r="1286" customFormat="false" ht="15" hidden="false" customHeight="false" outlineLevel="0" collapsed="false">
      <c r="A1286" s="21"/>
      <c r="B1286" s="4"/>
      <c r="C1286" s="22"/>
      <c r="D1286" s="5" t="str">
        <f aca="false">IF(B1286="","",IFERROR(INDEX(DE_PARA!$B$6:$B$205,MATCH(B1286,DE_PARA!$A$6:$A$205,0)),"SEM DE-PARA"))</f>
        <v/>
      </c>
      <c r="E1286" s="23" t="str">
        <f aca="false">IF(A1286="","",DATE(YEAR(A1286),MONTH(A1286),1))</f>
        <v/>
      </c>
    </row>
    <row r="1287" customFormat="false" ht="15" hidden="false" customHeight="false" outlineLevel="0" collapsed="false">
      <c r="A1287" s="21"/>
      <c r="B1287" s="4"/>
      <c r="C1287" s="22"/>
      <c r="D1287" s="5" t="str">
        <f aca="false">IF(B1287="","",IFERROR(INDEX(DE_PARA!$B$6:$B$205,MATCH(B1287,DE_PARA!$A$6:$A$205,0)),"SEM DE-PARA"))</f>
        <v/>
      </c>
      <c r="E1287" s="23" t="str">
        <f aca="false">IF(A1287="","",DATE(YEAR(A1287),MONTH(A1287),1))</f>
        <v/>
      </c>
    </row>
    <row r="1288" customFormat="false" ht="15" hidden="false" customHeight="false" outlineLevel="0" collapsed="false">
      <c r="A1288" s="21"/>
      <c r="B1288" s="4"/>
      <c r="C1288" s="22"/>
      <c r="D1288" s="5" t="str">
        <f aca="false">IF(B1288="","",IFERROR(INDEX(DE_PARA!$B$6:$B$205,MATCH(B1288,DE_PARA!$A$6:$A$205,0)),"SEM DE-PARA"))</f>
        <v/>
      </c>
      <c r="E1288" s="23" t="str">
        <f aca="false">IF(A1288="","",DATE(YEAR(A1288),MONTH(A1288),1))</f>
        <v/>
      </c>
    </row>
    <row r="1289" customFormat="false" ht="15" hidden="false" customHeight="false" outlineLevel="0" collapsed="false">
      <c r="A1289" s="21"/>
      <c r="B1289" s="4"/>
      <c r="C1289" s="22"/>
      <c r="D1289" s="5" t="str">
        <f aca="false">IF(B1289="","",IFERROR(INDEX(DE_PARA!$B$6:$B$205,MATCH(B1289,DE_PARA!$A$6:$A$205,0)),"SEM DE-PARA"))</f>
        <v/>
      </c>
      <c r="E1289" s="23" t="str">
        <f aca="false">IF(A1289="","",DATE(YEAR(A1289),MONTH(A1289),1))</f>
        <v/>
      </c>
    </row>
    <row r="1290" customFormat="false" ht="15" hidden="false" customHeight="false" outlineLevel="0" collapsed="false">
      <c r="A1290" s="21"/>
      <c r="B1290" s="4"/>
      <c r="C1290" s="22"/>
      <c r="D1290" s="5" t="str">
        <f aca="false">IF(B1290="","",IFERROR(INDEX(DE_PARA!$B$6:$B$205,MATCH(B1290,DE_PARA!$A$6:$A$205,0)),"SEM DE-PARA"))</f>
        <v/>
      </c>
      <c r="E1290" s="23" t="str">
        <f aca="false">IF(A1290="","",DATE(YEAR(A1290),MONTH(A1290),1))</f>
        <v/>
      </c>
    </row>
    <row r="1291" customFormat="false" ht="15" hidden="false" customHeight="false" outlineLevel="0" collapsed="false">
      <c r="A1291" s="21"/>
      <c r="B1291" s="4"/>
      <c r="C1291" s="22"/>
      <c r="D1291" s="5" t="str">
        <f aca="false">IF(B1291="","",IFERROR(INDEX(DE_PARA!$B$6:$B$205,MATCH(B1291,DE_PARA!$A$6:$A$205,0)),"SEM DE-PARA"))</f>
        <v/>
      </c>
      <c r="E1291" s="23" t="str">
        <f aca="false">IF(A1291="","",DATE(YEAR(A1291),MONTH(A1291),1))</f>
        <v/>
      </c>
    </row>
    <row r="1292" customFormat="false" ht="15" hidden="false" customHeight="false" outlineLevel="0" collapsed="false">
      <c r="A1292" s="21"/>
      <c r="B1292" s="4"/>
      <c r="C1292" s="22"/>
      <c r="D1292" s="5" t="str">
        <f aca="false">IF(B1292="","",IFERROR(INDEX(DE_PARA!$B$6:$B$205,MATCH(B1292,DE_PARA!$A$6:$A$205,0)),"SEM DE-PARA"))</f>
        <v/>
      </c>
      <c r="E1292" s="23" t="str">
        <f aca="false">IF(A1292="","",DATE(YEAR(A1292),MONTH(A1292),1))</f>
        <v/>
      </c>
    </row>
    <row r="1293" customFormat="false" ht="15" hidden="false" customHeight="false" outlineLevel="0" collapsed="false">
      <c r="A1293" s="21"/>
      <c r="B1293" s="4"/>
      <c r="C1293" s="22"/>
      <c r="D1293" s="5" t="str">
        <f aca="false">IF(B1293="","",IFERROR(INDEX(DE_PARA!$B$6:$B$205,MATCH(B1293,DE_PARA!$A$6:$A$205,0)),"SEM DE-PARA"))</f>
        <v/>
      </c>
      <c r="E1293" s="23" t="str">
        <f aca="false">IF(A1293="","",DATE(YEAR(A1293),MONTH(A1293),1))</f>
        <v/>
      </c>
    </row>
    <row r="1294" customFormat="false" ht="15" hidden="false" customHeight="false" outlineLevel="0" collapsed="false">
      <c r="A1294" s="21"/>
      <c r="B1294" s="4"/>
      <c r="C1294" s="22"/>
      <c r="D1294" s="5" t="str">
        <f aca="false">IF(B1294="","",IFERROR(INDEX(DE_PARA!$B$6:$B$205,MATCH(B1294,DE_PARA!$A$6:$A$205,0)),"SEM DE-PARA"))</f>
        <v/>
      </c>
      <c r="E1294" s="23" t="str">
        <f aca="false">IF(A1294="","",DATE(YEAR(A1294),MONTH(A1294),1))</f>
        <v/>
      </c>
    </row>
    <row r="1295" customFormat="false" ht="15" hidden="false" customHeight="false" outlineLevel="0" collapsed="false">
      <c r="A1295" s="21"/>
      <c r="B1295" s="4"/>
      <c r="C1295" s="22"/>
      <c r="D1295" s="5" t="str">
        <f aca="false">IF(B1295="","",IFERROR(INDEX(DE_PARA!$B$6:$B$205,MATCH(B1295,DE_PARA!$A$6:$A$205,0)),"SEM DE-PARA"))</f>
        <v/>
      </c>
      <c r="E1295" s="23" t="str">
        <f aca="false">IF(A1295="","",DATE(YEAR(A1295),MONTH(A1295),1))</f>
        <v/>
      </c>
    </row>
    <row r="1296" customFormat="false" ht="15" hidden="false" customHeight="false" outlineLevel="0" collapsed="false">
      <c r="A1296" s="21"/>
      <c r="B1296" s="4"/>
      <c r="C1296" s="22"/>
      <c r="D1296" s="5" t="str">
        <f aca="false">IF(B1296="","",IFERROR(INDEX(DE_PARA!$B$6:$B$205,MATCH(B1296,DE_PARA!$A$6:$A$205,0)),"SEM DE-PARA"))</f>
        <v/>
      </c>
      <c r="E1296" s="23" t="str">
        <f aca="false">IF(A1296="","",DATE(YEAR(A1296),MONTH(A1296),1))</f>
        <v/>
      </c>
    </row>
    <row r="1297" customFormat="false" ht="15" hidden="false" customHeight="false" outlineLevel="0" collapsed="false">
      <c r="A1297" s="21"/>
      <c r="B1297" s="4"/>
      <c r="C1297" s="22"/>
      <c r="D1297" s="5" t="str">
        <f aca="false">IF(B1297="","",IFERROR(INDEX(DE_PARA!$B$6:$B$205,MATCH(B1297,DE_PARA!$A$6:$A$205,0)),"SEM DE-PARA"))</f>
        <v/>
      </c>
      <c r="E1297" s="23" t="str">
        <f aca="false">IF(A1297="","",DATE(YEAR(A1297),MONTH(A1297),1))</f>
        <v/>
      </c>
    </row>
    <row r="1298" customFormat="false" ht="15" hidden="false" customHeight="false" outlineLevel="0" collapsed="false">
      <c r="A1298" s="21"/>
      <c r="B1298" s="4"/>
      <c r="C1298" s="22"/>
      <c r="D1298" s="5" t="str">
        <f aca="false">IF(B1298="","",IFERROR(INDEX(DE_PARA!$B$6:$B$205,MATCH(B1298,DE_PARA!$A$6:$A$205,0)),"SEM DE-PARA"))</f>
        <v/>
      </c>
      <c r="E1298" s="23" t="str">
        <f aca="false">IF(A1298="","",DATE(YEAR(A1298),MONTH(A1298),1))</f>
        <v/>
      </c>
    </row>
    <row r="1299" customFormat="false" ht="15" hidden="false" customHeight="false" outlineLevel="0" collapsed="false">
      <c r="A1299" s="21"/>
      <c r="B1299" s="4"/>
      <c r="C1299" s="22"/>
      <c r="D1299" s="5" t="str">
        <f aca="false">IF(B1299="","",IFERROR(INDEX(DE_PARA!$B$6:$B$205,MATCH(B1299,DE_PARA!$A$6:$A$205,0)),"SEM DE-PARA"))</f>
        <v/>
      </c>
      <c r="E1299" s="23" t="str">
        <f aca="false">IF(A1299="","",DATE(YEAR(A1299),MONTH(A1299),1))</f>
        <v/>
      </c>
    </row>
    <row r="1300" customFormat="false" ht="15" hidden="false" customHeight="false" outlineLevel="0" collapsed="false">
      <c r="A1300" s="21"/>
      <c r="B1300" s="4"/>
      <c r="C1300" s="22"/>
      <c r="D1300" s="5" t="str">
        <f aca="false">IF(B1300="","",IFERROR(INDEX(DE_PARA!$B$6:$B$205,MATCH(B1300,DE_PARA!$A$6:$A$205,0)),"SEM DE-PARA"))</f>
        <v/>
      </c>
      <c r="E1300" s="23" t="str">
        <f aca="false">IF(A1300="","",DATE(YEAR(A1300),MONTH(A1300),1))</f>
        <v/>
      </c>
    </row>
    <row r="1301" customFormat="false" ht="15" hidden="false" customHeight="false" outlineLevel="0" collapsed="false">
      <c r="A1301" s="21"/>
      <c r="B1301" s="4"/>
      <c r="C1301" s="22"/>
      <c r="D1301" s="5" t="str">
        <f aca="false">IF(B1301="","",IFERROR(INDEX(DE_PARA!$B$6:$B$205,MATCH(B1301,DE_PARA!$A$6:$A$205,0)),"SEM DE-PARA"))</f>
        <v/>
      </c>
      <c r="E1301" s="23" t="str">
        <f aca="false">IF(A1301="","",DATE(YEAR(A1301),MONTH(A1301),1))</f>
        <v/>
      </c>
    </row>
    <row r="1302" customFormat="false" ht="15" hidden="false" customHeight="false" outlineLevel="0" collapsed="false">
      <c r="A1302" s="21"/>
      <c r="B1302" s="4"/>
      <c r="C1302" s="22"/>
      <c r="D1302" s="5" t="str">
        <f aca="false">IF(B1302="","",IFERROR(INDEX(DE_PARA!$B$6:$B$205,MATCH(B1302,DE_PARA!$A$6:$A$205,0)),"SEM DE-PARA"))</f>
        <v/>
      </c>
      <c r="E1302" s="23" t="str">
        <f aca="false">IF(A1302="","",DATE(YEAR(A1302),MONTH(A1302),1))</f>
        <v/>
      </c>
    </row>
    <row r="1303" customFormat="false" ht="15" hidden="false" customHeight="false" outlineLevel="0" collapsed="false">
      <c r="A1303" s="21"/>
      <c r="B1303" s="4"/>
      <c r="C1303" s="22"/>
      <c r="D1303" s="5" t="str">
        <f aca="false">IF(B1303="","",IFERROR(INDEX(DE_PARA!$B$6:$B$205,MATCH(B1303,DE_PARA!$A$6:$A$205,0)),"SEM DE-PARA"))</f>
        <v/>
      </c>
      <c r="E1303" s="23" t="str">
        <f aca="false">IF(A1303="","",DATE(YEAR(A1303),MONTH(A1303),1))</f>
        <v/>
      </c>
    </row>
    <row r="1304" customFormat="false" ht="15" hidden="false" customHeight="false" outlineLevel="0" collapsed="false">
      <c r="A1304" s="21"/>
      <c r="B1304" s="4"/>
      <c r="C1304" s="22"/>
      <c r="D1304" s="5" t="str">
        <f aca="false">IF(B1304="","",IFERROR(INDEX(DE_PARA!$B$6:$B$205,MATCH(B1304,DE_PARA!$A$6:$A$205,0)),"SEM DE-PARA"))</f>
        <v/>
      </c>
      <c r="E1304" s="23" t="str">
        <f aca="false">IF(A1304="","",DATE(YEAR(A1304),MONTH(A1304),1))</f>
        <v/>
      </c>
    </row>
    <row r="1305" customFormat="false" ht="15" hidden="false" customHeight="false" outlineLevel="0" collapsed="false">
      <c r="A1305" s="21"/>
      <c r="B1305" s="4"/>
      <c r="C1305" s="22"/>
      <c r="D1305" s="5" t="str">
        <f aca="false">IF(B1305="","",IFERROR(INDEX(DE_PARA!$B$6:$B$205,MATCH(B1305,DE_PARA!$A$6:$A$205,0)),"SEM DE-PARA"))</f>
        <v/>
      </c>
      <c r="E1305" s="23" t="str">
        <f aca="false">IF(A1305="","",DATE(YEAR(A1305),MONTH(A1305),1))</f>
        <v/>
      </c>
    </row>
    <row r="1306" customFormat="false" ht="15" hidden="false" customHeight="false" outlineLevel="0" collapsed="false">
      <c r="A1306" s="21"/>
      <c r="B1306" s="4"/>
      <c r="C1306" s="22"/>
      <c r="D1306" s="5" t="str">
        <f aca="false">IF(B1306="","",IFERROR(INDEX(DE_PARA!$B$6:$B$205,MATCH(B1306,DE_PARA!$A$6:$A$205,0)),"SEM DE-PARA"))</f>
        <v/>
      </c>
      <c r="E1306" s="23" t="str">
        <f aca="false">IF(A1306="","",DATE(YEAR(A1306),MONTH(A1306),1))</f>
        <v/>
      </c>
    </row>
    <row r="1307" customFormat="false" ht="15" hidden="false" customHeight="false" outlineLevel="0" collapsed="false">
      <c r="A1307" s="21"/>
      <c r="B1307" s="4"/>
      <c r="C1307" s="22"/>
      <c r="D1307" s="5" t="str">
        <f aca="false">IF(B1307="","",IFERROR(INDEX(DE_PARA!$B$6:$B$205,MATCH(B1307,DE_PARA!$A$6:$A$205,0)),"SEM DE-PARA"))</f>
        <v/>
      </c>
      <c r="E1307" s="23" t="str">
        <f aca="false">IF(A1307="","",DATE(YEAR(A1307),MONTH(A1307),1))</f>
        <v/>
      </c>
    </row>
    <row r="1308" customFormat="false" ht="15" hidden="false" customHeight="false" outlineLevel="0" collapsed="false">
      <c r="A1308" s="21"/>
      <c r="B1308" s="4"/>
      <c r="C1308" s="22"/>
      <c r="D1308" s="5" t="str">
        <f aca="false">IF(B1308="","",IFERROR(INDEX(DE_PARA!$B$6:$B$205,MATCH(B1308,DE_PARA!$A$6:$A$205,0)),"SEM DE-PARA"))</f>
        <v/>
      </c>
      <c r="E1308" s="23" t="str">
        <f aca="false">IF(A1308="","",DATE(YEAR(A1308),MONTH(A1308),1))</f>
        <v/>
      </c>
    </row>
    <row r="1309" customFormat="false" ht="15" hidden="false" customHeight="false" outlineLevel="0" collapsed="false">
      <c r="A1309" s="21"/>
      <c r="B1309" s="4"/>
      <c r="C1309" s="22"/>
      <c r="D1309" s="5" t="str">
        <f aca="false">IF(B1309="","",IFERROR(INDEX(DE_PARA!$B$6:$B$205,MATCH(B1309,DE_PARA!$A$6:$A$205,0)),"SEM DE-PARA"))</f>
        <v/>
      </c>
      <c r="E1309" s="23" t="str">
        <f aca="false">IF(A1309="","",DATE(YEAR(A1309),MONTH(A1309),1))</f>
        <v/>
      </c>
    </row>
    <row r="1310" customFormat="false" ht="15" hidden="false" customHeight="false" outlineLevel="0" collapsed="false">
      <c r="A1310" s="21"/>
      <c r="B1310" s="4"/>
      <c r="C1310" s="22"/>
      <c r="D1310" s="5" t="str">
        <f aca="false">IF(B1310="","",IFERROR(INDEX(DE_PARA!$B$6:$B$205,MATCH(B1310,DE_PARA!$A$6:$A$205,0)),"SEM DE-PARA"))</f>
        <v/>
      </c>
      <c r="E1310" s="23" t="str">
        <f aca="false">IF(A1310="","",DATE(YEAR(A1310),MONTH(A1310),1))</f>
        <v/>
      </c>
    </row>
    <row r="1311" customFormat="false" ht="15" hidden="false" customHeight="false" outlineLevel="0" collapsed="false">
      <c r="A1311" s="21"/>
      <c r="B1311" s="4"/>
      <c r="C1311" s="22"/>
      <c r="D1311" s="5" t="str">
        <f aca="false">IF(B1311="","",IFERROR(INDEX(DE_PARA!$B$6:$B$205,MATCH(B1311,DE_PARA!$A$6:$A$205,0)),"SEM DE-PARA"))</f>
        <v/>
      </c>
      <c r="E1311" s="23" t="str">
        <f aca="false">IF(A1311="","",DATE(YEAR(A1311),MONTH(A1311),1))</f>
        <v/>
      </c>
    </row>
    <row r="1312" customFormat="false" ht="15" hidden="false" customHeight="false" outlineLevel="0" collapsed="false">
      <c r="A1312" s="21"/>
      <c r="B1312" s="4"/>
      <c r="C1312" s="22"/>
      <c r="D1312" s="5" t="str">
        <f aca="false">IF(B1312="","",IFERROR(INDEX(DE_PARA!$B$6:$B$205,MATCH(B1312,DE_PARA!$A$6:$A$205,0)),"SEM DE-PARA"))</f>
        <v/>
      </c>
      <c r="E1312" s="23" t="str">
        <f aca="false">IF(A1312="","",DATE(YEAR(A1312),MONTH(A1312),1))</f>
        <v/>
      </c>
    </row>
    <row r="1313" customFormat="false" ht="15" hidden="false" customHeight="false" outlineLevel="0" collapsed="false">
      <c r="A1313" s="21"/>
      <c r="B1313" s="4"/>
      <c r="C1313" s="22"/>
      <c r="D1313" s="5" t="str">
        <f aca="false">IF(B1313="","",IFERROR(INDEX(DE_PARA!$B$6:$B$205,MATCH(B1313,DE_PARA!$A$6:$A$205,0)),"SEM DE-PARA"))</f>
        <v/>
      </c>
      <c r="E1313" s="23" t="str">
        <f aca="false">IF(A1313="","",DATE(YEAR(A1313),MONTH(A1313),1))</f>
        <v/>
      </c>
    </row>
    <row r="1314" customFormat="false" ht="15" hidden="false" customHeight="false" outlineLevel="0" collapsed="false">
      <c r="A1314" s="21"/>
      <c r="B1314" s="4"/>
      <c r="C1314" s="22"/>
      <c r="D1314" s="5" t="str">
        <f aca="false">IF(B1314="","",IFERROR(INDEX(DE_PARA!$B$6:$B$205,MATCH(B1314,DE_PARA!$A$6:$A$205,0)),"SEM DE-PARA"))</f>
        <v/>
      </c>
      <c r="E1314" s="23" t="str">
        <f aca="false">IF(A1314="","",DATE(YEAR(A1314),MONTH(A1314),1))</f>
        <v/>
      </c>
    </row>
    <row r="1315" customFormat="false" ht="15" hidden="false" customHeight="false" outlineLevel="0" collapsed="false">
      <c r="A1315" s="21"/>
      <c r="B1315" s="4"/>
      <c r="C1315" s="22"/>
      <c r="D1315" s="5" t="str">
        <f aca="false">IF(B1315="","",IFERROR(INDEX(DE_PARA!$B$6:$B$205,MATCH(B1315,DE_PARA!$A$6:$A$205,0)),"SEM DE-PARA"))</f>
        <v/>
      </c>
      <c r="E1315" s="23" t="str">
        <f aca="false">IF(A1315="","",DATE(YEAR(A1315),MONTH(A1315),1))</f>
        <v/>
      </c>
    </row>
    <row r="1316" customFormat="false" ht="15" hidden="false" customHeight="false" outlineLevel="0" collapsed="false">
      <c r="A1316" s="21"/>
      <c r="B1316" s="4"/>
      <c r="C1316" s="22"/>
      <c r="D1316" s="5" t="str">
        <f aca="false">IF(B1316="","",IFERROR(INDEX(DE_PARA!$B$6:$B$205,MATCH(B1316,DE_PARA!$A$6:$A$205,0)),"SEM DE-PARA"))</f>
        <v/>
      </c>
      <c r="E1316" s="23" t="str">
        <f aca="false">IF(A1316="","",DATE(YEAR(A1316),MONTH(A1316),1))</f>
        <v/>
      </c>
    </row>
    <row r="1317" customFormat="false" ht="15" hidden="false" customHeight="false" outlineLevel="0" collapsed="false">
      <c r="A1317" s="21"/>
      <c r="B1317" s="4"/>
      <c r="C1317" s="22"/>
      <c r="D1317" s="5" t="str">
        <f aca="false">IF(B1317="","",IFERROR(INDEX(DE_PARA!$B$6:$B$205,MATCH(B1317,DE_PARA!$A$6:$A$205,0)),"SEM DE-PARA"))</f>
        <v/>
      </c>
      <c r="E1317" s="23" t="str">
        <f aca="false">IF(A1317="","",DATE(YEAR(A1317),MONTH(A1317),1))</f>
        <v/>
      </c>
    </row>
    <row r="1318" customFormat="false" ht="15" hidden="false" customHeight="false" outlineLevel="0" collapsed="false">
      <c r="A1318" s="21"/>
      <c r="B1318" s="4"/>
      <c r="C1318" s="22"/>
      <c r="D1318" s="5" t="str">
        <f aca="false">IF(B1318="","",IFERROR(INDEX(DE_PARA!$B$6:$B$205,MATCH(B1318,DE_PARA!$A$6:$A$205,0)),"SEM DE-PARA"))</f>
        <v/>
      </c>
      <c r="E1318" s="23" t="str">
        <f aca="false">IF(A1318="","",DATE(YEAR(A1318),MONTH(A1318),1))</f>
        <v/>
      </c>
    </row>
    <row r="1319" customFormat="false" ht="15" hidden="false" customHeight="false" outlineLevel="0" collapsed="false">
      <c r="A1319" s="21"/>
      <c r="B1319" s="4"/>
      <c r="C1319" s="22"/>
      <c r="D1319" s="5" t="str">
        <f aca="false">IF(B1319="","",IFERROR(INDEX(DE_PARA!$B$6:$B$205,MATCH(B1319,DE_PARA!$A$6:$A$205,0)),"SEM DE-PARA"))</f>
        <v/>
      </c>
      <c r="E1319" s="23" t="str">
        <f aca="false">IF(A1319="","",DATE(YEAR(A1319),MONTH(A1319),1))</f>
        <v/>
      </c>
    </row>
    <row r="1320" customFormat="false" ht="15" hidden="false" customHeight="false" outlineLevel="0" collapsed="false">
      <c r="A1320" s="21"/>
      <c r="B1320" s="4"/>
      <c r="C1320" s="22"/>
      <c r="D1320" s="5" t="str">
        <f aca="false">IF(B1320="","",IFERROR(INDEX(DE_PARA!$B$6:$B$205,MATCH(B1320,DE_PARA!$A$6:$A$205,0)),"SEM DE-PARA"))</f>
        <v/>
      </c>
      <c r="E1320" s="23" t="str">
        <f aca="false">IF(A1320="","",DATE(YEAR(A1320),MONTH(A1320),1))</f>
        <v/>
      </c>
    </row>
    <row r="1321" customFormat="false" ht="15" hidden="false" customHeight="false" outlineLevel="0" collapsed="false">
      <c r="A1321" s="21"/>
      <c r="B1321" s="4"/>
      <c r="C1321" s="22"/>
      <c r="D1321" s="5" t="str">
        <f aca="false">IF(B1321="","",IFERROR(INDEX(DE_PARA!$B$6:$B$205,MATCH(B1321,DE_PARA!$A$6:$A$205,0)),"SEM DE-PARA"))</f>
        <v/>
      </c>
      <c r="E1321" s="23" t="str">
        <f aca="false">IF(A1321="","",DATE(YEAR(A1321),MONTH(A1321),1))</f>
        <v/>
      </c>
    </row>
    <row r="1322" customFormat="false" ht="15" hidden="false" customHeight="false" outlineLevel="0" collapsed="false">
      <c r="A1322" s="21"/>
      <c r="B1322" s="4"/>
      <c r="C1322" s="22"/>
      <c r="D1322" s="5" t="str">
        <f aca="false">IF(B1322="","",IFERROR(INDEX(DE_PARA!$B$6:$B$205,MATCH(B1322,DE_PARA!$A$6:$A$205,0)),"SEM DE-PARA"))</f>
        <v/>
      </c>
      <c r="E1322" s="23" t="str">
        <f aca="false">IF(A1322="","",DATE(YEAR(A1322),MONTH(A1322),1))</f>
        <v/>
      </c>
    </row>
    <row r="1323" customFormat="false" ht="15" hidden="false" customHeight="false" outlineLevel="0" collapsed="false">
      <c r="A1323" s="21"/>
      <c r="B1323" s="4"/>
      <c r="C1323" s="22"/>
      <c r="D1323" s="5" t="str">
        <f aca="false">IF(B1323="","",IFERROR(INDEX(DE_PARA!$B$6:$B$205,MATCH(B1323,DE_PARA!$A$6:$A$205,0)),"SEM DE-PARA"))</f>
        <v/>
      </c>
      <c r="E1323" s="23" t="str">
        <f aca="false">IF(A1323="","",DATE(YEAR(A1323),MONTH(A1323),1))</f>
        <v/>
      </c>
    </row>
    <row r="1324" customFormat="false" ht="15" hidden="false" customHeight="false" outlineLevel="0" collapsed="false">
      <c r="A1324" s="21"/>
      <c r="B1324" s="4"/>
      <c r="C1324" s="22"/>
      <c r="D1324" s="5" t="str">
        <f aca="false">IF(B1324="","",IFERROR(INDEX(DE_PARA!$B$6:$B$205,MATCH(B1324,DE_PARA!$A$6:$A$205,0)),"SEM DE-PARA"))</f>
        <v/>
      </c>
      <c r="E1324" s="23" t="str">
        <f aca="false">IF(A1324="","",DATE(YEAR(A1324),MONTH(A1324),1))</f>
        <v/>
      </c>
    </row>
    <row r="1325" customFormat="false" ht="15" hidden="false" customHeight="false" outlineLevel="0" collapsed="false">
      <c r="A1325" s="21"/>
      <c r="B1325" s="4"/>
      <c r="C1325" s="22"/>
      <c r="D1325" s="5" t="str">
        <f aca="false">IF(B1325="","",IFERROR(INDEX(DE_PARA!$B$6:$B$205,MATCH(B1325,DE_PARA!$A$6:$A$205,0)),"SEM DE-PARA"))</f>
        <v/>
      </c>
      <c r="E1325" s="23" t="str">
        <f aca="false">IF(A1325="","",DATE(YEAR(A1325),MONTH(A1325),1))</f>
        <v/>
      </c>
    </row>
    <row r="1326" customFormat="false" ht="15" hidden="false" customHeight="false" outlineLevel="0" collapsed="false">
      <c r="A1326" s="21"/>
      <c r="B1326" s="4"/>
      <c r="C1326" s="22"/>
      <c r="D1326" s="5" t="str">
        <f aca="false">IF(B1326="","",IFERROR(INDEX(DE_PARA!$B$6:$B$205,MATCH(B1326,DE_PARA!$A$6:$A$205,0)),"SEM DE-PARA"))</f>
        <v/>
      </c>
      <c r="E1326" s="23" t="str">
        <f aca="false">IF(A1326="","",DATE(YEAR(A1326),MONTH(A1326),1))</f>
        <v/>
      </c>
    </row>
    <row r="1327" customFormat="false" ht="15" hidden="false" customHeight="false" outlineLevel="0" collapsed="false">
      <c r="A1327" s="21"/>
      <c r="B1327" s="4"/>
      <c r="C1327" s="22"/>
      <c r="D1327" s="5" t="str">
        <f aca="false">IF(B1327="","",IFERROR(INDEX(DE_PARA!$B$6:$B$205,MATCH(B1327,DE_PARA!$A$6:$A$205,0)),"SEM DE-PARA"))</f>
        <v/>
      </c>
      <c r="E1327" s="23" t="str">
        <f aca="false">IF(A1327="","",DATE(YEAR(A1327),MONTH(A1327),1))</f>
        <v/>
      </c>
    </row>
    <row r="1328" customFormat="false" ht="15" hidden="false" customHeight="false" outlineLevel="0" collapsed="false">
      <c r="A1328" s="21"/>
      <c r="B1328" s="4"/>
      <c r="C1328" s="22"/>
      <c r="D1328" s="5" t="str">
        <f aca="false">IF(B1328="","",IFERROR(INDEX(DE_PARA!$B$6:$B$205,MATCH(B1328,DE_PARA!$A$6:$A$205,0)),"SEM DE-PARA"))</f>
        <v/>
      </c>
      <c r="E1328" s="23" t="str">
        <f aca="false">IF(A1328="","",DATE(YEAR(A1328),MONTH(A1328),1))</f>
        <v/>
      </c>
    </row>
    <row r="1329" customFormat="false" ht="15" hidden="false" customHeight="false" outlineLevel="0" collapsed="false">
      <c r="A1329" s="21"/>
      <c r="B1329" s="4"/>
      <c r="C1329" s="22"/>
      <c r="D1329" s="5" t="str">
        <f aca="false">IF(B1329="","",IFERROR(INDEX(DE_PARA!$B$6:$B$205,MATCH(B1329,DE_PARA!$A$6:$A$205,0)),"SEM DE-PARA"))</f>
        <v/>
      </c>
      <c r="E1329" s="23" t="str">
        <f aca="false">IF(A1329="","",DATE(YEAR(A1329),MONTH(A1329),1))</f>
        <v/>
      </c>
    </row>
    <row r="1330" customFormat="false" ht="15" hidden="false" customHeight="false" outlineLevel="0" collapsed="false">
      <c r="A1330" s="21"/>
      <c r="B1330" s="4"/>
      <c r="C1330" s="22"/>
      <c r="D1330" s="5" t="str">
        <f aca="false">IF(B1330="","",IFERROR(INDEX(DE_PARA!$B$6:$B$205,MATCH(B1330,DE_PARA!$A$6:$A$205,0)),"SEM DE-PARA"))</f>
        <v/>
      </c>
      <c r="E1330" s="23" t="str">
        <f aca="false">IF(A1330="","",DATE(YEAR(A1330),MONTH(A1330),1))</f>
        <v/>
      </c>
    </row>
    <row r="1331" customFormat="false" ht="15" hidden="false" customHeight="false" outlineLevel="0" collapsed="false">
      <c r="A1331" s="21"/>
      <c r="B1331" s="4"/>
      <c r="C1331" s="22"/>
      <c r="D1331" s="5" t="str">
        <f aca="false">IF(B1331="","",IFERROR(INDEX(DE_PARA!$B$6:$B$205,MATCH(B1331,DE_PARA!$A$6:$A$205,0)),"SEM DE-PARA"))</f>
        <v/>
      </c>
      <c r="E1331" s="23" t="str">
        <f aca="false">IF(A1331="","",DATE(YEAR(A1331),MONTH(A1331),1))</f>
        <v/>
      </c>
    </row>
    <row r="1332" customFormat="false" ht="15" hidden="false" customHeight="false" outlineLevel="0" collapsed="false">
      <c r="A1332" s="21"/>
      <c r="B1332" s="4"/>
      <c r="C1332" s="22"/>
      <c r="D1332" s="5" t="str">
        <f aca="false">IF(B1332="","",IFERROR(INDEX(DE_PARA!$B$6:$B$205,MATCH(B1332,DE_PARA!$A$6:$A$205,0)),"SEM DE-PARA"))</f>
        <v/>
      </c>
      <c r="E1332" s="23" t="str">
        <f aca="false">IF(A1332="","",DATE(YEAR(A1332),MONTH(A1332),1))</f>
        <v/>
      </c>
    </row>
    <row r="1333" customFormat="false" ht="15" hidden="false" customHeight="false" outlineLevel="0" collapsed="false">
      <c r="A1333" s="21"/>
      <c r="B1333" s="4"/>
      <c r="C1333" s="22"/>
      <c r="D1333" s="5" t="str">
        <f aca="false">IF(B1333="","",IFERROR(INDEX(DE_PARA!$B$6:$B$205,MATCH(B1333,DE_PARA!$A$6:$A$205,0)),"SEM DE-PARA"))</f>
        <v/>
      </c>
      <c r="E1333" s="23" t="str">
        <f aca="false">IF(A1333="","",DATE(YEAR(A1333),MONTH(A1333),1))</f>
        <v/>
      </c>
    </row>
    <row r="1334" customFormat="false" ht="15" hidden="false" customHeight="false" outlineLevel="0" collapsed="false">
      <c r="A1334" s="21"/>
      <c r="B1334" s="4"/>
      <c r="C1334" s="22"/>
      <c r="D1334" s="5" t="str">
        <f aca="false">IF(B1334="","",IFERROR(INDEX(DE_PARA!$B$6:$B$205,MATCH(B1334,DE_PARA!$A$6:$A$205,0)),"SEM DE-PARA"))</f>
        <v/>
      </c>
      <c r="E1334" s="23" t="str">
        <f aca="false">IF(A1334="","",DATE(YEAR(A1334),MONTH(A1334),1))</f>
        <v/>
      </c>
    </row>
    <row r="1335" customFormat="false" ht="15" hidden="false" customHeight="false" outlineLevel="0" collapsed="false">
      <c r="A1335" s="21"/>
      <c r="B1335" s="4"/>
      <c r="C1335" s="22"/>
      <c r="D1335" s="5" t="str">
        <f aca="false">IF(B1335="","",IFERROR(INDEX(DE_PARA!$B$6:$B$205,MATCH(B1335,DE_PARA!$A$6:$A$205,0)),"SEM DE-PARA"))</f>
        <v/>
      </c>
      <c r="E1335" s="23" t="str">
        <f aca="false">IF(A1335="","",DATE(YEAR(A1335),MONTH(A1335),1))</f>
        <v/>
      </c>
    </row>
    <row r="1336" customFormat="false" ht="15" hidden="false" customHeight="false" outlineLevel="0" collapsed="false">
      <c r="A1336" s="21"/>
      <c r="B1336" s="4"/>
      <c r="C1336" s="22"/>
      <c r="D1336" s="5" t="str">
        <f aca="false">IF(B1336="","",IFERROR(INDEX(DE_PARA!$B$6:$B$205,MATCH(B1336,DE_PARA!$A$6:$A$205,0)),"SEM DE-PARA"))</f>
        <v/>
      </c>
      <c r="E1336" s="23" t="str">
        <f aca="false">IF(A1336="","",DATE(YEAR(A1336),MONTH(A1336),1))</f>
        <v/>
      </c>
    </row>
    <row r="1337" customFormat="false" ht="15" hidden="false" customHeight="false" outlineLevel="0" collapsed="false">
      <c r="A1337" s="21"/>
      <c r="B1337" s="4"/>
      <c r="C1337" s="22"/>
      <c r="D1337" s="5" t="str">
        <f aca="false">IF(B1337="","",IFERROR(INDEX(DE_PARA!$B$6:$B$205,MATCH(B1337,DE_PARA!$A$6:$A$205,0)),"SEM DE-PARA"))</f>
        <v/>
      </c>
      <c r="E1337" s="23" t="str">
        <f aca="false">IF(A1337="","",DATE(YEAR(A1337),MONTH(A1337),1))</f>
        <v/>
      </c>
    </row>
    <row r="1338" customFormat="false" ht="15" hidden="false" customHeight="false" outlineLevel="0" collapsed="false">
      <c r="A1338" s="21"/>
      <c r="B1338" s="4"/>
      <c r="C1338" s="22"/>
      <c r="D1338" s="5" t="str">
        <f aca="false">IF(B1338="","",IFERROR(INDEX(DE_PARA!$B$6:$B$205,MATCH(B1338,DE_PARA!$A$6:$A$205,0)),"SEM DE-PARA"))</f>
        <v/>
      </c>
      <c r="E1338" s="23" t="str">
        <f aca="false">IF(A1338="","",DATE(YEAR(A1338),MONTH(A1338),1))</f>
        <v/>
      </c>
    </row>
    <row r="1339" customFormat="false" ht="15" hidden="false" customHeight="false" outlineLevel="0" collapsed="false">
      <c r="A1339" s="21"/>
      <c r="B1339" s="4"/>
      <c r="C1339" s="22"/>
      <c r="D1339" s="5" t="str">
        <f aca="false">IF(B1339="","",IFERROR(INDEX(DE_PARA!$B$6:$B$205,MATCH(B1339,DE_PARA!$A$6:$A$205,0)),"SEM DE-PARA"))</f>
        <v/>
      </c>
      <c r="E1339" s="23" t="str">
        <f aca="false">IF(A1339="","",DATE(YEAR(A1339),MONTH(A1339),1))</f>
        <v/>
      </c>
    </row>
    <row r="1340" customFormat="false" ht="15" hidden="false" customHeight="false" outlineLevel="0" collapsed="false">
      <c r="A1340" s="21"/>
      <c r="B1340" s="4"/>
      <c r="C1340" s="22"/>
      <c r="D1340" s="5" t="str">
        <f aca="false">IF(B1340="","",IFERROR(INDEX(DE_PARA!$B$6:$B$205,MATCH(B1340,DE_PARA!$A$6:$A$205,0)),"SEM DE-PARA"))</f>
        <v/>
      </c>
      <c r="E1340" s="23" t="str">
        <f aca="false">IF(A1340="","",DATE(YEAR(A1340),MONTH(A1340),1))</f>
        <v/>
      </c>
    </row>
    <row r="1341" customFormat="false" ht="15" hidden="false" customHeight="false" outlineLevel="0" collapsed="false">
      <c r="A1341" s="21"/>
      <c r="B1341" s="4"/>
      <c r="C1341" s="22"/>
      <c r="D1341" s="5" t="str">
        <f aca="false">IF(B1341="","",IFERROR(INDEX(DE_PARA!$B$6:$B$205,MATCH(B1341,DE_PARA!$A$6:$A$205,0)),"SEM DE-PARA"))</f>
        <v/>
      </c>
      <c r="E1341" s="23" t="str">
        <f aca="false">IF(A1341="","",DATE(YEAR(A1341),MONTH(A1341),1))</f>
        <v/>
      </c>
    </row>
    <row r="1342" customFormat="false" ht="15" hidden="false" customHeight="false" outlineLevel="0" collapsed="false">
      <c r="A1342" s="21"/>
      <c r="B1342" s="4"/>
      <c r="C1342" s="22"/>
      <c r="D1342" s="5" t="str">
        <f aca="false">IF(B1342="","",IFERROR(INDEX(DE_PARA!$B$6:$B$205,MATCH(B1342,DE_PARA!$A$6:$A$205,0)),"SEM DE-PARA"))</f>
        <v/>
      </c>
      <c r="E1342" s="23" t="str">
        <f aca="false">IF(A1342="","",DATE(YEAR(A1342),MONTH(A1342),1))</f>
        <v/>
      </c>
    </row>
    <row r="1343" customFormat="false" ht="15" hidden="false" customHeight="false" outlineLevel="0" collapsed="false">
      <c r="A1343" s="21"/>
      <c r="B1343" s="4"/>
      <c r="C1343" s="22"/>
      <c r="D1343" s="5" t="str">
        <f aca="false">IF(B1343="","",IFERROR(INDEX(DE_PARA!$B$6:$B$205,MATCH(B1343,DE_PARA!$A$6:$A$205,0)),"SEM DE-PARA"))</f>
        <v/>
      </c>
      <c r="E1343" s="23" t="str">
        <f aca="false">IF(A1343="","",DATE(YEAR(A1343),MONTH(A1343),1))</f>
        <v/>
      </c>
    </row>
    <row r="1344" customFormat="false" ht="15" hidden="false" customHeight="false" outlineLevel="0" collapsed="false">
      <c r="A1344" s="21"/>
      <c r="B1344" s="4"/>
      <c r="C1344" s="22"/>
      <c r="D1344" s="5" t="str">
        <f aca="false">IF(B1344="","",IFERROR(INDEX(DE_PARA!$B$6:$B$205,MATCH(B1344,DE_PARA!$A$6:$A$205,0)),"SEM DE-PARA"))</f>
        <v/>
      </c>
      <c r="E1344" s="23" t="str">
        <f aca="false">IF(A1344="","",DATE(YEAR(A1344),MONTH(A1344),1))</f>
        <v/>
      </c>
    </row>
    <row r="1345" customFormat="false" ht="15" hidden="false" customHeight="false" outlineLevel="0" collapsed="false">
      <c r="A1345" s="21"/>
      <c r="B1345" s="4"/>
      <c r="C1345" s="22"/>
      <c r="D1345" s="5" t="str">
        <f aca="false">IF(B1345="","",IFERROR(INDEX(DE_PARA!$B$6:$B$205,MATCH(B1345,DE_PARA!$A$6:$A$205,0)),"SEM DE-PARA"))</f>
        <v/>
      </c>
      <c r="E1345" s="23" t="str">
        <f aca="false">IF(A1345="","",DATE(YEAR(A1345),MONTH(A1345),1))</f>
        <v/>
      </c>
    </row>
    <row r="1346" customFormat="false" ht="15" hidden="false" customHeight="false" outlineLevel="0" collapsed="false">
      <c r="A1346" s="21"/>
      <c r="B1346" s="4"/>
      <c r="C1346" s="22"/>
      <c r="D1346" s="5" t="str">
        <f aca="false">IF(B1346="","",IFERROR(INDEX(DE_PARA!$B$6:$B$205,MATCH(B1346,DE_PARA!$A$6:$A$205,0)),"SEM DE-PARA"))</f>
        <v/>
      </c>
      <c r="E1346" s="23" t="str">
        <f aca="false">IF(A1346="","",DATE(YEAR(A1346),MONTH(A1346),1))</f>
        <v/>
      </c>
    </row>
    <row r="1347" customFormat="false" ht="15" hidden="false" customHeight="false" outlineLevel="0" collapsed="false">
      <c r="A1347" s="21"/>
      <c r="B1347" s="4"/>
      <c r="C1347" s="22"/>
      <c r="D1347" s="5" t="str">
        <f aca="false">IF(B1347="","",IFERROR(INDEX(DE_PARA!$B$6:$B$205,MATCH(B1347,DE_PARA!$A$6:$A$205,0)),"SEM DE-PARA"))</f>
        <v/>
      </c>
      <c r="E1347" s="23" t="str">
        <f aca="false">IF(A1347="","",DATE(YEAR(A1347),MONTH(A1347),1))</f>
        <v/>
      </c>
    </row>
    <row r="1348" customFormat="false" ht="15" hidden="false" customHeight="false" outlineLevel="0" collapsed="false">
      <c r="A1348" s="21"/>
      <c r="B1348" s="4"/>
      <c r="C1348" s="22"/>
      <c r="D1348" s="5" t="str">
        <f aca="false">IF(B1348="","",IFERROR(INDEX(DE_PARA!$B$6:$B$205,MATCH(B1348,DE_PARA!$A$6:$A$205,0)),"SEM DE-PARA"))</f>
        <v/>
      </c>
      <c r="E1348" s="23" t="str">
        <f aca="false">IF(A1348="","",DATE(YEAR(A1348),MONTH(A1348),1))</f>
        <v/>
      </c>
    </row>
    <row r="1349" customFormat="false" ht="15" hidden="false" customHeight="false" outlineLevel="0" collapsed="false">
      <c r="A1349" s="21"/>
      <c r="B1349" s="4"/>
      <c r="C1349" s="22"/>
      <c r="D1349" s="5" t="str">
        <f aca="false">IF(B1349="","",IFERROR(INDEX(DE_PARA!$B$6:$B$205,MATCH(B1349,DE_PARA!$A$6:$A$205,0)),"SEM DE-PARA"))</f>
        <v/>
      </c>
      <c r="E1349" s="23" t="str">
        <f aca="false">IF(A1349="","",DATE(YEAR(A1349),MONTH(A1349),1))</f>
        <v/>
      </c>
    </row>
    <row r="1350" customFormat="false" ht="15" hidden="false" customHeight="false" outlineLevel="0" collapsed="false">
      <c r="A1350" s="21"/>
      <c r="B1350" s="4"/>
      <c r="C1350" s="22"/>
      <c r="D1350" s="5" t="str">
        <f aca="false">IF(B1350="","",IFERROR(INDEX(DE_PARA!$B$6:$B$205,MATCH(B1350,DE_PARA!$A$6:$A$205,0)),"SEM DE-PARA"))</f>
        <v/>
      </c>
      <c r="E1350" s="23" t="str">
        <f aca="false">IF(A1350="","",DATE(YEAR(A1350),MONTH(A1350),1))</f>
        <v/>
      </c>
    </row>
    <row r="1351" customFormat="false" ht="15" hidden="false" customHeight="false" outlineLevel="0" collapsed="false">
      <c r="A1351" s="21"/>
      <c r="B1351" s="4"/>
      <c r="C1351" s="22"/>
      <c r="D1351" s="5" t="str">
        <f aca="false">IF(B1351="","",IFERROR(INDEX(DE_PARA!$B$6:$B$205,MATCH(B1351,DE_PARA!$A$6:$A$205,0)),"SEM DE-PARA"))</f>
        <v/>
      </c>
      <c r="E1351" s="23" t="str">
        <f aca="false">IF(A1351="","",DATE(YEAR(A1351),MONTH(A1351),1))</f>
        <v/>
      </c>
    </row>
    <row r="1352" customFormat="false" ht="15" hidden="false" customHeight="false" outlineLevel="0" collapsed="false">
      <c r="A1352" s="21"/>
      <c r="B1352" s="4"/>
      <c r="C1352" s="22"/>
      <c r="D1352" s="5" t="str">
        <f aca="false">IF(B1352="","",IFERROR(INDEX(DE_PARA!$B$6:$B$205,MATCH(B1352,DE_PARA!$A$6:$A$205,0)),"SEM DE-PARA"))</f>
        <v/>
      </c>
      <c r="E1352" s="23" t="str">
        <f aca="false">IF(A1352="","",DATE(YEAR(A1352),MONTH(A1352),1))</f>
        <v/>
      </c>
    </row>
    <row r="1353" customFormat="false" ht="15" hidden="false" customHeight="false" outlineLevel="0" collapsed="false">
      <c r="A1353" s="21"/>
      <c r="B1353" s="4"/>
      <c r="C1353" s="22"/>
      <c r="D1353" s="5" t="str">
        <f aca="false">IF(B1353="","",IFERROR(INDEX(DE_PARA!$B$6:$B$205,MATCH(B1353,DE_PARA!$A$6:$A$205,0)),"SEM DE-PARA"))</f>
        <v/>
      </c>
      <c r="E1353" s="23" t="str">
        <f aca="false">IF(A1353="","",DATE(YEAR(A1353),MONTH(A1353),1))</f>
        <v/>
      </c>
    </row>
    <row r="1354" customFormat="false" ht="15" hidden="false" customHeight="false" outlineLevel="0" collapsed="false">
      <c r="A1354" s="21"/>
      <c r="B1354" s="4"/>
      <c r="C1354" s="22"/>
      <c r="D1354" s="5" t="str">
        <f aca="false">IF(B1354="","",IFERROR(INDEX(DE_PARA!$B$6:$B$205,MATCH(B1354,DE_PARA!$A$6:$A$205,0)),"SEM DE-PARA"))</f>
        <v/>
      </c>
      <c r="E1354" s="23" t="str">
        <f aca="false">IF(A1354="","",DATE(YEAR(A1354),MONTH(A1354),1))</f>
        <v/>
      </c>
    </row>
    <row r="1355" customFormat="false" ht="15" hidden="false" customHeight="false" outlineLevel="0" collapsed="false">
      <c r="A1355" s="21"/>
      <c r="B1355" s="4"/>
      <c r="C1355" s="22"/>
      <c r="D1355" s="5" t="str">
        <f aca="false">IF(B1355="","",IFERROR(INDEX(DE_PARA!$B$6:$B$205,MATCH(B1355,DE_PARA!$A$6:$A$205,0)),"SEM DE-PARA"))</f>
        <v/>
      </c>
      <c r="E1355" s="23" t="str">
        <f aca="false">IF(A1355="","",DATE(YEAR(A1355),MONTH(A1355),1))</f>
        <v/>
      </c>
    </row>
    <row r="1356" customFormat="false" ht="15" hidden="false" customHeight="false" outlineLevel="0" collapsed="false">
      <c r="A1356" s="21"/>
      <c r="B1356" s="4"/>
      <c r="C1356" s="22"/>
      <c r="D1356" s="5" t="str">
        <f aca="false">IF(B1356="","",IFERROR(INDEX(DE_PARA!$B$6:$B$205,MATCH(B1356,DE_PARA!$A$6:$A$205,0)),"SEM DE-PARA"))</f>
        <v/>
      </c>
      <c r="E1356" s="23" t="str">
        <f aca="false">IF(A1356="","",DATE(YEAR(A1356),MONTH(A1356),1))</f>
        <v/>
      </c>
    </row>
    <row r="1357" customFormat="false" ht="15" hidden="false" customHeight="false" outlineLevel="0" collapsed="false">
      <c r="A1357" s="21"/>
      <c r="B1357" s="4"/>
      <c r="C1357" s="22"/>
      <c r="D1357" s="5" t="str">
        <f aca="false">IF(B1357="","",IFERROR(INDEX(DE_PARA!$B$6:$B$205,MATCH(B1357,DE_PARA!$A$6:$A$205,0)),"SEM DE-PARA"))</f>
        <v/>
      </c>
      <c r="E1357" s="23" t="str">
        <f aca="false">IF(A1357="","",DATE(YEAR(A1357),MONTH(A1357),1))</f>
        <v/>
      </c>
    </row>
    <row r="1358" customFormat="false" ht="15" hidden="false" customHeight="false" outlineLevel="0" collapsed="false">
      <c r="A1358" s="21"/>
      <c r="B1358" s="4"/>
      <c r="C1358" s="22"/>
      <c r="D1358" s="5" t="str">
        <f aca="false">IF(B1358="","",IFERROR(INDEX(DE_PARA!$B$6:$B$205,MATCH(B1358,DE_PARA!$A$6:$A$205,0)),"SEM DE-PARA"))</f>
        <v/>
      </c>
      <c r="E1358" s="23" t="str">
        <f aca="false">IF(A1358="","",DATE(YEAR(A1358),MONTH(A1358),1))</f>
        <v/>
      </c>
    </row>
    <row r="1359" customFormat="false" ht="15" hidden="false" customHeight="false" outlineLevel="0" collapsed="false">
      <c r="A1359" s="21"/>
      <c r="B1359" s="4"/>
      <c r="C1359" s="22"/>
      <c r="D1359" s="5" t="str">
        <f aca="false">IF(B1359="","",IFERROR(INDEX(DE_PARA!$B$6:$B$205,MATCH(B1359,DE_PARA!$A$6:$A$205,0)),"SEM DE-PARA"))</f>
        <v/>
      </c>
      <c r="E1359" s="23" t="str">
        <f aca="false">IF(A1359="","",DATE(YEAR(A1359),MONTH(A1359),1))</f>
        <v/>
      </c>
    </row>
    <row r="1360" customFormat="false" ht="15" hidden="false" customHeight="false" outlineLevel="0" collapsed="false">
      <c r="A1360" s="21"/>
      <c r="B1360" s="4"/>
      <c r="C1360" s="22"/>
      <c r="D1360" s="5" t="str">
        <f aca="false">IF(B1360="","",IFERROR(INDEX(DE_PARA!$B$6:$B$205,MATCH(B1360,DE_PARA!$A$6:$A$205,0)),"SEM DE-PARA"))</f>
        <v/>
      </c>
      <c r="E1360" s="23" t="str">
        <f aca="false">IF(A1360="","",DATE(YEAR(A1360),MONTH(A1360),1))</f>
        <v/>
      </c>
    </row>
    <row r="1361" customFormat="false" ht="15" hidden="false" customHeight="false" outlineLevel="0" collapsed="false">
      <c r="A1361" s="21"/>
      <c r="B1361" s="4"/>
      <c r="C1361" s="22"/>
      <c r="D1361" s="5" t="str">
        <f aca="false">IF(B1361="","",IFERROR(INDEX(DE_PARA!$B$6:$B$205,MATCH(B1361,DE_PARA!$A$6:$A$205,0)),"SEM DE-PARA"))</f>
        <v/>
      </c>
      <c r="E1361" s="23" t="str">
        <f aca="false">IF(A1361="","",DATE(YEAR(A1361),MONTH(A1361),1))</f>
        <v/>
      </c>
    </row>
    <row r="1362" customFormat="false" ht="15" hidden="false" customHeight="false" outlineLevel="0" collapsed="false">
      <c r="A1362" s="21"/>
      <c r="B1362" s="4"/>
      <c r="C1362" s="22"/>
      <c r="D1362" s="5" t="str">
        <f aca="false">IF(B1362="","",IFERROR(INDEX(DE_PARA!$B$6:$B$205,MATCH(B1362,DE_PARA!$A$6:$A$205,0)),"SEM DE-PARA"))</f>
        <v/>
      </c>
      <c r="E1362" s="23" t="str">
        <f aca="false">IF(A1362="","",DATE(YEAR(A1362),MONTH(A1362),1))</f>
        <v/>
      </c>
    </row>
    <row r="1363" customFormat="false" ht="15" hidden="false" customHeight="false" outlineLevel="0" collapsed="false">
      <c r="A1363" s="21"/>
      <c r="B1363" s="4"/>
      <c r="C1363" s="22"/>
      <c r="D1363" s="5" t="str">
        <f aca="false">IF(B1363="","",IFERROR(INDEX(DE_PARA!$B$6:$B$205,MATCH(B1363,DE_PARA!$A$6:$A$205,0)),"SEM DE-PARA"))</f>
        <v/>
      </c>
      <c r="E1363" s="23" t="str">
        <f aca="false">IF(A1363="","",DATE(YEAR(A1363),MONTH(A1363),1))</f>
        <v/>
      </c>
    </row>
    <row r="1364" customFormat="false" ht="15" hidden="false" customHeight="false" outlineLevel="0" collapsed="false">
      <c r="A1364" s="21"/>
      <c r="B1364" s="4"/>
      <c r="C1364" s="22"/>
      <c r="D1364" s="5" t="str">
        <f aca="false">IF(B1364="","",IFERROR(INDEX(DE_PARA!$B$6:$B$205,MATCH(B1364,DE_PARA!$A$6:$A$205,0)),"SEM DE-PARA"))</f>
        <v/>
      </c>
      <c r="E1364" s="23" t="str">
        <f aca="false">IF(A1364="","",DATE(YEAR(A1364),MONTH(A1364),1))</f>
        <v/>
      </c>
    </row>
    <row r="1365" customFormat="false" ht="15" hidden="false" customHeight="false" outlineLevel="0" collapsed="false">
      <c r="A1365" s="21"/>
      <c r="B1365" s="4"/>
      <c r="C1365" s="22"/>
      <c r="D1365" s="5" t="str">
        <f aca="false">IF(B1365="","",IFERROR(INDEX(DE_PARA!$B$6:$B$205,MATCH(B1365,DE_PARA!$A$6:$A$205,0)),"SEM DE-PARA"))</f>
        <v/>
      </c>
      <c r="E1365" s="23" t="str">
        <f aca="false">IF(A1365="","",DATE(YEAR(A1365),MONTH(A1365),1))</f>
        <v/>
      </c>
    </row>
    <row r="1366" customFormat="false" ht="15" hidden="false" customHeight="false" outlineLevel="0" collapsed="false">
      <c r="A1366" s="21"/>
      <c r="B1366" s="4"/>
      <c r="C1366" s="22"/>
      <c r="D1366" s="5" t="str">
        <f aca="false">IF(B1366="","",IFERROR(INDEX(DE_PARA!$B$6:$B$205,MATCH(B1366,DE_PARA!$A$6:$A$205,0)),"SEM DE-PARA"))</f>
        <v/>
      </c>
      <c r="E1366" s="23" t="str">
        <f aca="false">IF(A1366="","",DATE(YEAR(A1366),MONTH(A1366),1))</f>
        <v/>
      </c>
    </row>
    <row r="1367" customFormat="false" ht="15" hidden="false" customHeight="false" outlineLevel="0" collapsed="false">
      <c r="A1367" s="21"/>
      <c r="B1367" s="4"/>
      <c r="C1367" s="22"/>
      <c r="D1367" s="5" t="str">
        <f aca="false">IF(B1367="","",IFERROR(INDEX(DE_PARA!$B$6:$B$205,MATCH(B1367,DE_PARA!$A$6:$A$205,0)),"SEM DE-PARA"))</f>
        <v/>
      </c>
      <c r="E1367" s="23" t="str">
        <f aca="false">IF(A1367="","",DATE(YEAR(A1367),MONTH(A1367),1))</f>
        <v/>
      </c>
    </row>
    <row r="1368" customFormat="false" ht="15" hidden="false" customHeight="false" outlineLevel="0" collapsed="false">
      <c r="A1368" s="21"/>
      <c r="B1368" s="4"/>
      <c r="C1368" s="22"/>
      <c r="D1368" s="5" t="str">
        <f aca="false">IF(B1368="","",IFERROR(INDEX(DE_PARA!$B$6:$B$205,MATCH(B1368,DE_PARA!$A$6:$A$205,0)),"SEM DE-PARA"))</f>
        <v/>
      </c>
      <c r="E1368" s="23" t="str">
        <f aca="false">IF(A1368="","",DATE(YEAR(A1368),MONTH(A1368),1))</f>
        <v/>
      </c>
    </row>
    <row r="1369" customFormat="false" ht="15" hidden="false" customHeight="false" outlineLevel="0" collapsed="false">
      <c r="A1369" s="21"/>
      <c r="B1369" s="4"/>
      <c r="C1369" s="22"/>
      <c r="D1369" s="5" t="str">
        <f aca="false">IF(B1369="","",IFERROR(INDEX(DE_PARA!$B$6:$B$205,MATCH(B1369,DE_PARA!$A$6:$A$205,0)),"SEM DE-PARA"))</f>
        <v/>
      </c>
      <c r="E1369" s="23" t="str">
        <f aca="false">IF(A1369="","",DATE(YEAR(A1369),MONTH(A1369),1))</f>
        <v/>
      </c>
    </row>
    <row r="1370" customFormat="false" ht="15" hidden="false" customHeight="false" outlineLevel="0" collapsed="false">
      <c r="A1370" s="21"/>
      <c r="B1370" s="4"/>
      <c r="C1370" s="22"/>
      <c r="D1370" s="5" t="str">
        <f aca="false">IF(B1370="","",IFERROR(INDEX(DE_PARA!$B$6:$B$205,MATCH(B1370,DE_PARA!$A$6:$A$205,0)),"SEM DE-PARA"))</f>
        <v/>
      </c>
      <c r="E1370" s="23" t="str">
        <f aca="false">IF(A1370="","",DATE(YEAR(A1370),MONTH(A1370),1))</f>
        <v/>
      </c>
    </row>
    <row r="1371" customFormat="false" ht="15" hidden="false" customHeight="false" outlineLevel="0" collapsed="false">
      <c r="A1371" s="21"/>
      <c r="B1371" s="4"/>
      <c r="C1371" s="22"/>
      <c r="D1371" s="5" t="str">
        <f aca="false">IF(B1371="","",IFERROR(INDEX(DE_PARA!$B$6:$B$205,MATCH(B1371,DE_PARA!$A$6:$A$205,0)),"SEM DE-PARA"))</f>
        <v/>
      </c>
      <c r="E1371" s="23" t="str">
        <f aca="false">IF(A1371="","",DATE(YEAR(A1371),MONTH(A1371),1))</f>
        <v/>
      </c>
    </row>
    <row r="1372" customFormat="false" ht="15" hidden="false" customHeight="false" outlineLevel="0" collapsed="false">
      <c r="A1372" s="21"/>
      <c r="B1372" s="4"/>
      <c r="C1372" s="22"/>
      <c r="D1372" s="5" t="str">
        <f aca="false">IF(B1372="","",IFERROR(INDEX(DE_PARA!$B$6:$B$205,MATCH(B1372,DE_PARA!$A$6:$A$205,0)),"SEM DE-PARA"))</f>
        <v/>
      </c>
      <c r="E1372" s="23" t="str">
        <f aca="false">IF(A1372="","",DATE(YEAR(A1372),MONTH(A1372),1))</f>
        <v/>
      </c>
    </row>
    <row r="1373" customFormat="false" ht="15" hidden="false" customHeight="false" outlineLevel="0" collapsed="false">
      <c r="A1373" s="21"/>
      <c r="B1373" s="4"/>
      <c r="C1373" s="22"/>
      <c r="D1373" s="5" t="str">
        <f aca="false">IF(B1373="","",IFERROR(INDEX(DE_PARA!$B$6:$B$205,MATCH(B1373,DE_PARA!$A$6:$A$205,0)),"SEM DE-PARA"))</f>
        <v/>
      </c>
      <c r="E1373" s="23" t="str">
        <f aca="false">IF(A1373="","",DATE(YEAR(A1373),MONTH(A1373),1))</f>
        <v/>
      </c>
    </row>
    <row r="1374" customFormat="false" ht="15" hidden="false" customHeight="false" outlineLevel="0" collapsed="false">
      <c r="A1374" s="21"/>
      <c r="B1374" s="4"/>
      <c r="C1374" s="22"/>
      <c r="D1374" s="5" t="str">
        <f aca="false">IF(B1374="","",IFERROR(INDEX(DE_PARA!$B$6:$B$205,MATCH(B1374,DE_PARA!$A$6:$A$205,0)),"SEM DE-PARA"))</f>
        <v/>
      </c>
      <c r="E1374" s="23" t="str">
        <f aca="false">IF(A1374="","",DATE(YEAR(A1374),MONTH(A1374),1))</f>
        <v/>
      </c>
    </row>
    <row r="1375" customFormat="false" ht="15" hidden="false" customHeight="false" outlineLevel="0" collapsed="false">
      <c r="A1375" s="21"/>
      <c r="B1375" s="4"/>
      <c r="C1375" s="22"/>
      <c r="D1375" s="5" t="str">
        <f aca="false">IF(B1375="","",IFERROR(INDEX(DE_PARA!$B$6:$B$205,MATCH(B1375,DE_PARA!$A$6:$A$205,0)),"SEM DE-PARA"))</f>
        <v/>
      </c>
      <c r="E1375" s="23" t="str">
        <f aca="false">IF(A1375="","",DATE(YEAR(A1375),MONTH(A1375),1))</f>
        <v/>
      </c>
    </row>
    <row r="1376" customFormat="false" ht="15" hidden="false" customHeight="false" outlineLevel="0" collapsed="false">
      <c r="A1376" s="21"/>
      <c r="B1376" s="4"/>
      <c r="C1376" s="22"/>
      <c r="D1376" s="5" t="str">
        <f aca="false">IF(B1376="","",IFERROR(INDEX(DE_PARA!$B$6:$B$205,MATCH(B1376,DE_PARA!$A$6:$A$205,0)),"SEM DE-PARA"))</f>
        <v/>
      </c>
      <c r="E1376" s="23" t="str">
        <f aca="false">IF(A1376="","",DATE(YEAR(A1376),MONTH(A1376),1))</f>
        <v/>
      </c>
    </row>
    <row r="1377" customFormat="false" ht="15" hidden="false" customHeight="false" outlineLevel="0" collapsed="false">
      <c r="A1377" s="21"/>
      <c r="B1377" s="4"/>
      <c r="C1377" s="22"/>
      <c r="D1377" s="5" t="str">
        <f aca="false">IF(B1377="","",IFERROR(INDEX(DE_PARA!$B$6:$B$205,MATCH(B1377,DE_PARA!$A$6:$A$205,0)),"SEM DE-PARA"))</f>
        <v/>
      </c>
      <c r="E1377" s="23" t="str">
        <f aca="false">IF(A1377="","",DATE(YEAR(A1377),MONTH(A1377),1))</f>
        <v/>
      </c>
    </row>
    <row r="1378" customFormat="false" ht="15" hidden="false" customHeight="false" outlineLevel="0" collapsed="false">
      <c r="A1378" s="21"/>
      <c r="B1378" s="4"/>
      <c r="C1378" s="22"/>
      <c r="D1378" s="5" t="str">
        <f aca="false">IF(B1378="","",IFERROR(INDEX(DE_PARA!$B$6:$B$205,MATCH(B1378,DE_PARA!$A$6:$A$205,0)),"SEM DE-PARA"))</f>
        <v/>
      </c>
      <c r="E1378" s="23" t="str">
        <f aca="false">IF(A1378="","",DATE(YEAR(A1378),MONTH(A1378),1))</f>
        <v/>
      </c>
    </row>
    <row r="1379" customFormat="false" ht="15" hidden="false" customHeight="false" outlineLevel="0" collapsed="false">
      <c r="A1379" s="21"/>
      <c r="B1379" s="4"/>
      <c r="C1379" s="22"/>
      <c r="D1379" s="5" t="str">
        <f aca="false">IF(B1379="","",IFERROR(INDEX(DE_PARA!$B$6:$B$205,MATCH(B1379,DE_PARA!$A$6:$A$205,0)),"SEM DE-PARA"))</f>
        <v/>
      </c>
      <c r="E1379" s="23" t="str">
        <f aca="false">IF(A1379="","",DATE(YEAR(A1379),MONTH(A1379),1))</f>
        <v/>
      </c>
    </row>
    <row r="1380" customFormat="false" ht="15" hidden="false" customHeight="false" outlineLevel="0" collapsed="false">
      <c r="A1380" s="21"/>
      <c r="B1380" s="4"/>
      <c r="C1380" s="22"/>
      <c r="D1380" s="5" t="str">
        <f aca="false">IF(B1380="","",IFERROR(INDEX(DE_PARA!$B$6:$B$205,MATCH(B1380,DE_PARA!$A$6:$A$205,0)),"SEM DE-PARA"))</f>
        <v/>
      </c>
      <c r="E1380" s="23" t="str">
        <f aca="false">IF(A1380="","",DATE(YEAR(A1380),MONTH(A1380),1))</f>
        <v/>
      </c>
    </row>
    <row r="1381" customFormat="false" ht="15" hidden="false" customHeight="false" outlineLevel="0" collapsed="false">
      <c r="A1381" s="21"/>
      <c r="B1381" s="4"/>
      <c r="C1381" s="22"/>
      <c r="D1381" s="5" t="str">
        <f aca="false">IF(B1381="","",IFERROR(INDEX(DE_PARA!$B$6:$B$205,MATCH(B1381,DE_PARA!$A$6:$A$205,0)),"SEM DE-PARA"))</f>
        <v/>
      </c>
      <c r="E1381" s="23" t="str">
        <f aca="false">IF(A1381="","",DATE(YEAR(A1381),MONTH(A1381),1))</f>
        <v/>
      </c>
    </row>
    <row r="1382" customFormat="false" ht="15" hidden="false" customHeight="false" outlineLevel="0" collapsed="false">
      <c r="A1382" s="21"/>
      <c r="B1382" s="4"/>
      <c r="C1382" s="22"/>
      <c r="D1382" s="5" t="str">
        <f aca="false">IF(B1382="","",IFERROR(INDEX(DE_PARA!$B$6:$B$205,MATCH(B1382,DE_PARA!$A$6:$A$205,0)),"SEM DE-PARA"))</f>
        <v/>
      </c>
      <c r="E1382" s="23" t="str">
        <f aca="false">IF(A1382="","",DATE(YEAR(A1382),MONTH(A1382),1))</f>
        <v/>
      </c>
    </row>
    <row r="1383" customFormat="false" ht="15" hidden="false" customHeight="false" outlineLevel="0" collapsed="false">
      <c r="A1383" s="21"/>
      <c r="B1383" s="4"/>
      <c r="C1383" s="22"/>
      <c r="D1383" s="5" t="str">
        <f aca="false">IF(B1383="","",IFERROR(INDEX(DE_PARA!$B$6:$B$205,MATCH(B1383,DE_PARA!$A$6:$A$205,0)),"SEM DE-PARA"))</f>
        <v/>
      </c>
      <c r="E1383" s="23" t="str">
        <f aca="false">IF(A1383="","",DATE(YEAR(A1383),MONTH(A1383),1))</f>
        <v/>
      </c>
    </row>
    <row r="1384" customFormat="false" ht="15" hidden="false" customHeight="false" outlineLevel="0" collapsed="false">
      <c r="A1384" s="21"/>
      <c r="B1384" s="4"/>
      <c r="C1384" s="22"/>
      <c r="D1384" s="5" t="str">
        <f aca="false">IF(B1384="","",IFERROR(INDEX(DE_PARA!$B$6:$B$205,MATCH(B1384,DE_PARA!$A$6:$A$205,0)),"SEM DE-PARA"))</f>
        <v/>
      </c>
      <c r="E1384" s="23" t="str">
        <f aca="false">IF(A1384="","",DATE(YEAR(A1384),MONTH(A1384),1))</f>
        <v/>
      </c>
    </row>
    <row r="1385" customFormat="false" ht="15" hidden="false" customHeight="false" outlineLevel="0" collapsed="false">
      <c r="A1385" s="21"/>
      <c r="B1385" s="4"/>
      <c r="C1385" s="22"/>
      <c r="D1385" s="5" t="str">
        <f aca="false">IF(B1385="","",IFERROR(INDEX(DE_PARA!$B$6:$B$205,MATCH(B1385,DE_PARA!$A$6:$A$205,0)),"SEM DE-PARA"))</f>
        <v/>
      </c>
      <c r="E1385" s="23" t="str">
        <f aca="false">IF(A1385="","",DATE(YEAR(A1385),MONTH(A1385),1))</f>
        <v/>
      </c>
    </row>
    <row r="1386" customFormat="false" ht="15" hidden="false" customHeight="false" outlineLevel="0" collapsed="false">
      <c r="A1386" s="21"/>
      <c r="B1386" s="4"/>
      <c r="C1386" s="22"/>
      <c r="D1386" s="5" t="str">
        <f aca="false">IF(B1386="","",IFERROR(INDEX(DE_PARA!$B$6:$B$205,MATCH(B1386,DE_PARA!$A$6:$A$205,0)),"SEM DE-PARA"))</f>
        <v/>
      </c>
      <c r="E1386" s="23" t="str">
        <f aca="false">IF(A1386="","",DATE(YEAR(A1386),MONTH(A1386),1))</f>
        <v/>
      </c>
    </row>
    <row r="1387" customFormat="false" ht="15" hidden="false" customHeight="false" outlineLevel="0" collapsed="false">
      <c r="A1387" s="21"/>
      <c r="B1387" s="4"/>
      <c r="C1387" s="22"/>
      <c r="D1387" s="5" t="str">
        <f aca="false">IF(B1387="","",IFERROR(INDEX(DE_PARA!$B$6:$B$205,MATCH(B1387,DE_PARA!$A$6:$A$205,0)),"SEM DE-PARA"))</f>
        <v/>
      </c>
      <c r="E1387" s="23" t="str">
        <f aca="false">IF(A1387="","",DATE(YEAR(A1387),MONTH(A1387),1))</f>
        <v/>
      </c>
    </row>
    <row r="1388" customFormat="false" ht="15" hidden="false" customHeight="false" outlineLevel="0" collapsed="false">
      <c r="A1388" s="21"/>
      <c r="B1388" s="4"/>
      <c r="C1388" s="22"/>
      <c r="D1388" s="5" t="str">
        <f aca="false">IF(B1388="","",IFERROR(INDEX(DE_PARA!$B$6:$B$205,MATCH(B1388,DE_PARA!$A$6:$A$205,0)),"SEM DE-PARA"))</f>
        <v/>
      </c>
      <c r="E1388" s="23" t="str">
        <f aca="false">IF(A1388="","",DATE(YEAR(A1388),MONTH(A1388),1))</f>
        <v/>
      </c>
    </row>
    <row r="1389" customFormat="false" ht="15" hidden="false" customHeight="false" outlineLevel="0" collapsed="false">
      <c r="A1389" s="21"/>
      <c r="B1389" s="4"/>
      <c r="C1389" s="22"/>
      <c r="D1389" s="5" t="str">
        <f aca="false">IF(B1389="","",IFERROR(INDEX(DE_PARA!$B$6:$B$205,MATCH(B1389,DE_PARA!$A$6:$A$205,0)),"SEM DE-PARA"))</f>
        <v/>
      </c>
      <c r="E1389" s="23" t="str">
        <f aca="false">IF(A1389="","",DATE(YEAR(A1389),MONTH(A1389),1))</f>
        <v/>
      </c>
    </row>
    <row r="1390" customFormat="false" ht="15" hidden="false" customHeight="false" outlineLevel="0" collapsed="false">
      <c r="A1390" s="21"/>
      <c r="B1390" s="4"/>
      <c r="C1390" s="22"/>
      <c r="D1390" s="5" t="str">
        <f aca="false">IF(B1390="","",IFERROR(INDEX(DE_PARA!$B$6:$B$205,MATCH(B1390,DE_PARA!$A$6:$A$205,0)),"SEM DE-PARA"))</f>
        <v/>
      </c>
      <c r="E1390" s="23" t="str">
        <f aca="false">IF(A1390="","",DATE(YEAR(A1390),MONTH(A1390),1))</f>
        <v/>
      </c>
    </row>
    <row r="1391" customFormat="false" ht="15" hidden="false" customHeight="false" outlineLevel="0" collapsed="false">
      <c r="A1391" s="21"/>
      <c r="B1391" s="4"/>
      <c r="C1391" s="22"/>
      <c r="D1391" s="5" t="str">
        <f aca="false">IF(B1391="","",IFERROR(INDEX(DE_PARA!$B$6:$B$205,MATCH(B1391,DE_PARA!$A$6:$A$205,0)),"SEM DE-PARA"))</f>
        <v/>
      </c>
      <c r="E1391" s="23" t="str">
        <f aca="false">IF(A1391="","",DATE(YEAR(A1391),MONTH(A1391),1))</f>
        <v/>
      </c>
    </row>
    <row r="1392" customFormat="false" ht="15" hidden="false" customHeight="false" outlineLevel="0" collapsed="false">
      <c r="A1392" s="21"/>
      <c r="B1392" s="4"/>
      <c r="C1392" s="22"/>
      <c r="D1392" s="5" t="str">
        <f aca="false">IF(B1392="","",IFERROR(INDEX(DE_PARA!$B$6:$B$205,MATCH(B1392,DE_PARA!$A$6:$A$205,0)),"SEM DE-PARA"))</f>
        <v/>
      </c>
      <c r="E1392" s="23" t="str">
        <f aca="false">IF(A1392="","",DATE(YEAR(A1392),MONTH(A1392),1))</f>
        <v/>
      </c>
    </row>
    <row r="1393" customFormat="false" ht="15" hidden="false" customHeight="false" outlineLevel="0" collapsed="false">
      <c r="A1393" s="21"/>
      <c r="B1393" s="4"/>
      <c r="C1393" s="22"/>
      <c r="D1393" s="5" t="str">
        <f aca="false">IF(B1393="","",IFERROR(INDEX(DE_PARA!$B$6:$B$205,MATCH(B1393,DE_PARA!$A$6:$A$205,0)),"SEM DE-PARA"))</f>
        <v/>
      </c>
      <c r="E1393" s="23" t="str">
        <f aca="false">IF(A1393="","",DATE(YEAR(A1393),MONTH(A1393),1))</f>
        <v/>
      </c>
    </row>
    <row r="1394" customFormat="false" ht="15" hidden="false" customHeight="false" outlineLevel="0" collapsed="false">
      <c r="A1394" s="21"/>
      <c r="B1394" s="4"/>
      <c r="C1394" s="22"/>
      <c r="D1394" s="5" t="str">
        <f aca="false">IF(B1394="","",IFERROR(INDEX(DE_PARA!$B$6:$B$205,MATCH(B1394,DE_PARA!$A$6:$A$205,0)),"SEM DE-PARA"))</f>
        <v/>
      </c>
      <c r="E1394" s="23" t="str">
        <f aca="false">IF(A1394="","",DATE(YEAR(A1394),MONTH(A1394),1))</f>
        <v/>
      </c>
    </row>
    <row r="1395" customFormat="false" ht="15" hidden="false" customHeight="false" outlineLevel="0" collapsed="false">
      <c r="A1395" s="21"/>
      <c r="B1395" s="4"/>
      <c r="C1395" s="22"/>
      <c r="D1395" s="5" t="str">
        <f aca="false">IF(B1395="","",IFERROR(INDEX(DE_PARA!$B$6:$B$205,MATCH(B1395,DE_PARA!$A$6:$A$205,0)),"SEM DE-PARA"))</f>
        <v/>
      </c>
      <c r="E1395" s="23" t="str">
        <f aca="false">IF(A1395="","",DATE(YEAR(A1395),MONTH(A1395),1))</f>
        <v/>
      </c>
    </row>
    <row r="1396" customFormat="false" ht="15" hidden="false" customHeight="false" outlineLevel="0" collapsed="false">
      <c r="A1396" s="21"/>
      <c r="B1396" s="4"/>
      <c r="C1396" s="22"/>
      <c r="D1396" s="5" t="str">
        <f aca="false">IF(B1396="","",IFERROR(INDEX(DE_PARA!$B$6:$B$205,MATCH(B1396,DE_PARA!$A$6:$A$205,0)),"SEM DE-PARA"))</f>
        <v/>
      </c>
      <c r="E1396" s="23" t="str">
        <f aca="false">IF(A1396="","",DATE(YEAR(A1396),MONTH(A1396),1))</f>
        <v/>
      </c>
    </row>
    <row r="1397" customFormat="false" ht="15" hidden="false" customHeight="false" outlineLevel="0" collapsed="false">
      <c r="A1397" s="21"/>
      <c r="B1397" s="4"/>
      <c r="C1397" s="22"/>
      <c r="D1397" s="5" t="str">
        <f aca="false">IF(B1397="","",IFERROR(INDEX(DE_PARA!$B$6:$B$205,MATCH(B1397,DE_PARA!$A$6:$A$205,0)),"SEM DE-PARA"))</f>
        <v/>
      </c>
      <c r="E1397" s="23" t="str">
        <f aca="false">IF(A1397="","",DATE(YEAR(A1397),MONTH(A1397),1))</f>
        <v/>
      </c>
    </row>
    <row r="1398" customFormat="false" ht="15" hidden="false" customHeight="false" outlineLevel="0" collapsed="false">
      <c r="A1398" s="21"/>
      <c r="B1398" s="4"/>
      <c r="C1398" s="22"/>
      <c r="D1398" s="5" t="str">
        <f aca="false">IF(B1398="","",IFERROR(INDEX(DE_PARA!$B$6:$B$205,MATCH(B1398,DE_PARA!$A$6:$A$205,0)),"SEM DE-PARA"))</f>
        <v/>
      </c>
      <c r="E1398" s="23" t="str">
        <f aca="false">IF(A1398="","",DATE(YEAR(A1398),MONTH(A1398),1))</f>
        <v/>
      </c>
    </row>
    <row r="1399" customFormat="false" ht="15" hidden="false" customHeight="false" outlineLevel="0" collapsed="false">
      <c r="A1399" s="21"/>
      <c r="B1399" s="4"/>
      <c r="C1399" s="22"/>
      <c r="D1399" s="5" t="str">
        <f aca="false">IF(B1399="","",IFERROR(INDEX(DE_PARA!$B$6:$B$205,MATCH(B1399,DE_PARA!$A$6:$A$205,0)),"SEM DE-PARA"))</f>
        <v/>
      </c>
      <c r="E1399" s="23" t="str">
        <f aca="false">IF(A1399="","",DATE(YEAR(A1399),MONTH(A1399),1))</f>
        <v/>
      </c>
    </row>
    <row r="1400" customFormat="false" ht="15" hidden="false" customHeight="false" outlineLevel="0" collapsed="false">
      <c r="A1400" s="21"/>
      <c r="B1400" s="4"/>
      <c r="C1400" s="22"/>
      <c r="D1400" s="5" t="str">
        <f aca="false">IF(B1400="","",IFERROR(INDEX(DE_PARA!$B$6:$B$205,MATCH(B1400,DE_PARA!$A$6:$A$205,0)),"SEM DE-PARA"))</f>
        <v/>
      </c>
      <c r="E1400" s="23" t="str">
        <f aca="false">IF(A1400="","",DATE(YEAR(A1400),MONTH(A1400),1))</f>
        <v/>
      </c>
    </row>
    <row r="1401" customFormat="false" ht="15" hidden="false" customHeight="false" outlineLevel="0" collapsed="false">
      <c r="A1401" s="21"/>
      <c r="B1401" s="4"/>
      <c r="C1401" s="22"/>
      <c r="D1401" s="5" t="str">
        <f aca="false">IF(B1401="","",IFERROR(INDEX(DE_PARA!$B$6:$B$205,MATCH(B1401,DE_PARA!$A$6:$A$205,0)),"SEM DE-PARA"))</f>
        <v/>
      </c>
      <c r="E1401" s="23" t="str">
        <f aca="false">IF(A1401="","",DATE(YEAR(A1401),MONTH(A1401),1))</f>
        <v/>
      </c>
    </row>
    <row r="1402" customFormat="false" ht="15" hidden="false" customHeight="false" outlineLevel="0" collapsed="false">
      <c r="A1402" s="21"/>
      <c r="B1402" s="4"/>
      <c r="C1402" s="22"/>
      <c r="D1402" s="5" t="str">
        <f aca="false">IF(B1402="","",IFERROR(INDEX(DE_PARA!$B$6:$B$205,MATCH(B1402,DE_PARA!$A$6:$A$205,0)),"SEM DE-PARA"))</f>
        <v/>
      </c>
      <c r="E1402" s="23" t="str">
        <f aca="false">IF(A1402="","",DATE(YEAR(A1402),MONTH(A1402),1))</f>
        <v/>
      </c>
    </row>
    <row r="1403" customFormat="false" ht="15" hidden="false" customHeight="false" outlineLevel="0" collapsed="false">
      <c r="A1403" s="21"/>
      <c r="B1403" s="4"/>
      <c r="C1403" s="22"/>
      <c r="D1403" s="5" t="str">
        <f aca="false">IF(B1403="","",IFERROR(INDEX(DE_PARA!$B$6:$B$205,MATCH(B1403,DE_PARA!$A$6:$A$205,0)),"SEM DE-PARA"))</f>
        <v/>
      </c>
      <c r="E1403" s="23" t="str">
        <f aca="false">IF(A1403="","",DATE(YEAR(A1403),MONTH(A1403),1))</f>
        <v/>
      </c>
    </row>
    <row r="1404" customFormat="false" ht="15" hidden="false" customHeight="false" outlineLevel="0" collapsed="false">
      <c r="A1404" s="21"/>
      <c r="B1404" s="4"/>
      <c r="C1404" s="22"/>
      <c r="D1404" s="5" t="str">
        <f aca="false">IF(B1404="","",IFERROR(INDEX(DE_PARA!$B$6:$B$205,MATCH(B1404,DE_PARA!$A$6:$A$205,0)),"SEM DE-PARA"))</f>
        <v/>
      </c>
      <c r="E1404" s="23" t="str">
        <f aca="false">IF(A1404="","",DATE(YEAR(A1404),MONTH(A1404),1))</f>
        <v/>
      </c>
    </row>
    <row r="1405" customFormat="false" ht="15" hidden="false" customHeight="false" outlineLevel="0" collapsed="false">
      <c r="A1405" s="21"/>
      <c r="B1405" s="4"/>
      <c r="C1405" s="22"/>
      <c r="D1405" s="5" t="str">
        <f aca="false">IF(B1405="","",IFERROR(INDEX(DE_PARA!$B$6:$B$205,MATCH(B1405,DE_PARA!$A$6:$A$205,0)),"SEM DE-PARA"))</f>
        <v/>
      </c>
      <c r="E1405" s="23" t="str">
        <f aca="false">IF(A1405="","",DATE(YEAR(A1405),MONTH(A1405),1))</f>
        <v/>
      </c>
    </row>
    <row r="1406" customFormat="false" ht="15" hidden="false" customHeight="false" outlineLevel="0" collapsed="false">
      <c r="A1406" s="21"/>
      <c r="B1406" s="4"/>
      <c r="C1406" s="22"/>
      <c r="D1406" s="5" t="str">
        <f aca="false">IF(B1406="","",IFERROR(INDEX(DE_PARA!$B$6:$B$205,MATCH(B1406,DE_PARA!$A$6:$A$205,0)),"SEM DE-PARA"))</f>
        <v/>
      </c>
      <c r="E1406" s="23" t="str">
        <f aca="false">IF(A1406="","",DATE(YEAR(A1406),MONTH(A1406),1))</f>
        <v/>
      </c>
    </row>
    <row r="1407" customFormat="false" ht="15" hidden="false" customHeight="false" outlineLevel="0" collapsed="false">
      <c r="A1407" s="21"/>
      <c r="B1407" s="4"/>
      <c r="C1407" s="22"/>
      <c r="D1407" s="5" t="str">
        <f aca="false">IF(B1407="","",IFERROR(INDEX(DE_PARA!$B$6:$B$205,MATCH(B1407,DE_PARA!$A$6:$A$205,0)),"SEM DE-PARA"))</f>
        <v/>
      </c>
      <c r="E1407" s="23" t="str">
        <f aca="false">IF(A1407="","",DATE(YEAR(A1407),MONTH(A1407),1))</f>
        <v/>
      </c>
    </row>
    <row r="1408" customFormat="false" ht="15" hidden="false" customHeight="false" outlineLevel="0" collapsed="false">
      <c r="A1408" s="21"/>
      <c r="B1408" s="4"/>
      <c r="C1408" s="22"/>
      <c r="D1408" s="5" t="str">
        <f aca="false">IF(B1408="","",IFERROR(INDEX(DE_PARA!$B$6:$B$205,MATCH(B1408,DE_PARA!$A$6:$A$205,0)),"SEM DE-PARA"))</f>
        <v/>
      </c>
      <c r="E1408" s="23" t="str">
        <f aca="false">IF(A1408="","",DATE(YEAR(A1408),MONTH(A1408),1))</f>
        <v/>
      </c>
    </row>
    <row r="1409" customFormat="false" ht="15" hidden="false" customHeight="false" outlineLevel="0" collapsed="false">
      <c r="A1409" s="21"/>
      <c r="B1409" s="4"/>
      <c r="C1409" s="22"/>
      <c r="D1409" s="5" t="str">
        <f aca="false">IF(B1409="","",IFERROR(INDEX(DE_PARA!$B$6:$B$205,MATCH(B1409,DE_PARA!$A$6:$A$205,0)),"SEM DE-PARA"))</f>
        <v/>
      </c>
      <c r="E1409" s="23" t="str">
        <f aca="false">IF(A1409="","",DATE(YEAR(A1409),MONTH(A1409),1))</f>
        <v/>
      </c>
    </row>
    <row r="1410" customFormat="false" ht="15" hidden="false" customHeight="false" outlineLevel="0" collapsed="false">
      <c r="A1410" s="21"/>
      <c r="B1410" s="4"/>
      <c r="C1410" s="22"/>
      <c r="D1410" s="5" t="str">
        <f aca="false">IF(B1410="","",IFERROR(INDEX(DE_PARA!$B$6:$B$205,MATCH(B1410,DE_PARA!$A$6:$A$205,0)),"SEM DE-PARA"))</f>
        <v/>
      </c>
      <c r="E1410" s="23" t="str">
        <f aca="false">IF(A1410="","",DATE(YEAR(A1410),MONTH(A1410),1))</f>
        <v/>
      </c>
    </row>
    <row r="1411" customFormat="false" ht="15" hidden="false" customHeight="false" outlineLevel="0" collapsed="false">
      <c r="A1411" s="21"/>
      <c r="B1411" s="4"/>
      <c r="C1411" s="22"/>
      <c r="D1411" s="5" t="str">
        <f aca="false">IF(B1411="","",IFERROR(INDEX(DE_PARA!$B$6:$B$205,MATCH(B1411,DE_PARA!$A$6:$A$205,0)),"SEM DE-PARA"))</f>
        <v/>
      </c>
      <c r="E1411" s="23" t="str">
        <f aca="false">IF(A1411="","",DATE(YEAR(A1411),MONTH(A1411),1))</f>
        <v/>
      </c>
    </row>
    <row r="1412" customFormat="false" ht="15" hidden="false" customHeight="false" outlineLevel="0" collapsed="false">
      <c r="A1412" s="21"/>
      <c r="B1412" s="4"/>
      <c r="C1412" s="22"/>
      <c r="D1412" s="5" t="str">
        <f aca="false">IF(B1412="","",IFERROR(INDEX(DE_PARA!$B$6:$B$205,MATCH(B1412,DE_PARA!$A$6:$A$205,0)),"SEM DE-PARA"))</f>
        <v/>
      </c>
      <c r="E1412" s="23" t="str">
        <f aca="false">IF(A1412="","",DATE(YEAR(A1412),MONTH(A1412),1))</f>
        <v/>
      </c>
    </row>
    <row r="1413" customFormat="false" ht="15" hidden="false" customHeight="false" outlineLevel="0" collapsed="false">
      <c r="A1413" s="21"/>
      <c r="B1413" s="4"/>
      <c r="C1413" s="22"/>
      <c r="D1413" s="5" t="str">
        <f aca="false">IF(B1413="","",IFERROR(INDEX(DE_PARA!$B$6:$B$205,MATCH(B1413,DE_PARA!$A$6:$A$205,0)),"SEM DE-PARA"))</f>
        <v/>
      </c>
      <c r="E1413" s="23" t="str">
        <f aca="false">IF(A1413="","",DATE(YEAR(A1413),MONTH(A1413),1))</f>
        <v/>
      </c>
    </row>
    <row r="1414" customFormat="false" ht="15" hidden="false" customHeight="false" outlineLevel="0" collapsed="false">
      <c r="A1414" s="21"/>
      <c r="B1414" s="4"/>
      <c r="C1414" s="22"/>
      <c r="D1414" s="5" t="str">
        <f aca="false">IF(B1414="","",IFERROR(INDEX(DE_PARA!$B$6:$B$205,MATCH(B1414,DE_PARA!$A$6:$A$205,0)),"SEM DE-PARA"))</f>
        <v/>
      </c>
      <c r="E1414" s="23" t="str">
        <f aca="false">IF(A1414="","",DATE(YEAR(A1414),MONTH(A1414),1))</f>
        <v/>
      </c>
    </row>
    <row r="1415" customFormat="false" ht="15" hidden="false" customHeight="false" outlineLevel="0" collapsed="false">
      <c r="A1415" s="21"/>
      <c r="B1415" s="4"/>
      <c r="C1415" s="22"/>
      <c r="D1415" s="5" t="str">
        <f aca="false">IF(B1415="","",IFERROR(INDEX(DE_PARA!$B$6:$B$205,MATCH(B1415,DE_PARA!$A$6:$A$205,0)),"SEM DE-PARA"))</f>
        <v/>
      </c>
      <c r="E1415" s="23" t="str">
        <f aca="false">IF(A1415="","",DATE(YEAR(A1415),MONTH(A1415),1))</f>
        <v/>
      </c>
    </row>
    <row r="1416" customFormat="false" ht="15" hidden="false" customHeight="false" outlineLevel="0" collapsed="false">
      <c r="A1416" s="21"/>
      <c r="B1416" s="4"/>
      <c r="C1416" s="22"/>
      <c r="D1416" s="5" t="str">
        <f aca="false">IF(B1416="","",IFERROR(INDEX(DE_PARA!$B$6:$B$205,MATCH(B1416,DE_PARA!$A$6:$A$205,0)),"SEM DE-PARA"))</f>
        <v/>
      </c>
      <c r="E1416" s="23" t="str">
        <f aca="false">IF(A1416="","",DATE(YEAR(A1416),MONTH(A1416),1))</f>
        <v/>
      </c>
    </row>
    <row r="1417" customFormat="false" ht="15" hidden="false" customHeight="false" outlineLevel="0" collapsed="false">
      <c r="A1417" s="21"/>
      <c r="B1417" s="4"/>
      <c r="C1417" s="22"/>
      <c r="D1417" s="5" t="str">
        <f aca="false">IF(B1417="","",IFERROR(INDEX(DE_PARA!$B$6:$B$205,MATCH(B1417,DE_PARA!$A$6:$A$205,0)),"SEM DE-PARA"))</f>
        <v/>
      </c>
      <c r="E1417" s="23" t="str">
        <f aca="false">IF(A1417="","",DATE(YEAR(A1417),MONTH(A1417),1))</f>
        <v/>
      </c>
    </row>
    <row r="1418" customFormat="false" ht="15" hidden="false" customHeight="false" outlineLevel="0" collapsed="false">
      <c r="A1418" s="21"/>
      <c r="B1418" s="4"/>
      <c r="C1418" s="22"/>
      <c r="D1418" s="5" t="str">
        <f aca="false">IF(B1418="","",IFERROR(INDEX(DE_PARA!$B$6:$B$205,MATCH(B1418,DE_PARA!$A$6:$A$205,0)),"SEM DE-PARA"))</f>
        <v/>
      </c>
      <c r="E1418" s="23" t="str">
        <f aca="false">IF(A1418="","",DATE(YEAR(A1418),MONTH(A1418),1))</f>
        <v/>
      </c>
    </row>
    <row r="1419" customFormat="false" ht="15" hidden="false" customHeight="false" outlineLevel="0" collapsed="false">
      <c r="A1419" s="21"/>
      <c r="B1419" s="4"/>
      <c r="C1419" s="22"/>
      <c r="D1419" s="5" t="str">
        <f aca="false">IF(B1419="","",IFERROR(INDEX(DE_PARA!$B$6:$B$205,MATCH(B1419,DE_PARA!$A$6:$A$205,0)),"SEM DE-PARA"))</f>
        <v/>
      </c>
      <c r="E1419" s="23" t="str">
        <f aca="false">IF(A1419="","",DATE(YEAR(A1419),MONTH(A1419),1))</f>
        <v/>
      </c>
    </row>
    <row r="1420" customFormat="false" ht="15" hidden="false" customHeight="false" outlineLevel="0" collapsed="false">
      <c r="A1420" s="21"/>
      <c r="B1420" s="4"/>
      <c r="C1420" s="22"/>
      <c r="D1420" s="5" t="str">
        <f aca="false">IF(B1420="","",IFERROR(INDEX(DE_PARA!$B$6:$B$205,MATCH(B1420,DE_PARA!$A$6:$A$205,0)),"SEM DE-PARA"))</f>
        <v/>
      </c>
      <c r="E1420" s="23" t="str">
        <f aca="false">IF(A1420="","",DATE(YEAR(A1420),MONTH(A1420),1))</f>
        <v/>
      </c>
    </row>
    <row r="1421" customFormat="false" ht="15" hidden="false" customHeight="false" outlineLevel="0" collapsed="false">
      <c r="A1421" s="21"/>
      <c r="B1421" s="4"/>
      <c r="C1421" s="22"/>
      <c r="D1421" s="5" t="str">
        <f aca="false">IF(B1421="","",IFERROR(INDEX(DE_PARA!$B$6:$B$205,MATCH(B1421,DE_PARA!$A$6:$A$205,0)),"SEM DE-PARA"))</f>
        <v/>
      </c>
      <c r="E1421" s="23" t="str">
        <f aca="false">IF(A1421="","",DATE(YEAR(A1421),MONTH(A1421),1))</f>
        <v/>
      </c>
    </row>
    <row r="1422" customFormat="false" ht="15" hidden="false" customHeight="false" outlineLevel="0" collapsed="false">
      <c r="A1422" s="21"/>
      <c r="B1422" s="4"/>
      <c r="C1422" s="22"/>
      <c r="D1422" s="5" t="str">
        <f aca="false">IF(B1422="","",IFERROR(INDEX(DE_PARA!$B$6:$B$205,MATCH(B1422,DE_PARA!$A$6:$A$205,0)),"SEM DE-PARA"))</f>
        <v/>
      </c>
      <c r="E1422" s="23" t="str">
        <f aca="false">IF(A1422="","",DATE(YEAR(A1422),MONTH(A1422),1))</f>
        <v/>
      </c>
    </row>
    <row r="1423" customFormat="false" ht="15" hidden="false" customHeight="false" outlineLevel="0" collapsed="false">
      <c r="A1423" s="21"/>
      <c r="B1423" s="4"/>
      <c r="C1423" s="22"/>
      <c r="D1423" s="5" t="str">
        <f aca="false">IF(B1423="","",IFERROR(INDEX(DE_PARA!$B$6:$B$205,MATCH(B1423,DE_PARA!$A$6:$A$205,0)),"SEM DE-PARA"))</f>
        <v/>
      </c>
      <c r="E1423" s="23" t="str">
        <f aca="false">IF(A1423="","",DATE(YEAR(A1423),MONTH(A1423),1))</f>
        <v/>
      </c>
    </row>
    <row r="1424" customFormat="false" ht="15" hidden="false" customHeight="false" outlineLevel="0" collapsed="false">
      <c r="A1424" s="21"/>
      <c r="B1424" s="4"/>
      <c r="C1424" s="22"/>
      <c r="D1424" s="5" t="str">
        <f aca="false">IF(B1424="","",IFERROR(INDEX(DE_PARA!$B$6:$B$205,MATCH(B1424,DE_PARA!$A$6:$A$205,0)),"SEM DE-PARA"))</f>
        <v/>
      </c>
      <c r="E1424" s="23" t="str">
        <f aca="false">IF(A1424="","",DATE(YEAR(A1424),MONTH(A1424),1))</f>
        <v/>
      </c>
    </row>
    <row r="1425" customFormat="false" ht="15" hidden="false" customHeight="false" outlineLevel="0" collapsed="false">
      <c r="A1425" s="21"/>
      <c r="B1425" s="4"/>
      <c r="C1425" s="22"/>
      <c r="D1425" s="5" t="str">
        <f aca="false">IF(B1425="","",IFERROR(INDEX(DE_PARA!$B$6:$B$205,MATCH(B1425,DE_PARA!$A$6:$A$205,0)),"SEM DE-PARA"))</f>
        <v/>
      </c>
      <c r="E1425" s="23" t="str">
        <f aca="false">IF(A1425="","",DATE(YEAR(A1425),MONTH(A1425),1))</f>
        <v/>
      </c>
    </row>
    <row r="1426" customFormat="false" ht="15" hidden="false" customHeight="false" outlineLevel="0" collapsed="false">
      <c r="A1426" s="21"/>
      <c r="B1426" s="4"/>
      <c r="C1426" s="22"/>
      <c r="D1426" s="5" t="str">
        <f aca="false">IF(B1426="","",IFERROR(INDEX(DE_PARA!$B$6:$B$205,MATCH(B1426,DE_PARA!$A$6:$A$205,0)),"SEM DE-PARA"))</f>
        <v/>
      </c>
      <c r="E1426" s="23" t="str">
        <f aca="false">IF(A1426="","",DATE(YEAR(A1426),MONTH(A1426),1))</f>
        <v/>
      </c>
    </row>
    <row r="1427" customFormat="false" ht="15" hidden="false" customHeight="false" outlineLevel="0" collapsed="false">
      <c r="A1427" s="21"/>
      <c r="B1427" s="4"/>
      <c r="C1427" s="22"/>
      <c r="D1427" s="5" t="str">
        <f aca="false">IF(B1427="","",IFERROR(INDEX(DE_PARA!$B$6:$B$205,MATCH(B1427,DE_PARA!$A$6:$A$205,0)),"SEM DE-PARA"))</f>
        <v/>
      </c>
      <c r="E1427" s="23" t="str">
        <f aca="false">IF(A1427="","",DATE(YEAR(A1427),MONTH(A1427),1))</f>
        <v/>
      </c>
    </row>
    <row r="1428" customFormat="false" ht="15" hidden="false" customHeight="false" outlineLevel="0" collapsed="false">
      <c r="A1428" s="21"/>
      <c r="B1428" s="4"/>
      <c r="C1428" s="22"/>
      <c r="D1428" s="5" t="str">
        <f aca="false">IF(B1428="","",IFERROR(INDEX(DE_PARA!$B$6:$B$205,MATCH(B1428,DE_PARA!$A$6:$A$205,0)),"SEM DE-PARA"))</f>
        <v/>
      </c>
      <c r="E1428" s="23" t="str">
        <f aca="false">IF(A1428="","",DATE(YEAR(A1428),MONTH(A1428),1))</f>
        <v/>
      </c>
    </row>
    <row r="1429" customFormat="false" ht="15" hidden="false" customHeight="false" outlineLevel="0" collapsed="false">
      <c r="A1429" s="21"/>
      <c r="B1429" s="4"/>
      <c r="C1429" s="22"/>
      <c r="D1429" s="5" t="str">
        <f aca="false">IF(B1429="","",IFERROR(INDEX(DE_PARA!$B$6:$B$205,MATCH(B1429,DE_PARA!$A$6:$A$205,0)),"SEM DE-PARA"))</f>
        <v/>
      </c>
      <c r="E1429" s="23" t="str">
        <f aca="false">IF(A1429="","",DATE(YEAR(A1429),MONTH(A1429),1))</f>
        <v/>
      </c>
    </row>
    <row r="1430" customFormat="false" ht="15" hidden="false" customHeight="false" outlineLevel="0" collapsed="false">
      <c r="A1430" s="21"/>
      <c r="B1430" s="4"/>
      <c r="C1430" s="22"/>
      <c r="D1430" s="5" t="str">
        <f aca="false">IF(B1430="","",IFERROR(INDEX(DE_PARA!$B$6:$B$205,MATCH(B1430,DE_PARA!$A$6:$A$205,0)),"SEM DE-PARA"))</f>
        <v/>
      </c>
      <c r="E1430" s="23" t="str">
        <f aca="false">IF(A1430="","",DATE(YEAR(A1430),MONTH(A1430),1))</f>
        <v/>
      </c>
    </row>
    <row r="1431" customFormat="false" ht="15" hidden="false" customHeight="false" outlineLevel="0" collapsed="false">
      <c r="A1431" s="21"/>
      <c r="B1431" s="4"/>
      <c r="C1431" s="22"/>
      <c r="D1431" s="5" t="str">
        <f aca="false">IF(B1431="","",IFERROR(INDEX(DE_PARA!$B$6:$B$205,MATCH(B1431,DE_PARA!$A$6:$A$205,0)),"SEM DE-PARA"))</f>
        <v/>
      </c>
      <c r="E1431" s="23" t="str">
        <f aca="false">IF(A1431="","",DATE(YEAR(A1431),MONTH(A1431),1))</f>
        <v/>
      </c>
    </row>
    <row r="1432" customFormat="false" ht="15" hidden="false" customHeight="false" outlineLevel="0" collapsed="false">
      <c r="A1432" s="21"/>
      <c r="B1432" s="4"/>
      <c r="C1432" s="22"/>
      <c r="D1432" s="5" t="str">
        <f aca="false">IF(B1432="","",IFERROR(INDEX(DE_PARA!$B$6:$B$205,MATCH(B1432,DE_PARA!$A$6:$A$205,0)),"SEM DE-PARA"))</f>
        <v/>
      </c>
      <c r="E1432" s="23" t="str">
        <f aca="false">IF(A1432="","",DATE(YEAR(A1432),MONTH(A1432),1))</f>
        <v/>
      </c>
    </row>
    <row r="1433" customFormat="false" ht="15" hidden="false" customHeight="false" outlineLevel="0" collapsed="false">
      <c r="A1433" s="21"/>
      <c r="B1433" s="4"/>
      <c r="C1433" s="22"/>
      <c r="D1433" s="5" t="str">
        <f aca="false">IF(B1433="","",IFERROR(INDEX(DE_PARA!$B$6:$B$205,MATCH(B1433,DE_PARA!$A$6:$A$205,0)),"SEM DE-PARA"))</f>
        <v/>
      </c>
      <c r="E1433" s="23" t="str">
        <f aca="false">IF(A1433="","",DATE(YEAR(A1433),MONTH(A1433),1))</f>
        <v/>
      </c>
    </row>
    <row r="1434" customFormat="false" ht="15" hidden="false" customHeight="false" outlineLevel="0" collapsed="false">
      <c r="A1434" s="21"/>
      <c r="B1434" s="4"/>
      <c r="C1434" s="22"/>
      <c r="D1434" s="5" t="str">
        <f aca="false">IF(B1434="","",IFERROR(INDEX(DE_PARA!$B$6:$B$205,MATCH(B1434,DE_PARA!$A$6:$A$205,0)),"SEM DE-PARA"))</f>
        <v/>
      </c>
      <c r="E1434" s="23" t="str">
        <f aca="false">IF(A1434="","",DATE(YEAR(A1434),MONTH(A1434),1))</f>
        <v/>
      </c>
    </row>
    <row r="1435" customFormat="false" ht="15" hidden="false" customHeight="false" outlineLevel="0" collapsed="false">
      <c r="A1435" s="21"/>
      <c r="B1435" s="4"/>
      <c r="C1435" s="22"/>
      <c r="D1435" s="5" t="str">
        <f aca="false">IF(B1435="","",IFERROR(INDEX(DE_PARA!$B$6:$B$205,MATCH(B1435,DE_PARA!$A$6:$A$205,0)),"SEM DE-PARA"))</f>
        <v/>
      </c>
      <c r="E1435" s="23" t="str">
        <f aca="false">IF(A1435="","",DATE(YEAR(A1435),MONTH(A1435),1))</f>
        <v/>
      </c>
    </row>
    <row r="1436" customFormat="false" ht="15" hidden="false" customHeight="false" outlineLevel="0" collapsed="false">
      <c r="A1436" s="21"/>
      <c r="B1436" s="4"/>
      <c r="C1436" s="22"/>
      <c r="D1436" s="5" t="str">
        <f aca="false">IF(B1436="","",IFERROR(INDEX(DE_PARA!$B$6:$B$205,MATCH(B1436,DE_PARA!$A$6:$A$205,0)),"SEM DE-PARA"))</f>
        <v/>
      </c>
      <c r="E1436" s="23" t="str">
        <f aca="false">IF(A1436="","",DATE(YEAR(A1436),MONTH(A1436),1))</f>
        <v/>
      </c>
    </row>
    <row r="1437" customFormat="false" ht="15" hidden="false" customHeight="false" outlineLevel="0" collapsed="false">
      <c r="A1437" s="21"/>
      <c r="B1437" s="4"/>
      <c r="C1437" s="22"/>
      <c r="D1437" s="5" t="str">
        <f aca="false">IF(B1437="","",IFERROR(INDEX(DE_PARA!$B$6:$B$205,MATCH(B1437,DE_PARA!$A$6:$A$205,0)),"SEM DE-PARA"))</f>
        <v/>
      </c>
      <c r="E1437" s="23" t="str">
        <f aca="false">IF(A1437="","",DATE(YEAR(A1437),MONTH(A1437),1))</f>
        <v/>
      </c>
    </row>
    <row r="1438" customFormat="false" ht="15" hidden="false" customHeight="false" outlineLevel="0" collapsed="false">
      <c r="A1438" s="21"/>
      <c r="B1438" s="4"/>
      <c r="C1438" s="22"/>
      <c r="D1438" s="5" t="str">
        <f aca="false">IF(B1438="","",IFERROR(INDEX(DE_PARA!$B$6:$B$205,MATCH(B1438,DE_PARA!$A$6:$A$205,0)),"SEM DE-PARA"))</f>
        <v/>
      </c>
      <c r="E1438" s="23" t="str">
        <f aca="false">IF(A1438="","",DATE(YEAR(A1438),MONTH(A1438),1))</f>
        <v/>
      </c>
    </row>
    <row r="1439" customFormat="false" ht="15" hidden="false" customHeight="false" outlineLevel="0" collapsed="false">
      <c r="A1439" s="21"/>
      <c r="B1439" s="4"/>
      <c r="C1439" s="22"/>
      <c r="D1439" s="5" t="str">
        <f aca="false">IF(B1439="","",IFERROR(INDEX(DE_PARA!$B$6:$B$205,MATCH(B1439,DE_PARA!$A$6:$A$205,0)),"SEM DE-PARA"))</f>
        <v/>
      </c>
      <c r="E1439" s="23" t="str">
        <f aca="false">IF(A1439="","",DATE(YEAR(A1439),MONTH(A1439),1))</f>
        <v/>
      </c>
    </row>
    <row r="1440" customFormat="false" ht="15" hidden="false" customHeight="false" outlineLevel="0" collapsed="false">
      <c r="A1440" s="21"/>
      <c r="B1440" s="4"/>
      <c r="C1440" s="22"/>
      <c r="D1440" s="5" t="str">
        <f aca="false">IF(B1440="","",IFERROR(INDEX(DE_PARA!$B$6:$B$205,MATCH(B1440,DE_PARA!$A$6:$A$205,0)),"SEM DE-PARA"))</f>
        <v/>
      </c>
      <c r="E1440" s="23" t="str">
        <f aca="false">IF(A1440="","",DATE(YEAR(A1440),MONTH(A1440),1))</f>
        <v/>
      </c>
    </row>
    <row r="1441" customFormat="false" ht="15" hidden="false" customHeight="false" outlineLevel="0" collapsed="false">
      <c r="A1441" s="21"/>
      <c r="B1441" s="4"/>
      <c r="C1441" s="22"/>
      <c r="D1441" s="5" t="str">
        <f aca="false">IF(B1441="","",IFERROR(INDEX(DE_PARA!$B$6:$B$205,MATCH(B1441,DE_PARA!$A$6:$A$205,0)),"SEM DE-PARA"))</f>
        <v/>
      </c>
      <c r="E1441" s="23" t="str">
        <f aca="false">IF(A1441="","",DATE(YEAR(A1441),MONTH(A1441),1))</f>
        <v/>
      </c>
    </row>
    <row r="1442" customFormat="false" ht="15" hidden="false" customHeight="false" outlineLevel="0" collapsed="false">
      <c r="A1442" s="21"/>
      <c r="B1442" s="4"/>
      <c r="C1442" s="22"/>
      <c r="D1442" s="5" t="str">
        <f aca="false">IF(B1442="","",IFERROR(INDEX(DE_PARA!$B$6:$B$205,MATCH(B1442,DE_PARA!$A$6:$A$205,0)),"SEM DE-PARA"))</f>
        <v/>
      </c>
      <c r="E1442" s="23" t="str">
        <f aca="false">IF(A1442="","",DATE(YEAR(A1442),MONTH(A1442),1))</f>
        <v/>
      </c>
    </row>
    <row r="1443" customFormat="false" ht="15" hidden="false" customHeight="false" outlineLevel="0" collapsed="false">
      <c r="A1443" s="21"/>
      <c r="B1443" s="4"/>
      <c r="C1443" s="22"/>
      <c r="D1443" s="5" t="str">
        <f aca="false">IF(B1443="","",IFERROR(INDEX(DE_PARA!$B$6:$B$205,MATCH(B1443,DE_PARA!$A$6:$A$205,0)),"SEM DE-PARA"))</f>
        <v/>
      </c>
      <c r="E1443" s="23" t="str">
        <f aca="false">IF(A1443="","",DATE(YEAR(A1443),MONTH(A1443),1))</f>
        <v/>
      </c>
    </row>
    <row r="1444" customFormat="false" ht="15" hidden="false" customHeight="false" outlineLevel="0" collapsed="false">
      <c r="A1444" s="21"/>
      <c r="B1444" s="4"/>
      <c r="C1444" s="22"/>
      <c r="D1444" s="5" t="str">
        <f aca="false">IF(B1444="","",IFERROR(INDEX(DE_PARA!$B$6:$B$205,MATCH(B1444,DE_PARA!$A$6:$A$205,0)),"SEM DE-PARA"))</f>
        <v/>
      </c>
      <c r="E1444" s="23" t="str">
        <f aca="false">IF(A1444="","",DATE(YEAR(A1444),MONTH(A1444),1))</f>
        <v/>
      </c>
    </row>
    <row r="1445" customFormat="false" ht="15" hidden="false" customHeight="false" outlineLevel="0" collapsed="false">
      <c r="A1445" s="21"/>
      <c r="B1445" s="4"/>
      <c r="C1445" s="22"/>
      <c r="D1445" s="5" t="str">
        <f aca="false">IF(B1445="","",IFERROR(INDEX(DE_PARA!$B$6:$B$205,MATCH(B1445,DE_PARA!$A$6:$A$205,0)),"SEM DE-PARA"))</f>
        <v/>
      </c>
      <c r="E1445" s="23" t="str">
        <f aca="false">IF(A1445="","",DATE(YEAR(A1445),MONTH(A1445),1))</f>
        <v/>
      </c>
    </row>
    <row r="1446" customFormat="false" ht="15" hidden="false" customHeight="false" outlineLevel="0" collapsed="false">
      <c r="A1446" s="21"/>
      <c r="B1446" s="4"/>
      <c r="C1446" s="22"/>
      <c r="D1446" s="5" t="str">
        <f aca="false">IF(B1446="","",IFERROR(INDEX(DE_PARA!$B$6:$B$205,MATCH(B1446,DE_PARA!$A$6:$A$205,0)),"SEM DE-PARA"))</f>
        <v/>
      </c>
      <c r="E1446" s="23" t="str">
        <f aca="false">IF(A1446="","",DATE(YEAR(A1446),MONTH(A1446),1))</f>
        <v/>
      </c>
    </row>
    <row r="1447" customFormat="false" ht="15" hidden="false" customHeight="false" outlineLevel="0" collapsed="false">
      <c r="A1447" s="21"/>
      <c r="B1447" s="4"/>
      <c r="C1447" s="22"/>
      <c r="D1447" s="5" t="str">
        <f aca="false">IF(B1447="","",IFERROR(INDEX(DE_PARA!$B$6:$B$205,MATCH(B1447,DE_PARA!$A$6:$A$205,0)),"SEM DE-PARA"))</f>
        <v/>
      </c>
      <c r="E1447" s="23" t="str">
        <f aca="false">IF(A1447="","",DATE(YEAR(A1447),MONTH(A1447),1))</f>
        <v/>
      </c>
    </row>
    <row r="1448" customFormat="false" ht="15" hidden="false" customHeight="false" outlineLevel="0" collapsed="false">
      <c r="A1448" s="21"/>
      <c r="B1448" s="4"/>
      <c r="C1448" s="22"/>
      <c r="D1448" s="5" t="str">
        <f aca="false">IF(B1448="","",IFERROR(INDEX(DE_PARA!$B$6:$B$205,MATCH(B1448,DE_PARA!$A$6:$A$205,0)),"SEM DE-PARA"))</f>
        <v/>
      </c>
      <c r="E1448" s="23" t="str">
        <f aca="false">IF(A1448="","",DATE(YEAR(A1448),MONTH(A1448),1))</f>
        <v/>
      </c>
    </row>
    <row r="1449" customFormat="false" ht="15" hidden="false" customHeight="false" outlineLevel="0" collapsed="false">
      <c r="A1449" s="21"/>
      <c r="B1449" s="4"/>
      <c r="C1449" s="22"/>
      <c r="D1449" s="5" t="str">
        <f aca="false">IF(B1449="","",IFERROR(INDEX(DE_PARA!$B$6:$B$205,MATCH(B1449,DE_PARA!$A$6:$A$205,0)),"SEM DE-PARA"))</f>
        <v/>
      </c>
      <c r="E1449" s="23" t="str">
        <f aca="false">IF(A1449="","",DATE(YEAR(A1449),MONTH(A1449),1))</f>
        <v/>
      </c>
    </row>
    <row r="1450" customFormat="false" ht="15" hidden="false" customHeight="false" outlineLevel="0" collapsed="false">
      <c r="A1450" s="21"/>
      <c r="B1450" s="4"/>
      <c r="C1450" s="22"/>
      <c r="D1450" s="5" t="str">
        <f aca="false">IF(B1450="","",IFERROR(INDEX(DE_PARA!$B$6:$B$205,MATCH(B1450,DE_PARA!$A$6:$A$205,0)),"SEM DE-PARA"))</f>
        <v/>
      </c>
      <c r="E1450" s="23" t="str">
        <f aca="false">IF(A1450="","",DATE(YEAR(A1450),MONTH(A1450),1))</f>
        <v/>
      </c>
    </row>
    <row r="1451" customFormat="false" ht="15" hidden="false" customHeight="false" outlineLevel="0" collapsed="false">
      <c r="A1451" s="21"/>
      <c r="B1451" s="4"/>
      <c r="C1451" s="22"/>
      <c r="D1451" s="5" t="str">
        <f aca="false">IF(B1451="","",IFERROR(INDEX(DE_PARA!$B$6:$B$205,MATCH(B1451,DE_PARA!$A$6:$A$205,0)),"SEM DE-PARA"))</f>
        <v/>
      </c>
      <c r="E1451" s="23" t="str">
        <f aca="false">IF(A1451="","",DATE(YEAR(A1451),MONTH(A1451),1))</f>
        <v/>
      </c>
    </row>
    <row r="1452" customFormat="false" ht="15" hidden="false" customHeight="false" outlineLevel="0" collapsed="false">
      <c r="A1452" s="21"/>
      <c r="B1452" s="4"/>
      <c r="C1452" s="22"/>
      <c r="D1452" s="5" t="str">
        <f aca="false">IF(B1452="","",IFERROR(INDEX(DE_PARA!$B$6:$B$205,MATCH(B1452,DE_PARA!$A$6:$A$205,0)),"SEM DE-PARA"))</f>
        <v/>
      </c>
      <c r="E1452" s="23" t="str">
        <f aca="false">IF(A1452="","",DATE(YEAR(A1452),MONTH(A1452),1))</f>
        <v/>
      </c>
    </row>
    <row r="1453" customFormat="false" ht="15" hidden="false" customHeight="false" outlineLevel="0" collapsed="false">
      <c r="A1453" s="21"/>
      <c r="B1453" s="4"/>
      <c r="C1453" s="22"/>
      <c r="D1453" s="5" t="str">
        <f aca="false">IF(B1453="","",IFERROR(INDEX(DE_PARA!$B$6:$B$205,MATCH(B1453,DE_PARA!$A$6:$A$205,0)),"SEM DE-PARA"))</f>
        <v/>
      </c>
      <c r="E1453" s="23" t="str">
        <f aca="false">IF(A1453="","",DATE(YEAR(A1453),MONTH(A1453),1))</f>
        <v/>
      </c>
    </row>
    <row r="1454" customFormat="false" ht="15" hidden="false" customHeight="false" outlineLevel="0" collapsed="false">
      <c r="A1454" s="21"/>
      <c r="B1454" s="4"/>
      <c r="C1454" s="22"/>
      <c r="D1454" s="5" t="str">
        <f aca="false">IF(B1454="","",IFERROR(INDEX(DE_PARA!$B$6:$B$205,MATCH(B1454,DE_PARA!$A$6:$A$205,0)),"SEM DE-PARA"))</f>
        <v/>
      </c>
      <c r="E1454" s="23" t="str">
        <f aca="false">IF(A1454="","",DATE(YEAR(A1454),MONTH(A1454),1))</f>
        <v/>
      </c>
    </row>
    <row r="1455" customFormat="false" ht="15" hidden="false" customHeight="false" outlineLevel="0" collapsed="false">
      <c r="A1455" s="21"/>
      <c r="B1455" s="4"/>
      <c r="C1455" s="22"/>
      <c r="D1455" s="5" t="str">
        <f aca="false">IF(B1455="","",IFERROR(INDEX(DE_PARA!$B$6:$B$205,MATCH(B1455,DE_PARA!$A$6:$A$205,0)),"SEM DE-PARA"))</f>
        <v/>
      </c>
      <c r="E1455" s="23" t="str">
        <f aca="false">IF(A1455="","",DATE(YEAR(A1455),MONTH(A1455),1))</f>
        <v/>
      </c>
    </row>
    <row r="1456" customFormat="false" ht="15" hidden="false" customHeight="false" outlineLevel="0" collapsed="false">
      <c r="A1456" s="21"/>
      <c r="B1456" s="4"/>
      <c r="C1456" s="22"/>
      <c r="D1456" s="5" t="str">
        <f aca="false">IF(B1456="","",IFERROR(INDEX(DE_PARA!$B$6:$B$205,MATCH(B1456,DE_PARA!$A$6:$A$205,0)),"SEM DE-PARA"))</f>
        <v/>
      </c>
      <c r="E1456" s="23" t="str">
        <f aca="false">IF(A1456="","",DATE(YEAR(A1456),MONTH(A1456),1))</f>
        <v/>
      </c>
    </row>
    <row r="1457" customFormat="false" ht="15" hidden="false" customHeight="false" outlineLevel="0" collapsed="false">
      <c r="A1457" s="21"/>
      <c r="B1457" s="4"/>
      <c r="C1457" s="22"/>
      <c r="D1457" s="5" t="str">
        <f aca="false">IF(B1457="","",IFERROR(INDEX(DE_PARA!$B$6:$B$205,MATCH(B1457,DE_PARA!$A$6:$A$205,0)),"SEM DE-PARA"))</f>
        <v/>
      </c>
      <c r="E1457" s="23" t="str">
        <f aca="false">IF(A1457="","",DATE(YEAR(A1457),MONTH(A1457),1))</f>
        <v/>
      </c>
    </row>
    <row r="1458" customFormat="false" ht="15" hidden="false" customHeight="false" outlineLevel="0" collapsed="false">
      <c r="A1458" s="21"/>
      <c r="B1458" s="4"/>
      <c r="C1458" s="22"/>
      <c r="D1458" s="5" t="str">
        <f aca="false">IF(B1458="","",IFERROR(INDEX(DE_PARA!$B$6:$B$205,MATCH(B1458,DE_PARA!$A$6:$A$205,0)),"SEM DE-PARA"))</f>
        <v/>
      </c>
      <c r="E1458" s="23" t="str">
        <f aca="false">IF(A1458="","",DATE(YEAR(A1458),MONTH(A1458),1))</f>
        <v/>
      </c>
    </row>
    <row r="1459" customFormat="false" ht="15" hidden="false" customHeight="false" outlineLevel="0" collapsed="false">
      <c r="A1459" s="21"/>
      <c r="B1459" s="4"/>
      <c r="C1459" s="22"/>
      <c r="D1459" s="5" t="str">
        <f aca="false">IF(B1459="","",IFERROR(INDEX(DE_PARA!$B$6:$B$205,MATCH(B1459,DE_PARA!$A$6:$A$205,0)),"SEM DE-PARA"))</f>
        <v/>
      </c>
      <c r="E1459" s="23" t="str">
        <f aca="false">IF(A1459="","",DATE(YEAR(A1459),MONTH(A1459),1))</f>
        <v/>
      </c>
    </row>
    <row r="1460" customFormat="false" ht="15" hidden="false" customHeight="false" outlineLevel="0" collapsed="false">
      <c r="A1460" s="21"/>
      <c r="B1460" s="4"/>
      <c r="C1460" s="22"/>
      <c r="D1460" s="5" t="str">
        <f aca="false">IF(B1460="","",IFERROR(INDEX(DE_PARA!$B$6:$B$205,MATCH(B1460,DE_PARA!$A$6:$A$205,0)),"SEM DE-PARA"))</f>
        <v/>
      </c>
      <c r="E1460" s="23" t="str">
        <f aca="false">IF(A1460="","",DATE(YEAR(A1460),MONTH(A1460),1))</f>
        <v/>
      </c>
    </row>
    <row r="1461" customFormat="false" ht="15" hidden="false" customHeight="false" outlineLevel="0" collapsed="false">
      <c r="A1461" s="21"/>
      <c r="B1461" s="4"/>
      <c r="C1461" s="22"/>
      <c r="D1461" s="5" t="str">
        <f aca="false">IF(B1461="","",IFERROR(INDEX(DE_PARA!$B$6:$B$205,MATCH(B1461,DE_PARA!$A$6:$A$205,0)),"SEM DE-PARA"))</f>
        <v/>
      </c>
      <c r="E1461" s="23" t="str">
        <f aca="false">IF(A1461="","",DATE(YEAR(A1461),MONTH(A1461),1))</f>
        <v/>
      </c>
    </row>
    <row r="1462" customFormat="false" ht="15" hidden="false" customHeight="false" outlineLevel="0" collapsed="false">
      <c r="A1462" s="21"/>
      <c r="B1462" s="4"/>
      <c r="C1462" s="22"/>
      <c r="D1462" s="5" t="str">
        <f aca="false">IF(B1462="","",IFERROR(INDEX(DE_PARA!$B$6:$B$205,MATCH(B1462,DE_PARA!$A$6:$A$205,0)),"SEM DE-PARA"))</f>
        <v/>
      </c>
      <c r="E1462" s="23" t="str">
        <f aca="false">IF(A1462="","",DATE(YEAR(A1462),MONTH(A1462),1))</f>
        <v/>
      </c>
    </row>
    <row r="1463" customFormat="false" ht="15" hidden="false" customHeight="false" outlineLevel="0" collapsed="false">
      <c r="A1463" s="21"/>
      <c r="B1463" s="4"/>
      <c r="C1463" s="22"/>
      <c r="D1463" s="5" t="str">
        <f aca="false">IF(B1463="","",IFERROR(INDEX(DE_PARA!$B$6:$B$205,MATCH(B1463,DE_PARA!$A$6:$A$205,0)),"SEM DE-PARA"))</f>
        <v/>
      </c>
      <c r="E1463" s="23" t="str">
        <f aca="false">IF(A1463="","",DATE(YEAR(A1463),MONTH(A1463),1))</f>
        <v/>
      </c>
    </row>
    <row r="1464" customFormat="false" ht="15" hidden="false" customHeight="false" outlineLevel="0" collapsed="false">
      <c r="A1464" s="21"/>
      <c r="B1464" s="4"/>
      <c r="C1464" s="22"/>
      <c r="D1464" s="5" t="str">
        <f aca="false">IF(B1464="","",IFERROR(INDEX(DE_PARA!$B$6:$B$205,MATCH(B1464,DE_PARA!$A$6:$A$205,0)),"SEM DE-PARA"))</f>
        <v/>
      </c>
      <c r="E1464" s="23" t="str">
        <f aca="false">IF(A1464="","",DATE(YEAR(A1464),MONTH(A1464),1))</f>
        <v/>
      </c>
    </row>
    <row r="1465" customFormat="false" ht="15" hidden="false" customHeight="false" outlineLevel="0" collapsed="false">
      <c r="A1465" s="21"/>
      <c r="B1465" s="4"/>
      <c r="C1465" s="22"/>
      <c r="D1465" s="5" t="str">
        <f aca="false">IF(B1465="","",IFERROR(INDEX(DE_PARA!$B$6:$B$205,MATCH(B1465,DE_PARA!$A$6:$A$205,0)),"SEM DE-PARA"))</f>
        <v/>
      </c>
      <c r="E1465" s="23" t="str">
        <f aca="false">IF(A1465="","",DATE(YEAR(A1465),MONTH(A1465),1))</f>
        <v/>
      </c>
    </row>
    <row r="1466" customFormat="false" ht="15" hidden="false" customHeight="false" outlineLevel="0" collapsed="false">
      <c r="A1466" s="21"/>
      <c r="B1466" s="4"/>
      <c r="C1466" s="22"/>
      <c r="D1466" s="5" t="str">
        <f aca="false">IF(B1466="","",IFERROR(INDEX(DE_PARA!$B$6:$B$205,MATCH(B1466,DE_PARA!$A$6:$A$205,0)),"SEM DE-PARA"))</f>
        <v/>
      </c>
      <c r="E1466" s="23" t="str">
        <f aca="false">IF(A1466="","",DATE(YEAR(A1466),MONTH(A1466),1))</f>
        <v/>
      </c>
    </row>
    <row r="1467" customFormat="false" ht="15" hidden="false" customHeight="false" outlineLevel="0" collapsed="false">
      <c r="A1467" s="21"/>
      <c r="B1467" s="4"/>
      <c r="C1467" s="22"/>
      <c r="D1467" s="5" t="str">
        <f aca="false">IF(B1467="","",IFERROR(INDEX(DE_PARA!$B$6:$B$205,MATCH(B1467,DE_PARA!$A$6:$A$205,0)),"SEM DE-PARA"))</f>
        <v/>
      </c>
      <c r="E1467" s="23" t="str">
        <f aca="false">IF(A1467="","",DATE(YEAR(A1467),MONTH(A1467),1))</f>
        <v/>
      </c>
    </row>
    <row r="1468" customFormat="false" ht="15" hidden="false" customHeight="false" outlineLevel="0" collapsed="false">
      <c r="A1468" s="21"/>
      <c r="B1468" s="4"/>
      <c r="C1468" s="22"/>
      <c r="D1468" s="5" t="str">
        <f aca="false">IF(B1468="","",IFERROR(INDEX(DE_PARA!$B$6:$B$205,MATCH(B1468,DE_PARA!$A$6:$A$205,0)),"SEM DE-PARA"))</f>
        <v/>
      </c>
      <c r="E1468" s="23" t="str">
        <f aca="false">IF(A1468="","",DATE(YEAR(A1468),MONTH(A1468),1))</f>
        <v/>
      </c>
    </row>
    <row r="1469" customFormat="false" ht="15" hidden="false" customHeight="false" outlineLevel="0" collapsed="false">
      <c r="A1469" s="21"/>
      <c r="B1469" s="4"/>
      <c r="C1469" s="22"/>
      <c r="D1469" s="5" t="str">
        <f aca="false">IF(B1469="","",IFERROR(INDEX(DE_PARA!$B$6:$B$205,MATCH(B1469,DE_PARA!$A$6:$A$205,0)),"SEM DE-PARA"))</f>
        <v/>
      </c>
      <c r="E1469" s="23" t="str">
        <f aca="false">IF(A1469="","",DATE(YEAR(A1469),MONTH(A1469),1))</f>
        <v/>
      </c>
    </row>
    <row r="1470" customFormat="false" ht="15" hidden="false" customHeight="false" outlineLevel="0" collapsed="false">
      <c r="A1470" s="21"/>
      <c r="B1470" s="4"/>
      <c r="C1470" s="22"/>
      <c r="D1470" s="5" t="str">
        <f aca="false">IF(B1470="","",IFERROR(INDEX(DE_PARA!$B$6:$B$205,MATCH(B1470,DE_PARA!$A$6:$A$205,0)),"SEM DE-PARA"))</f>
        <v/>
      </c>
      <c r="E1470" s="23" t="str">
        <f aca="false">IF(A1470="","",DATE(YEAR(A1470),MONTH(A1470),1))</f>
        <v/>
      </c>
    </row>
    <row r="1471" customFormat="false" ht="15" hidden="false" customHeight="false" outlineLevel="0" collapsed="false">
      <c r="A1471" s="21"/>
      <c r="B1471" s="4"/>
      <c r="C1471" s="22"/>
      <c r="D1471" s="5" t="str">
        <f aca="false">IF(B1471="","",IFERROR(INDEX(DE_PARA!$B$6:$B$205,MATCH(B1471,DE_PARA!$A$6:$A$205,0)),"SEM DE-PARA"))</f>
        <v/>
      </c>
      <c r="E1471" s="23" t="str">
        <f aca="false">IF(A1471="","",DATE(YEAR(A1471),MONTH(A1471),1))</f>
        <v/>
      </c>
    </row>
    <row r="1472" customFormat="false" ht="15" hidden="false" customHeight="false" outlineLevel="0" collapsed="false">
      <c r="A1472" s="21"/>
      <c r="B1472" s="4"/>
      <c r="C1472" s="22"/>
      <c r="D1472" s="5" t="str">
        <f aca="false">IF(B1472="","",IFERROR(INDEX(DE_PARA!$B$6:$B$205,MATCH(B1472,DE_PARA!$A$6:$A$205,0)),"SEM DE-PARA"))</f>
        <v/>
      </c>
      <c r="E1472" s="23" t="str">
        <f aca="false">IF(A1472="","",DATE(YEAR(A1472),MONTH(A1472),1))</f>
        <v/>
      </c>
    </row>
    <row r="1473" customFormat="false" ht="15" hidden="false" customHeight="false" outlineLevel="0" collapsed="false">
      <c r="A1473" s="21"/>
      <c r="B1473" s="4"/>
      <c r="C1473" s="22"/>
      <c r="D1473" s="5" t="str">
        <f aca="false">IF(B1473="","",IFERROR(INDEX(DE_PARA!$B$6:$B$205,MATCH(B1473,DE_PARA!$A$6:$A$205,0)),"SEM DE-PARA"))</f>
        <v/>
      </c>
      <c r="E1473" s="23" t="str">
        <f aca="false">IF(A1473="","",DATE(YEAR(A1473),MONTH(A1473),1))</f>
        <v/>
      </c>
    </row>
    <row r="1474" customFormat="false" ht="15" hidden="false" customHeight="false" outlineLevel="0" collapsed="false">
      <c r="A1474" s="21"/>
      <c r="B1474" s="4"/>
      <c r="C1474" s="22"/>
      <c r="D1474" s="5" t="str">
        <f aca="false">IF(B1474="","",IFERROR(INDEX(DE_PARA!$B$6:$B$205,MATCH(B1474,DE_PARA!$A$6:$A$205,0)),"SEM DE-PARA"))</f>
        <v/>
      </c>
      <c r="E1474" s="23" t="str">
        <f aca="false">IF(A1474="","",DATE(YEAR(A1474),MONTH(A1474),1))</f>
        <v/>
      </c>
    </row>
    <row r="1475" customFormat="false" ht="15" hidden="false" customHeight="false" outlineLevel="0" collapsed="false">
      <c r="A1475" s="21"/>
      <c r="B1475" s="4"/>
      <c r="C1475" s="22"/>
      <c r="D1475" s="5" t="str">
        <f aca="false">IF(B1475="","",IFERROR(INDEX(DE_PARA!$B$6:$B$205,MATCH(B1475,DE_PARA!$A$6:$A$205,0)),"SEM DE-PARA"))</f>
        <v/>
      </c>
      <c r="E1475" s="23" t="str">
        <f aca="false">IF(A1475="","",DATE(YEAR(A1475),MONTH(A1475),1))</f>
        <v/>
      </c>
    </row>
    <row r="1476" customFormat="false" ht="15" hidden="false" customHeight="false" outlineLevel="0" collapsed="false">
      <c r="A1476" s="21"/>
      <c r="B1476" s="4"/>
      <c r="C1476" s="22"/>
      <c r="D1476" s="5" t="str">
        <f aca="false">IF(B1476="","",IFERROR(INDEX(DE_PARA!$B$6:$B$205,MATCH(B1476,DE_PARA!$A$6:$A$205,0)),"SEM DE-PARA"))</f>
        <v/>
      </c>
      <c r="E1476" s="23" t="str">
        <f aca="false">IF(A1476="","",DATE(YEAR(A1476),MONTH(A1476),1))</f>
        <v/>
      </c>
    </row>
    <row r="1477" customFormat="false" ht="15" hidden="false" customHeight="false" outlineLevel="0" collapsed="false">
      <c r="A1477" s="21"/>
      <c r="B1477" s="4"/>
      <c r="C1477" s="22"/>
      <c r="D1477" s="5" t="str">
        <f aca="false">IF(B1477="","",IFERROR(INDEX(DE_PARA!$B$6:$B$205,MATCH(B1477,DE_PARA!$A$6:$A$205,0)),"SEM DE-PARA"))</f>
        <v/>
      </c>
      <c r="E1477" s="23" t="str">
        <f aca="false">IF(A1477="","",DATE(YEAR(A1477),MONTH(A1477),1))</f>
        <v/>
      </c>
    </row>
    <row r="1478" customFormat="false" ht="15" hidden="false" customHeight="false" outlineLevel="0" collapsed="false">
      <c r="A1478" s="21"/>
      <c r="B1478" s="4"/>
      <c r="C1478" s="22"/>
      <c r="D1478" s="5" t="str">
        <f aca="false">IF(B1478="","",IFERROR(INDEX(DE_PARA!$B$6:$B$205,MATCH(B1478,DE_PARA!$A$6:$A$205,0)),"SEM DE-PARA"))</f>
        <v/>
      </c>
      <c r="E1478" s="23" t="str">
        <f aca="false">IF(A1478="","",DATE(YEAR(A1478),MONTH(A1478),1))</f>
        <v/>
      </c>
    </row>
    <row r="1479" customFormat="false" ht="15" hidden="false" customHeight="false" outlineLevel="0" collapsed="false">
      <c r="A1479" s="21"/>
      <c r="B1479" s="4"/>
      <c r="C1479" s="22"/>
      <c r="D1479" s="5" t="str">
        <f aca="false">IF(B1479="","",IFERROR(INDEX(DE_PARA!$B$6:$B$205,MATCH(B1479,DE_PARA!$A$6:$A$205,0)),"SEM DE-PARA"))</f>
        <v/>
      </c>
      <c r="E1479" s="23" t="str">
        <f aca="false">IF(A1479="","",DATE(YEAR(A1479),MONTH(A1479),1))</f>
        <v/>
      </c>
    </row>
    <row r="1480" customFormat="false" ht="15" hidden="false" customHeight="false" outlineLevel="0" collapsed="false">
      <c r="A1480" s="21"/>
      <c r="B1480" s="4"/>
      <c r="C1480" s="22"/>
      <c r="D1480" s="5" t="str">
        <f aca="false">IF(B1480="","",IFERROR(INDEX(DE_PARA!$B$6:$B$205,MATCH(B1480,DE_PARA!$A$6:$A$205,0)),"SEM DE-PARA"))</f>
        <v/>
      </c>
      <c r="E1480" s="23" t="str">
        <f aca="false">IF(A1480="","",DATE(YEAR(A1480),MONTH(A1480),1))</f>
        <v/>
      </c>
    </row>
    <row r="1481" customFormat="false" ht="15" hidden="false" customHeight="false" outlineLevel="0" collapsed="false">
      <c r="A1481" s="21"/>
      <c r="B1481" s="4"/>
      <c r="C1481" s="22"/>
      <c r="D1481" s="5" t="str">
        <f aca="false">IF(B1481="","",IFERROR(INDEX(DE_PARA!$B$6:$B$205,MATCH(B1481,DE_PARA!$A$6:$A$205,0)),"SEM DE-PARA"))</f>
        <v/>
      </c>
      <c r="E1481" s="23" t="str">
        <f aca="false">IF(A1481="","",DATE(YEAR(A1481),MONTH(A1481),1))</f>
        <v/>
      </c>
    </row>
    <row r="1482" customFormat="false" ht="15" hidden="false" customHeight="false" outlineLevel="0" collapsed="false">
      <c r="A1482" s="21"/>
      <c r="B1482" s="4"/>
      <c r="C1482" s="22"/>
      <c r="D1482" s="5" t="str">
        <f aca="false">IF(B1482="","",IFERROR(INDEX(DE_PARA!$B$6:$B$205,MATCH(B1482,DE_PARA!$A$6:$A$205,0)),"SEM DE-PARA"))</f>
        <v/>
      </c>
      <c r="E1482" s="23" t="str">
        <f aca="false">IF(A1482="","",DATE(YEAR(A1482),MONTH(A1482),1))</f>
        <v/>
      </c>
    </row>
    <row r="1483" customFormat="false" ht="15" hidden="false" customHeight="false" outlineLevel="0" collapsed="false">
      <c r="A1483" s="21"/>
      <c r="B1483" s="4"/>
      <c r="C1483" s="22"/>
      <c r="D1483" s="5" t="str">
        <f aca="false">IF(B1483="","",IFERROR(INDEX(DE_PARA!$B$6:$B$205,MATCH(B1483,DE_PARA!$A$6:$A$205,0)),"SEM DE-PARA"))</f>
        <v/>
      </c>
      <c r="E1483" s="23" t="str">
        <f aca="false">IF(A1483="","",DATE(YEAR(A1483),MONTH(A1483),1))</f>
        <v/>
      </c>
    </row>
    <row r="1484" customFormat="false" ht="15" hidden="false" customHeight="false" outlineLevel="0" collapsed="false">
      <c r="A1484" s="21"/>
      <c r="B1484" s="4"/>
      <c r="C1484" s="22"/>
      <c r="D1484" s="5" t="str">
        <f aca="false">IF(B1484="","",IFERROR(INDEX(DE_PARA!$B$6:$B$205,MATCH(B1484,DE_PARA!$A$6:$A$205,0)),"SEM DE-PARA"))</f>
        <v/>
      </c>
      <c r="E1484" s="23" t="str">
        <f aca="false">IF(A1484="","",DATE(YEAR(A1484),MONTH(A1484),1))</f>
        <v/>
      </c>
    </row>
    <row r="1485" customFormat="false" ht="15" hidden="false" customHeight="false" outlineLevel="0" collapsed="false">
      <c r="A1485" s="21"/>
      <c r="B1485" s="4"/>
      <c r="C1485" s="22"/>
      <c r="D1485" s="5" t="str">
        <f aca="false">IF(B1485="","",IFERROR(INDEX(DE_PARA!$B$6:$B$205,MATCH(B1485,DE_PARA!$A$6:$A$205,0)),"SEM DE-PARA"))</f>
        <v/>
      </c>
      <c r="E1485" s="23" t="str">
        <f aca="false">IF(A1485="","",DATE(YEAR(A1485),MONTH(A1485),1))</f>
        <v/>
      </c>
    </row>
    <row r="1486" customFormat="false" ht="15" hidden="false" customHeight="false" outlineLevel="0" collapsed="false">
      <c r="A1486" s="21"/>
      <c r="B1486" s="4"/>
      <c r="C1486" s="22"/>
      <c r="D1486" s="5" t="str">
        <f aca="false">IF(B1486="","",IFERROR(INDEX(DE_PARA!$B$6:$B$205,MATCH(B1486,DE_PARA!$A$6:$A$205,0)),"SEM DE-PARA"))</f>
        <v/>
      </c>
      <c r="E1486" s="23" t="str">
        <f aca="false">IF(A1486="","",DATE(YEAR(A1486),MONTH(A1486),1))</f>
        <v/>
      </c>
    </row>
    <row r="1487" customFormat="false" ht="15" hidden="false" customHeight="false" outlineLevel="0" collapsed="false">
      <c r="A1487" s="21"/>
      <c r="B1487" s="4"/>
      <c r="C1487" s="22"/>
      <c r="D1487" s="5" t="str">
        <f aca="false">IF(B1487="","",IFERROR(INDEX(DE_PARA!$B$6:$B$205,MATCH(B1487,DE_PARA!$A$6:$A$205,0)),"SEM DE-PARA"))</f>
        <v/>
      </c>
      <c r="E1487" s="23" t="str">
        <f aca="false">IF(A1487="","",DATE(YEAR(A1487),MONTH(A1487),1))</f>
        <v/>
      </c>
    </row>
    <row r="1488" customFormat="false" ht="15" hidden="false" customHeight="false" outlineLevel="0" collapsed="false">
      <c r="A1488" s="21"/>
      <c r="B1488" s="4"/>
      <c r="C1488" s="22"/>
      <c r="D1488" s="5" t="str">
        <f aca="false">IF(B1488="","",IFERROR(INDEX(DE_PARA!$B$6:$B$205,MATCH(B1488,DE_PARA!$A$6:$A$205,0)),"SEM DE-PARA"))</f>
        <v/>
      </c>
      <c r="E1488" s="23" t="str">
        <f aca="false">IF(A1488="","",DATE(YEAR(A1488),MONTH(A1488),1))</f>
        <v/>
      </c>
    </row>
    <row r="1489" customFormat="false" ht="15" hidden="false" customHeight="false" outlineLevel="0" collapsed="false">
      <c r="A1489" s="21"/>
      <c r="B1489" s="4"/>
      <c r="C1489" s="22"/>
      <c r="D1489" s="5" t="str">
        <f aca="false">IF(B1489="","",IFERROR(INDEX(DE_PARA!$B$6:$B$205,MATCH(B1489,DE_PARA!$A$6:$A$205,0)),"SEM DE-PARA"))</f>
        <v/>
      </c>
      <c r="E1489" s="23" t="str">
        <f aca="false">IF(A1489="","",DATE(YEAR(A1489),MONTH(A1489),1))</f>
        <v/>
      </c>
    </row>
    <row r="1490" customFormat="false" ht="15" hidden="false" customHeight="false" outlineLevel="0" collapsed="false">
      <c r="A1490" s="21"/>
      <c r="B1490" s="4"/>
      <c r="C1490" s="22"/>
      <c r="D1490" s="5" t="str">
        <f aca="false">IF(B1490="","",IFERROR(INDEX(DE_PARA!$B$6:$B$205,MATCH(B1490,DE_PARA!$A$6:$A$205,0)),"SEM DE-PARA"))</f>
        <v/>
      </c>
      <c r="E1490" s="23" t="str">
        <f aca="false">IF(A1490="","",DATE(YEAR(A1490),MONTH(A1490),1))</f>
        <v/>
      </c>
    </row>
    <row r="1491" customFormat="false" ht="15" hidden="false" customHeight="false" outlineLevel="0" collapsed="false">
      <c r="A1491" s="21"/>
      <c r="B1491" s="4"/>
      <c r="C1491" s="22"/>
      <c r="D1491" s="5" t="str">
        <f aca="false">IF(B1491="","",IFERROR(INDEX(DE_PARA!$B$6:$B$205,MATCH(B1491,DE_PARA!$A$6:$A$205,0)),"SEM DE-PARA"))</f>
        <v/>
      </c>
      <c r="E1491" s="23" t="str">
        <f aca="false">IF(A1491="","",DATE(YEAR(A1491),MONTH(A1491),1))</f>
        <v/>
      </c>
    </row>
    <row r="1492" customFormat="false" ht="15" hidden="false" customHeight="false" outlineLevel="0" collapsed="false">
      <c r="A1492" s="21"/>
      <c r="B1492" s="4"/>
      <c r="C1492" s="22"/>
      <c r="D1492" s="5" t="str">
        <f aca="false">IF(B1492="","",IFERROR(INDEX(DE_PARA!$B$6:$B$205,MATCH(B1492,DE_PARA!$A$6:$A$205,0)),"SEM DE-PARA"))</f>
        <v/>
      </c>
      <c r="E1492" s="23" t="str">
        <f aca="false">IF(A1492="","",DATE(YEAR(A1492),MONTH(A1492),1))</f>
        <v/>
      </c>
    </row>
    <row r="1493" customFormat="false" ht="15" hidden="false" customHeight="false" outlineLevel="0" collapsed="false">
      <c r="A1493" s="21"/>
      <c r="B1493" s="4"/>
      <c r="C1493" s="22"/>
      <c r="D1493" s="5" t="str">
        <f aca="false">IF(B1493="","",IFERROR(INDEX(DE_PARA!$B$6:$B$205,MATCH(B1493,DE_PARA!$A$6:$A$205,0)),"SEM DE-PARA"))</f>
        <v/>
      </c>
      <c r="E1493" s="23" t="str">
        <f aca="false">IF(A1493="","",DATE(YEAR(A1493),MONTH(A1493),1))</f>
        <v/>
      </c>
    </row>
    <row r="1494" customFormat="false" ht="15" hidden="false" customHeight="false" outlineLevel="0" collapsed="false">
      <c r="A1494" s="21"/>
      <c r="B1494" s="4"/>
      <c r="C1494" s="22"/>
      <c r="D1494" s="5" t="str">
        <f aca="false">IF(B1494="","",IFERROR(INDEX(DE_PARA!$B$6:$B$205,MATCH(B1494,DE_PARA!$A$6:$A$205,0)),"SEM DE-PARA"))</f>
        <v/>
      </c>
      <c r="E1494" s="23" t="str">
        <f aca="false">IF(A1494="","",DATE(YEAR(A1494),MONTH(A1494),1))</f>
        <v/>
      </c>
    </row>
    <row r="1495" customFormat="false" ht="15" hidden="false" customHeight="false" outlineLevel="0" collapsed="false">
      <c r="A1495" s="21"/>
      <c r="B1495" s="4"/>
      <c r="C1495" s="22"/>
      <c r="D1495" s="5" t="str">
        <f aca="false">IF(B1495="","",IFERROR(INDEX(DE_PARA!$B$6:$B$205,MATCH(B1495,DE_PARA!$A$6:$A$205,0)),"SEM DE-PARA"))</f>
        <v/>
      </c>
      <c r="E1495" s="23" t="str">
        <f aca="false">IF(A1495="","",DATE(YEAR(A1495),MONTH(A1495),1))</f>
        <v/>
      </c>
    </row>
    <row r="1496" customFormat="false" ht="15" hidden="false" customHeight="false" outlineLevel="0" collapsed="false">
      <c r="A1496" s="21"/>
      <c r="B1496" s="4"/>
      <c r="C1496" s="22"/>
      <c r="D1496" s="5" t="str">
        <f aca="false">IF(B1496="","",IFERROR(INDEX(DE_PARA!$B$6:$B$205,MATCH(B1496,DE_PARA!$A$6:$A$205,0)),"SEM DE-PARA"))</f>
        <v/>
      </c>
      <c r="E1496" s="23" t="str">
        <f aca="false">IF(A1496="","",DATE(YEAR(A1496),MONTH(A1496),1))</f>
        <v/>
      </c>
    </row>
    <row r="1497" customFormat="false" ht="15" hidden="false" customHeight="false" outlineLevel="0" collapsed="false">
      <c r="A1497" s="21"/>
      <c r="B1497" s="4"/>
      <c r="C1497" s="22"/>
      <c r="D1497" s="5" t="str">
        <f aca="false">IF(B1497="","",IFERROR(INDEX(DE_PARA!$B$6:$B$205,MATCH(B1497,DE_PARA!$A$6:$A$205,0)),"SEM DE-PARA"))</f>
        <v/>
      </c>
      <c r="E1497" s="23" t="str">
        <f aca="false">IF(A1497="","",DATE(YEAR(A1497),MONTH(A1497),1))</f>
        <v/>
      </c>
    </row>
    <row r="1498" customFormat="false" ht="15" hidden="false" customHeight="false" outlineLevel="0" collapsed="false">
      <c r="A1498" s="21"/>
      <c r="B1498" s="4"/>
      <c r="C1498" s="22"/>
      <c r="D1498" s="5" t="str">
        <f aca="false">IF(B1498="","",IFERROR(INDEX(DE_PARA!$B$6:$B$205,MATCH(B1498,DE_PARA!$A$6:$A$205,0)),"SEM DE-PARA"))</f>
        <v/>
      </c>
      <c r="E1498" s="23" t="str">
        <f aca="false">IF(A1498="","",DATE(YEAR(A1498),MONTH(A1498),1))</f>
        <v/>
      </c>
    </row>
    <row r="1499" customFormat="false" ht="15" hidden="false" customHeight="false" outlineLevel="0" collapsed="false">
      <c r="A1499" s="21"/>
      <c r="B1499" s="4"/>
      <c r="C1499" s="22"/>
      <c r="D1499" s="5" t="str">
        <f aca="false">IF(B1499="","",IFERROR(INDEX(DE_PARA!$B$6:$B$205,MATCH(B1499,DE_PARA!$A$6:$A$205,0)),"SEM DE-PARA"))</f>
        <v/>
      </c>
      <c r="E1499" s="23" t="str">
        <f aca="false">IF(A1499="","",DATE(YEAR(A1499),MONTH(A1499),1))</f>
        <v/>
      </c>
    </row>
    <row r="1500" customFormat="false" ht="15" hidden="false" customHeight="false" outlineLevel="0" collapsed="false">
      <c r="A1500" s="21"/>
      <c r="B1500" s="4"/>
      <c r="C1500" s="22"/>
      <c r="D1500" s="5" t="str">
        <f aca="false">IF(B1500="","",IFERROR(INDEX(DE_PARA!$B$6:$B$205,MATCH(B1500,DE_PARA!$A$6:$A$205,0)),"SEM DE-PARA"))</f>
        <v/>
      </c>
      <c r="E1500" s="23" t="str">
        <f aca="false">IF(A1500="","",DATE(YEAR(A1500),MONTH(A1500),1))</f>
        <v/>
      </c>
    </row>
    <row r="1501" customFormat="false" ht="15" hidden="false" customHeight="false" outlineLevel="0" collapsed="false">
      <c r="A1501" s="21"/>
      <c r="B1501" s="4"/>
      <c r="C1501" s="22"/>
      <c r="D1501" s="5" t="str">
        <f aca="false">IF(B1501="","",IFERROR(INDEX(DE_PARA!$B$6:$B$205,MATCH(B1501,DE_PARA!$A$6:$A$205,0)),"SEM DE-PARA"))</f>
        <v/>
      </c>
      <c r="E1501" s="23" t="str">
        <f aca="false">IF(A1501="","",DATE(YEAR(A1501),MONTH(A1501),1))</f>
        <v/>
      </c>
    </row>
    <row r="1502" customFormat="false" ht="15" hidden="false" customHeight="false" outlineLevel="0" collapsed="false">
      <c r="A1502" s="21"/>
      <c r="B1502" s="4"/>
      <c r="C1502" s="22"/>
      <c r="D1502" s="5" t="str">
        <f aca="false">IF(B1502="","",IFERROR(INDEX(DE_PARA!$B$6:$B$205,MATCH(B1502,DE_PARA!$A$6:$A$205,0)),"SEM DE-PARA"))</f>
        <v/>
      </c>
      <c r="E1502" s="23" t="str">
        <f aca="false">IF(A1502="","",DATE(YEAR(A1502),MONTH(A1502),1))</f>
        <v/>
      </c>
    </row>
    <row r="1503" customFormat="false" ht="15" hidden="false" customHeight="false" outlineLevel="0" collapsed="false">
      <c r="A1503" s="21"/>
      <c r="B1503" s="4"/>
      <c r="C1503" s="22"/>
      <c r="D1503" s="5" t="str">
        <f aca="false">IF(B1503="","",IFERROR(INDEX(DE_PARA!$B$6:$B$205,MATCH(B1503,DE_PARA!$A$6:$A$205,0)),"SEM DE-PARA"))</f>
        <v/>
      </c>
      <c r="E1503" s="23" t="str">
        <f aca="false">IF(A1503="","",DATE(YEAR(A1503),MONTH(A1503),1))</f>
        <v/>
      </c>
    </row>
    <row r="1504" customFormat="false" ht="15" hidden="false" customHeight="false" outlineLevel="0" collapsed="false">
      <c r="A1504" s="21"/>
      <c r="B1504" s="4"/>
      <c r="C1504" s="22"/>
      <c r="D1504" s="5" t="str">
        <f aca="false">IF(B1504="","",IFERROR(INDEX(DE_PARA!$B$6:$B$205,MATCH(B1504,DE_PARA!$A$6:$A$205,0)),"SEM DE-PARA"))</f>
        <v/>
      </c>
      <c r="E1504" s="23" t="str">
        <f aca="false">IF(A1504="","",DATE(YEAR(A1504),MONTH(A1504),1))</f>
        <v/>
      </c>
    </row>
    <row r="1505" customFormat="false" ht="15" hidden="false" customHeight="false" outlineLevel="0" collapsed="false">
      <c r="A1505" s="21"/>
      <c r="B1505" s="4"/>
      <c r="C1505" s="22"/>
      <c r="D1505" s="5" t="str">
        <f aca="false">IF(B1505="","",IFERROR(INDEX(DE_PARA!$B$6:$B$205,MATCH(B1505,DE_PARA!$A$6:$A$205,0)),"SEM DE-PARA"))</f>
        <v/>
      </c>
      <c r="E1505" s="23" t="str">
        <f aca="false">IF(A1505="","",DATE(YEAR(A1505),MONTH(A1505),1))</f>
        <v/>
      </c>
    </row>
    <row r="1506" customFormat="false" ht="15" hidden="false" customHeight="false" outlineLevel="0" collapsed="false">
      <c r="A1506" s="21"/>
      <c r="B1506" s="4"/>
      <c r="C1506" s="22"/>
      <c r="D1506" s="5" t="str">
        <f aca="false">IF(B1506="","",IFERROR(INDEX(DE_PARA!$B$6:$B$205,MATCH(B1506,DE_PARA!$A$6:$A$205,0)),"SEM DE-PARA"))</f>
        <v/>
      </c>
      <c r="E1506" s="23" t="str">
        <f aca="false">IF(A1506="","",DATE(YEAR(A1506),MONTH(A1506),1))</f>
        <v/>
      </c>
    </row>
    <row r="1507" customFormat="false" ht="15" hidden="false" customHeight="false" outlineLevel="0" collapsed="false">
      <c r="A1507" s="21"/>
      <c r="B1507" s="4"/>
      <c r="C1507" s="22"/>
      <c r="D1507" s="5" t="str">
        <f aca="false">IF(B1507="","",IFERROR(INDEX(DE_PARA!$B$6:$B$205,MATCH(B1507,DE_PARA!$A$6:$A$205,0)),"SEM DE-PARA"))</f>
        <v/>
      </c>
      <c r="E1507" s="23" t="str">
        <f aca="false">IF(A1507="","",DATE(YEAR(A1507),MONTH(A1507),1))</f>
        <v/>
      </c>
    </row>
    <row r="1508" customFormat="false" ht="15" hidden="false" customHeight="false" outlineLevel="0" collapsed="false">
      <c r="A1508" s="21"/>
      <c r="B1508" s="4"/>
      <c r="C1508" s="22"/>
      <c r="D1508" s="5" t="str">
        <f aca="false">IF(B1508="","",IFERROR(INDEX(DE_PARA!$B$6:$B$205,MATCH(B1508,DE_PARA!$A$6:$A$205,0)),"SEM DE-PARA"))</f>
        <v/>
      </c>
      <c r="E1508" s="23" t="str">
        <f aca="false">IF(A1508="","",DATE(YEAR(A1508),MONTH(A1508),1))</f>
        <v/>
      </c>
    </row>
    <row r="1509" customFormat="false" ht="15" hidden="false" customHeight="false" outlineLevel="0" collapsed="false">
      <c r="A1509" s="21"/>
      <c r="B1509" s="4"/>
      <c r="C1509" s="22"/>
      <c r="D1509" s="5" t="str">
        <f aca="false">IF(B1509="","",IFERROR(INDEX(DE_PARA!$B$6:$B$205,MATCH(B1509,DE_PARA!$A$6:$A$205,0)),"SEM DE-PARA"))</f>
        <v/>
      </c>
      <c r="E1509" s="23" t="str">
        <f aca="false">IF(A1509="","",DATE(YEAR(A1509),MONTH(A1509),1))</f>
        <v/>
      </c>
    </row>
    <row r="1510" customFormat="false" ht="15" hidden="false" customHeight="false" outlineLevel="0" collapsed="false">
      <c r="A1510" s="21"/>
      <c r="B1510" s="4"/>
      <c r="C1510" s="22"/>
      <c r="D1510" s="5" t="str">
        <f aca="false">IF(B1510="","",IFERROR(INDEX(DE_PARA!$B$6:$B$205,MATCH(B1510,DE_PARA!$A$6:$A$205,0)),"SEM DE-PARA"))</f>
        <v/>
      </c>
      <c r="E1510" s="23" t="str">
        <f aca="false">IF(A1510="","",DATE(YEAR(A1510),MONTH(A1510),1))</f>
        <v/>
      </c>
    </row>
    <row r="1511" customFormat="false" ht="15" hidden="false" customHeight="false" outlineLevel="0" collapsed="false">
      <c r="A1511" s="21"/>
      <c r="B1511" s="4"/>
      <c r="C1511" s="22"/>
      <c r="D1511" s="5" t="str">
        <f aca="false">IF(B1511="","",IFERROR(INDEX(DE_PARA!$B$6:$B$205,MATCH(B1511,DE_PARA!$A$6:$A$205,0)),"SEM DE-PARA"))</f>
        <v/>
      </c>
      <c r="E1511" s="23" t="str">
        <f aca="false">IF(A1511="","",DATE(YEAR(A1511),MONTH(A1511),1))</f>
        <v/>
      </c>
    </row>
    <row r="1512" customFormat="false" ht="15" hidden="false" customHeight="false" outlineLevel="0" collapsed="false">
      <c r="A1512" s="21"/>
      <c r="B1512" s="4"/>
      <c r="C1512" s="22"/>
      <c r="D1512" s="5" t="str">
        <f aca="false">IF(B1512="","",IFERROR(INDEX(DE_PARA!$B$6:$B$205,MATCH(B1512,DE_PARA!$A$6:$A$205,0)),"SEM DE-PARA"))</f>
        <v/>
      </c>
      <c r="E1512" s="23" t="str">
        <f aca="false">IF(A1512="","",DATE(YEAR(A1512),MONTH(A1512),1))</f>
        <v/>
      </c>
    </row>
    <row r="1513" customFormat="false" ht="15" hidden="false" customHeight="false" outlineLevel="0" collapsed="false">
      <c r="A1513" s="21"/>
      <c r="B1513" s="4"/>
      <c r="C1513" s="22"/>
      <c r="D1513" s="5" t="str">
        <f aca="false">IF(B1513="","",IFERROR(INDEX(DE_PARA!$B$6:$B$205,MATCH(B1513,DE_PARA!$A$6:$A$205,0)),"SEM DE-PARA"))</f>
        <v/>
      </c>
      <c r="E1513" s="23" t="str">
        <f aca="false">IF(A1513="","",DATE(YEAR(A1513),MONTH(A1513),1))</f>
        <v/>
      </c>
    </row>
    <row r="1514" customFormat="false" ht="15" hidden="false" customHeight="false" outlineLevel="0" collapsed="false">
      <c r="A1514" s="21"/>
      <c r="B1514" s="4"/>
      <c r="C1514" s="22"/>
      <c r="D1514" s="5" t="str">
        <f aca="false">IF(B1514="","",IFERROR(INDEX(DE_PARA!$B$6:$B$205,MATCH(B1514,DE_PARA!$A$6:$A$205,0)),"SEM DE-PARA"))</f>
        <v/>
      </c>
      <c r="E1514" s="23" t="str">
        <f aca="false">IF(A1514="","",DATE(YEAR(A1514),MONTH(A1514),1))</f>
        <v/>
      </c>
    </row>
    <row r="1515" customFormat="false" ht="15" hidden="false" customHeight="false" outlineLevel="0" collapsed="false">
      <c r="A1515" s="21"/>
      <c r="B1515" s="4"/>
      <c r="C1515" s="22"/>
      <c r="D1515" s="5" t="str">
        <f aca="false">IF(B1515="","",IFERROR(INDEX(DE_PARA!$B$6:$B$205,MATCH(B1515,DE_PARA!$A$6:$A$205,0)),"SEM DE-PARA"))</f>
        <v/>
      </c>
      <c r="E1515" s="23" t="str">
        <f aca="false">IF(A1515="","",DATE(YEAR(A1515),MONTH(A1515),1))</f>
        <v/>
      </c>
    </row>
    <row r="1516" customFormat="false" ht="15" hidden="false" customHeight="false" outlineLevel="0" collapsed="false">
      <c r="A1516" s="21"/>
      <c r="B1516" s="4"/>
      <c r="C1516" s="22"/>
      <c r="D1516" s="5" t="str">
        <f aca="false">IF(B1516="","",IFERROR(INDEX(DE_PARA!$B$6:$B$205,MATCH(B1516,DE_PARA!$A$6:$A$205,0)),"SEM DE-PARA"))</f>
        <v/>
      </c>
      <c r="E1516" s="23" t="str">
        <f aca="false">IF(A1516="","",DATE(YEAR(A1516),MONTH(A1516),1))</f>
        <v/>
      </c>
    </row>
    <row r="1517" customFormat="false" ht="15" hidden="false" customHeight="false" outlineLevel="0" collapsed="false">
      <c r="A1517" s="21"/>
      <c r="B1517" s="4"/>
      <c r="C1517" s="22"/>
      <c r="D1517" s="5" t="str">
        <f aca="false">IF(B1517="","",IFERROR(INDEX(DE_PARA!$B$6:$B$205,MATCH(B1517,DE_PARA!$A$6:$A$205,0)),"SEM DE-PARA"))</f>
        <v/>
      </c>
      <c r="E1517" s="23" t="str">
        <f aca="false">IF(A1517="","",DATE(YEAR(A1517),MONTH(A1517),1))</f>
        <v/>
      </c>
    </row>
    <row r="1518" customFormat="false" ht="15" hidden="false" customHeight="false" outlineLevel="0" collapsed="false">
      <c r="A1518" s="21"/>
      <c r="B1518" s="4"/>
      <c r="C1518" s="22"/>
      <c r="D1518" s="5" t="str">
        <f aca="false">IF(B1518="","",IFERROR(INDEX(DE_PARA!$B$6:$B$205,MATCH(B1518,DE_PARA!$A$6:$A$205,0)),"SEM DE-PARA"))</f>
        <v/>
      </c>
      <c r="E1518" s="23" t="str">
        <f aca="false">IF(A1518="","",DATE(YEAR(A1518),MONTH(A1518),1))</f>
        <v/>
      </c>
    </row>
    <row r="1519" customFormat="false" ht="15" hidden="false" customHeight="false" outlineLevel="0" collapsed="false">
      <c r="A1519" s="21"/>
      <c r="B1519" s="4"/>
      <c r="C1519" s="22"/>
      <c r="D1519" s="5" t="str">
        <f aca="false">IF(B1519="","",IFERROR(INDEX(DE_PARA!$B$6:$B$205,MATCH(B1519,DE_PARA!$A$6:$A$205,0)),"SEM DE-PARA"))</f>
        <v/>
      </c>
      <c r="E1519" s="23" t="str">
        <f aca="false">IF(A1519="","",DATE(YEAR(A1519),MONTH(A1519),1))</f>
        <v/>
      </c>
    </row>
    <row r="1520" customFormat="false" ht="15" hidden="false" customHeight="false" outlineLevel="0" collapsed="false">
      <c r="A1520" s="21"/>
      <c r="B1520" s="4"/>
      <c r="C1520" s="22"/>
      <c r="D1520" s="5" t="str">
        <f aca="false">IF(B1520="","",IFERROR(INDEX(DE_PARA!$B$6:$B$205,MATCH(B1520,DE_PARA!$A$6:$A$205,0)),"SEM DE-PARA"))</f>
        <v/>
      </c>
      <c r="E1520" s="23" t="str">
        <f aca="false">IF(A1520="","",DATE(YEAR(A1520),MONTH(A1520),1))</f>
        <v/>
      </c>
    </row>
    <row r="1521" customFormat="false" ht="15" hidden="false" customHeight="false" outlineLevel="0" collapsed="false">
      <c r="A1521" s="21"/>
      <c r="B1521" s="4"/>
      <c r="C1521" s="22"/>
      <c r="D1521" s="5" t="str">
        <f aca="false">IF(B1521="","",IFERROR(INDEX(DE_PARA!$B$6:$B$205,MATCH(B1521,DE_PARA!$A$6:$A$205,0)),"SEM DE-PARA"))</f>
        <v/>
      </c>
      <c r="E1521" s="23" t="str">
        <f aca="false">IF(A1521="","",DATE(YEAR(A1521),MONTH(A1521),1))</f>
        <v/>
      </c>
    </row>
    <row r="1522" customFormat="false" ht="15" hidden="false" customHeight="false" outlineLevel="0" collapsed="false">
      <c r="A1522" s="21"/>
      <c r="B1522" s="4"/>
      <c r="C1522" s="22"/>
      <c r="D1522" s="5" t="str">
        <f aca="false">IF(B1522="","",IFERROR(INDEX(DE_PARA!$B$6:$B$205,MATCH(B1522,DE_PARA!$A$6:$A$205,0)),"SEM DE-PARA"))</f>
        <v/>
      </c>
      <c r="E1522" s="23" t="str">
        <f aca="false">IF(A1522="","",DATE(YEAR(A1522),MONTH(A1522),1))</f>
        <v/>
      </c>
    </row>
    <row r="1523" customFormat="false" ht="15" hidden="false" customHeight="false" outlineLevel="0" collapsed="false">
      <c r="A1523" s="21"/>
      <c r="B1523" s="4"/>
      <c r="C1523" s="22"/>
      <c r="D1523" s="5" t="str">
        <f aca="false">IF(B1523="","",IFERROR(INDEX(DE_PARA!$B$6:$B$205,MATCH(B1523,DE_PARA!$A$6:$A$205,0)),"SEM DE-PARA"))</f>
        <v/>
      </c>
      <c r="E1523" s="23" t="str">
        <f aca="false">IF(A1523="","",DATE(YEAR(A1523),MONTH(A1523),1))</f>
        <v/>
      </c>
    </row>
    <row r="1524" customFormat="false" ht="15" hidden="false" customHeight="false" outlineLevel="0" collapsed="false">
      <c r="A1524" s="21"/>
      <c r="B1524" s="4"/>
      <c r="C1524" s="22"/>
      <c r="D1524" s="5" t="str">
        <f aca="false">IF(B1524="","",IFERROR(INDEX(DE_PARA!$B$6:$B$205,MATCH(B1524,DE_PARA!$A$6:$A$205,0)),"SEM DE-PARA"))</f>
        <v/>
      </c>
      <c r="E1524" s="23" t="str">
        <f aca="false">IF(A1524="","",DATE(YEAR(A1524),MONTH(A1524),1))</f>
        <v/>
      </c>
    </row>
    <row r="1525" customFormat="false" ht="15" hidden="false" customHeight="false" outlineLevel="0" collapsed="false">
      <c r="A1525" s="21"/>
      <c r="B1525" s="4"/>
      <c r="C1525" s="22"/>
      <c r="D1525" s="5" t="str">
        <f aca="false">IF(B1525="","",IFERROR(INDEX(DE_PARA!$B$6:$B$205,MATCH(B1525,DE_PARA!$A$6:$A$205,0)),"SEM DE-PARA"))</f>
        <v/>
      </c>
      <c r="E1525" s="23" t="str">
        <f aca="false">IF(A1525="","",DATE(YEAR(A1525),MONTH(A1525),1))</f>
        <v/>
      </c>
    </row>
    <row r="1526" customFormat="false" ht="15" hidden="false" customHeight="false" outlineLevel="0" collapsed="false">
      <c r="A1526" s="21"/>
      <c r="B1526" s="4"/>
      <c r="C1526" s="22"/>
      <c r="D1526" s="5" t="str">
        <f aca="false">IF(B1526="","",IFERROR(INDEX(DE_PARA!$B$6:$B$205,MATCH(B1526,DE_PARA!$A$6:$A$205,0)),"SEM DE-PARA"))</f>
        <v/>
      </c>
      <c r="E1526" s="23" t="str">
        <f aca="false">IF(A1526="","",DATE(YEAR(A1526),MONTH(A1526),1))</f>
        <v/>
      </c>
    </row>
    <row r="1527" customFormat="false" ht="15" hidden="false" customHeight="false" outlineLevel="0" collapsed="false">
      <c r="A1527" s="21"/>
      <c r="B1527" s="4"/>
      <c r="C1527" s="22"/>
      <c r="D1527" s="5" t="str">
        <f aca="false">IF(B1527="","",IFERROR(INDEX(DE_PARA!$B$6:$B$205,MATCH(B1527,DE_PARA!$A$6:$A$205,0)),"SEM DE-PARA"))</f>
        <v/>
      </c>
      <c r="E1527" s="23" t="str">
        <f aca="false">IF(A1527="","",DATE(YEAR(A1527),MONTH(A1527),1))</f>
        <v/>
      </c>
    </row>
    <row r="1528" customFormat="false" ht="15" hidden="false" customHeight="false" outlineLevel="0" collapsed="false">
      <c r="A1528" s="21"/>
      <c r="B1528" s="4"/>
      <c r="C1528" s="22"/>
      <c r="D1528" s="5" t="str">
        <f aca="false">IF(B1528="","",IFERROR(INDEX(DE_PARA!$B$6:$B$205,MATCH(B1528,DE_PARA!$A$6:$A$205,0)),"SEM DE-PARA"))</f>
        <v/>
      </c>
      <c r="E1528" s="23" t="str">
        <f aca="false">IF(A1528="","",DATE(YEAR(A1528),MONTH(A1528),1))</f>
        <v/>
      </c>
    </row>
    <row r="1529" customFormat="false" ht="15" hidden="false" customHeight="false" outlineLevel="0" collapsed="false">
      <c r="A1529" s="21"/>
      <c r="B1529" s="4"/>
      <c r="C1529" s="22"/>
      <c r="D1529" s="5" t="str">
        <f aca="false">IF(B1529="","",IFERROR(INDEX(DE_PARA!$B$6:$B$205,MATCH(B1529,DE_PARA!$A$6:$A$205,0)),"SEM DE-PARA"))</f>
        <v/>
      </c>
      <c r="E1529" s="23" t="str">
        <f aca="false">IF(A1529="","",DATE(YEAR(A1529),MONTH(A1529),1))</f>
        <v/>
      </c>
    </row>
    <row r="1530" customFormat="false" ht="15" hidden="false" customHeight="false" outlineLevel="0" collapsed="false">
      <c r="A1530" s="21"/>
      <c r="B1530" s="4"/>
      <c r="C1530" s="22"/>
      <c r="D1530" s="5" t="str">
        <f aca="false">IF(B1530="","",IFERROR(INDEX(DE_PARA!$B$6:$B$205,MATCH(B1530,DE_PARA!$A$6:$A$205,0)),"SEM DE-PARA"))</f>
        <v/>
      </c>
      <c r="E1530" s="23" t="str">
        <f aca="false">IF(A1530="","",DATE(YEAR(A1530),MONTH(A1530),1))</f>
        <v/>
      </c>
    </row>
    <row r="1531" customFormat="false" ht="15" hidden="false" customHeight="false" outlineLevel="0" collapsed="false">
      <c r="A1531" s="21"/>
      <c r="B1531" s="4"/>
      <c r="C1531" s="22"/>
      <c r="D1531" s="5" t="str">
        <f aca="false">IF(B1531="","",IFERROR(INDEX(DE_PARA!$B$6:$B$205,MATCH(B1531,DE_PARA!$A$6:$A$205,0)),"SEM DE-PARA"))</f>
        <v/>
      </c>
      <c r="E1531" s="23" t="str">
        <f aca="false">IF(A1531="","",DATE(YEAR(A1531),MONTH(A1531),1))</f>
        <v/>
      </c>
    </row>
    <row r="1532" customFormat="false" ht="15" hidden="false" customHeight="false" outlineLevel="0" collapsed="false">
      <c r="A1532" s="21"/>
      <c r="B1532" s="4"/>
      <c r="C1532" s="22"/>
      <c r="D1532" s="5" t="str">
        <f aca="false">IF(B1532="","",IFERROR(INDEX(DE_PARA!$B$6:$B$205,MATCH(B1532,DE_PARA!$A$6:$A$205,0)),"SEM DE-PARA"))</f>
        <v/>
      </c>
      <c r="E1532" s="23" t="str">
        <f aca="false">IF(A1532="","",DATE(YEAR(A1532),MONTH(A1532),1))</f>
        <v/>
      </c>
    </row>
    <row r="1533" customFormat="false" ht="15" hidden="false" customHeight="false" outlineLevel="0" collapsed="false">
      <c r="A1533" s="21"/>
      <c r="B1533" s="4"/>
      <c r="C1533" s="22"/>
      <c r="D1533" s="5" t="str">
        <f aca="false">IF(B1533="","",IFERROR(INDEX(DE_PARA!$B$6:$B$205,MATCH(B1533,DE_PARA!$A$6:$A$205,0)),"SEM DE-PARA"))</f>
        <v/>
      </c>
      <c r="E1533" s="23" t="str">
        <f aca="false">IF(A1533="","",DATE(YEAR(A1533),MONTH(A1533),1))</f>
        <v/>
      </c>
    </row>
    <row r="1534" customFormat="false" ht="15" hidden="false" customHeight="false" outlineLevel="0" collapsed="false">
      <c r="A1534" s="21"/>
      <c r="B1534" s="4"/>
      <c r="C1534" s="22"/>
      <c r="D1534" s="5" t="str">
        <f aca="false">IF(B1534="","",IFERROR(INDEX(DE_PARA!$B$6:$B$205,MATCH(B1534,DE_PARA!$A$6:$A$205,0)),"SEM DE-PARA"))</f>
        <v/>
      </c>
      <c r="E1534" s="23" t="str">
        <f aca="false">IF(A1534="","",DATE(YEAR(A1534),MONTH(A1534),1))</f>
        <v/>
      </c>
    </row>
    <row r="1535" customFormat="false" ht="15" hidden="false" customHeight="false" outlineLevel="0" collapsed="false">
      <c r="A1535" s="21"/>
      <c r="B1535" s="4"/>
      <c r="C1535" s="22"/>
      <c r="D1535" s="5" t="str">
        <f aca="false">IF(B1535="","",IFERROR(INDEX(DE_PARA!$B$6:$B$205,MATCH(B1535,DE_PARA!$A$6:$A$205,0)),"SEM DE-PARA"))</f>
        <v/>
      </c>
      <c r="E1535" s="23" t="str">
        <f aca="false">IF(A1535="","",DATE(YEAR(A1535),MONTH(A1535),1))</f>
        <v/>
      </c>
    </row>
    <row r="1536" customFormat="false" ht="15" hidden="false" customHeight="false" outlineLevel="0" collapsed="false">
      <c r="A1536" s="21"/>
      <c r="B1536" s="4"/>
      <c r="C1536" s="22"/>
      <c r="D1536" s="5" t="str">
        <f aca="false">IF(B1536="","",IFERROR(INDEX(DE_PARA!$B$6:$B$205,MATCH(B1536,DE_PARA!$A$6:$A$205,0)),"SEM DE-PARA"))</f>
        <v/>
      </c>
      <c r="E1536" s="23" t="str">
        <f aca="false">IF(A1536="","",DATE(YEAR(A1536),MONTH(A1536),1))</f>
        <v/>
      </c>
    </row>
    <row r="1537" customFormat="false" ht="15" hidden="false" customHeight="false" outlineLevel="0" collapsed="false">
      <c r="A1537" s="21"/>
      <c r="B1537" s="4"/>
      <c r="C1537" s="22"/>
      <c r="D1537" s="5" t="str">
        <f aca="false">IF(B1537="","",IFERROR(INDEX(DE_PARA!$B$6:$B$205,MATCH(B1537,DE_PARA!$A$6:$A$205,0)),"SEM DE-PARA"))</f>
        <v/>
      </c>
      <c r="E1537" s="23" t="str">
        <f aca="false">IF(A1537="","",DATE(YEAR(A1537),MONTH(A1537),1))</f>
        <v/>
      </c>
    </row>
    <row r="1538" customFormat="false" ht="15" hidden="false" customHeight="false" outlineLevel="0" collapsed="false">
      <c r="A1538" s="21"/>
      <c r="B1538" s="4"/>
      <c r="C1538" s="22"/>
      <c r="D1538" s="5" t="str">
        <f aca="false">IF(B1538="","",IFERROR(INDEX(DE_PARA!$B$6:$B$205,MATCH(B1538,DE_PARA!$A$6:$A$205,0)),"SEM DE-PARA"))</f>
        <v/>
      </c>
      <c r="E1538" s="23" t="str">
        <f aca="false">IF(A1538="","",DATE(YEAR(A1538),MONTH(A1538),1))</f>
        <v/>
      </c>
    </row>
    <row r="1539" customFormat="false" ht="15" hidden="false" customHeight="false" outlineLevel="0" collapsed="false">
      <c r="A1539" s="21"/>
      <c r="B1539" s="4"/>
      <c r="C1539" s="22"/>
      <c r="D1539" s="5" t="str">
        <f aca="false">IF(B1539="","",IFERROR(INDEX(DE_PARA!$B$6:$B$205,MATCH(B1539,DE_PARA!$A$6:$A$205,0)),"SEM DE-PARA"))</f>
        <v/>
      </c>
      <c r="E1539" s="23" t="str">
        <f aca="false">IF(A1539="","",DATE(YEAR(A1539),MONTH(A1539),1))</f>
        <v/>
      </c>
    </row>
    <row r="1540" customFormat="false" ht="15" hidden="false" customHeight="false" outlineLevel="0" collapsed="false">
      <c r="A1540" s="21"/>
      <c r="B1540" s="4"/>
      <c r="C1540" s="22"/>
      <c r="D1540" s="5" t="str">
        <f aca="false">IF(B1540="","",IFERROR(INDEX(DE_PARA!$B$6:$B$205,MATCH(B1540,DE_PARA!$A$6:$A$205,0)),"SEM DE-PARA"))</f>
        <v/>
      </c>
      <c r="E1540" s="23" t="str">
        <f aca="false">IF(A1540="","",DATE(YEAR(A1540),MONTH(A1540),1))</f>
        <v/>
      </c>
    </row>
    <row r="1541" customFormat="false" ht="15" hidden="false" customHeight="false" outlineLevel="0" collapsed="false">
      <c r="A1541" s="21"/>
      <c r="B1541" s="4"/>
      <c r="C1541" s="22"/>
      <c r="D1541" s="5" t="str">
        <f aca="false">IF(B1541="","",IFERROR(INDEX(DE_PARA!$B$6:$B$205,MATCH(B1541,DE_PARA!$A$6:$A$205,0)),"SEM DE-PARA"))</f>
        <v/>
      </c>
      <c r="E1541" s="23" t="str">
        <f aca="false">IF(A1541="","",DATE(YEAR(A1541),MONTH(A1541),1))</f>
        <v/>
      </c>
    </row>
    <row r="1542" customFormat="false" ht="15" hidden="false" customHeight="false" outlineLevel="0" collapsed="false">
      <c r="A1542" s="21"/>
      <c r="B1542" s="4"/>
      <c r="C1542" s="22"/>
      <c r="D1542" s="5" t="str">
        <f aca="false">IF(B1542="","",IFERROR(INDEX(DE_PARA!$B$6:$B$205,MATCH(B1542,DE_PARA!$A$6:$A$205,0)),"SEM DE-PARA"))</f>
        <v/>
      </c>
      <c r="E1542" s="23" t="str">
        <f aca="false">IF(A1542="","",DATE(YEAR(A1542),MONTH(A1542),1))</f>
        <v/>
      </c>
    </row>
    <row r="1543" customFormat="false" ht="15" hidden="false" customHeight="false" outlineLevel="0" collapsed="false">
      <c r="A1543" s="21"/>
      <c r="B1543" s="4"/>
      <c r="C1543" s="22"/>
      <c r="D1543" s="5" t="str">
        <f aca="false">IF(B1543="","",IFERROR(INDEX(DE_PARA!$B$6:$B$205,MATCH(B1543,DE_PARA!$A$6:$A$205,0)),"SEM DE-PARA"))</f>
        <v/>
      </c>
      <c r="E1543" s="23" t="str">
        <f aca="false">IF(A1543="","",DATE(YEAR(A1543),MONTH(A1543),1))</f>
        <v/>
      </c>
    </row>
    <row r="1544" customFormat="false" ht="15" hidden="false" customHeight="false" outlineLevel="0" collapsed="false">
      <c r="A1544" s="21"/>
      <c r="B1544" s="4"/>
      <c r="C1544" s="22"/>
      <c r="D1544" s="5" t="str">
        <f aca="false">IF(B1544="","",IFERROR(INDEX(DE_PARA!$B$6:$B$205,MATCH(B1544,DE_PARA!$A$6:$A$205,0)),"SEM DE-PARA"))</f>
        <v/>
      </c>
      <c r="E1544" s="23" t="str">
        <f aca="false">IF(A1544="","",DATE(YEAR(A1544),MONTH(A1544),1))</f>
        <v/>
      </c>
    </row>
    <row r="1545" customFormat="false" ht="15" hidden="false" customHeight="false" outlineLevel="0" collapsed="false">
      <c r="A1545" s="21"/>
      <c r="B1545" s="4"/>
      <c r="C1545" s="22"/>
      <c r="D1545" s="5" t="str">
        <f aca="false">IF(B1545="","",IFERROR(INDEX(DE_PARA!$B$6:$B$205,MATCH(B1545,DE_PARA!$A$6:$A$205,0)),"SEM DE-PARA"))</f>
        <v/>
      </c>
      <c r="E1545" s="23" t="str">
        <f aca="false">IF(A1545="","",DATE(YEAR(A1545),MONTH(A1545),1))</f>
        <v/>
      </c>
    </row>
    <row r="1546" customFormat="false" ht="15" hidden="false" customHeight="false" outlineLevel="0" collapsed="false">
      <c r="A1546" s="21"/>
      <c r="B1546" s="4"/>
      <c r="C1546" s="22"/>
      <c r="D1546" s="5" t="str">
        <f aca="false">IF(B1546="","",IFERROR(INDEX(DE_PARA!$B$6:$B$205,MATCH(B1546,DE_PARA!$A$6:$A$205,0)),"SEM DE-PARA"))</f>
        <v/>
      </c>
      <c r="E1546" s="23" t="str">
        <f aca="false">IF(A1546="","",DATE(YEAR(A1546),MONTH(A1546),1))</f>
        <v/>
      </c>
    </row>
    <row r="1547" customFormat="false" ht="15" hidden="false" customHeight="false" outlineLevel="0" collapsed="false">
      <c r="A1547" s="21"/>
      <c r="B1547" s="4"/>
      <c r="C1547" s="22"/>
      <c r="D1547" s="5" t="str">
        <f aca="false">IF(B1547="","",IFERROR(INDEX(DE_PARA!$B$6:$B$205,MATCH(B1547,DE_PARA!$A$6:$A$205,0)),"SEM DE-PARA"))</f>
        <v/>
      </c>
      <c r="E1547" s="23" t="str">
        <f aca="false">IF(A1547="","",DATE(YEAR(A1547),MONTH(A1547),1))</f>
        <v/>
      </c>
    </row>
    <row r="1548" customFormat="false" ht="15" hidden="false" customHeight="false" outlineLevel="0" collapsed="false">
      <c r="A1548" s="21"/>
      <c r="B1548" s="4"/>
      <c r="C1548" s="22"/>
      <c r="D1548" s="5" t="str">
        <f aca="false">IF(B1548="","",IFERROR(INDEX(DE_PARA!$B$6:$B$205,MATCH(B1548,DE_PARA!$A$6:$A$205,0)),"SEM DE-PARA"))</f>
        <v/>
      </c>
      <c r="E1548" s="23" t="str">
        <f aca="false">IF(A1548="","",DATE(YEAR(A1548),MONTH(A1548),1))</f>
        <v/>
      </c>
    </row>
    <row r="1549" customFormat="false" ht="15" hidden="false" customHeight="false" outlineLevel="0" collapsed="false">
      <c r="A1549" s="21"/>
      <c r="B1549" s="4"/>
      <c r="C1549" s="22"/>
      <c r="D1549" s="5" t="str">
        <f aca="false">IF(B1549="","",IFERROR(INDEX(DE_PARA!$B$6:$B$205,MATCH(B1549,DE_PARA!$A$6:$A$205,0)),"SEM DE-PARA"))</f>
        <v/>
      </c>
      <c r="E1549" s="23" t="str">
        <f aca="false">IF(A1549="","",DATE(YEAR(A1549),MONTH(A1549),1))</f>
        <v/>
      </c>
    </row>
    <row r="1550" customFormat="false" ht="15" hidden="false" customHeight="false" outlineLevel="0" collapsed="false">
      <c r="A1550" s="21"/>
      <c r="B1550" s="4"/>
      <c r="C1550" s="22"/>
      <c r="D1550" s="5" t="str">
        <f aca="false">IF(B1550="","",IFERROR(INDEX(DE_PARA!$B$6:$B$205,MATCH(B1550,DE_PARA!$A$6:$A$205,0)),"SEM DE-PARA"))</f>
        <v/>
      </c>
      <c r="E1550" s="23" t="str">
        <f aca="false">IF(A1550="","",DATE(YEAR(A1550),MONTH(A1550),1))</f>
        <v/>
      </c>
    </row>
    <row r="1551" customFormat="false" ht="15" hidden="false" customHeight="false" outlineLevel="0" collapsed="false">
      <c r="A1551" s="21"/>
      <c r="B1551" s="4"/>
      <c r="C1551" s="22"/>
      <c r="D1551" s="5" t="str">
        <f aca="false">IF(B1551="","",IFERROR(INDEX(DE_PARA!$B$6:$B$205,MATCH(B1551,DE_PARA!$A$6:$A$205,0)),"SEM DE-PARA"))</f>
        <v/>
      </c>
      <c r="E1551" s="23" t="str">
        <f aca="false">IF(A1551="","",DATE(YEAR(A1551),MONTH(A1551),1))</f>
        <v/>
      </c>
    </row>
    <row r="1552" customFormat="false" ht="15" hidden="false" customHeight="false" outlineLevel="0" collapsed="false">
      <c r="A1552" s="21"/>
      <c r="B1552" s="4"/>
      <c r="C1552" s="22"/>
      <c r="D1552" s="5" t="str">
        <f aca="false">IF(B1552="","",IFERROR(INDEX(DE_PARA!$B$6:$B$205,MATCH(B1552,DE_PARA!$A$6:$A$205,0)),"SEM DE-PARA"))</f>
        <v/>
      </c>
      <c r="E1552" s="23" t="str">
        <f aca="false">IF(A1552="","",DATE(YEAR(A1552),MONTH(A1552),1))</f>
        <v/>
      </c>
    </row>
    <row r="1553" customFormat="false" ht="15" hidden="false" customHeight="false" outlineLevel="0" collapsed="false">
      <c r="A1553" s="21"/>
      <c r="B1553" s="4"/>
      <c r="C1553" s="22"/>
      <c r="D1553" s="5" t="str">
        <f aca="false">IF(B1553="","",IFERROR(INDEX(DE_PARA!$B$6:$B$205,MATCH(B1553,DE_PARA!$A$6:$A$205,0)),"SEM DE-PARA"))</f>
        <v/>
      </c>
      <c r="E1553" s="23" t="str">
        <f aca="false">IF(A1553="","",DATE(YEAR(A1553),MONTH(A1553),1))</f>
        <v/>
      </c>
    </row>
    <row r="1554" customFormat="false" ht="15" hidden="false" customHeight="false" outlineLevel="0" collapsed="false">
      <c r="A1554" s="21"/>
      <c r="B1554" s="4"/>
      <c r="C1554" s="22"/>
      <c r="D1554" s="5" t="str">
        <f aca="false">IF(B1554="","",IFERROR(INDEX(DE_PARA!$B$6:$B$205,MATCH(B1554,DE_PARA!$A$6:$A$205,0)),"SEM DE-PARA"))</f>
        <v/>
      </c>
      <c r="E1554" s="23" t="str">
        <f aca="false">IF(A1554="","",DATE(YEAR(A1554),MONTH(A1554),1))</f>
        <v/>
      </c>
    </row>
    <row r="1555" customFormat="false" ht="15" hidden="false" customHeight="false" outlineLevel="0" collapsed="false">
      <c r="A1555" s="21"/>
      <c r="B1555" s="4"/>
      <c r="C1555" s="22"/>
      <c r="D1555" s="5" t="str">
        <f aca="false">IF(B1555="","",IFERROR(INDEX(DE_PARA!$B$6:$B$205,MATCH(B1555,DE_PARA!$A$6:$A$205,0)),"SEM DE-PARA"))</f>
        <v/>
      </c>
      <c r="E1555" s="23" t="str">
        <f aca="false">IF(A1555="","",DATE(YEAR(A1555),MONTH(A1555),1))</f>
        <v/>
      </c>
    </row>
    <row r="1556" customFormat="false" ht="15" hidden="false" customHeight="false" outlineLevel="0" collapsed="false">
      <c r="A1556" s="21"/>
      <c r="B1556" s="4"/>
      <c r="C1556" s="22"/>
      <c r="D1556" s="5" t="str">
        <f aca="false">IF(B1556="","",IFERROR(INDEX(DE_PARA!$B$6:$B$205,MATCH(B1556,DE_PARA!$A$6:$A$205,0)),"SEM DE-PARA"))</f>
        <v/>
      </c>
      <c r="E1556" s="23" t="str">
        <f aca="false">IF(A1556="","",DATE(YEAR(A1556),MONTH(A1556),1))</f>
        <v/>
      </c>
    </row>
    <row r="1557" customFormat="false" ht="15" hidden="false" customHeight="false" outlineLevel="0" collapsed="false">
      <c r="A1557" s="21"/>
      <c r="B1557" s="4"/>
      <c r="C1557" s="22"/>
      <c r="D1557" s="5" t="str">
        <f aca="false">IF(B1557="","",IFERROR(INDEX(DE_PARA!$B$6:$B$205,MATCH(B1557,DE_PARA!$A$6:$A$205,0)),"SEM DE-PARA"))</f>
        <v/>
      </c>
      <c r="E1557" s="23" t="str">
        <f aca="false">IF(A1557="","",DATE(YEAR(A1557),MONTH(A1557),1))</f>
        <v/>
      </c>
    </row>
    <row r="1558" customFormat="false" ht="15" hidden="false" customHeight="false" outlineLevel="0" collapsed="false">
      <c r="A1558" s="21"/>
      <c r="B1558" s="4"/>
      <c r="C1558" s="22"/>
      <c r="D1558" s="5" t="str">
        <f aca="false">IF(B1558="","",IFERROR(INDEX(DE_PARA!$B$6:$B$205,MATCH(B1558,DE_PARA!$A$6:$A$205,0)),"SEM DE-PARA"))</f>
        <v/>
      </c>
      <c r="E1558" s="23" t="str">
        <f aca="false">IF(A1558="","",DATE(YEAR(A1558),MONTH(A1558),1))</f>
        <v/>
      </c>
    </row>
    <row r="1559" customFormat="false" ht="15" hidden="false" customHeight="false" outlineLevel="0" collapsed="false">
      <c r="A1559" s="21"/>
      <c r="B1559" s="4"/>
      <c r="C1559" s="22"/>
      <c r="D1559" s="5" t="str">
        <f aca="false">IF(B1559="","",IFERROR(INDEX(DE_PARA!$B$6:$B$205,MATCH(B1559,DE_PARA!$A$6:$A$205,0)),"SEM DE-PARA"))</f>
        <v/>
      </c>
      <c r="E1559" s="23" t="str">
        <f aca="false">IF(A1559="","",DATE(YEAR(A1559),MONTH(A1559),1))</f>
        <v/>
      </c>
    </row>
    <row r="1560" customFormat="false" ht="15" hidden="false" customHeight="false" outlineLevel="0" collapsed="false">
      <c r="A1560" s="21"/>
      <c r="B1560" s="4"/>
      <c r="C1560" s="22"/>
      <c r="D1560" s="5" t="str">
        <f aca="false">IF(B1560="","",IFERROR(INDEX(DE_PARA!$B$6:$B$205,MATCH(B1560,DE_PARA!$A$6:$A$205,0)),"SEM DE-PARA"))</f>
        <v/>
      </c>
      <c r="E1560" s="23" t="str">
        <f aca="false">IF(A1560="","",DATE(YEAR(A1560),MONTH(A1560),1))</f>
        <v/>
      </c>
    </row>
    <row r="1561" customFormat="false" ht="15" hidden="false" customHeight="false" outlineLevel="0" collapsed="false">
      <c r="A1561" s="21"/>
      <c r="B1561" s="4"/>
      <c r="C1561" s="22"/>
      <c r="D1561" s="5" t="str">
        <f aca="false">IF(B1561="","",IFERROR(INDEX(DE_PARA!$B$6:$B$205,MATCH(B1561,DE_PARA!$A$6:$A$205,0)),"SEM DE-PARA"))</f>
        <v/>
      </c>
      <c r="E1561" s="23" t="str">
        <f aca="false">IF(A1561="","",DATE(YEAR(A1561),MONTH(A1561),1))</f>
        <v/>
      </c>
    </row>
    <row r="1562" customFormat="false" ht="15" hidden="false" customHeight="false" outlineLevel="0" collapsed="false">
      <c r="A1562" s="21"/>
      <c r="B1562" s="4"/>
      <c r="C1562" s="22"/>
      <c r="D1562" s="5" t="str">
        <f aca="false">IF(B1562="","",IFERROR(INDEX(DE_PARA!$B$6:$B$205,MATCH(B1562,DE_PARA!$A$6:$A$205,0)),"SEM DE-PARA"))</f>
        <v/>
      </c>
      <c r="E1562" s="23" t="str">
        <f aca="false">IF(A1562="","",DATE(YEAR(A1562),MONTH(A1562),1))</f>
        <v/>
      </c>
    </row>
    <row r="1563" customFormat="false" ht="15" hidden="false" customHeight="false" outlineLevel="0" collapsed="false">
      <c r="A1563" s="21"/>
      <c r="B1563" s="4"/>
      <c r="C1563" s="22"/>
      <c r="D1563" s="5" t="str">
        <f aca="false">IF(B1563="","",IFERROR(INDEX(DE_PARA!$B$6:$B$205,MATCH(B1563,DE_PARA!$A$6:$A$205,0)),"SEM DE-PARA"))</f>
        <v/>
      </c>
      <c r="E1563" s="23" t="str">
        <f aca="false">IF(A1563="","",DATE(YEAR(A1563),MONTH(A1563),1))</f>
        <v/>
      </c>
    </row>
    <row r="1564" customFormat="false" ht="15" hidden="false" customHeight="false" outlineLevel="0" collapsed="false">
      <c r="A1564" s="21"/>
      <c r="B1564" s="4"/>
      <c r="C1564" s="22"/>
      <c r="D1564" s="5" t="str">
        <f aca="false">IF(B1564="","",IFERROR(INDEX(DE_PARA!$B$6:$B$205,MATCH(B1564,DE_PARA!$A$6:$A$205,0)),"SEM DE-PARA"))</f>
        <v/>
      </c>
      <c r="E1564" s="23" t="str">
        <f aca="false">IF(A1564="","",DATE(YEAR(A1564),MONTH(A1564),1))</f>
        <v/>
      </c>
    </row>
    <row r="1565" customFormat="false" ht="15" hidden="false" customHeight="false" outlineLevel="0" collapsed="false">
      <c r="A1565" s="21"/>
      <c r="B1565" s="4"/>
      <c r="C1565" s="22"/>
      <c r="D1565" s="5" t="str">
        <f aca="false">IF(B1565="","",IFERROR(INDEX(DE_PARA!$B$6:$B$205,MATCH(B1565,DE_PARA!$A$6:$A$205,0)),"SEM DE-PARA"))</f>
        <v/>
      </c>
      <c r="E1565" s="23" t="str">
        <f aca="false">IF(A1565="","",DATE(YEAR(A1565),MONTH(A1565),1))</f>
        <v/>
      </c>
    </row>
    <row r="1566" customFormat="false" ht="15" hidden="false" customHeight="false" outlineLevel="0" collapsed="false">
      <c r="A1566" s="21"/>
      <c r="B1566" s="4"/>
      <c r="C1566" s="22"/>
      <c r="D1566" s="5" t="str">
        <f aca="false">IF(B1566="","",IFERROR(INDEX(DE_PARA!$B$6:$B$205,MATCH(B1566,DE_PARA!$A$6:$A$205,0)),"SEM DE-PARA"))</f>
        <v/>
      </c>
      <c r="E1566" s="23" t="str">
        <f aca="false">IF(A1566="","",DATE(YEAR(A1566),MONTH(A1566),1))</f>
        <v/>
      </c>
    </row>
    <row r="1567" customFormat="false" ht="15" hidden="false" customHeight="false" outlineLevel="0" collapsed="false">
      <c r="A1567" s="21"/>
      <c r="B1567" s="4"/>
      <c r="C1567" s="22"/>
      <c r="D1567" s="5" t="str">
        <f aca="false">IF(B1567="","",IFERROR(INDEX(DE_PARA!$B$6:$B$205,MATCH(B1567,DE_PARA!$A$6:$A$205,0)),"SEM DE-PARA"))</f>
        <v/>
      </c>
      <c r="E1567" s="23" t="str">
        <f aca="false">IF(A1567="","",DATE(YEAR(A1567),MONTH(A1567),1))</f>
        <v/>
      </c>
    </row>
    <row r="1568" customFormat="false" ht="15" hidden="false" customHeight="false" outlineLevel="0" collapsed="false">
      <c r="A1568" s="21"/>
      <c r="B1568" s="4"/>
      <c r="C1568" s="22"/>
      <c r="D1568" s="5" t="str">
        <f aca="false">IF(B1568="","",IFERROR(INDEX(DE_PARA!$B$6:$B$205,MATCH(B1568,DE_PARA!$A$6:$A$205,0)),"SEM DE-PARA"))</f>
        <v/>
      </c>
      <c r="E1568" s="23" t="str">
        <f aca="false">IF(A1568="","",DATE(YEAR(A1568),MONTH(A1568),1))</f>
        <v/>
      </c>
    </row>
    <row r="1569" customFormat="false" ht="15" hidden="false" customHeight="false" outlineLevel="0" collapsed="false">
      <c r="A1569" s="21"/>
      <c r="B1569" s="4"/>
      <c r="C1569" s="22"/>
      <c r="D1569" s="5" t="str">
        <f aca="false">IF(B1569="","",IFERROR(INDEX(DE_PARA!$B$6:$B$205,MATCH(B1569,DE_PARA!$A$6:$A$205,0)),"SEM DE-PARA"))</f>
        <v/>
      </c>
      <c r="E1569" s="23" t="str">
        <f aca="false">IF(A1569="","",DATE(YEAR(A1569),MONTH(A1569),1))</f>
        <v/>
      </c>
    </row>
    <row r="1570" customFormat="false" ht="15" hidden="false" customHeight="false" outlineLevel="0" collapsed="false">
      <c r="A1570" s="21"/>
      <c r="B1570" s="4"/>
      <c r="C1570" s="22"/>
      <c r="D1570" s="5" t="str">
        <f aca="false">IF(B1570="","",IFERROR(INDEX(DE_PARA!$B$6:$B$205,MATCH(B1570,DE_PARA!$A$6:$A$205,0)),"SEM DE-PARA"))</f>
        <v/>
      </c>
      <c r="E1570" s="23" t="str">
        <f aca="false">IF(A1570="","",DATE(YEAR(A1570),MONTH(A1570),1))</f>
        <v/>
      </c>
    </row>
    <row r="1571" customFormat="false" ht="15" hidden="false" customHeight="false" outlineLevel="0" collapsed="false">
      <c r="A1571" s="21"/>
      <c r="B1571" s="4"/>
      <c r="C1571" s="22"/>
      <c r="D1571" s="5" t="str">
        <f aca="false">IF(B1571="","",IFERROR(INDEX(DE_PARA!$B$6:$B$205,MATCH(B1571,DE_PARA!$A$6:$A$205,0)),"SEM DE-PARA"))</f>
        <v/>
      </c>
      <c r="E1571" s="23" t="str">
        <f aca="false">IF(A1571="","",DATE(YEAR(A1571),MONTH(A1571),1))</f>
        <v/>
      </c>
    </row>
    <row r="1572" customFormat="false" ht="15" hidden="false" customHeight="false" outlineLevel="0" collapsed="false">
      <c r="A1572" s="21"/>
      <c r="B1572" s="4"/>
      <c r="C1572" s="22"/>
      <c r="D1572" s="5" t="str">
        <f aca="false">IF(B1572="","",IFERROR(INDEX(DE_PARA!$B$6:$B$205,MATCH(B1572,DE_PARA!$A$6:$A$205,0)),"SEM DE-PARA"))</f>
        <v/>
      </c>
      <c r="E1572" s="23" t="str">
        <f aca="false">IF(A1572="","",DATE(YEAR(A1572),MONTH(A1572),1))</f>
        <v/>
      </c>
    </row>
    <row r="1573" customFormat="false" ht="15" hidden="false" customHeight="false" outlineLevel="0" collapsed="false">
      <c r="A1573" s="21"/>
      <c r="B1573" s="4"/>
      <c r="C1573" s="22"/>
      <c r="D1573" s="5" t="str">
        <f aca="false">IF(B1573="","",IFERROR(INDEX(DE_PARA!$B$6:$B$205,MATCH(B1573,DE_PARA!$A$6:$A$205,0)),"SEM DE-PARA"))</f>
        <v/>
      </c>
      <c r="E1573" s="23" t="str">
        <f aca="false">IF(A1573="","",DATE(YEAR(A1573),MONTH(A1573),1))</f>
        <v/>
      </c>
    </row>
    <row r="1574" customFormat="false" ht="15" hidden="false" customHeight="false" outlineLevel="0" collapsed="false">
      <c r="A1574" s="21"/>
      <c r="B1574" s="4"/>
      <c r="C1574" s="22"/>
      <c r="D1574" s="5" t="str">
        <f aca="false">IF(B1574="","",IFERROR(INDEX(DE_PARA!$B$6:$B$205,MATCH(B1574,DE_PARA!$A$6:$A$205,0)),"SEM DE-PARA"))</f>
        <v/>
      </c>
      <c r="E1574" s="23" t="str">
        <f aca="false">IF(A1574="","",DATE(YEAR(A1574),MONTH(A1574),1))</f>
        <v/>
      </c>
    </row>
    <row r="1575" customFormat="false" ht="15" hidden="false" customHeight="false" outlineLevel="0" collapsed="false">
      <c r="A1575" s="21"/>
      <c r="B1575" s="4"/>
      <c r="C1575" s="22"/>
      <c r="D1575" s="5" t="str">
        <f aca="false">IF(B1575="","",IFERROR(INDEX(DE_PARA!$B$6:$B$205,MATCH(B1575,DE_PARA!$A$6:$A$205,0)),"SEM DE-PARA"))</f>
        <v/>
      </c>
      <c r="E1575" s="23" t="str">
        <f aca="false">IF(A1575="","",DATE(YEAR(A1575),MONTH(A1575),1))</f>
        <v/>
      </c>
    </row>
    <row r="1576" customFormat="false" ht="15" hidden="false" customHeight="false" outlineLevel="0" collapsed="false">
      <c r="A1576" s="21"/>
      <c r="B1576" s="4"/>
      <c r="C1576" s="22"/>
      <c r="D1576" s="5" t="str">
        <f aca="false">IF(B1576="","",IFERROR(INDEX(DE_PARA!$B$6:$B$205,MATCH(B1576,DE_PARA!$A$6:$A$205,0)),"SEM DE-PARA"))</f>
        <v/>
      </c>
      <c r="E1576" s="23" t="str">
        <f aca="false">IF(A1576="","",DATE(YEAR(A1576),MONTH(A1576),1))</f>
        <v/>
      </c>
    </row>
    <row r="1577" customFormat="false" ht="15" hidden="false" customHeight="false" outlineLevel="0" collapsed="false">
      <c r="A1577" s="21"/>
      <c r="B1577" s="4"/>
      <c r="C1577" s="22"/>
      <c r="D1577" s="5" t="str">
        <f aca="false">IF(B1577="","",IFERROR(INDEX(DE_PARA!$B$6:$B$205,MATCH(B1577,DE_PARA!$A$6:$A$205,0)),"SEM DE-PARA"))</f>
        <v/>
      </c>
      <c r="E1577" s="23" t="str">
        <f aca="false">IF(A1577="","",DATE(YEAR(A1577),MONTH(A1577),1))</f>
        <v/>
      </c>
    </row>
    <row r="1578" customFormat="false" ht="15" hidden="false" customHeight="false" outlineLevel="0" collapsed="false">
      <c r="A1578" s="21"/>
      <c r="B1578" s="4"/>
      <c r="C1578" s="22"/>
      <c r="D1578" s="5" t="str">
        <f aca="false">IF(B1578="","",IFERROR(INDEX(DE_PARA!$B$6:$B$205,MATCH(B1578,DE_PARA!$A$6:$A$205,0)),"SEM DE-PARA"))</f>
        <v/>
      </c>
      <c r="E1578" s="23" t="str">
        <f aca="false">IF(A1578="","",DATE(YEAR(A1578),MONTH(A1578),1))</f>
        <v/>
      </c>
    </row>
    <row r="1579" customFormat="false" ht="15" hidden="false" customHeight="false" outlineLevel="0" collapsed="false">
      <c r="A1579" s="21"/>
      <c r="B1579" s="4"/>
      <c r="C1579" s="22"/>
      <c r="D1579" s="5" t="str">
        <f aca="false">IF(B1579="","",IFERROR(INDEX(DE_PARA!$B$6:$B$205,MATCH(B1579,DE_PARA!$A$6:$A$205,0)),"SEM DE-PARA"))</f>
        <v/>
      </c>
      <c r="E1579" s="23" t="str">
        <f aca="false">IF(A1579="","",DATE(YEAR(A1579),MONTH(A1579),1))</f>
        <v/>
      </c>
    </row>
    <row r="1580" customFormat="false" ht="15" hidden="false" customHeight="false" outlineLevel="0" collapsed="false">
      <c r="A1580" s="21"/>
      <c r="B1580" s="4"/>
      <c r="C1580" s="22"/>
      <c r="D1580" s="5" t="str">
        <f aca="false">IF(B1580="","",IFERROR(INDEX(DE_PARA!$B$6:$B$205,MATCH(B1580,DE_PARA!$A$6:$A$205,0)),"SEM DE-PARA"))</f>
        <v/>
      </c>
      <c r="E1580" s="23" t="str">
        <f aca="false">IF(A1580="","",DATE(YEAR(A1580),MONTH(A1580),1))</f>
        <v/>
      </c>
    </row>
    <row r="1581" customFormat="false" ht="15" hidden="false" customHeight="false" outlineLevel="0" collapsed="false">
      <c r="A1581" s="21"/>
      <c r="B1581" s="4"/>
      <c r="C1581" s="22"/>
      <c r="D1581" s="5" t="str">
        <f aca="false">IF(B1581="","",IFERROR(INDEX(DE_PARA!$B$6:$B$205,MATCH(B1581,DE_PARA!$A$6:$A$205,0)),"SEM DE-PARA"))</f>
        <v/>
      </c>
      <c r="E1581" s="23" t="str">
        <f aca="false">IF(A1581="","",DATE(YEAR(A1581),MONTH(A1581),1))</f>
        <v/>
      </c>
    </row>
    <row r="1582" customFormat="false" ht="15" hidden="false" customHeight="false" outlineLevel="0" collapsed="false">
      <c r="A1582" s="21"/>
      <c r="B1582" s="4"/>
      <c r="C1582" s="22"/>
      <c r="D1582" s="5" t="str">
        <f aca="false">IF(B1582="","",IFERROR(INDEX(DE_PARA!$B$6:$B$205,MATCH(B1582,DE_PARA!$A$6:$A$205,0)),"SEM DE-PARA"))</f>
        <v/>
      </c>
      <c r="E1582" s="23" t="str">
        <f aca="false">IF(A1582="","",DATE(YEAR(A1582),MONTH(A1582),1))</f>
        <v/>
      </c>
    </row>
    <row r="1583" customFormat="false" ht="15" hidden="false" customHeight="false" outlineLevel="0" collapsed="false">
      <c r="A1583" s="21"/>
      <c r="B1583" s="4"/>
      <c r="C1583" s="22"/>
      <c r="D1583" s="5" t="str">
        <f aca="false">IF(B1583="","",IFERROR(INDEX(DE_PARA!$B$6:$B$205,MATCH(B1583,DE_PARA!$A$6:$A$205,0)),"SEM DE-PARA"))</f>
        <v/>
      </c>
      <c r="E1583" s="23" t="str">
        <f aca="false">IF(A1583="","",DATE(YEAR(A1583),MONTH(A1583),1))</f>
        <v/>
      </c>
    </row>
    <row r="1584" customFormat="false" ht="15" hidden="false" customHeight="false" outlineLevel="0" collapsed="false">
      <c r="A1584" s="21"/>
      <c r="B1584" s="4"/>
      <c r="C1584" s="22"/>
      <c r="D1584" s="5" t="str">
        <f aca="false">IF(B1584="","",IFERROR(INDEX(DE_PARA!$B$6:$B$205,MATCH(B1584,DE_PARA!$A$6:$A$205,0)),"SEM DE-PARA"))</f>
        <v/>
      </c>
      <c r="E1584" s="23" t="str">
        <f aca="false">IF(A1584="","",DATE(YEAR(A1584),MONTH(A1584),1))</f>
        <v/>
      </c>
    </row>
    <row r="1585" customFormat="false" ht="15" hidden="false" customHeight="false" outlineLevel="0" collapsed="false">
      <c r="A1585" s="21"/>
      <c r="B1585" s="4"/>
      <c r="C1585" s="22"/>
      <c r="D1585" s="5" t="str">
        <f aca="false">IF(B1585="","",IFERROR(INDEX(DE_PARA!$B$6:$B$205,MATCH(B1585,DE_PARA!$A$6:$A$205,0)),"SEM DE-PARA"))</f>
        <v/>
      </c>
      <c r="E1585" s="23" t="str">
        <f aca="false">IF(A1585="","",DATE(YEAR(A1585),MONTH(A1585),1))</f>
        <v/>
      </c>
    </row>
    <row r="1586" customFormat="false" ht="15" hidden="false" customHeight="false" outlineLevel="0" collapsed="false">
      <c r="A1586" s="21"/>
      <c r="B1586" s="4"/>
      <c r="C1586" s="22"/>
      <c r="D1586" s="5" t="str">
        <f aca="false">IF(B1586="","",IFERROR(INDEX(DE_PARA!$B$6:$B$205,MATCH(B1586,DE_PARA!$A$6:$A$205,0)),"SEM DE-PARA"))</f>
        <v/>
      </c>
      <c r="E1586" s="23" t="str">
        <f aca="false">IF(A1586="","",DATE(YEAR(A1586),MONTH(A1586),1))</f>
        <v/>
      </c>
    </row>
    <row r="1587" customFormat="false" ht="15" hidden="false" customHeight="false" outlineLevel="0" collapsed="false">
      <c r="A1587" s="21"/>
      <c r="B1587" s="4"/>
      <c r="C1587" s="22"/>
      <c r="D1587" s="5" t="str">
        <f aca="false">IF(B1587="","",IFERROR(INDEX(DE_PARA!$B$6:$B$205,MATCH(B1587,DE_PARA!$A$6:$A$205,0)),"SEM DE-PARA"))</f>
        <v/>
      </c>
      <c r="E1587" s="23" t="str">
        <f aca="false">IF(A1587="","",DATE(YEAR(A1587),MONTH(A1587),1))</f>
        <v/>
      </c>
    </row>
    <row r="1588" customFormat="false" ht="15" hidden="false" customHeight="false" outlineLevel="0" collapsed="false">
      <c r="A1588" s="21"/>
      <c r="B1588" s="4"/>
      <c r="C1588" s="22"/>
      <c r="D1588" s="5" t="str">
        <f aca="false">IF(B1588="","",IFERROR(INDEX(DE_PARA!$B$6:$B$205,MATCH(B1588,DE_PARA!$A$6:$A$205,0)),"SEM DE-PARA"))</f>
        <v/>
      </c>
      <c r="E1588" s="23" t="str">
        <f aca="false">IF(A1588="","",DATE(YEAR(A1588),MONTH(A1588),1))</f>
        <v/>
      </c>
    </row>
    <row r="1589" customFormat="false" ht="15" hidden="false" customHeight="false" outlineLevel="0" collapsed="false">
      <c r="A1589" s="21"/>
      <c r="B1589" s="4"/>
      <c r="C1589" s="22"/>
      <c r="D1589" s="5" t="str">
        <f aca="false">IF(B1589="","",IFERROR(INDEX(DE_PARA!$B$6:$B$205,MATCH(B1589,DE_PARA!$A$6:$A$205,0)),"SEM DE-PARA"))</f>
        <v/>
      </c>
      <c r="E1589" s="23" t="str">
        <f aca="false">IF(A1589="","",DATE(YEAR(A1589),MONTH(A1589),1))</f>
        <v/>
      </c>
    </row>
    <row r="1590" customFormat="false" ht="15" hidden="false" customHeight="false" outlineLevel="0" collapsed="false">
      <c r="A1590" s="21"/>
      <c r="B1590" s="4"/>
      <c r="C1590" s="22"/>
      <c r="D1590" s="5" t="str">
        <f aca="false">IF(B1590="","",IFERROR(INDEX(DE_PARA!$B$6:$B$205,MATCH(B1590,DE_PARA!$A$6:$A$205,0)),"SEM DE-PARA"))</f>
        <v/>
      </c>
      <c r="E1590" s="23" t="str">
        <f aca="false">IF(A1590="","",DATE(YEAR(A1590),MONTH(A1590),1))</f>
        <v/>
      </c>
    </row>
    <row r="1591" customFormat="false" ht="15" hidden="false" customHeight="false" outlineLevel="0" collapsed="false">
      <c r="A1591" s="21"/>
      <c r="B1591" s="4"/>
      <c r="C1591" s="22"/>
      <c r="D1591" s="5" t="str">
        <f aca="false">IF(B1591="","",IFERROR(INDEX(DE_PARA!$B$6:$B$205,MATCH(B1591,DE_PARA!$A$6:$A$205,0)),"SEM DE-PARA"))</f>
        <v/>
      </c>
      <c r="E1591" s="23" t="str">
        <f aca="false">IF(A1591="","",DATE(YEAR(A1591),MONTH(A1591),1))</f>
        <v/>
      </c>
    </row>
    <row r="1592" customFormat="false" ht="15" hidden="false" customHeight="false" outlineLevel="0" collapsed="false">
      <c r="A1592" s="21"/>
      <c r="B1592" s="4"/>
      <c r="C1592" s="22"/>
      <c r="D1592" s="5" t="str">
        <f aca="false">IF(B1592="","",IFERROR(INDEX(DE_PARA!$B$6:$B$205,MATCH(B1592,DE_PARA!$A$6:$A$205,0)),"SEM DE-PARA"))</f>
        <v/>
      </c>
      <c r="E1592" s="23" t="str">
        <f aca="false">IF(A1592="","",DATE(YEAR(A1592),MONTH(A1592),1))</f>
        <v/>
      </c>
    </row>
    <row r="1593" customFormat="false" ht="15" hidden="false" customHeight="false" outlineLevel="0" collapsed="false">
      <c r="A1593" s="21"/>
      <c r="B1593" s="4"/>
      <c r="C1593" s="22"/>
      <c r="D1593" s="5" t="str">
        <f aca="false">IF(B1593="","",IFERROR(INDEX(DE_PARA!$B$6:$B$205,MATCH(B1593,DE_PARA!$A$6:$A$205,0)),"SEM DE-PARA"))</f>
        <v/>
      </c>
      <c r="E1593" s="23" t="str">
        <f aca="false">IF(A1593="","",DATE(YEAR(A1593),MONTH(A1593),1))</f>
        <v/>
      </c>
    </row>
    <row r="1594" customFormat="false" ht="15" hidden="false" customHeight="false" outlineLevel="0" collapsed="false">
      <c r="A1594" s="21"/>
      <c r="B1594" s="4"/>
      <c r="C1594" s="22"/>
      <c r="D1594" s="5" t="str">
        <f aca="false">IF(B1594="","",IFERROR(INDEX(DE_PARA!$B$6:$B$205,MATCH(B1594,DE_PARA!$A$6:$A$205,0)),"SEM DE-PARA"))</f>
        <v/>
      </c>
      <c r="E1594" s="23" t="str">
        <f aca="false">IF(A1594="","",DATE(YEAR(A1594),MONTH(A1594),1))</f>
        <v/>
      </c>
    </row>
    <row r="1595" customFormat="false" ht="15" hidden="false" customHeight="false" outlineLevel="0" collapsed="false">
      <c r="A1595" s="21"/>
      <c r="B1595" s="4"/>
      <c r="C1595" s="22"/>
      <c r="D1595" s="5" t="str">
        <f aca="false">IF(B1595="","",IFERROR(INDEX(DE_PARA!$B$6:$B$205,MATCH(B1595,DE_PARA!$A$6:$A$205,0)),"SEM DE-PARA"))</f>
        <v/>
      </c>
      <c r="E1595" s="23" t="str">
        <f aca="false">IF(A1595="","",DATE(YEAR(A1595),MONTH(A1595),1))</f>
        <v/>
      </c>
    </row>
    <row r="1596" customFormat="false" ht="15" hidden="false" customHeight="false" outlineLevel="0" collapsed="false">
      <c r="A1596" s="21"/>
      <c r="B1596" s="4"/>
      <c r="C1596" s="22"/>
      <c r="D1596" s="5" t="str">
        <f aca="false">IF(B1596="","",IFERROR(INDEX(DE_PARA!$B$6:$B$205,MATCH(B1596,DE_PARA!$A$6:$A$205,0)),"SEM DE-PARA"))</f>
        <v/>
      </c>
      <c r="E1596" s="23" t="str">
        <f aca="false">IF(A1596="","",DATE(YEAR(A1596),MONTH(A1596),1))</f>
        <v/>
      </c>
    </row>
    <row r="1597" customFormat="false" ht="15" hidden="false" customHeight="false" outlineLevel="0" collapsed="false">
      <c r="A1597" s="21"/>
      <c r="B1597" s="4"/>
      <c r="C1597" s="22"/>
      <c r="D1597" s="5" t="str">
        <f aca="false">IF(B1597="","",IFERROR(INDEX(DE_PARA!$B$6:$B$205,MATCH(B1597,DE_PARA!$A$6:$A$205,0)),"SEM DE-PARA"))</f>
        <v/>
      </c>
      <c r="E1597" s="23" t="str">
        <f aca="false">IF(A1597="","",DATE(YEAR(A1597),MONTH(A1597),1))</f>
        <v/>
      </c>
    </row>
    <row r="1598" customFormat="false" ht="15" hidden="false" customHeight="false" outlineLevel="0" collapsed="false">
      <c r="A1598" s="21"/>
      <c r="B1598" s="4"/>
      <c r="C1598" s="22"/>
      <c r="D1598" s="5" t="str">
        <f aca="false">IF(B1598="","",IFERROR(INDEX(DE_PARA!$B$6:$B$205,MATCH(B1598,DE_PARA!$A$6:$A$205,0)),"SEM DE-PARA"))</f>
        <v/>
      </c>
      <c r="E1598" s="23" t="str">
        <f aca="false">IF(A1598="","",DATE(YEAR(A1598),MONTH(A1598),1))</f>
        <v/>
      </c>
    </row>
    <row r="1599" customFormat="false" ht="15" hidden="false" customHeight="false" outlineLevel="0" collapsed="false">
      <c r="A1599" s="21"/>
      <c r="B1599" s="4"/>
      <c r="C1599" s="22"/>
      <c r="D1599" s="5" t="str">
        <f aca="false">IF(B1599="","",IFERROR(INDEX(DE_PARA!$B$6:$B$205,MATCH(B1599,DE_PARA!$A$6:$A$205,0)),"SEM DE-PARA"))</f>
        <v/>
      </c>
      <c r="E1599" s="23" t="str">
        <f aca="false">IF(A1599="","",DATE(YEAR(A1599),MONTH(A1599),1))</f>
        <v/>
      </c>
    </row>
    <row r="1600" customFormat="false" ht="15" hidden="false" customHeight="false" outlineLevel="0" collapsed="false">
      <c r="A1600" s="21"/>
      <c r="B1600" s="4"/>
      <c r="C1600" s="22"/>
      <c r="D1600" s="5" t="str">
        <f aca="false">IF(B1600="","",IFERROR(INDEX(DE_PARA!$B$6:$B$205,MATCH(B1600,DE_PARA!$A$6:$A$205,0)),"SEM DE-PARA"))</f>
        <v/>
      </c>
      <c r="E1600" s="23" t="str">
        <f aca="false">IF(A1600="","",DATE(YEAR(A1600),MONTH(A1600),1))</f>
        <v/>
      </c>
    </row>
    <row r="1601" customFormat="false" ht="15" hidden="false" customHeight="false" outlineLevel="0" collapsed="false">
      <c r="A1601" s="21"/>
      <c r="B1601" s="4"/>
      <c r="C1601" s="22"/>
      <c r="D1601" s="5" t="str">
        <f aca="false">IF(B1601="","",IFERROR(INDEX(DE_PARA!$B$6:$B$205,MATCH(B1601,DE_PARA!$A$6:$A$205,0)),"SEM DE-PARA"))</f>
        <v/>
      </c>
      <c r="E1601" s="23" t="str">
        <f aca="false">IF(A1601="","",DATE(YEAR(A1601),MONTH(A1601),1))</f>
        <v/>
      </c>
    </row>
    <row r="1602" customFormat="false" ht="15" hidden="false" customHeight="false" outlineLevel="0" collapsed="false">
      <c r="A1602" s="21"/>
      <c r="B1602" s="4"/>
      <c r="C1602" s="22"/>
      <c r="D1602" s="5" t="str">
        <f aca="false">IF(B1602="","",IFERROR(INDEX(DE_PARA!$B$6:$B$205,MATCH(B1602,DE_PARA!$A$6:$A$205,0)),"SEM DE-PARA"))</f>
        <v/>
      </c>
      <c r="E1602" s="23" t="str">
        <f aca="false">IF(A1602="","",DATE(YEAR(A1602),MONTH(A1602),1))</f>
        <v/>
      </c>
    </row>
    <row r="1603" customFormat="false" ht="15" hidden="false" customHeight="false" outlineLevel="0" collapsed="false">
      <c r="A1603" s="21"/>
      <c r="B1603" s="4"/>
      <c r="C1603" s="22"/>
      <c r="D1603" s="5" t="str">
        <f aca="false">IF(B1603="","",IFERROR(INDEX(DE_PARA!$B$6:$B$205,MATCH(B1603,DE_PARA!$A$6:$A$205,0)),"SEM DE-PARA"))</f>
        <v/>
      </c>
      <c r="E1603" s="23" t="str">
        <f aca="false">IF(A1603="","",DATE(YEAR(A1603),MONTH(A1603),1))</f>
        <v/>
      </c>
    </row>
    <row r="1604" customFormat="false" ht="15" hidden="false" customHeight="false" outlineLevel="0" collapsed="false">
      <c r="A1604" s="21"/>
      <c r="B1604" s="4"/>
      <c r="C1604" s="22"/>
      <c r="D1604" s="5" t="str">
        <f aca="false">IF(B1604="","",IFERROR(INDEX(DE_PARA!$B$6:$B$205,MATCH(B1604,DE_PARA!$A$6:$A$205,0)),"SEM DE-PARA"))</f>
        <v/>
      </c>
      <c r="E1604" s="23" t="str">
        <f aca="false">IF(A1604="","",DATE(YEAR(A1604),MONTH(A1604),1))</f>
        <v/>
      </c>
    </row>
    <row r="1605" customFormat="false" ht="15" hidden="false" customHeight="false" outlineLevel="0" collapsed="false">
      <c r="A1605" s="21"/>
      <c r="B1605" s="4"/>
      <c r="C1605" s="22"/>
      <c r="D1605" s="5" t="str">
        <f aca="false">IF(B1605="","",IFERROR(INDEX(DE_PARA!$B$6:$B$205,MATCH(B1605,DE_PARA!$A$6:$A$205,0)),"SEM DE-PARA"))</f>
        <v/>
      </c>
      <c r="E1605" s="23" t="str">
        <f aca="false">IF(A1605="","",DATE(YEAR(A1605),MONTH(A1605),1))</f>
        <v/>
      </c>
    </row>
    <row r="1606" customFormat="false" ht="15" hidden="false" customHeight="false" outlineLevel="0" collapsed="false">
      <c r="A1606" s="21"/>
      <c r="B1606" s="4"/>
      <c r="C1606" s="22"/>
      <c r="D1606" s="5" t="str">
        <f aca="false">IF(B1606="","",IFERROR(INDEX(DE_PARA!$B$6:$B$205,MATCH(B1606,DE_PARA!$A$6:$A$205,0)),"SEM DE-PARA"))</f>
        <v/>
      </c>
      <c r="E1606" s="23" t="str">
        <f aca="false">IF(A1606="","",DATE(YEAR(A1606),MONTH(A1606),1))</f>
        <v/>
      </c>
    </row>
    <row r="1607" customFormat="false" ht="15" hidden="false" customHeight="false" outlineLevel="0" collapsed="false">
      <c r="A1607" s="21"/>
      <c r="B1607" s="4"/>
      <c r="C1607" s="22"/>
      <c r="D1607" s="5" t="str">
        <f aca="false">IF(B1607="","",IFERROR(INDEX(DE_PARA!$B$6:$B$205,MATCH(B1607,DE_PARA!$A$6:$A$205,0)),"SEM DE-PARA"))</f>
        <v/>
      </c>
      <c r="E1607" s="23" t="str">
        <f aca="false">IF(A1607="","",DATE(YEAR(A1607),MONTH(A1607),1))</f>
        <v/>
      </c>
    </row>
    <row r="1608" customFormat="false" ht="15" hidden="false" customHeight="false" outlineLevel="0" collapsed="false">
      <c r="A1608" s="21"/>
      <c r="B1608" s="4"/>
      <c r="C1608" s="22"/>
      <c r="D1608" s="5" t="str">
        <f aca="false">IF(B1608="","",IFERROR(INDEX(DE_PARA!$B$6:$B$205,MATCH(B1608,DE_PARA!$A$6:$A$205,0)),"SEM DE-PARA"))</f>
        <v/>
      </c>
      <c r="E1608" s="23" t="str">
        <f aca="false">IF(A1608="","",DATE(YEAR(A1608),MONTH(A1608),1))</f>
        <v/>
      </c>
    </row>
    <row r="1609" customFormat="false" ht="15" hidden="false" customHeight="false" outlineLevel="0" collapsed="false">
      <c r="A1609" s="21"/>
      <c r="B1609" s="4"/>
      <c r="C1609" s="22"/>
      <c r="D1609" s="5" t="str">
        <f aca="false">IF(B1609="","",IFERROR(INDEX(DE_PARA!$B$6:$B$205,MATCH(B1609,DE_PARA!$A$6:$A$205,0)),"SEM DE-PARA"))</f>
        <v/>
      </c>
      <c r="E1609" s="23" t="str">
        <f aca="false">IF(A1609="","",DATE(YEAR(A1609),MONTH(A1609),1))</f>
        <v/>
      </c>
    </row>
    <row r="1610" customFormat="false" ht="15" hidden="false" customHeight="false" outlineLevel="0" collapsed="false">
      <c r="A1610" s="21"/>
      <c r="B1610" s="4"/>
      <c r="C1610" s="22"/>
      <c r="D1610" s="5" t="str">
        <f aca="false">IF(B1610="","",IFERROR(INDEX(DE_PARA!$B$6:$B$205,MATCH(B1610,DE_PARA!$A$6:$A$205,0)),"SEM DE-PARA"))</f>
        <v/>
      </c>
      <c r="E1610" s="23" t="str">
        <f aca="false">IF(A1610="","",DATE(YEAR(A1610),MONTH(A1610),1))</f>
        <v/>
      </c>
    </row>
    <row r="1611" customFormat="false" ht="15" hidden="false" customHeight="false" outlineLevel="0" collapsed="false">
      <c r="A1611" s="21"/>
      <c r="B1611" s="4"/>
      <c r="C1611" s="22"/>
      <c r="D1611" s="5" t="str">
        <f aca="false">IF(B1611="","",IFERROR(INDEX(DE_PARA!$B$6:$B$205,MATCH(B1611,DE_PARA!$A$6:$A$205,0)),"SEM DE-PARA"))</f>
        <v/>
      </c>
      <c r="E1611" s="23" t="str">
        <f aca="false">IF(A1611="","",DATE(YEAR(A1611),MONTH(A1611),1))</f>
        <v/>
      </c>
    </row>
    <row r="1612" customFormat="false" ht="15" hidden="false" customHeight="false" outlineLevel="0" collapsed="false">
      <c r="A1612" s="21"/>
      <c r="B1612" s="4"/>
      <c r="C1612" s="22"/>
      <c r="D1612" s="5" t="str">
        <f aca="false">IF(B1612="","",IFERROR(INDEX(DE_PARA!$B$6:$B$205,MATCH(B1612,DE_PARA!$A$6:$A$205,0)),"SEM DE-PARA"))</f>
        <v/>
      </c>
      <c r="E1612" s="23" t="str">
        <f aca="false">IF(A1612="","",DATE(YEAR(A1612),MONTH(A1612),1))</f>
        <v/>
      </c>
    </row>
    <row r="1613" customFormat="false" ht="15" hidden="false" customHeight="false" outlineLevel="0" collapsed="false">
      <c r="A1613" s="21"/>
      <c r="B1613" s="4"/>
      <c r="C1613" s="22"/>
      <c r="D1613" s="5" t="str">
        <f aca="false">IF(B1613="","",IFERROR(INDEX(DE_PARA!$B$6:$B$205,MATCH(B1613,DE_PARA!$A$6:$A$205,0)),"SEM DE-PARA"))</f>
        <v/>
      </c>
      <c r="E1613" s="23" t="str">
        <f aca="false">IF(A1613="","",DATE(YEAR(A1613),MONTH(A1613),1))</f>
        <v/>
      </c>
    </row>
    <row r="1614" customFormat="false" ht="15" hidden="false" customHeight="false" outlineLevel="0" collapsed="false">
      <c r="A1614" s="21"/>
      <c r="B1614" s="4"/>
      <c r="C1614" s="22"/>
      <c r="D1614" s="5" t="str">
        <f aca="false">IF(B1614="","",IFERROR(INDEX(DE_PARA!$B$6:$B$205,MATCH(B1614,DE_PARA!$A$6:$A$205,0)),"SEM DE-PARA"))</f>
        <v/>
      </c>
      <c r="E1614" s="23" t="str">
        <f aca="false">IF(A1614="","",DATE(YEAR(A1614),MONTH(A1614),1))</f>
        <v/>
      </c>
    </row>
    <row r="1615" customFormat="false" ht="15" hidden="false" customHeight="false" outlineLevel="0" collapsed="false">
      <c r="A1615" s="21"/>
      <c r="B1615" s="4"/>
      <c r="C1615" s="22"/>
      <c r="D1615" s="5" t="str">
        <f aca="false">IF(B1615="","",IFERROR(INDEX(DE_PARA!$B$6:$B$205,MATCH(B1615,DE_PARA!$A$6:$A$205,0)),"SEM DE-PARA"))</f>
        <v/>
      </c>
      <c r="E1615" s="23" t="str">
        <f aca="false">IF(A1615="","",DATE(YEAR(A1615),MONTH(A1615),1))</f>
        <v/>
      </c>
    </row>
    <row r="1616" customFormat="false" ht="15" hidden="false" customHeight="false" outlineLevel="0" collapsed="false">
      <c r="A1616" s="21"/>
      <c r="B1616" s="4"/>
      <c r="C1616" s="22"/>
      <c r="D1616" s="5" t="str">
        <f aca="false">IF(B1616="","",IFERROR(INDEX(DE_PARA!$B$6:$B$205,MATCH(B1616,DE_PARA!$A$6:$A$205,0)),"SEM DE-PARA"))</f>
        <v/>
      </c>
      <c r="E1616" s="23" t="str">
        <f aca="false">IF(A1616="","",DATE(YEAR(A1616),MONTH(A1616),1))</f>
        <v/>
      </c>
    </row>
    <row r="1617" customFormat="false" ht="15" hidden="false" customHeight="false" outlineLevel="0" collapsed="false">
      <c r="A1617" s="21"/>
      <c r="B1617" s="4"/>
      <c r="C1617" s="22"/>
      <c r="D1617" s="5" t="str">
        <f aca="false">IF(B1617="","",IFERROR(INDEX(DE_PARA!$B$6:$B$205,MATCH(B1617,DE_PARA!$A$6:$A$205,0)),"SEM DE-PARA"))</f>
        <v/>
      </c>
      <c r="E1617" s="23" t="str">
        <f aca="false">IF(A1617="","",DATE(YEAR(A1617),MONTH(A1617),1))</f>
        <v/>
      </c>
    </row>
    <row r="1618" customFormat="false" ht="15" hidden="false" customHeight="false" outlineLevel="0" collapsed="false">
      <c r="A1618" s="21"/>
      <c r="B1618" s="4"/>
      <c r="C1618" s="22"/>
      <c r="D1618" s="5" t="str">
        <f aca="false">IF(B1618="","",IFERROR(INDEX(DE_PARA!$B$6:$B$205,MATCH(B1618,DE_PARA!$A$6:$A$205,0)),"SEM DE-PARA"))</f>
        <v/>
      </c>
      <c r="E1618" s="23" t="str">
        <f aca="false">IF(A1618="","",DATE(YEAR(A1618),MONTH(A1618),1))</f>
        <v/>
      </c>
    </row>
    <row r="1619" customFormat="false" ht="15" hidden="false" customHeight="false" outlineLevel="0" collapsed="false">
      <c r="A1619" s="21"/>
      <c r="B1619" s="4"/>
      <c r="C1619" s="22"/>
      <c r="D1619" s="5" t="str">
        <f aca="false">IF(B1619="","",IFERROR(INDEX(DE_PARA!$B$6:$B$205,MATCH(B1619,DE_PARA!$A$6:$A$205,0)),"SEM DE-PARA"))</f>
        <v/>
      </c>
      <c r="E1619" s="23" t="str">
        <f aca="false">IF(A1619="","",DATE(YEAR(A1619),MONTH(A1619),1))</f>
        <v/>
      </c>
    </row>
    <row r="1620" customFormat="false" ht="15" hidden="false" customHeight="false" outlineLevel="0" collapsed="false">
      <c r="A1620" s="21"/>
      <c r="B1620" s="4"/>
      <c r="C1620" s="22"/>
      <c r="D1620" s="5" t="str">
        <f aca="false">IF(B1620="","",IFERROR(INDEX(DE_PARA!$B$6:$B$205,MATCH(B1620,DE_PARA!$A$6:$A$205,0)),"SEM DE-PARA"))</f>
        <v/>
      </c>
      <c r="E1620" s="23" t="str">
        <f aca="false">IF(A1620="","",DATE(YEAR(A1620),MONTH(A1620),1))</f>
        <v/>
      </c>
    </row>
    <row r="1621" customFormat="false" ht="15" hidden="false" customHeight="false" outlineLevel="0" collapsed="false">
      <c r="A1621" s="21"/>
      <c r="B1621" s="4"/>
      <c r="C1621" s="22"/>
      <c r="D1621" s="5" t="str">
        <f aca="false">IF(B1621="","",IFERROR(INDEX(DE_PARA!$B$6:$B$205,MATCH(B1621,DE_PARA!$A$6:$A$205,0)),"SEM DE-PARA"))</f>
        <v/>
      </c>
      <c r="E1621" s="23" t="str">
        <f aca="false">IF(A1621="","",DATE(YEAR(A1621),MONTH(A1621),1))</f>
        <v/>
      </c>
    </row>
    <row r="1622" customFormat="false" ht="15" hidden="false" customHeight="false" outlineLevel="0" collapsed="false">
      <c r="A1622" s="21"/>
      <c r="B1622" s="4"/>
      <c r="C1622" s="22"/>
      <c r="D1622" s="5" t="str">
        <f aca="false">IF(B1622="","",IFERROR(INDEX(DE_PARA!$B$6:$B$205,MATCH(B1622,DE_PARA!$A$6:$A$205,0)),"SEM DE-PARA"))</f>
        <v/>
      </c>
      <c r="E1622" s="23" t="str">
        <f aca="false">IF(A1622="","",DATE(YEAR(A1622),MONTH(A1622),1))</f>
        <v/>
      </c>
    </row>
    <row r="1623" customFormat="false" ht="15" hidden="false" customHeight="false" outlineLevel="0" collapsed="false">
      <c r="A1623" s="21"/>
      <c r="B1623" s="4"/>
      <c r="C1623" s="22"/>
      <c r="D1623" s="5" t="str">
        <f aca="false">IF(B1623="","",IFERROR(INDEX(DE_PARA!$B$6:$B$205,MATCH(B1623,DE_PARA!$A$6:$A$205,0)),"SEM DE-PARA"))</f>
        <v/>
      </c>
      <c r="E1623" s="23" t="str">
        <f aca="false">IF(A1623="","",DATE(YEAR(A1623),MONTH(A1623),1))</f>
        <v/>
      </c>
    </row>
    <row r="1624" customFormat="false" ht="15" hidden="false" customHeight="false" outlineLevel="0" collapsed="false">
      <c r="A1624" s="21"/>
      <c r="B1624" s="4"/>
      <c r="C1624" s="22"/>
      <c r="D1624" s="5" t="str">
        <f aca="false">IF(B1624="","",IFERROR(INDEX(DE_PARA!$B$6:$B$205,MATCH(B1624,DE_PARA!$A$6:$A$205,0)),"SEM DE-PARA"))</f>
        <v/>
      </c>
      <c r="E1624" s="23" t="str">
        <f aca="false">IF(A1624="","",DATE(YEAR(A1624),MONTH(A1624),1))</f>
        <v/>
      </c>
    </row>
    <row r="1625" customFormat="false" ht="15" hidden="false" customHeight="false" outlineLevel="0" collapsed="false">
      <c r="A1625" s="21"/>
      <c r="B1625" s="4"/>
      <c r="C1625" s="22"/>
      <c r="D1625" s="5" t="str">
        <f aca="false">IF(B1625="","",IFERROR(INDEX(DE_PARA!$B$6:$B$205,MATCH(B1625,DE_PARA!$A$6:$A$205,0)),"SEM DE-PARA"))</f>
        <v/>
      </c>
      <c r="E1625" s="23" t="str">
        <f aca="false">IF(A1625="","",DATE(YEAR(A1625),MONTH(A1625),1))</f>
        <v/>
      </c>
    </row>
    <row r="1626" customFormat="false" ht="15" hidden="false" customHeight="false" outlineLevel="0" collapsed="false">
      <c r="A1626" s="21"/>
      <c r="B1626" s="4"/>
      <c r="C1626" s="22"/>
      <c r="D1626" s="5" t="str">
        <f aca="false">IF(B1626="","",IFERROR(INDEX(DE_PARA!$B$6:$B$205,MATCH(B1626,DE_PARA!$A$6:$A$205,0)),"SEM DE-PARA"))</f>
        <v/>
      </c>
      <c r="E1626" s="23" t="str">
        <f aca="false">IF(A1626="","",DATE(YEAR(A1626),MONTH(A1626),1))</f>
        <v/>
      </c>
    </row>
    <row r="1627" customFormat="false" ht="15" hidden="false" customHeight="false" outlineLevel="0" collapsed="false">
      <c r="A1627" s="21"/>
      <c r="B1627" s="4"/>
      <c r="C1627" s="22"/>
      <c r="D1627" s="5" t="str">
        <f aca="false">IF(B1627="","",IFERROR(INDEX(DE_PARA!$B$6:$B$205,MATCH(B1627,DE_PARA!$A$6:$A$205,0)),"SEM DE-PARA"))</f>
        <v/>
      </c>
      <c r="E1627" s="23" t="str">
        <f aca="false">IF(A1627="","",DATE(YEAR(A1627),MONTH(A1627),1))</f>
        <v/>
      </c>
    </row>
    <row r="1628" customFormat="false" ht="15" hidden="false" customHeight="false" outlineLevel="0" collapsed="false">
      <c r="A1628" s="21"/>
      <c r="B1628" s="4"/>
      <c r="C1628" s="22"/>
      <c r="D1628" s="5" t="str">
        <f aca="false">IF(B1628="","",IFERROR(INDEX(DE_PARA!$B$6:$B$205,MATCH(B1628,DE_PARA!$A$6:$A$205,0)),"SEM DE-PARA"))</f>
        <v/>
      </c>
      <c r="E1628" s="23" t="str">
        <f aca="false">IF(A1628="","",DATE(YEAR(A1628),MONTH(A1628),1))</f>
        <v/>
      </c>
    </row>
    <row r="1629" customFormat="false" ht="15" hidden="false" customHeight="false" outlineLevel="0" collapsed="false">
      <c r="A1629" s="21"/>
      <c r="B1629" s="4"/>
      <c r="C1629" s="22"/>
      <c r="D1629" s="5" t="str">
        <f aca="false">IF(B1629="","",IFERROR(INDEX(DE_PARA!$B$6:$B$205,MATCH(B1629,DE_PARA!$A$6:$A$205,0)),"SEM DE-PARA"))</f>
        <v/>
      </c>
      <c r="E1629" s="23" t="str">
        <f aca="false">IF(A1629="","",DATE(YEAR(A1629),MONTH(A1629),1))</f>
        <v/>
      </c>
    </row>
    <row r="1630" customFormat="false" ht="15" hidden="false" customHeight="false" outlineLevel="0" collapsed="false">
      <c r="A1630" s="21"/>
      <c r="B1630" s="4"/>
      <c r="C1630" s="22"/>
      <c r="D1630" s="5" t="str">
        <f aca="false">IF(B1630="","",IFERROR(INDEX(DE_PARA!$B$6:$B$205,MATCH(B1630,DE_PARA!$A$6:$A$205,0)),"SEM DE-PARA"))</f>
        <v/>
      </c>
      <c r="E1630" s="23" t="str">
        <f aca="false">IF(A1630="","",DATE(YEAR(A1630),MONTH(A1630),1))</f>
        <v/>
      </c>
    </row>
    <row r="1631" customFormat="false" ht="15" hidden="false" customHeight="false" outlineLevel="0" collapsed="false">
      <c r="A1631" s="21"/>
      <c r="B1631" s="4"/>
      <c r="C1631" s="22"/>
      <c r="D1631" s="5" t="str">
        <f aca="false">IF(B1631="","",IFERROR(INDEX(DE_PARA!$B$6:$B$205,MATCH(B1631,DE_PARA!$A$6:$A$205,0)),"SEM DE-PARA"))</f>
        <v/>
      </c>
      <c r="E1631" s="23" t="str">
        <f aca="false">IF(A1631="","",DATE(YEAR(A1631),MONTH(A1631),1))</f>
        <v/>
      </c>
    </row>
    <row r="1632" customFormat="false" ht="15" hidden="false" customHeight="false" outlineLevel="0" collapsed="false">
      <c r="A1632" s="21"/>
      <c r="B1632" s="4"/>
      <c r="C1632" s="22"/>
      <c r="D1632" s="5" t="str">
        <f aca="false">IF(B1632="","",IFERROR(INDEX(DE_PARA!$B$6:$B$205,MATCH(B1632,DE_PARA!$A$6:$A$205,0)),"SEM DE-PARA"))</f>
        <v/>
      </c>
      <c r="E1632" s="23" t="str">
        <f aca="false">IF(A1632="","",DATE(YEAR(A1632),MONTH(A1632),1))</f>
        <v/>
      </c>
    </row>
    <row r="1633" customFormat="false" ht="15" hidden="false" customHeight="false" outlineLevel="0" collapsed="false">
      <c r="A1633" s="21"/>
      <c r="B1633" s="4"/>
      <c r="C1633" s="22"/>
      <c r="D1633" s="5" t="str">
        <f aca="false">IF(B1633="","",IFERROR(INDEX(DE_PARA!$B$6:$B$205,MATCH(B1633,DE_PARA!$A$6:$A$205,0)),"SEM DE-PARA"))</f>
        <v/>
      </c>
      <c r="E1633" s="23" t="str">
        <f aca="false">IF(A1633="","",DATE(YEAR(A1633),MONTH(A1633),1))</f>
        <v/>
      </c>
    </row>
    <row r="1634" customFormat="false" ht="15" hidden="false" customHeight="false" outlineLevel="0" collapsed="false">
      <c r="A1634" s="21"/>
      <c r="B1634" s="4"/>
      <c r="C1634" s="22"/>
      <c r="D1634" s="5" t="str">
        <f aca="false">IF(B1634="","",IFERROR(INDEX(DE_PARA!$B$6:$B$205,MATCH(B1634,DE_PARA!$A$6:$A$205,0)),"SEM DE-PARA"))</f>
        <v/>
      </c>
      <c r="E1634" s="23" t="str">
        <f aca="false">IF(A1634="","",DATE(YEAR(A1634),MONTH(A1634),1))</f>
        <v/>
      </c>
    </row>
    <row r="1635" customFormat="false" ht="15" hidden="false" customHeight="false" outlineLevel="0" collapsed="false">
      <c r="A1635" s="21"/>
      <c r="B1635" s="4"/>
      <c r="C1635" s="22"/>
      <c r="D1635" s="5" t="str">
        <f aca="false">IF(B1635="","",IFERROR(INDEX(DE_PARA!$B$6:$B$205,MATCH(B1635,DE_PARA!$A$6:$A$205,0)),"SEM DE-PARA"))</f>
        <v/>
      </c>
      <c r="E1635" s="23" t="str">
        <f aca="false">IF(A1635="","",DATE(YEAR(A1635),MONTH(A1635),1))</f>
        <v/>
      </c>
    </row>
    <row r="1636" customFormat="false" ht="15" hidden="false" customHeight="false" outlineLevel="0" collapsed="false">
      <c r="A1636" s="21"/>
      <c r="B1636" s="4"/>
      <c r="C1636" s="22"/>
      <c r="D1636" s="5" t="str">
        <f aca="false">IF(B1636="","",IFERROR(INDEX(DE_PARA!$B$6:$B$205,MATCH(B1636,DE_PARA!$A$6:$A$205,0)),"SEM DE-PARA"))</f>
        <v/>
      </c>
      <c r="E1636" s="23" t="str">
        <f aca="false">IF(A1636="","",DATE(YEAR(A1636),MONTH(A1636),1))</f>
        <v/>
      </c>
    </row>
    <row r="1637" customFormat="false" ht="15" hidden="false" customHeight="false" outlineLevel="0" collapsed="false">
      <c r="A1637" s="21"/>
      <c r="B1637" s="4"/>
      <c r="C1637" s="22"/>
      <c r="D1637" s="5" t="str">
        <f aca="false">IF(B1637="","",IFERROR(INDEX(DE_PARA!$B$6:$B$205,MATCH(B1637,DE_PARA!$A$6:$A$205,0)),"SEM DE-PARA"))</f>
        <v/>
      </c>
      <c r="E1637" s="23" t="str">
        <f aca="false">IF(A1637="","",DATE(YEAR(A1637),MONTH(A1637),1))</f>
        <v/>
      </c>
    </row>
    <row r="1638" customFormat="false" ht="15" hidden="false" customHeight="false" outlineLevel="0" collapsed="false">
      <c r="A1638" s="21"/>
      <c r="B1638" s="4"/>
      <c r="C1638" s="22"/>
      <c r="D1638" s="5" t="str">
        <f aca="false">IF(B1638="","",IFERROR(INDEX(DE_PARA!$B$6:$B$205,MATCH(B1638,DE_PARA!$A$6:$A$205,0)),"SEM DE-PARA"))</f>
        <v/>
      </c>
      <c r="E1638" s="23" t="str">
        <f aca="false">IF(A1638="","",DATE(YEAR(A1638),MONTH(A1638),1))</f>
        <v/>
      </c>
    </row>
    <row r="1639" customFormat="false" ht="15" hidden="false" customHeight="false" outlineLevel="0" collapsed="false">
      <c r="A1639" s="21"/>
      <c r="B1639" s="4"/>
      <c r="C1639" s="22"/>
      <c r="D1639" s="5" t="str">
        <f aca="false">IF(B1639="","",IFERROR(INDEX(DE_PARA!$B$6:$B$205,MATCH(B1639,DE_PARA!$A$6:$A$205,0)),"SEM DE-PARA"))</f>
        <v/>
      </c>
      <c r="E1639" s="23" t="str">
        <f aca="false">IF(A1639="","",DATE(YEAR(A1639),MONTH(A1639),1))</f>
        <v/>
      </c>
    </row>
    <row r="1640" customFormat="false" ht="15" hidden="false" customHeight="false" outlineLevel="0" collapsed="false">
      <c r="A1640" s="21"/>
      <c r="B1640" s="4"/>
      <c r="C1640" s="22"/>
      <c r="D1640" s="5" t="str">
        <f aca="false">IF(B1640="","",IFERROR(INDEX(DE_PARA!$B$6:$B$205,MATCH(B1640,DE_PARA!$A$6:$A$205,0)),"SEM DE-PARA"))</f>
        <v/>
      </c>
      <c r="E1640" s="23" t="str">
        <f aca="false">IF(A1640="","",DATE(YEAR(A1640),MONTH(A1640),1))</f>
        <v/>
      </c>
    </row>
    <row r="1641" customFormat="false" ht="15" hidden="false" customHeight="false" outlineLevel="0" collapsed="false">
      <c r="A1641" s="21"/>
      <c r="B1641" s="4"/>
      <c r="C1641" s="22"/>
      <c r="D1641" s="5" t="str">
        <f aca="false">IF(B1641="","",IFERROR(INDEX(DE_PARA!$B$6:$B$205,MATCH(B1641,DE_PARA!$A$6:$A$205,0)),"SEM DE-PARA"))</f>
        <v/>
      </c>
      <c r="E1641" s="23" t="str">
        <f aca="false">IF(A1641="","",DATE(YEAR(A1641),MONTH(A1641),1))</f>
        <v/>
      </c>
    </row>
    <row r="1642" customFormat="false" ht="15" hidden="false" customHeight="false" outlineLevel="0" collapsed="false">
      <c r="A1642" s="21"/>
      <c r="B1642" s="4"/>
      <c r="C1642" s="22"/>
      <c r="D1642" s="5" t="str">
        <f aca="false">IF(B1642="","",IFERROR(INDEX(DE_PARA!$B$6:$B$205,MATCH(B1642,DE_PARA!$A$6:$A$205,0)),"SEM DE-PARA"))</f>
        <v/>
      </c>
      <c r="E1642" s="23" t="str">
        <f aca="false">IF(A1642="","",DATE(YEAR(A1642),MONTH(A1642),1))</f>
        <v/>
      </c>
    </row>
    <row r="1643" customFormat="false" ht="15" hidden="false" customHeight="false" outlineLevel="0" collapsed="false">
      <c r="A1643" s="21"/>
      <c r="B1643" s="4"/>
      <c r="C1643" s="22"/>
      <c r="D1643" s="5" t="str">
        <f aca="false">IF(B1643="","",IFERROR(INDEX(DE_PARA!$B$6:$B$205,MATCH(B1643,DE_PARA!$A$6:$A$205,0)),"SEM DE-PARA"))</f>
        <v/>
      </c>
      <c r="E1643" s="23" t="str">
        <f aca="false">IF(A1643="","",DATE(YEAR(A1643),MONTH(A1643),1))</f>
        <v/>
      </c>
    </row>
    <row r="1644" customFormat="false" ht="15" hidden="false" customHeight="false" outlineLevel="0" collapsed="false">
      <c r="A1644" s="21"/>
      <c r="B1644" s="4"/>
      <c r="C1644" s="22"/>
      <c r="D1644" s="5" t="str">
        <f aca="false">IF(B1644="","",IFERROR(INDEX(DE_PARA!$B$6:$B$205,MATCH(B1644,DE_PARA!$A$6:$A$205,0)),"SEM DE-PARA"))</f>
        <v/>
      </c>
      <c r="E1644" s="23" t="str">
        <f aca="false">IF(A1644="","",DATE(YEAR(A1644),MONTH(A1644),1))</f>
        <v/>
      </c>
    </row>
    <row r="1645" customFormat="false" ht="15" hidden="false" customHeight="false" outlineLevel="0" collapsed="false">
      <c r="A1645" s="21"/>
      <c r="B1645" s="4"/>
      <c r="C1645" s="22"/>
      <c r="D1645" s="5" t="str">
        <f aca="false">IF(B1645="","",IFERROR(INDEX(DE_PARA!$B$6:$B$205,MATCH(B1645,DE_PARA!$A$6:$A$205,0)),"SEM DE-PARA"))</f>
        <v/>
      </c>
      <c r="E1645" s="23" t="str">
        <f aca="false">IF(A1645="","",DATE(YEAR(A1645),MONTH(A1645),1))</f>
        <v/>
      </c>
    </row>
    <row r="1646" customFormat="false" ht="15" hidden="false" customHeight="false" outlineLevel="0" collapsed="false">
      <c r="A1646" s="21"/>
      <c r="B1646" s="4"/>
      <c r="C1646" s="22"/>
      <c r="D1646" s="5" t="str">
        <f aca="false">IF(B1646="","",IFERROR(INDEX(DE_PARA!$B$6:$B$205,MATCH(B1646,DE_PARA!$A$6:$A$205,0)),"SEM DE-PARA"))</f>
        <v/>
      </c>
      <c r="E1646" s="23" t="str">
        <f aca="false">IF(A1646="","",DATE(YEAR(A1646),MONTH(A1646),1))</f>
        <v/>
      </c>
    </row>
    <row r="1647" customFormat="false" ht="15" hidden="false" customHeight="false" outlineLevel="0" collapsed="false">
      <c r="A1647" s="21"/>
      <c r="B1647" s="4"/>
      <c r="C1647" s="22"/>
      <c r="D1647" s="5" t="str">
        <f aca="false">IF(B1647="","",IFERROR(INDEX(DE_PARA!$B$6:$B$205,MATCH(B1647,DE_PARA!$A$6:$A$205,0)),"SEM DE-PARA"))</f>
        <v/>
      </c>
      <c r="E1647" s="23" t="str">
        <f aca="false">IF(A1647="","",DATE(YEAR(A1647),MONTH(A1647),1))</f>
        <v/>
      </c>
    </row>
    <row r="1648" customFormat="false" ht="15" hidden="false" customHeight="false" outlineLevel="0" collapsed="false">
      <c r="A1648" s="21"/>
      <c r="B1648" s="4"/>
      <c r="C1648" s="22"/>
      <c r="D1648" s="5" t="str">
        <f aca="false">IF(B1648="","",IFERROR(INDEX(DE_PARA!$B$6:$B$205,MATCH(B1648,DE_PARA!$A$6:$A$205,0)),"SEM DE-PARA"))</f>
        <v/>
      </c>
      <c r="E1648" s="23" t="str">
        <f aca="false">IF(A1648="","",DATE(YEAR(A1648),MONTH(A1648),1))</f>
        <v/>
      </c>
    </row>
    <row r="1649" customFormat="false" ht="15" hidden="false" customHeight="false" outlineLevel="0" collapsed="false">
      <c r="A1649" s="21"/>
      <c r="B1649" s="4"/>
      <c r="C1649" s="22"/>
      <c r="D1649" s="5" t="str">
        <f aca="false">IF(B1649="","",IFERROR(INDEX(DE_PARA!$B$6:$B$205,MATCH(B1649,DE_PARA!$A$6:$A$205,0)),"SEM DE-PARA"))</f>
        <v/>
      </c>
      <c r="E1649" s="23" t="str">
        <f aca="false">IF(A1649="","",DATE(YEAR(A1649),MONTH(A1649),1))</f>
        <v/>
      </c>
    </row>
    <row r="1650" customFormat="false" ht="15" hidden="false" customHeight="false" outlineLevel="0" collapsed="false">
      <c r="A1650" s="21"/>
      <c r="B1650" s="4"/>
      <c r="C1650" s="22"/>
      <c r="D1650" s="5" t="str">
        <f aca="false">IF(B1650="","",IFERROR(INDEX(DE_PARA!$B$6:$B$205,MATCH(B1650,DE_PARA!$A$6:$A$205,0)),"SEM DE-PARA"))</f>
        <v/>
      </c>
      <c r="E1650" s="23" t="str">
        <f aca="false">IF(A1650="","",DATE(YEAR(A1650),MONTH(A1650),1))</f>
        <v/>
      </c>
    </row>
    <row r="1651" customFormat="false" ht="15" hidden="false" customHeight="false" outlineLevel="0" collapsed="false">
      <c r="A1651" s="21"/>
      <c r="B1651" s="4"/>
      <c r="C1651" s="22"/>
      <c r="D1651" s="5" t="str">
        <f aca="false">IF(B1651="","",IFERROR(INDEX(DE_PARA!$B$6:$B$205,MATCH(B1651,DE_PARA!$A$6:$A$205,0)),"SEM DE-PARA"))</f>
        <v/>
      </c>
      <c r="E1651" s="23" t="str">
        <f aca="false">IF(A1651="","",DATE(YEAR(A1651),MONTH(A1651),1))</f>
        <v/>
      </c>
    </row>
    <row r="1652" customFormat="false" ht="15" hidden="false" customHeight="false" outlineLevel="0" collapsed="false">
      <c r="A1652" s="21"/>
      <c r="B1652" s="4"/>
      <c r="C1652" s="22"/>
      <c r="D1652" s="5" t="str">
        <f aca="false">IF(B1652="","",IFERROR(INDEX(DE_PARA!$B$6:$B$205,MATCH(B1652,DE_PARA!$A$6:$A$205,0)),"SEM DE-PARA"))</f>
        <v/>
      </c>
      <c r="E1652" s="23" t="str">
        <f aca="false">IF(A1652="","",DATE(YEAR(A1652),MONTH(A1652),1))</f>
        <v/>
      </c>
    </row>
    <row r="1653" customFormat="false" ht="15" hidden="false" customHeight="false" outlineLevel="0" collapsed="false">
      <c r="A1653" s="21"/>
      <c r="B1653" s="4"/>
      <c r="C1653" s="22"/>
      <c r="D1653" s="5" t="str">
        <f aca="false">IF(B1653="","",IFERROR(INDEX(DE_PARA!$B$6:$B$205,MATCH(B1653,DE_PARA!$A$6:$A$205,0)),"SEM DE-PARA"))</f>
        <v/>
      </c>
      <c r="E1653" s="23" t="str">
        <f aca="false">IF(A1653="","",DATE(YEAR(A1653),MONTH(A1653),1))</f>
        <v/>
      </c>
    </row>
    <row r="1654" customFormat="false" ht="15" hidden="false" customHeight="false" outlineLevel="0" collapsed="false">
      <c r="A1654" s="21"/>
      <c r="B1654" s="4"/>
      <c r="C1654" s="22"/>
      <c r="D1654" s="5" t="str">
        <f aca="false">IF(B1654="","",IFERROR(INDEX(DE_PARA!$B$6:$B$205,MATCH(B1654,DE_PARA!$A$6:$A$205,0)),"SEM DE-PARA"))</f>
        <v/>
      </c>
      <c r="E1654" s="23" t="str">
        <f aca="false">IF(A1654="","",DATE(YEAR(A1654),MONTH(A1654),1))</f>
        <v/>
      </c>
    </row>
    <row r="1655" customFormat="false" ht="15" hidden="false" customHeight="false" outlineLevel="0" collapsed="false">
      <c r="A1655" s="21"/>
      <c r="B1655" s="4"/>
      <c r="C1655" s="22"/>
      <c r="D1655" s="5" t="str">
        <f aca="false">IF(B1655="","",IFERROR(INDEX(DE_PARA!$B$6:$B$205,MATCH(B1655,DE_PARA!$A$6:$A$205,0)),"SEM DE-PARA"))</f>
        <v/>
      </c>
      <c r="E1655" s="23" t="str">
        <f aca="false">IF(A1655="","",DATE(YEAR(A1655),MONTH(A1655),1))</f>
        <v/>
      </c>
    </row>
    <row r="1656" customFormat="false" ht="15" hidden="false" customHeight="false" outlineLevel="0" collapsed="false">
      <c r="A1656" s="21"/>
      <c r="B1656" s="4"/>
      <c r="C1656" s="22"/>
      <c r="D1656" s="5" t="str">
        <f aca="false">IF(B1656="","",IFERROR(INDEX(DE_PARA!$B$6:$B$205,MATCH(B1656,DE_PARA!$A$6:$A$205,0)),"SEM DE-PARA"))</f>
        <v/>
      </c>
      <c r="E1656" s="23" t="str">
        <f aca="false">IF(A1656="","",DATE(YEAR(A1656),MONTH(A1656),1))</f>
        <v/>
      </c>
    </row>
    <row r="1657" customFormat="false" ht="15" hidden="false" customHeight="false" outlineLevel="0" collapsed="false">
      <c r="A1657" s="21"/>
      <c r="B1657" s="4"/>
      <c r="C1657" s="22"/>
      <c r="D1657" s="5" t="str">
        <f aca="false">IF(B1657="","",IFERROR(INDEX(DE_PARA!$B$6:$B$205,MATCH(B1657,DE_PARA!$A$6:$A$205,0)),"SEM DE-PARA"))</f>
        <v/>
      </c>
      <c r="E1657" s="23" t="str">
        <f aca="false">IF(A1657="","",DATE(YEAR(A1657),MONTH(A1657),1))</f>
        <v/>
      </c>
    </row>
    <row r="1658" customFormat="false" ht="15" hidden="false" customHeight="false" outlineLevel="0" collapsed="false">
      <c r="A1658" s="21"/>
      <c r="B1658" s="4"/>
      <c r="C1658" s="22"/>
      <c r="D1658" s="5" t="str">
        <f aca="false">IF(B1658="","",IFERROR(INDEX(DE_PARA!$B$6:$B$205,MATCH(B1658,DE_PARA!$A$6:$A$205,0)),"SEM DE-PARA"))</f>
        <v/>
      </c>
      <c r="E1658" s="23" t="str">
        <f aca="false">IF(A1658="","",DATE(YEAR(A1658),MONTH(A1658),1))</f>
        <v/>
      </c>
    </row>
    <row r="1659" customFormat="false" ht="15" hidden="false" customHeight="false" outlineLevel="0" collapsed="false">
      <c r="A1659" s="21"/>
      <c r="B1659" s="4"/>
      <c r="C1659" s="22"/>
      <c r="D1659" s="5" t="str">
        <f aca="false">IF(B1659="","",IFERROR(INDEX(DE_PARA!$B$6:$B$205,MATCH(B1659,DE_PARA!$A$6:$A$205,0)),"SEM DE-PARA"))</f>
        <v/>
      </c>
      <c r="E1659" s="23" t="str">
        <f aca="false">IF(A1659="","",DATE(YEAR(A1659),MONTH(A1659),1))</f>
        <v/>
      </c>
    </row>
    <row r="1660" customFormat="false" ht="15" hidden="false" customHeight="false" outlineLevel="0" collapsed="false">
      <c r="A1660" s="21"/>
      <c r="B1660" s="4"/>
      <c r="C1660" s="22"/>
      <c r="D1660" s="5" t="str">
        <f aca="false">IF(B1660="","",IFERROR(INDEX(DE_PARA!$B$6:$B$205,MATCH(B1660,DE_PARA!$A$6:$A$205,0)),"SEM DE-PARA"))</f>
        <v/>
      </c>
      <c r="E1660" s="23" t="str">
        <f aca="false">IF(A1660="","",DATE(YEAR(A1660),MONTH(A1660),1))</f>
        <v/>
      </c>
    </row>
    <row r="1661" customFormat="false" ht="15" hidden="false" customHeight="false" outlineLevel="0" collapsed="false">
      <c r="A1661" s="21"/>
      <c r="B1661" s="4"/>
      <c r="C1661" s="22"/>
      <c r="D1661" s="5" t="str">
        <f aca="false">IF(B1661="","",IFERROR(INDEX(DE_PARA!$B$6:$B$205,MATCH(B1661,DE_PARA!$A$6:$A$205,0)),"SEM DE-PARA"))</f>
        <v/>
      </c>
      <c r="E1661" s="23" t="str">
        <f aca="false">IF(A1661="","",DATE(YEAR(A1661),MONTH(A1661),1))</f>
        <v/>
      </c>
    </row>
    <row r="1662" customFormat="false" ht="15" hidden="false" customHeight="false" outlineLevel="0" collapsed="false">
      <c r="A1662" s="21"/>
      <c r="B1662" s="4"/>
      <c r="C1662" s="22"/>
      <c r="D1662" s="5" t="str">
        <f aca="false">IF(B1662="","",IFERROR(INDEX(DE_PARA!$B$6:$B$205,MATCH(B1662,DE_PARA!$A$6:$A$205,0)),"SEM DE-PARA"))</f>
        <v/>
      </c>
      <c r="E1662" s="23" t="str">
        <f aca="false">IF(A1662="","",DATE(YEAR(A1662),MONTH(A1662),1))</f>
        <v/>
      </c>
    </row>
    <row r="1663" customFormat="false" ht="15" hidden="false" customHeight="false" outlineLevel="0" collapsed="false">
      <c r="A1663" s="21"/>
      <c r="B1663" s="4"/>
      <c r="C1663" s="22"/>
      <c r="D1663" s="5" t="str">
        <f aca="false">IF(B1663="","",IFERROR(INDEX(DE_PARA!$B$6:$B$205,MATCH(B1663,DE_PARA!$A$6:$A$205,0)),"SEM DE-PARA"))</f>
        <v/>
      </c>
      <c r="E1663" s="23" t="str">
        <f aca="false">IF(A1663="","",DATE(YEAR(A1663),MONTH(A1663),1))</f>
        <v/>
      </c>
    </row>
    <row r="1664" customFormat="false" ht="15" hidden="false" customHeight="false" outlineLevel="0" collapsed="false">
      <c r="A1664" s="21"/>
      <c r="B1664" s="4"/>
      <c r="C1664" s="22"/>
      <c r="D1664" s="5" t="str">
        <f aca="false">IF(B1664="","",IFERROR(INDEX(DE_PARA!$B$6:$B$205,MATCH(B1664,DE_PARA!$A$6:$A$205,0)),"SEM DE-PARA"))</f>
        <v/>
      </c>
      <c r="E1664" s="23" t="str">
        <f aca="false">IF(A1664="","",DATE(YEAR(A1664),MONTH(A1664),1))</f>
        <v/>
      </c>
    </row>
    <row r="1665" customFormat="false" ht="15" hidden="false" customHeight="false" outlineLevel="0" collapsed="false">
      <c r="A1665" s="21"/>
      <c r="B1665" s="4"/>
      <c r="C1665" s="22"/>
      <c r="D1665" s="5" t="str">
        <f aca="false">IF(B1665="","",IFERROR(INDEX(DE_PARA!$B$6:$B$205,MATCH(B1665,DE_PARA!$A$6:$A$205,0)),"SEM DE-PARA"))</f>
        <v/>
      </c>
      <c r="E1665" s="23" t="str">
        <f aca="false">IF(A1665="","",DATE(YEAR(A1665),MONTH(A1665),1))</f>
        <v/>
      </c>
    </row>
    <row r="1666" customFormat="false" ht="15" hidden="false" customHeight="false" outlineLevel="0" collapsed="false">
      <c r="A1666" s="21"/>
      <c r="B1666" s="4"/>
      <c r="C1666" s="22"/>
      <c r="D1666" s="5" t="str">
        <f aca="false">IF(B1666="","",IFERROR(INDEX(DE_PARA!$B$6:$B$205,MATCH(B1666,DE_PARA!$A$6:$A$205,0)),"SEM DE-PARA"))</f>
        <v/>
      </c>
      <c r="E1666" s="23" t="str">
        <f aca="false">IF(A1666="","",DATE(YEAR(A1666),MONTH(A1666),1))</f>
        <v/>
      </c>
    </row>
    <row r="1667" customFormat="false" ht="15" hidden="false" customHeight="false" outlineLevel="0" collapsed="false">
      <c r="A1667" s="21"/>
      <c r="B1667" s="4"/>
      <c r="C1667" s="22"/>
      <c r="D1667" s="5" t="str">
        <f aca="false">IF(B1667="","",IFERROR(INDEX(DE_PARA!$B$6:$B$205,MATCH(B1667,DE_PARA!$A$6:$A$205,0)),"SEM DE-PARA"))</f>
        <v/>
      </c>
      <c r="E1667" s="23" t="str">
        <f aca="false">IF(A1667="","",DATE(YEAR(A1667),MONTH(A1667),1))</f>
        <v/>
      </c>
    </row>
    <row r="1668" customFormat="false" ht="15" hidden="false" customHeight="false" outlineLevel="0" collapsed="false">
      <c r="A1668" s="21"/>
      <c r="B1668" s="4"/>
      <c r="C1668" s="22"/>
      <c r="D1668" s="5" t="str">
        <f aca="false">IF(B1668="","",IFERROR(INDEX(DE_PARA!$B$6:$B$205,MATCH(B1668,DE_PARA!$A$6:$A$205,0)),"SEM DE-PARA"))</f>
        <v/>
      </c>
      <c r="E1668" s="23" t="str">
        <f aca="false">IF(A1668="","",DATE(YEAR(A1668),MONTH(A1668),1))</f>
        <v/>
      </c>
    </row>
    <row r="1669" customFormat="false" ht="15" hidden="false" customHeight="false" outlineLevel="0" collapsed="false">
      <c r="A1669" s="21"/>
      <c r="B1669" s="4"/>
      <c r="C1669" s="22"/>
      <c r="D1669" s="5" t="str">
        <f aca="false">IF(B1669="","",IFERROR(INDEX(DE_PARA!$B$6:$B$205,MATCH(B1669,DE_PARA!$A$6:$A$205,0)),"SEM DE-PARA"))</f>
        <v/>
      </c>
      <c r="E1669" s="23" t="str">
        <f aca="false">IF(A1669="","",DATE(YEAR(A1669),MONTH(A1669),1))</f>
        <v/>
      </c>
    </row>
    <row r="1670" customFormat="false" ht="15" hidden="false" customHeight="false" outlineLevel="0" collapsed="false">
      <c r="A1670" s="21"/>
      <c r="B1670" s="4"/>
      <c r="C1670" s="22"/>
      <c r="D1670" s="5" t="str">
        <f aca="false">IF(B1670="","",IFERROR(INDEX(DE_PARA!$B$6:$B$205,MATCH(B1670,DE_PARA!$A$6:$A$205,0)),"SEM DE-PARA"))</f>
        <v/>
      </c>
      <c r="E1670" s="23" t="str">
        <f aca="false">IF(A1670="","",DATE(YEAR(A1670),MONTH(A1670),1))</f>
        <v/>
      </c>
    </row>
    <row r="1671" customFormat="false" ht="15" hidden="false" customHeight="false" outlineLevel="0" collapsed="false">
      <c r="A1671" s="21"/>
      <c r="B1671" s="4"/>
      <c r="C1671" s="22"/>
      <c r="D1671" s="5" t="str">
        <f aca="false">IF(B1671="","",IFERROR(INDEX(DE_PARA!$B$6:$B$205,MATCH(B1671,DE_PARA!$A$6:$A$205,0)),"SEM DE-PARA"))</f>
        <v/>
      </c>
      <c r="E1671" s="23" t="str">
        <f aca="false">IF(A1671="","",DATE(YEAR(A1671),MONTH(A1671),1))</f>
        <v/>
      </c>
    </row>
    <row r="1672" customFormat="false" ht="15" hidden="false" customHeight="false" outlineLevel="0" collapsed="false">
      <c r="A1672" s="21"/>
      <c r="B1672" s="4"/>
      <c r="C1672" s="22"/>
      <c r="D1672" s="5" t="str">
        <f aca="false">IF(B1672="","",IFERROR(INDEX(DE_PARA!$B$6:$B$205,MATCH(B1672,DE_PARA!$A$6:$A$205,0)),"SEM DE-PARA"))</f>
        <v/>
      </c>
      <c r="E1672" s="23" t="str">
        <f aca="false">IF(A1672="","",DATE(YEAR(A1672),MONTH(A1672),1))</f>
        <v/>
      </c>
    </row>
    <row r="1673" customFormat="false" ht="15" hidden="false" customHeight="false" outlineLevel="0" collapsed="false">
      <c r="A1673" s="21"/>
      <c r="B1673" s="4"/>
      <c r="C1673" s="22"/>
      <c r="D1673" s="5" t="str">
        <f aca="false">IF(B1673="","",IFERROR(INDEX(DE_PARA!$B$6:$B$205,MATCH(B1673,DE_PARA!$A$6:$A$205,0)),"SEM DE-PARA"))</f>
        <v/>
      </c>
      <c r="E1673" s="23" t="str">
        <f aca="false">IF(A1673="","",DATE(YEAR(A1673),MONTH(A1673),1))</f>
        <v/>
      </c>
    </row>
    <row r="1674" customFormat="false" ht="15" hidden="false" customHeight="false" outlineLevel="0" collapsed="false">
      <c r="A1674" s="21"/>
      <c r="B1674" s="4"/>
      <c r="C1674" s="22"/>
      <c r="D1674" s="5" t="str">
        <f aca="false">IF(B1674="","",IFERROR(INDEX(DE_PARA!$B$6:$B$205,MATCH(B1674,DE_PARA!$A$6:$A$205,0)),"SEM DE-PARA"))</f>
        <v/>
      </c>
      <c r="E1674" s="23" t="str">
        <f aca="false">IF(A1674="","",DATE(YEAR(A1674),MONTH(A1674),1))</f>
        <v/>
      </c>
    </row>
    <row r="1675" customFormat="false" ht="15" hidden="false" customHeight="false" outlineLevel="0" collapsed="false">
      <c r="A1675" s="21"/>
      <c r="B1675" s="4"/>
      <c r="C1675" s="22"/>
      <c r="D1675" s="5" t="str">
        <f aca="false">IF(B1675="","",IFERROR(INDEX(DE_PARA!$B$6:$B$205,MATCH(B1675,DE_PARA!$A$6:$A$205,0)),"SEM DE-PARA"))</f>
        <v/>
      </c>
      <c r="E1675" s="23" t="str">
        <f aca="false">IF(A1675="","",DATE(YEAR(A1675),MONTH(A1675),1))</f>
        <v/>
      </c>
    </row>
    <row r="1676" customFormat="false" ht="15" hidden="false" customHeight="false" outlineLevel="0" collapsed="false">
      <c r="A1676" s="21"/>
      <c r="B1676" s="4"/>
      <c r="C1676" s="22"/>
      <c r="D1676" s="5" t="str">
        <f aca="false">IF(B1676="","",IFERROR(INDEX(DE_PARA!$B$6:$B$205,MATCH(B1676,DE_PARA!$A$6:$A$205,0)),"SEM DE-PARA"))</f>
        <v/>
      </c>
      <c r="E1676" s="23" t="str">
        <f aca="false">IF(A1676="","",DATE(YEAR(A1676),MONTH(A1676),1))</f>
        <v/>
      </c>
    </row>
    <row r="1677" customFormat="false" ht="15" hidden="false" customHeight="false" outlineLevel="0" collapsed="false">
      <c r="A1677" s="21"/>
      <c r="B1677" s="4"/>
      <c r="C1677" s="22"/>
      <c r="D1677" s="5" t="str">
        <f aca="false">IF(B1677="","",IFERROR(INDEX(DE_PARA!$B$6:$B$205,MATCH(B1677,DE_PARA!$A$6:$A$205,0)),"SEM DE-PARA"))</f>
        <v/>
      </c>
      <c r="E1677" s="23" t="str">
        <f aca="false">IF(A1677="","",DATE(YEAR(A1677),MONTH(A1677),1))</f>
        <v/>
      </c>
    </row>
    <row r="1678" customFormat="false" ht="15" hidden="false" customHeight="false" outlineLevel="0" collapsed="false">
      <c r="A1678" s="21"/>
      <c r="B1678" s="4"/>
      <c r="C1678" s="22"/>
      <c r="D1678" s="5" t="str">
        <f aca="false">IF(B1678="","",IFERROR(INDEX(DE_PARA!$B$6:$B$205,MATCH(B1678,DE_PARA!$A$6:$A$205,0)),"SEM DE-PARA"))</f>
        <v/>
      </c>
      <c r="E1678" s="23" t="str">
        <f aca="false">IF(A1678="","",DATE(YEAR(A1678),MONTH(A1678),1))</f>
        <v/>
      </c>
    </row>
    <row r="1679" customFormat="false" ht="15" hidden="false" customHeight="false" outlineLevel="0" collapsed="false">
      <c r="A1679" s="21"/>
      <c r="B1679" s="4"/>
      <c r="C1679" s="22"/>
      <c r="D1679" s="5" t="str">
        <f aca="false">IF(B1679="","",IFERROR(INDEX(DE_PARA!$B$6:$B$205,MATCH(B1679,DE_PARA!$A$6:$A$205,0)),"SEM DE-PARA"))</f>
        <v/>
      </c>
      <c r="E1679" s="23" t="str">
        <f aca="false">IF(A1679="","",DATE(YEAR(A1679),MONTH(A1679),1))</f>
        <v/>
      </c>
    </row>
    <row r="1680" customFormat="false" ht="15" hidden="false" customHeight="false" outlineLevel="0" collapsed="false">
      <c r="A1680" s="21"/>
      <c r="B1680" s="4"/>
      <c r="C1680" s="22"/>
      <c r="D1680" s="5" t="str">
        <f aca="false">IF(B1680="","",IFERROR(INDEX(DE_PARA!$B$6:$B$205,MATCH(B1680,DE_PARA!$A$6:$A$205,0)),"SEM DE-PARA"))</f>
        <v/>
      </c>
      <c r="E1680" s="23" t="str">
        <f aca="false">IF(A1680="","",DATE(YEAR(A1680),MONTH(A1680),1))</f>
        <v/>
      </c>
    </row>
    <row r="1681" customFormat="false" ht="15" hidden="false" customHeight="false" outlineLevel="0" collapsed="false">
      <c r="A1681" s="21"/>
      <c r="B1681" s="4"/>
      <c r="C1681" s="22"/>
      <c r="D1681" s="5" t="str">
        <f aca="false">IF(B1681="","",IFERROR(INDEX(DE_PARA!$B$6:$B$205,MATCH(B1681,DE_PARA!$A$6:$A$205,0)),"SEM DE-PARA"))</f>
        <v/>
      </c>
      <c r="E1681" s="23" t="str">
        <f aca="false">IF(A1681="","",DATE(YEAR(A1681),MONTH(A1681),1))</f>
        <v/>
      </c>
    </row>
    <row r="1682" customFormat="false" ht="15" hidden="false" customHeight="false" outlineLevel="0" collapsed="false">
      <c r="A1682" s="21"/>
      <c r="B1682" s="4"/>
      <c r="C1682" s="22"/>
      <c r="D1682" s="5" t="str">
        <f aca="false">IF(B1682="","",IFERROR(INDEX(DE_PARA!$B$6:$B$205,MATCH(B1682,DE_PARA!$A$6:$A$205,0)),"SEM DE-PARA"))</f>
        <v/>
      </c>
      <c r="E1682" s="23" t="str">
        <f aca="false">IF(A1682="","",DATE(YEAR(A1682),MONTH(A1682),1))</f>
        <v/>
      </c>
    </row>
    <row r="1683" customFormat="false" ht="15" hidden="false" customHeight="false" outlineLevel="0" collapsed="false">
      <c r="A1683" s="21"/>
      <c r="B1683" s="4"/>
      <c r="C1683" s="22"/>
      <c r="D1683" s="5" t="str">
        <f aca="false">IF(B1683="","",IFERROR(INDEX(DE_PARA!$B$6:$B$205,MATCH(B1683,DE_PARA!$A$6:$A$205,0)),"SEM DE-PARA"))</f>
        <v/>
      </c>
      <c r="E1683" s="23" t="str">
        <f aca="false">IF(A1683="","",DATE(YEAR(A1683),MONTH(A1683),1))</f>
        <v/>
      </c>
    </row>
    <row r="1684" customFormat="false" ht="15" hidden="false" customHeight="false" outlineLevel="0" collapsed="false">
      <c r="A1684" s="21"/>
      <c r="B1684" s="4"/>
      <c r="C1684" s="22"/>
      <c r="D1684" s="5" t="str">
        <f aca="false">IF(B1684="","",IFERROR(INDEX(DE_PARA!$B$6:$B$205,MATCH(B1684,DE_PARA!$A$6:$A$205,0)),"SEM DE-PARA"))</f>
        <v/>
      </c>
      <c r="E1684" s="23" t="str">
        <f aca="false">IF(A1684="","",DATE(YEAR(A1684),MONTH(A1684),1))</f>
        <v/>
      </c>
    </row>
    <row r="1685" customFormat="false" ht="15" hidden="false" customHeight="false" outlineLevel="0" collapsed="false">
      <c r="A1685" s="21"/>
      <c r="B1685" s="4"/>
      <c r="C1685" s="22"/>
      <c r="D1685" s="5" t="str">
        <f aca="false">IF(B1685="","",IFERROR(INDEX(DE_PARA!$B$6:$B$205,MATCH(B1685,DE_PARA!$A$6:$A$205,0)),"SEM DE-PARA"))</f>
        <v/>
      </c>
      <c r="E1685" s="23" t="str">
        <f aca="false">IF(A1685="","",DATE(YEAR(A1685),MONTH(A1685),1))</f>
        <v/>
      </c>
    </row>
    <row r="1686" customFormat="false" ht="15" hidden="false" customHeight="false" outlineLevel="0" collapsed="false">
      <c r="A1686" s="21"/>
      <c r="B1686" s="4"/>
      <c r="C1686" s="22"/>
      <c r="D1686" s="5" t="str">
        <f aca="false">IF(B1686="","",IFERROR(INDEX(DE_PARA!$B$6:$B$205,MATCH(B1686,DE_PARA!$A$6:$A$205,0)),"SEM DE-PARA"))</f>
        <v/>
      </c>
      <c r="E1686" s="23" t="str">
        <f aca="false">IF(A1686="","",DATE(YEAR(A1686),MONTH(A1686),1))</f>
        <v/>
      </c>
    </row>
    <row r="1687" customFormat="false" ht="15" hidden="false" customHeight="false" outlineLevel="0" collapsed="false">
      <c r="A1687" s="21"/>
      <c r="B1687" s="4"/>
      <c r="C1687" s="22"/>
      <c r="D1687" s="5" t="str">
        <f aca="false">IF(B1687="","",IFERROR(INDEX(DE_PARA!$B$6:$B$205,MATCH(B1687,DE_PARA!$A$6:$A$205,0)),"SEM DE-PARA"))</f>
        <v/>
      </c>
      <c r="E1687" s="23" t="str">
        <f aca="false">IF(A1687="","",DATE(YEAR(A1687),MONTH(A1687),1))</f>
        <v/>
      </c>
    </row>
    <row r="1688" customFormat="false" ht="15" hidden="false" customHeight="false" outlineLevel="0" collapsed="false">
      <c r="A1688" s="21"/>
      <c r="B1688" s="4"/>
      <c r="C1688" s="22"/>
      <c r="D1688" s="5" t="str">
        <f aca="false">IF(B1688="","",IFERROR(INDEX(DE_PARA!$B$6:$B$205,MATCH(B1688,DE_PARA!$A$6:$A$205,0)),"SEM DE-PARA"))</f>
        <v/>
      </c>
      <c r="E1688" s="23" t="str">
        <f aca="false">IF(A1688="","",DATE(YEAR(A1688),MONTH(A1688),1))</f>
        <v/>
      </c>
    </row>
    <row r="1689" customFormat="false" ht="15" hidden="false" customHeight="false" outlineLevel="0" collapsed="false">
      <c r="A1689" s="21"/>
      <c r="B1689" s="4"/>
      <c r="C1689" s="22"/>
      <c r="D1689" s="5" t="str">
        <f aca="false">IF(B1689="","",IFERROR(INDEX(DE_PARA!$B$6:$B$205,MATCH(B1689,DE_PARA!$A$6:$A$205,0)),"SEM DE-PARA"))</f>
        <v/>
      </c>
      <c r="E1689" s="23" t="str">
        <f aca="false">IF(A1689="","",DATE(YEAR(A1689),MONTH(A1689),1))</f>
        <v/>
      </c>
    </row>
    <row r="1690" customFormat="false" ht="15" hidden="false" customHeight="false" outlineLevel="0" collapsed="false">
      <c r="A1690" s="21"/>
      <c r="B1690" s="4"/>
      <c r="C1690" s="22"/>
      <c r="D1690" s="5" t="str">
        <f aca="false">IF(B1690="","",IFERROR(INDEX(DE_PARA!$B$6:$B$205,MATCH(B1690,DE_PARA!$A$6:$A$205,0)),"SEM DE-PARA"))</f>
        <v/>
      </c>
      <c r="E1690" s="23" t="str">
        <f aca="false">IF(A1690="","",DATE(YEAR(A1690),MONTH(A1690),1))</f>
        <v/>
      </c>
    </row>
    <row r="1691" customFormat="false" ht="15" hidden="false" customHeight="false" outlineLevel="0" collapsed="false">
      <c r="A1691" s="21"/>
      <c r="B1691" s="4"/>
      <c r="C1691" s="22"/>
      <c r="D1691" s="5" t="str">
        <f aca="false">IF(B1691="","",IFERROR(INDEX(DE_PARA!$B$6:$B$205,MATCH(B1691,DE_PARA!$A$6:$A$205,0)),"SEM DE-PARA"))</f>
        <v/>
      </c>
      <c r="E1691" s="23" t="str">
        <f aca="false">IF(A1691="","",DATE(YEAR(A1691),MONTH(A1691),1))</f>
        <v/>
      </c>
    </row>
    <row r="1692" customFormat="false" ht="15" hidden="false" customHeight="false" outlineLevel="0" collapsed="false">
      <c r="A1692" s="21"/>
      <c r="B1692" s="4"/>
      <c r="C1692" s="22"/>
      <c r="D1692" s="5" t="str">
        <f aca="false">IF(B1692="","",IFERROR(INDEX(DE_PARA!$B$6:$B$205,MATCH(B1692,DE_PARA!$A$6:$A$205,0)),"SEM DE-PARA"))</f>
        <v/>
      </c>
      <c r="E1692" s="23" t="str">
        <f aca="false">IF(A1692="","",DATE(YEAR(A1692),MONTH(A1692),1))</f>
        <v/>
      </c>
    </row>
    <row r="1693" customFormat="false" ht="15" hidden="false" customHeight="false" outlineLevel="0" collapsed="false">
      <c r="A1693" s="21"/>
      <c r="B1693" s="4"/>
      <c r="C1693" s="22"/>
      <c r="D1693" s="5" t="str">
        <f aca="false">IF(B1693="","",IFERROR(INDEX(DE_PARA!$B$6:$B$205,MATCH(B1693,DE_PARA!$A$6:$A$205,0)),"SEM DE-PARA"))</f>
        <v/>
      </c>
      <c r="E1693" s="23" t="str">
        <f aca="false">IF(A1693="","",DATE(YEAR(A1693),MONTH(A1693),1))</f>
        <v/>
      </c>
    </row>
    <row r="1694" customFormat="false" ht="15" hidden="false" customHeight="false" outlineLevel="0" collapsed="false">
      <c r="A1694" s="21"/>
      <c r="B1694" s="4"/>
      <c r="C1694" s="22"/>
      <c r="D1694" s="5" t="str">
        <f aca="false">IF(B1694="","",IFERROR(INDEX(DE_PARA!$B$6:$B$205,MATCH(B1694,DE_PARA!$A$6:$A$205,0)),"SEM DE-PARA"))</f>
        <v/>
      </c>
      <c r="E1694" s="23" t="str">
        <f aca="false">IF(A1694="","",DATE(YEAR(A1694),MONTH(A1694),1))</f>
        <v/>
      </c>
    </row>
    <row r="1695" customFormat="false" ht="15" hidden="false" customHeight="false" outlineLevel="0" collapsed="false">
      <c r="A1695" s="21"/>
      <c r="B1695" s="4"/>
      <c r="C1695" s="22"/>
      <c r="D1695" s="5" t="str">
        <f aca="false">IF(B1695="","",IFERROR(INDEX(DE_PARA!$B$6:$B$205,MATCH(B1695,DE_PARA!$A$6:$A$205,0)),"SEM DE-PARA"))</f>
        <v/>
      </c>
      <c r="E1695" s="23" t="str">
        <f aca="false">IF(A1695="","",DATE(YEAR(A1695),MONTH(A1695),1))</f>
        <v/>
      </c>
    </row>
    <row r="1696" customFormat="false" ht="15" hidden="false" customHeight="false" outlineLevel="0" collapsed="false">
      <c r="A1696" s="21"/>
      <c r="B1696" s="4"/>
      <c r="C1696" s="22"/>
      <c r="D1696" s="5" t="str">
        <f aca="false">IF(B1696="","",IFERROR(INDEX(DE_PARA!$B$6:$B$205,MATCH(B1696,DE_PARA!$A$6:$A$205,0)),"SEM DE-PARA"))</f>
        <v/>
      </c>
      <c r="E1696" s="23" t="str">
        <f aca="false">IF(A1696="","",DATE(YEAR(A1696),MONTH(A1696),1))</f>
        <v/>
      </c>
    </row>
    <row r="1697" customFormat="false" ht="15" hidden="false" customHeight="false" outlineLevel="0" collapsed="false">
      <c r="A1697" s="21"/>
      <c r="B1697" s="4"/>
      <c r="C1697" s="22"/>
      <c r="D1697" s="5" t="str">
        <f aca="false">IF(B1697="","",IFERROR(INDEX(DE_PARA!$B$6:$B$205,MATCH(B1697,DE_PARA!$A$6:$A$205,0)),"SEM DE-PARA"))</f>
        <v/>
      </c>
      <c r="E1697" s="23" t="str">
        <f aca="false">IF(A1697="","",DATE(YEAR(A1697),MONTH(A1697),1))</f>
        <v/>
      </c>
    </row>
    <row r="1698" customFormat="false" ht="15" hidden="false" customHeight="false" outlineLevel="0" collapsed="false">
      <c r="A1698" s="21"/>
      <c r="B1698" s="4"/>
      <c r="C1698" s="22"/>
      <c r="D1698" s="5" t="str">
        <f aca="false">IF(B1698="","",IFERROR(INDEX(DE_PARA!$B$6:$B$205,MATCH(B1698,DE_PARA!$A$6:$A$205,0)),"SEM DE-PARA"))</f>
        <v/>
      </c>
      <c r="E1698" s="23" t="str">
        <f aca="false">IF(A1698="","",DATE(YEAR(A1698),MONTH(A1698),1))</f>
        <v/>
      </c>
    </row>
    <row r="1699" customFormat="false" ht="15" hidden="false" customHeight="false" outlineLevel="0" collapsed="false">
      <c r="A1699" s="21"/>
      <c r="B1699" s="4"/>
      <c r="C1699" s="22"/>
      <c r="D1699" s="5" t="str">
        <f aca="false">IF(B1699="","",IFERROR(INDEX(DE_PARA!$B$6:$B$205,MATCH(B1699,DE_PARA!$A$6:$A$205,0)),"SEM DE-PARA"))</f>
        <v/>
      </c>
      <c r="E1699" s="23" t="str">
        <f aca="false">IF(A1699="","",DATE(YEAR(A1699),MONTH(A1699),1))</f>
        <v/>
      </c>
    </row>
    <row r="1700" customFormat="false" ht="15" hidden="false" customHeight="false" outlineLevel="0" collapsed="false">
      <c r="A1700" s="21"/>
      <c r="B1700" s="4"/>
      <c r="C1700" s="22"/>
      <c r="D1700" s="5" t="str">
        <f aca="false">IF(B1700="","",IFERROR(INDEX(DE_PARA!$B$6:$B$205,MATCH(B1700,DE_PARA!$A$6:$A$205,0)),"SEM DE-PARA"))</f>
        <v/>
      </c>
      <c r="E1700" s="23" t="str">
        <f aca="false">IF(A1700="","",DATE(YEAR(A1700),MONTH(A1700),1))</f>
        <v/>
      </c>
    </row>
    <row r="1701" customFormat="false" ht="15" hidden="false" customHeight="false" outlineLevel="0" collapsed="false">
      <c r="A1701" s="21"/>
      <c r="B1701" s="4"/>
      <c r="C1701" s="22"/>
      <c r="D1701" s="5" t="str">
        <f aca="false">IF(B1701="","",IFERROR(INDEX(DE_PARA!$B$6:$B$205,MATCH(B1701,DE_PARA!$A$6:$A$205,0)),"SEM DE-PARA"))</f>
        <v/>
      </c>
      <c r="E1701" s="23" t="str">
        <f aca="false">IF(A1701="","",DATE(YEAR(A1701),MONTH(A1701),1))</f>
        <v/>
      </c>
    </row>
    <row r="1702" customFormat="false" ht="15" hidden="false" customHeight="false" outlineLevel="0" collapsed="false">
      <c r="A1702" s="21"/>
      <c r="B1702" s="4"/>
      <c r="C1702" s="22"/>
      <c r="D1702" s="5" t="str">
        <f aca="false">IF(B1702="","",IFERROR(INDEX(DE_PARA!$B$6:$B$205,MATCH(B1702,DE_PARA!$A$6:$A$205,0)),"SEM DE-PARA"))</f>
        <v/>
      </c>
      <c r="E1702" s="23" t="str">
        <f aca="false">IF(A1702="","",DATE(YEAR(A1702),MONTH(A1702),1))</f>
        <v/>
      </c>
    </row>
    <row r="1703" customFormat="false" ht="15" hidden="false" customHeight="false" outlineLevel="0" collapsed="false">
      <c r="A1703" s="21"/>
      <c r="B1703" s="4"/>
      <c r="C1703" s="22"/>
      <c r="D1703" s="5" t="str">
        <f aca="false">IF(B1703="","",IFERROR(INDEX(DE_PARA!$B$6:$B$205,MATCH(B1703,DE_PARA!$A$6:$A$205,0)),"SEM DE-PARA"))</f>
        <v/>
      </c>
      <c r="E1703" s="23" t="str">
        <f aca="false">IF(A1703="","",DATE(YEAR(A1703),MONTH(A1703),1))</f>
        <v/>
      </c>
    </row>
    <row r="1704" customFormat="false" ht="15" hidden="false" customHeight="false" outlineLevel="0" collapsed="false">
      <c r="A1704" s="21"/>
      <c r="B1704" s="4"/>
      <c r="C1704" s="22"/>
      <c r="D1704" s="5" t="str">
        <f aca="false">IF(B1704="","",IFERROR(INDEX(DE_PARA!$B$6:$B$205,MATCH(B1704,DE_PARA!$A$6:$A$205,0)),"SEM DE-PARA"))</f>
        <v/>
      </c>
      <c r="E1704" s="23" t="str">
        <f aca="false">IF(A1704="","",DATE(YEAR(A1704),MONTH(A1704),1))</f>
        <v/>
      </c>
    </row>
    <row r="1705" customFormat="false" ht="15" hidden="false" customHeight="false" outlineLevel="0" collapsed="false">
      <c r="A1705" s="21"/>
      <c r="B1705" s="4"/>
      <c r="C1705" s="22"/>
      <c r="D1705" s="5" t="str">
        <f aca="false">IF(B1705="","",IFERROR(INDEX(DE_PARA!$B$6:$B$205,MATCH(B1705,DE_PARA!$A$6:$A$205,0)),"SEM DE-PARA"))</f>
        <v/>
      </c>
      <c r="E1705" s="23" t="str">
        <f aca="false">IF(A1705="","",DATE(YEAR(A1705),MONTH(A1705),1))</f>
        <v/>
      </c>
    </row>
    <row r="1706" customFormat="false" ht="15" hidden="false" customHeight="false" outlineLevel="0" collapsed="false">
      <c r="A1706" s="21"/>
      <c r="B1706" s="4"/>
      <c r="C1706" s="22"/>
      <c r="D1706" s="5" t="str">
        <f aca="false">IF(B1706="","",IFERROR(INDEX(DE_PARA!$B$6:$B$205,MATCH(B1706,DE_PARA!$A$6:$A$205,0)),"SEM DE-PARA"))</f>
        <v/>
      </c>
      <c r="E1706" s="23" t="str">
        <f aca="false">IF(A1706="","",DATE(YEAR(A1706),MONTH(A1706),1))</f>
        <v/>
      </c>
    </row>
    <row r="1707" customFormat="false" ht="15" hidden="false" customHeight="false" outlineLevel="0" collapsed="false">
      <c r="A1707" s="21"/>
      <c r="B1707" s="4"/>
      <c r="C1707" s="22"/>
      <c r="D1707" s="5" t="str">
        <f aca="false">IF(B1707="","",IFERROR(INDEX(DE_PARA!$B$6:$B$205,MATCH(B1707,DE_PARA!$A$6:$A$205,0)),"SEM DE-PARA"))</f>
        <v/>
      </c>
      <c r="E1707" s="23" t="str">
        <f aca="false">IF(A1707="","",DATE(YEAR(A1707),MONTH(A1707),1))</f>
        <v/>
      </c>
    </row>
    <row r="1708" customFormat="false" ht="15" hidden="false" customHeight="false" outlineLevel="0" collapsed="false">
      <c r="A1708" s="21"/>
      <c r="B1708" s="4"/>
      <c r="C1708" s="22"/>
      <c r="D1708" s="5" t="str">
        <f aca="false">IF(B1708="","",IFERROR(INDEX(DE_PARA!$B$6:$B$205,MATCH(B1708,DE_PARA!$A$6:$A$205,0)),"SEM DE-PARA"))</f>
        <v/>
      </c>
      <c r="E1708" s="23" t="str">
        <f aca="false">IF(A1708="","",DATE(YEAR(A1708),MONTH(A1708),1))</f>
        <v/>
      </c>
    </row>
    <row r="1709" customFormat="false" ht="15" hidden="false" customHeight="false" outlineLevel="0" collapsed="false">
      <c r="A1709" s="21"/>
      <c r="B1709" s="4"/>
      <c r="C1709" s="22"/>
      <c r="D1709" s="5" t="str">
        <f aca="false">IF(B1709="","",IFERROR(INDEX(DE_PARA!$B$6:$B$205,MATCH(B1709,DE_PARA!$A$6:$A$205,0)),"SEM DE-PARA"))</f>
        <v/>
      </c>
      <c r="E1709" s="23" t="str">
        <f aca="false">IF(A1709="","",DATE(YEAR(A1709),MONTH(A1709),1))</f>
        <v/>
      </c>
    </row>
    <row r="1710" customFormat="false" ht="15" hidden="false" customHeight="false" outlineLevel="0" collapsed="false">
      <c r="A1710" s="21"/>
      <c r="B1710" s="4"/>
      <c r="C1710" s="22"/>
      <c r="D1710" s="5" t="str">
        <f aca="false">IF(B1710="","",IFERROR(INDEX(DE_PARA!$B$6:$B$205,MATCH(B1710,DE_PARA!$A$6:$A$205,0)),"SEM DE-PARA"))</f>
        <v/>
      </c>
      <c r="E1710" s="23" t="str">
        <f aca="false">IF(A1710="","",DATE(YEAR(A1710),MONTH(A1710),1))</f>
        <v/>
      </c>
    </row>
    <row r="1711" customFormat="false" ht="15" hidden="false" customHeight="false" outlineLevel="0" collapsed="false">
      <c r="A1711" s="21"/>
      <c r="B1711" s="4"/>
      <c r="C1711" s="22"/>
      <c r="D1711" s="5" t="str">
        <f aca="false">IF(B1711="","",IFERROR(INDEX(DE_PARA!$B$6:$B$205,MATCH(B1711,DE_PARA!$A$6:$A$205,0)),"SEM DE-PARA"))</f>
        <v/>
      </c>
      <c r="E1711" s="23" t="str">
        <f aca="false">IF(A1711="","",DATE(YEAR(A1711),MONTH(A1711),1))</f>
        <v/>
      </c>
    </row>
    <row r="1712" customFormat="false" ht="15" hidden="false" customHeight="false" outlineLevel="0" collapsed="false">
      <c r="A1712" s="21"/>
      <c r="B1712" s="4"/>
      <c r="C1712" s="22"/>
      <c r="D1712" s="5" t="str">
        <f aca="false">IF(B1712="","",IFERROR(INDEX(DE_PARA!$B$6:$B$205,MATCH(B1712,DE_PARA!$A$6:$A$205,0)),"SEM DE-PARA"))</f>
        <v/>
      </c>
      <c r="E1712" s="23" t="str">
        <f aca="false">IF(A1712="","",DATE(YEAR(A1712),MONTH(A1712),1))</f>
        <v/>
      </c>
    </row>
    <row r="1713" customFormat="false" ht="15" hidden="false" customHeight="false" outlineLevel="0" collapsed="false">
      <c r="A1713" s="21"/>
      <c r="B1713" s="4"/>
      <c r="C1713" s="22"/>
      <c r="D1713" s="5" t="str">
        <f aca="false">IF(B1713="","",IFERROR(INDEX(DE_PARA!$B$6:$B$205,MATCH(B1713,DE_PARA!$A$6:$A$205,0)),"SEM DE-PARA"))</f>
        <v/>
      </c>
      <c r="E1713" s="23" t="str">
        <f aca="false">IF(A1713="","",DATE(YEAR(A1713),MONTH(A1713),1))</f>
        <v/>
      </c>
    </row>
    <row r="1714" customFormat="false" ht="15" hidden="false" customHeight="false" outlineLevel="0" collapsed="false">
      <c r="A1714" s="21"/>
      <c r="B1714" s="4"/>
      <c r="C1714" s="22"/>
      <c r="D1714" s="5" t="str">
        <f aca="false">IF(B1714="","",IFERROR(INDEX(DE_PARA!$B$6:$B$205,MATCH(B1714,DE_PARA!$A$6:$A$205,0)),"SEM DE-PARA"))</f>
        <v/>
      </c>
      <c r="E1714" s="23" t="str">
        <f aca="false">IF(A1714="","",DATE(YEAR(A1714),MONTH(A1714),1))</f>
        <v/>
      </c>
    </row>
    <row r="1715" customFormat="false" ht="15" hidden="false" customHeight="false" outlineLevel="0" collapsed="false">
      <c r="A1715" s="21"/>
      <c r="B1715" s="4"/>
      <c r="C1715" s="22"/>
      <c r="D1715" s="5" t="str">
        <f aca="false">IF(B1715="","",IFERROR(INDEX(DE_PARA!$B$6:$B$205,MATCH(B1715,DE_PARA!$A$6:$A$205,0)),"SEM DE-PARA"))</f>
        <v/>
      </c>
      <c r="E1715" s="23" t="str">
        <f aca="false">IF(A1715="","",DATE(YEAR(A1715),MONTH(A1715),1))</f>
        <v/>
      </c>
    </row>
    <row r="1716" customFormat="false" ht="15" hidden="false" customHeight="false" outlineLevel="0" collapsed="false">
      <c r="A1716" s="21"/>
      <c r="B1716" s="4"/>
      <c r="C1716" s="22"/>
      <c r="D1716" s="5" t="str">
        <f aca="false">IF(B1716="","",IFERROR(INDEX(DE_PARA!$B$6:$B$205,MATCH(B1716,DE_PARA!$A$6:$A$205,0)),"SEM DE-PARA"))</f>
        <v/>
      </c>
      <c r="E1716" s="23" t="str">
        <f aca="false">IF(A1716="","",DATE(YEAR(A1716),MONTH(A1716),1))</f>
        <v/>
      </c>
    </row>
    <row r="1717" customFormat="false" ht="15" hidden="false" customHeight="false" outlineLevel="0" collapsed="false">
      <c r="A1717" s="21"/>
      <c r="B1717" s="4"/>
      <c r="C1717" s="22"/>
      <c r="D1717" s="5" t="str">
        <f aca="false">IF(B1717="","",IFERROR(INDEX(DE_PARA!$B$6:$B$205,MATCH(B1717,DE_PARA!$A$6:$A$205,0)),"SEM DE-PARA"))</f>
        <v/>
      </c>
      <c r="E1717" s="23" t="str">
        <f aca="false">IF(A1717="","",DATE(YEAR(A1717),MONTH(A1717),1))</f>
        <v/>
      </c>
    </row>
    <row r="1718" customFormat="false" ht="15" hidden="false" customHeight="false" outlineLevel="0" collapsed="false">
      <c r="A1718" s="21"/>
      <c r="B1718" s="4"/>
      <c r="C1718" s="22"/>
      <c r="D1718" s="5" t="str">
        <f aca="false">IF(B1718="","",IFERROR(INDEX(DE_PARA!$B$6:$B$205,MATCH(B1718,DE_PARA!$A$6:$A$205,0)),"SEM DE-PARA"))</f>
        <v/>
      </c>
      <c r="E1718" s="23" t="str">
        <f aca="false">IF(A1718="","",DATE(YEAR(A1718),MONTH(A1718),1))</f>
        <v/>
      </c>
    </row>
    <row r="1719" customFormat="false" ht="15" hidden="false" customHeight="false" outlineLevel="0" collapsed="false">
      <c r="A1719" s="21"/>
      <c r="B1719" s="4"/>
      <c r="C1719" s="22"/>
      <c r="D1719" s="5" t="str">
        <f aca="false">IF(B1719="","",IFERROR(INDEX(DE_PARA!$B$6:$B$205,MATCH(B1719,DE_PARA!$A$6:$A$205,0)),"SEM DE-PARA"))</f>
        <v/>
      </c>
      <c r="E1719" s="23" t="str">
        <f aca="false">IF(A1719="","",DATE(YEAR(A1719),MONTH(A1719),1))</f>
        <v/>
      </c>
    </row>
    <row r="1720" customFormat="false" ht="15" hidden="false" customHeight="false" outlineLevel="0" collapsed="false">
      <c r="A1720" s="21"/>
      <c r="B1720" s="4"/>
      <c r="C1720" s="22"/>
      <c r="D1720" s="5" t="str">
        <f aca="false">IF(B1720="","",IFERROR(INDEX(DE_PARA!$B$6:$B$205,MATCH(B1720,DE_PARA!$A$6:$A$205,0)),"SEM DE-PARA"))</f>
        <v/>
      </c>
      <c r="E1720" s="23" t="str">
        <f aca="false">IF(A1720="","",DATE(YEAR(A1720),MONTH(A1720),1))</f>
        <v/>
      </c>
    </row>
    <row r="1721" customFormat="false" ht="15" hidden="false" customHeight="false" outlineLevel="0" collapsed="false">
      <c r="A1721" s="21"/>
      <c r="B1721" s="4"/>
      <c r="C1721" s="22"/>
      <c r="D1721" s="5" t="str">
        <f aca="false">IF(B1721="","",IFERROR(INDEX(DE_PARA!$B$6:$B$205,MATCH(B1721,DE_PARA!$A$6:$A$205,0)),"SEM DE-PARA"))</f>
        <v/>
      </c>
      <c r="E1721" s="23" t="str">
        <f aca="false">IF(A1721="","",DATE(YEAR(A1721),MONTH(A1721),1))</f>
        <v/>
      </c>
    </row>
    <row r="1722" customFormat="false" ht="15" hidden="false" customHeight="false" outlineLevel="0" collapsed="false">
      <c r="A1722" s="21"/>
      <c r="B1722" s="4"/>
      <c r="C1722" s="22"/>
      <c r="D1722" s="5" t="str">
        <f aca="false">IF(B1722="","",IFERROR(INDEX(DE_PARA!$B$6:$B$205,MATCH(B1722,DE_PARA!$A$6:$A$205,0)),"SEM DE-PARA"))</f>
        <v/>
      </c>
      <c r="E1722" s="23" t="str">
        <f aca="false">IF(A1722="","",DATE(YEAR(A1722),MONTH(A1722),1))</f>
        <v/>
      </c>
    </row>
    <row r="1723" customFormat="false" ht="15" hidden="false" customHeight="false" outlineLevel="0" collapsed="false">
      <c r="A1723" s="21"/>
      <c r="B1723" s="4"/>
      <c r="C1723" s="22"/>
      <c r="D1723" s="5" t="str">
        <f aca="false">IF(B1723="","",IFERROR(INDEX(DE_PARA!$B$6:$B$205,MATCH(B1723,DE_PARA!$A$6:$A$205,0)),"SEM DE-PARA"))</f>
        <v/>
      </c>
      <c r="E1723" s="23" t="str">
        <f aca="false">IF(A1723="","",DATE(YEAR(A1723),MONTH(A1723),1))</f>
        <v/>
      </c>
    </row>
    <row r="1724" customFormat="false" ht="15" hidden="false" customHeight="false" outlineLevel="0" collapsed="false">
      <c r="A1724" s="21"/>
      <c r="B1724" s="4"/>
      <c r="C1724" s="22"/>
      <c r="D1724" s="5" t="str">
        <f aca="false">IF(B1724="","",IFERROR(INDEX(DE_PARA!$B$6:$B$205,MATCH(B1724,DE_PARA!$A$6:$A$205,0)),"SEM DE-PARA"))</f>
        <v/>
      </c>
      <c r="E1724" s="23" t="str">
        <f aca="false">IF(A1724="","",DATE(YEAR(A1724),MONTH(A1724),1))</f>
        <v/>
      </c>
    </row>
    <row r="1725" customFormat="false" ht="15" hidden="false" customHeight="false" outlineLevel="0" collapsed="false">
      <c r="A1725" s="21"/>
      <c r="B1725" s="4"/>
      <c r="C1725" s="22"/>
      <c r="D1725" s="5" t="str">
        <f aca="false">IF(B1725="","",IFERROR(INDEX(DE_PARA!$B$6:$B$205,MATCH(B1725,DE_PARA!$A$6:$A$205,0)),"SEM DE-PARA"))</f>
        <v/>
      </c>
      <c r="E1725" s="23" t="str">
        <f aca="false">IF(A1725="","",DATE(YEAR(A1725),MONTH(A1725),1))</f>
        <v/>
      </c>
    </row>
    <row r="1726" customFormat="false" ht="15" hidden="false" customHeight="false" outlineLevel="0" collapsed="false">
      <c r="A1726" s="21"/>
      <c r="B1726" s="4"/>
      <c r="C1726" s="22"/>
      <c r="D1726" s="5" t="str">
        <f aca="false">IF(B1726="","",IFERROR(INDEX(DE_PARA!$B$6:$B$205,MATCH(B1726,DE_PARA!$A$6:$A$205,0)),"SEM DE-PARA"))</f>
        <v/>
      </c>
      <c r="E1726" s="23" t="str">
        <f aca="false">IF(A1726="","",DATE(YEAR(A1726),MONTH(A1726),1))</f>
        <v/>
      </c>
    </row>
    <row r="1727" customFormat="false" ht="15" hidden="false" customHeight="false" outlineLevel="0" collapsed="false">
      <c r="A1727" s="21"/>
      <c r="B1727" s="4"/>
      <c r="C1727" s="22"/>
      <c r="D1727" s="5" t="str">
        <f aca="false">IF(B1727="","",IFERROR(INDEX(DE_PARA!$B$6:$B$205,MATCH(B1727,DE_PARA!$A$6:$A$205,0)),"SEM DE-PARA"))</f>
        <v/>
      </c>
      <c r="E1727" s="23" t="str">
        <f aca="false">IF(A1727="","",DATE(YEAR(A1727),MONTH(A1727),1))</f>
        <v/>
      </c>
    </row>
    <row r="1728" customFormat="false" ht="15" hidden="false" customHeight="false" outlineLevel="0" collapsed="false">
      <c r="A1728" s="21"/>
      <c r="B1728" s="4"/>
      <c r="C1728" s="22"/>
      <c r="D1728" s="5" t="str">
        <f aca="false">IF(B1728="","",IFERROR(INDEX(DE_PARA!$B$6:$B$205,MATCH(B1728,DE_PARA!$A$6:$A$205,0)),"SEM DE-PARA"))</f>
        <v/>
      </c>
      <c r="E1728" s="23" t="str">
        <f aca="false">IF(A1728="","",DATE(YEAR(A1728),MONTH(A1728),1))</f>
        <v/>
      </c>
    </row>
    <row r="1729" customFormat="false" ht="15" hidden="false" customHeight="false" outlineLevel="0" collapsed="false">
      <c r="A1729" s="21"/>
      <c r="B1729" s="4"/>
      <c r="C1729" s="22"/>
      <c r="D1729" s="5" t="str">
        <f aca="false">IF(B1729="","",IFERROR(INDEX(DE_PARA!$B$6:$B$205,MATCH(B1729,DE_PARA!$A$6:$A$205,0)),"SEM DE-PARA"))</f>
        <v/>
      </c>
      <c r="E1729" s="23" t="str">
        <f aca="false">IF(A1729="","",DATE(YEAR(A1729),MONTH(A1729),1))</f>
        <v/>
      </c>
    </row>
    <row r="1730" customFormat="false" ht="15" hidden="false" customHeight="false" outlineLevel="0" collapsed="false">
      <c r="A1730" s="21"/>
      <c r="B1730" s="4"/>
      <c r="C1730" s="22"/>
      <c r="D1730" s="5" t="str">
        <f aca="false">IF(B1730="","",IFERROR(INDEX(DE_PARA!$B$6:$B$205,MATCH(B1730,DE_PARA!$A$6:$A$205,0)),"SEM DE-PARA"))</f>
        <v/>
      </c>
      <c r="E1730" s="23" t="str">
        <f aca="false">IF(A1730="","",DATE(YEAR(A1730),MONTH(A1730),1))</f>
        <v/>
      </c>
    </row>
    <row r="1731" customFormat="false" ht="15" hidden="false" customHeight="false" outlineLevel="0" collapsed="false">
      <c r="A1731" s="21"/>
      <c r="B1731" s="4"/>
      <c r="C1731" s="22"/>
      <c r="D1731" s="5" t="str">
        <f aca="false">IF(B1731="","",IFERROR(INDEX(DE_PARA!$B$6:$B$205,MATCH(B1731,DE_PARA!$A$6:$A$205,0)),"SEM DE-PARA"))</f>
        <v/>
      </c>
      <c r="E1731" s="23" t="str">
        <f aca="false">IF(A1731="","",DATE(YEAR(A1731),MONTH(A1731),1))</f>
        <v/>
      </c>
    </row>
    <row r="1732" customFormat="false" ht="15" hidden="false" customHeight="false" outlineLevel="0" collapsed="false">
      <c r="A1732" s="21"/>
      <c r="B1732" s="4"/>
      <c r="C1732" s="22"/>
      <c r="D1732" s="5" t="str">
        <f aca="false">IF(B1732="","",IFERROR(INDEX(DE_PARA!$B$6:$B$205,MATCH(B1732,DE_PARA!$A$6:$A$205,0)),"SEM DE-PARA"))</f>
        <v/>
      </c>
      <c r="E1732" s="23" t="str">
        <f aca="false">IF(A1732="","",DATE(YEAR(A1732),MONTH(A1732),1))</f>
        <v/>
      </c>
    </row>
    <row r="1733" customFormat="false" ht="15" hidden="false" customHeight="false" outlineLevel="0" collapsed="false">
      <c r="A1733" s="21"/>
      <c r="B1733" s="4"/>
      <c r="C1733" s="22"/>
      <c r="D1733" s="5" t="str">
        <f aca="false">IF(B1733="","",IFERROR(INDEX(DE_PARA!$B$6:$B$205,MATCH(B1733,DE_PARA!$A$6:$A$205,0)),"SEM DE-PARA"))</f>
        <v/>
      </c>
      <c r="E1733" s="23" t="str">
        <f aca="false">IF(A1733="","",DATE(YEAR(A1733),MONTH(A1733),1))</f>
        <v/>
      </c>
    </row>
    <row r="1734" customFormat="false" ht="15" hidden="false" customHeight="false" outlineLevel="0" collapsed="false">
      <c r="A1734" s="21"/>
      <c r="B1734" s="4"/>
      <c r="C1734" s="22"/>
      <c r="D1734" s="5" t="str">
        <f aca="false">IF(B1734="","",IFERROR(INDEX(DE_PARA!$B$6:$B$205,MATCH(B1734,DE_PARA!$A$6:$A$205,0)),"SEM DE-PARA"))</f>
        <v/>
      </c>
      <c r="E1734" s="23" t="str">
        <f aca="false">IF(A1734="","",DATE(YEAR(A1734),MONTH(A1734),1))</f>
        <v/>
      </c>
    </row>
    <row r="1735" customFormat="false" ht="15" hidden="false" customHeight="false" outlineLevel="0" collapsed="false">
      <c r="A1735" s="21"/>
      <c r="B1735" s="4"/>
      <c r="C1735" s="22"/>
      <c r="D1735" s="5" t="str">
        <f aca="false">IF(B1735="","",IFERROR(INDEX(DE_PARA!$B$6:$B$205,MATCH(B1735,DE_PARA!$A$6:$A$205,0)),"SEM DE-PARA"))</f>
        <v/>
      </c>
      <c r="E1735" s="23" t="str">
        <f aca="false">IF(A1735="","",DATE(YEAR(A1735),MONTH(A1735),1))</f>
        <v/>
      </c>
    </row>
    <row r="1736" customFormat="false" ht="15" hidden="false" customHeight="false" outlineLevel="0" collapsed="false">
      <c r="A1736" s="21"/>
      <c r="B1736" s="4"/>
      <c r="C1736" s="22"/>
      <c r="D1736" s="5" t="str">
        <f aca="false">IF(B1736="","",IFERROR(INDEX(DE_PARA!$B$6:$B$205,MATCH(B1736,DE_PARA!$A$6:$A$205,0)),"SEM DE-PARA"))</f>
        <v/>
      </c>
      <c r="E1736" s="23" t="str">
        <f aca="false">IF(A1736="","",DATE(YEAR(A1736),MONTH(A1736),1))</f>
        <v/>
      </c>
    </row>
    <row r="1737" customFormat="false" ht="15" hidden="false" customHeight="false" outlineLevel="0" collapsed="false">
      <c r="A1737" s="21"/>
      <c r="B1737" s="4"/>
      <c r="C1737" s="22"/>
      <c r="D1737" s="5" t="str">
        <f aca="false">IF(B1737="","",IFERROR(INDEX(DE_PARA!$B$6:$B$205,MATCH(B1737,DE_PARA!$A$6:$A$205,0)),"SEM DE-PARA"))</f>
        <v/>
      </c>
      <c r="E1737" s="23" t="str">
        <f aca="false">IF(A1737="","",DATE(YEAR(A1737),MONTH(A1737),1))</f>
        <v/>
      </c>
    </row>
    <row r="1738" customFormat="false" ht="15" hidden="false" customHeight="false" outlineLevel="0" collapsed="false">
      <c r="A1738" s="21"/>
      <c r="B1738" s="4"/>
      <c r="C1738" s="22"/>
      <c r="D1738" s="5" t="str">
        <f aca="false">IF(B1738="","",IFERROR(INDEX(DE_PARA!$B$6:$B$205,MATCH(B1738,DE_PARA!$A$6:$A$205,0)),"SEM DE-PARA"))</f>
        <v/>
      </c>
      <c r="E1738" s="23" t="str">
        <f aca="false">IF(A1738="","",DATE(YEAR(A1738),MONTH(A1738),1))</f>
        <v/>
      </c>
    </row>
    <row r="1739" customFormat="false" ht="15" hidden="false" customHeight="false" outlineLevel="0" collapsed="false">
      <c r="A1739" s="21"/>
      <c r="B1739" s="4"/>
      <c r="C1739" s="22"/>
      <c r="D1739" s="5" t="str">
        <f aca="false">IF(B1739="","",IFERROR(INDEX(DE_PARA!$B$6:$B$205,MATCH(B1739,DE_PARA!$A$6:$A$205,0)),"SEM DE-PARA"))</f>
        <v/>
      </c>
      <c r="E1739" s="23" t="str">
        <f aca="false">IF(A1739="","",DATE(YEAR(A1739),MONTH(A1739),1))</f>
        <v/>
      </c>
    </row>
    <row r="1740" customFormat="false" ht="15" hidden="false" customHeight="false" outlineLevel="0" collapsed="false">
      <c r="A1740" s="21"/>
      <c r="B1740" s="4"/>
      <c r="C1740" s="22"/>
      <c r="D1740" s="5" t="str">
        <f aca="false">IF(B1740="","",IFERROR(INDEX(DE_PARA!$B$6:$B$205,MATCH(B1740,DE_PARA!$A$6:$A$205,0)),"SEM DE-PARA"))</f>
        <v/>
      </c>
      <c r="E1740" s="23" t="str">
        <f aca="false">IF(A1740="","",DATE(YEAR(A1740),MONTH(A1740),1))</f>
        <v/>
      </c>
    </row>
    <row r="1741" customFormat="false" ht="15" hidden="false" customHeight="false" outlineLevel="0" collapsed="false">
      <c r="A1741" s="21"/>
      <c r="B1741" s="4"/>
      <c r="C1741" s="22"/>
      <c r="D1741" s="5" t="str">
        <f aca="false">IF(B1741="","",IFERROR(INDEX(DE_PARA!$B$6:$B$205,MATCH(B1741,DE_PARA!$A$6:$A$205,0)),"SEM DE-PARA"))</f>
        <v/>
      </c>
      <c r="E1741" s="23" t="str">
        <f aca="false">IF(A1741="","",DATE(YEAR(A1741),MONTH(A1741),1))</f>
        <v/>
      </c>
    </row>
    <row r="1742" customFormat="false" ht="15" hidden="false" customHeight="false" outlineLevel="0" collapsed="false">
      <c r="A1742" s="21"/>
      <c r="B1742" s="4"/>
      <c r="C1742" s="22"/>
      <c r="D1742" s="5" t="str">
        <f aca="false">IF(B1742="","",IFERROR(INDEX(DE_PARA!$B$6:$B$205,MATCH(B1742,DE_PARA!$A$6:$A$205,0)),"SEM DE-PARA"))</f>
        <v/>
      </c>
      <c r="E1742" s="23" t="str">
        <f aca="false">IF(A1742="","",DATE(YEAR(A1742),MONTH(A1742),1))</f>
        <v/>
      </c>
    </row>
    <row r="1743" customFormat="false" ht="15" hidden="false" customHeight="false" outlineLevel="0" collapsed="false">
      <c r="A1743" s="21"/>
      <c r="B1743" s="4"/>
      <c r="C1743" s="22"/>
      <c r="D1743" s="5" t="str">
        <f aca="false">IF(B1743="","",IFERROR(INDEX(DE_PARA!$B$6:$B$205,MATCH(B1743,DE_PARA!$A$6:$A$205,0)),"SEM DE-PARA"))</f>
        <v/>
      </c>
      <c r="E1743" s="23" t="str">
        <f aca="false">IF(A1743="","",DATE(YEAR(A1743),MONTH(A1743),1))</f>
        <v/>
      </c>
    </row>
    <row r="1744" customFormat="false" ht="15" hidden="false" customHeight="false" outlineLevel="0" collapsed="false">
      <c r="A1744" s="21"/>
      <c r="B1744" s="4"/>
      <c r="C1744" s="22"/>
      <c r="D1744" s="5" t="str">
        <f aca="false">IF(B1744="","",IFERROR(INDEX(DE_PARA!$B$6:$B$205,MATCH(B1744,DE_PARA!$A$6:$A$205,0)),"SEM DE-PARA"))</f>
        <v/>
      </c>
      <c r="E1744" s="23" t="str">
        <f aca="false">IF(A1744="","",DATE(YEAR(A1744),MONTH(A1744),1))</f>
        <v/>
      </c>
    </row>
    <row r="1745" customFormat="false" ht="15" hidden="false" customHeight="false" outlineLevel="0" collapsed="false">
      <c r="A1745" s="21"/>
      <c r="B1745" s="4"/>
      <c r="C1745" s="22"/>
      <c r="D1745" s="5" t="str">
        <f aca="false">IF(B1745="","",IFERROR(INDEX(DE_PARA!$B$6:$B$205,MATCH(B1745,DE_PARA!$A$6:$A$205,0)),"SEM DE-PARA"))</f>
        <v/>
      </c>
      <c r="E1745" s="23" t="str">
        <f aca="false">IF(A1745="","",DATE(YEAR(A1745),MONTH(A1745),1))</f>
        <v/>
      </c>
    </row>
    <row r="1746" customFormat="false" ht="15" hidden="false" customHeight="false" outlineLevel="0" collapsed="false">
      <c r="A1746" s="21"/>
      <c r="B1746" s="4"/>
      <c r="C1746" s="22"/>
      <c r="D1746" s="5" t="str">
        <f aca="false">IF(B1746="","",IFERROR(INDEX(DE_PARA!$B$6:$B$205,MATCH(B1746,DE_PARA!$A$6:$A$205,0)),"SEM DE-PARA"))</f>
        <v/>
      </c>
      <c r="E1746" s="23" t="str">
        <f aca="false">IF(A1746="","",DATE(YEAR(A1746),MONTH(A1746),1))</f>
        <v/>
      </c>
    </row>
    <row r="1747" customFormat="false" ht="15" hidden="false" customHeight="false" outlineLevel="0" collapsed="false">
      <c r="A1747" s="21"/>
      <c r="B1747" s="4"/>
      <c r="C1747" s="22"/>
      <c r="D1747" s="5" t="str">
        <f aca="false">IF(B1747="","",IFERROR(INDEX(DE_PARA!$B$6:$B$205,MATCH(B1747,DE_PARA!$A$6:$A$205,0)),"SEM DE-PARA"))</f>
        <v/>
      </c>
      <c r="E1747" s="23" t="str">
        <f aca="false">IF(A1747="","",DATE(YEAR(A1747),MONTH(A1747),1))</f>
        <v/>
      </c>
    </row>
    <row r="1748" customFormat="false" ht="15" hidden="false" customHeight="false" outlineLevel="0" collapsed="false">
      <c r="A1748" s="21"/>
      <c r="B1748" s="4"/>
      <c r="C1748" s="22"/>
      <c r="D1748" s="5" t="str">
        <f aca="false">IF(B1748="","",IFERROR(INDEX(DE_PARA!$B$6:$B$205,MATCH(B1748,DE_PARA!$A$6:$A$205,0)),"SEM DE-PARA"))</f>
        <v/>
      </c>
      <c r="E1748" s="23" t="str">
        <f aca="false">IF(A1748="","",DATE(YEAR(A1748),MONTH(A1748),1))</f>
        <v/>
      </c>
    </row>
    <row r="1749" customFormat="false" ht="15" hidden="false" customHeight="false" outlineLevel="0" collapsed="false">
      <c r="A1749" s="21"/>
      <c r="B1749" s="4"/>
      <c r="C1749" s="22"/>
      <c r="D1749" s="5" t="str">
        <f aca="false">IF(B1749="","",IFERROR(INDEX(DE_PARA!$B$6:$B$205,MATCH(B1749,DE_PARA!$A$6:$A$205,0)),"SEM DE-PARA"))</f>
        <v/>
      </c>
      <c r="E1749" s="23" t="str">
        <f aca="false">IF(A1749="","",DATE(YEAR(A1749),MONTH(A1749),1))</f>
        <v/>
      </c>
    </row>
    <row r="1750" customFormat="false" ht="15" hidden="false" customHeight="false" outlineLevel="0" collapsed="false">
      <c r="A1750" s="21"/>
      <c r="B1750" s="4"/>
      <c r="C1750" s="22"/>
      <c r="D1750" s="5" t="str">
        <f aca="false">IF(B1750="","",IFERROR(INDEX(DE_PARA!$B$6:$B$205,MATCH(B1750,DE_PARA!$A$6:$A$205,0)),"SEM DE-PARA"))</f>
        <v/>
      </c>
      <c r="E1750" s="23" t="str">
        <f aca="false">IF(A1750="","",DATE(YEAR(A1750),MONTH(A1750),1))</f>
        <v/>
      </c>
    </row>
    <row r="1751" customFormat="false" ht="15" hidden="false" customHeight="false" outlineLevel="0" collapsed="false">
      <c r="A1751" s="21"/>
      <c r="B1751" s="4"/>
      <c r="C1751" s="22"/>
      <c r="D1751" s="5" t="str">
        <f aca="false">IF(B1751="","",IFERROR(INDEX(DE_PARA!$B$6:$B$205,MATCH(B1751,DE_PARA!$A$6:$A$205,0)),"SEM DE-PARA"))</f>
        <v/>
      </c>
      <c r="E1751" s="23" t="str">
        <f aca="false">IF(A1751="","",DATE(YEAR(A1751),MONTH(A1751),1))</f>
        <v/>
      </c>
    </row>
    <row r="1752" customFormat="false" ht="15" hidden="false" customHeight="false" outlineLevel="0" collapsed="false">
      <c r="A1752" s="21"/>
      <c r="B1752" s="4"/>
      <c r="C1752" s="22"/>
      <c r="D1752" s="5" t="str">
        <f aca="false">IF(B1752="","",IFERROR(INDEX(DE_PARA!$B$6:$B$205,MATCH(B1752,DE_PARA!$A$6:$A$205,0)),"SEM DE-PARA"))</f>
        <v/>
      </c>
      <c r="E1752" s="23" t="str">
        <f aca="false">IF(A1752="","",DATE(YEAR(A1752),MONTH(A1752),1))</f>
        <v/>
      </c>
    </row>
    <row r="1753" customFormat="false" ht="15" hidden="false" customHeight="false" outlineLevel="0" collapsed="false">
      <c r="A1753" s="21"/>
      <c r="B1753" s="4"/>
      <c r="C1753" s="22"/>
      <c r="D1753" s="5" t="str">
        <f aca="false">IF(B1753="","",IFERROR(INDEX(DE_PARA!$B$6:$B$205,MATCH(B1753,DE_PARA!$A$6:$A$205,0)),"SEM DE-PARA"))</f>
        <v/>
      </c>
      <c r="E1753" s="23" t="str">
        <f aca="false">IF(A1753="","",DATE(YEAR(A1753),MONTH(A1753),1))</f>
        <v/>
      </c>
    </row>
    <row r="1754" customFormat="false" ht="15" hidden="false" customHeight="false" outlineLevel="0" collapsed="false">
      <c r="A1754" s="21"/>
      <c r="B1754" s="4"/>
      <c r="C1754" s="22"/>
      <c r="D1754" s="5" t="str">
        <f aca="false">IF(B1754="","",IFERROR(INDEX(DE_PARA!$B$6:$B$205,MATCH(B1754,DE_PARA!$A$6:$A$205,0)),"SEM DE-PARA"))</f>
        <v/>
      </c>
      <c r="E1754" s="23" t="str">
        <f aca="false">IF(A1754="","",DATE(YEAR(A1754),MONTH(A1754),1))</f>
        <v/>
      </c>
    </row>
    <row r="1755" customFormat="false" ht="15" hidden="false" customHeight="false" outlineLevel="0" collapsed="false">
      <c r="A1755" s="21"/>
      <c r="B1755" s="4"/>
      <c r="C1755" s="22"/>
      <c r="D1755" s="5" t="str">
        <f aca="false">IF(B1755="","",IFERROR(INDEX(DE_PARA!$B$6:$B$205,MATCH(B1755,DE_PARA!$A$6:$A$205,0)),"SEM DE-PARA"))</f>
        <v/>
      </c>
      <c r="E1755" s="23" t="str">
        <f aca="false">IF(A1755="","",DATE(YEAR(A1755),MONTH(A1755),1))</f>
        <v/>
      </c>
    </row>
    <row r="1756" customFormat="false" ht="15" hidden="false" customHeight="false" outlineLevel="0" collapsed="false">
      <c r="A1756" s="21"/>
      <c r="B1756" s="4"/>
      <c r="C1756" s="22"/>
      <c r="D1756" s="5" t="str">
        <f aca="false">IF(B1756="","",IFERROR(INDEX(DE_PARA!$B$6:$B$205,MATCH(B1756,DE_PARA!$A$6:$A$205,0)),"SEM DE-PARA"))</f>
        <v/>
      </c>
      <c r="E1756" s="23" t="str">
        <f aca="false">IF(A1756="","",DATE(YEAR(A1756),MONTH(A1756),1))</f>
        <v/>
      </c>
    </row>
    <row r="1757" customFormat="false" ht="15" hidden="false" customHeight="false" outlineLevel="0" collapsed="false">
      <c r="A1757" s="21"/>
      <c r="B1757" s="4"/>
      <c r="C1757" s="22"/>
      <c r="D1757" s="5" t="str">
        <f aca="false">IF(B1757="","",IFERROR(INDEX(DE_PARA!$B$6:$B$205,MATCH(B1757,DE_PARA!$A$6:$A$205,0)),"SEM DE-PARA"))</f>
        <v/>
      </c>
      <c r="E1757" s="23" t="str">
        <f aca="false">IF(A1757="","",DATE(YEAR(A1757),MONTH(A1757),1))</f>
        <v/>
      </c>
    </row>
    <row r="1758" customFormat="false" ht="15" hidden="false" customHeight="false" outlineLevel="0" collapsed="false">
      <c r="A1758" s="21"/>
      <c r="B1758" s="4"/>
      <c r="C1758" s="22"/>
      <c r="D1758" s="5" t="str">
        <f aca="false">IF(B1758="","",IFERROR(INDEX(DE_PARA!$B$6:$B$205,MATCH(B1758,DE_PARA!$A$6:$A$205,0)),"SEM DE-PARA"))</f>
        <v/>
      </c>
      <c r="E1758" s="23" t="str">
        <f aca="false">IF(A1758="","",DATE(YEAR(A1758),MONTH(A1758),1))</f>
        <v/>
      </c>
    </row>
    <row r="1759" customFormat="false" ht="15" hidden="false" customHeight="false" outlineLevel="0" collapsed="false">
      <c r="A1759" s="21"/>
      <c r="B1759" s="4"/>
      <c r="C1759" s="22"/>
      <c r="D1759" s="5" t="str">
        <f aca="false">IF(B1759="","",IFERROR(INDEX(DE_PARA!$B$6:$B$205,MATCH(B1759,DE_PARA!$A$6:$A$205,0)),"SEM DE-PARA"))</f>
        <v/>
      </c>
      <c r="E1759" s="23" t="str">
        <f aca="false">IF(A1759="","",DATE(YEAR(A1759),MONTH(A1759),1))</f>
        <v/>
      </c>
    </row>
    <row r="1760" customFormat="false" ht="15" hidden="false" customHeight="false" outlineLevel="0" collapsed="false">
      <c r="A1760" s="21"/>
      <c r="B1760" s="4"/>
      <c r="C1760" s="22"/>
      <c r="D1760" s="5" t="str">
        <f aca="false">IF(B1760="","",IFERROR(INDEX(DE_PARA!$B$6:$B$205,MATCH(B1760,DE_PARA!$A$6:$A$205,0)),"SEM DE-PARA"))</f>
        <v/>
      </c>
      <c r="E1760" s="23" t="str">
        <f aca="false">IF(A1760="","",DATE(YEAR(A1760),MONTH(A1760),1))</f>
        <v/>
      </c>
    </row>
    <row r="1761" customFormat="false" ht="15" hidden="false" customHeight="false" outlineLevel="0" collapsed="false">
      <c r="A1761" s="21"/>
      <c r="B1761" s="4"/>
      <c r="C1761" s="22"/>
      <c r="D1761" s="5" t="str">
        <f aca="false">IF(B1761="","",IFERROR(INDEX(DE_PARA!$B$6:$B$205,MATCH(B1761,DE_PARA!$A$6:$A$205,0)),"SEM DE-PARA"))</f>
        <v/>
      </c>
      <c r="E1761" s="23" t="str">
        <f aca="false">IF(A1761="","",DATE(YEAR(A1761),MONTH(A1761),1))</f>
        <v/>
      </c>
    </row>
    <row r="1762" customFormat="false" ht="15" hidden="false" customHeight="false" outlineLevel="0" collapsed="false">
      <c r="A1762" s="21"/>
      <c r="B1762" s="4"/>
      <c r="C1762" s="22"/>
      <c r="D1762" s="5" t="str">
        <f aca="false">IF(B1762="","",IFERROR(INDEX(DE_PARA!$B$6:$B$205,MATCH(B1762,DE_PARA!$A$6:$A$205,0)),"SEM DE-PARA"))</f>
        <v/>
      </c>
      <c r="E1762" s="23" t="str">
        <f aca="false">IF(A1762="","",DATE(YEAR(A1762),MONTH(A1762),1))</f>
        <v/>
      </c>
    </row>
    <row r="1763" customFormat="false" ht="15" hidden="false" customHeight="false" outlineLevel="0" collapsed="false">
      <c r="A1763" s="21"/>
      <c r="B1763" s="4"/>
      <c r="C1763" s="22"/>
      <c r="D1763" s="5" t="str">
        <f aca="false">IF(B1763="","",IFERROR(INDEX(DE_PARA!$B$6:$B$205,MATCH(B1763,DE_PARA!$A$6:$A$205,0)),"SEM DE-PARA"))</f>
        <v/>
      </c>
      <c r="E1763" s="23" t="str">
        <f aca="false">IF(A1763="","",DATE(YEAR(A1763),MONTH(A1763),1))</f>
        <v/>
      </c>
    </row>
    <row r="1764" customFormat="false" ht="15" hidden="false" customHeight="false" outlineLevel="0" collapsed="false">
      <c r="A1764" s="21"/>
      <c r="B1764" s="4"/>
      <c r="C1764" s="22"/>
      <c r="D1764" s="5" t="str">
        <f aca="false">IF(B1764="","",IFERROR(INDEX(DE_PARA!$B$6:$B$205,MATCH(B1764,DE_PARA!$A$6:$A$205,0)),"SEM DE-PARA"))</f>
        <v/>
      </c>
      <c r="E1764" s="23" t="str">
        <f aca="false">IF(A1764="","",DATE(YEAR(A1764),MONTH(A1764),1))</f>
        <v/>
      </c>
    </row>
    <row r="1765" customFormat="false" ht="15" hidden="false" customHeight="false" outlineLevel="0" collapsed="false">
      <c r="A1765" s="21"/>
      <c r="B1765" s="4"/>
      <c r="C1765" s="22"/>
      <c r="D1765" s="5" t="str">
        <f aca="false">IF(B1765="","",IFERROR(INDEX(DE_PARA!$B$6:$B$205,MATCH(B1765,DE_PARA!$A$6:$A$205,0)),"SEM DE-PARA"))</f>
        <v/>
      </c>
      <c r="E1765" s="23" t="str">
        <f aca="false">IF(A1765="","",DATE(YEAR(A1765),MONTH(A1765),1))</f>
        <v/>
      </c>
    </row>
    <row r="1766" customFormat="false" ht="15" hidden="false" customHeight="false" outlineLevel="0" collapsed="false">
      <c r="A1766" s="21"/>
      <c r="B1766" s="4"/>
      <c r="C1766" s="22"/>
      <c r="D1766" s="5" t="str">
        <f aca="false">IF(B1766="","",IFERROR(INDEX(DE_PARA!$B$6:$B$205,MATCH(B1766,DE_PARA!$A$6:$A$205,0)),"SEM DE-PARA"))</f>
        <v/>
      </c>
      <c r="E1766" s="23" t="str">
        <f aca="false">IF(A1766="","",DATE(YEAR(A1766),MONTH(A1766),1))</f>
        <v/>
      </c>
    </row>
    <row r="1767" customFormat="false" ht="15" hidden="false" customHeight="false" outlineLevel="0" collapsed="false">
      <c r="A1767" s="21"/>
      <c r="B1767" s="4"/>
      <c r="C1767" s="22"/>
      <c r="D1767" s="5" t="str">
        <f aca="false">IF(B1767="","",IFERROR(INDEX(DE_PARA!$B$6:$B$205,MATCH(B1767,DE_PARA!$A$6:$A$205,0)),"SEM DE-PARA"))</f>
        <v/>
      </c>
      <c r="E1767" s="23" t="str">
        <f aca="false">IF(A1767="","",DATE(YEAR(A1767),MONTH(A1767),1))</f>
        <v/>
      </c>
    </row>
    <row r="1768" customFormat="false" ht="15" hidden="false" customHeight="false" outlineLevel="0" collapsed="false">
      <c r="A1768" s="21"/>
      <c r="B1768" s="4"/>
      <c r="C1768" s="22"/>
      <c r="D1768" s="5" t="str">
        <f aca="false">IF(B1768="","",IFERROR(INDEX(DE_PARA!$B$6:$B$205,MATCH(B1768,DE_PARA!$A$6:$A$205,0)),"SEM DE-PARA"))</f>
        <v/>
      </c>
      <c r="E1768" s="23" t="str">
        <f aca="false">IF(A1768="","",DATE(YEAR(A1768),MONTH(A1768),1))</f>
        <v/>
      </c>
    </row>
    <row r="1769" customFormat="false" ht="15" hidden="false" customHeight="false" outlineLevel="0" collapsed="false">
      <c r="A1769" s="21"/>
      <c r="B1769" s="4"/>
      <c r="C1769" s="22"/>
      <c r="D1769" s="5" t="str">
        <f aca="false">IF(B1769="","",IFERROR(INDEX(DE_PARA!$B$6:$B$205,MATCH(B1769,DE_PARA!$A$6:$A$205,0)),"SEM DE-PARA"))</f>
        <v/>
      </c>
      <c r="E1769" s="23" t="str">
        <f aca="false">IF(A1769="","",DATE(YEAR(A1769),MONTH(A1769),1))</f>
        <v/>
      </c>
    </row>
    <row r="1770" customFormat="false" ht="15" hidden="false" customHeight="false" outlineLevel="0" collapsed="false">
      <c r="A1770" s="21"/>
      <c r="B1770" s="4"/>
      <c r="C1770" s="22"/>
      <c r="D1770" s="5" t="str">
        <f aca="false">IF(B1770="","",IFERROR(INDEX(DE_PARA!$B$6:$B$205,MATCH(B1770,DE_PARA!$A$6:$A$205,0)),"SEM DE-PARA"))</f>
        <v/>
      </c>
      <c r="E1770" s="23" t="str">
        <f aca="false">IF(A1770="","",DATE(YEAR(A1770),MONTH(A1770),1))</f>
        <v/>
      </c>
    </row>
    <row r="1771" customFormat="false" ht="15" hidden="false" customHeight="false" outlineLevel="0" collapsed="false">
      <c r="A1771" s="21"/>
      <c r="B1771" s="4"/>
      <c r="C1771" s="22"/>
      <c r="D1771" s="5" t="str">
        <f aca="false">IF(B1771="","",IFERROR(INDEX(DE_PARA!$B$6:$B$205,MATCH(B1771,DE_PARA!$A$6:$A$205,0)),"SEM DE-PARA"))</f>
        <v/>
      </c>
      <c r="E1771" s="23" t="str">
        <f aca="false">IF(A1771="","",DATE(YEAR(A1771),MONTH(A1771),1))</f>
        <v/>
      </c>
    </row>
    <row r="1772" customFormat="false" ht="15" hidden="false" customHeight="false" outlineLevel="0" collapsed="false">
      <c r="A1772" s="21"/>
      <c r="B1772" s="4"/>
      <c r="C1772" s="22"/>
      <c r="D1772" s="5" t="str">
        <f aca="false">IF(B1772="","",IFERROR(INDEX(DE_PARA!$B$6:$B$205,MATCH(B1772,DE_PARA!$A$6:$A$205,0)),"SEM DE-PARA"))</f>
        <v/>
      </c>
      <c r="E1772" s="23" t="str">
        <f aca="false">IF(A1772="","",DATE(YEAR(A1772),MONTH(A1772),1))</f>
        <v/>
      </c>
    </row>
    <row r="1773" customFormat="false" ht="15" hidden="false" customHeight="false" outlineLevel="0" collapsed="false">
      <c r="A1773" s="21"/>
      <c r="B1773" s="4"/>
      <c r="C1773" s="22"/>
      <c r="D1773" s="5" t="str">
        <f aca="false">IF(B1773="","",IFERROR(INDEX(DE_PARA!$B$6:$B$205,MATCH(B1773,DE_PARA!$A$6:$A$205,0)),"SEM DE-PARA"))</f>
        <v/>
      </c>
      <c r="E1773" s="23" t="str">
        <f aca="false">IF(A1773="","",DATE(YEAR(A1773),MONTH(A1773),1))</f>
        <v/>
      </c>
    </row>
    <row r="1774" customFormat="false" ht="15" hidden="false" customHeight="false" outlineLevel="0" collapsed="false">
      <c r="A1774" s="21"/>
      <c r="B1774" s="4"/>
      <c r="C1774" s="22"/>
      <c r="D1774" s="5" t="str">
        <f aca="false">IF(B1774="","",IFERROR(INDEX(DE_PARA!$B$6:$B$205,MATCH(B1774,DE_PARA!$A$6:$A$205,0)),"SEM DE-PARA"))</f>
        <v/>
      </c>
      <c r="E1774" s="23" t="str">
        <f aca="false">IF(A1774="","",DATE(YEAR(A1774),MONTH(A1774),1))</f>
        <v/>
      </c>
    </row>
    <row r="1775" customFormat="false" ht="15" hidden="false" customHeight="false" outlineLevel="0" collapsed="false">
      <c r="A1775" s="21"/>
      <c r="B1775" s="4"/>
      <c r="C1775" s="22"/>
      <c r="D1775" s="5" t="str">
        <f aca="false">IF(B1775="","",IFERROR(INDEX(DE_PARA!$B$6:$B$205,MATCH(B1775,DE_PARA!$A$6:$A$205,0)),"SEM DE-PARA"))</f>
        <v/>
      </c>
      <c r="E1775" s="23" t="str">
        <f aca="false">IF(A1775="","",DATE(YEAR(A1775),MONTH(A1775),1))</f>
        <v/>
      </c>
    </row>
    <row r="1776" customFormat="false" ht="15" hidden="false" customHeight="false" outlineLevel="0" collapsed="false">
      <c r="A1776" s="21"/>
      <c r="B1776" s="4"/>
      <c r="C1776" s="22"/>
      <c r="D1776" s="5" t="str">
        <f aca="false">IF(B1776="","",IFERROR(INDEX(DE_PARA!$B$6:$B$205,MATCH(B1776,DE_PARA!$A$6:$A$205,0)),"SEM DE-PARA"))</f>
        <v/>
      </c>
      <c r="E1776" s="23" t="str">
        <f aca="false">IF(A1776="","",DATE(YEAR(A1776),MONTH(A1776),1))</f>
        <v/>
      </c>
    </row>
    <row r="1777" customFormat="false" ht="15" hidden="false" customHeight="false" outlineLevel="0" collapsed="false">
      <c r="A1777" s="21"/>
      <c r="B1777" s="4"/>
      <c r="C1777" s="22"/>
      <c r="D1777" s="5" t="str">
        <f aca="false">IF(B1777="","",IFERROR(INDEX(DE_PARA!$B$6:$B$205,MATCH(B1777,DE_PARA!$A$6:$A$205,0)),"SEM DE-PARA"))</f>
        <v/>
      </c>
      <c r="E1777" s="23" t="str">
        <f aca="false">IF(A1777="","",DATE(YEAR(A1777),MONTH(A1777),1))</f>
        <v/>
      </c>
    </row>
    <row r="1778" customFormat="false" ht="15" hidden="false" customHeight="false" outlineLevel="0" collapsed="false">
      <c r="A1778" s="21"/>
      <c r="B1778" s="4"/>
      <c r="C1778" s="22"/>
      <c r="D1778" s="5" t="str">
        <f aca="false">IF(B1778="","",IFERROR(INDEX(DE_PARA!$B$6:$B$205,MATCH(B1778,DE_PARA!$A$6:$A$205,0)),"SEM DE-PARA"))</f>
        <v/>
      </c>
      <c r="E1778" s="23" t="str">
        <f aca="false">IF(A1778="","",DATE(YEAR(A1778),MONTH(A1778),1))</f>
        <v/>
      </c>
    </row>
    <row r="1779" customFormat="false" ht="15" hidden="false" customHeight="false" outlineLevel="0" collapsed="false">
      <c r="A1779" s="21"/>
      <c r="B1779" s="4"/>
      <c r="C1779" s="22"/>
      <c r="D1779" s="5" t="str">
        <f aca="false">IF(B1779="","",IFERROR(INDEX(DE_PARA!$B$6:$B$205,MATCH(B1779,DE_PARA!$A$6:$A$205,0)),"SEM DE-PARA"))</f>
        <v/>
      </c>
      <c r="E1779" s="23" t="str">
        <f aca="false">IF(A1779="","",DATE(YEAR(A1779),MONTH(A1779),1))</f>
        <v/>
      </c>
    </row>
    <row r="1780" customFormat="false" ht="15" hidden="false" customHeight="false" outlineLevel="0" collapsed="false">
      <c r="A1780" s="21"/>
      <c r="B1780" s="4"/>
      <c r="C1780" s="22"/>
      <c r="D1780" s="5" t="str">
        <f aca="false">IF(B1780="","",IFERROR(INDEX(DE_PARA!$B$6:$B$205,MATCH(B1780,DE_PARA!$A$6:$A$205,0)),"SEM DE-PARA"))</f>
        <v/>
      </c>
      <c r="E1780" s="23" t="str">
        <f aca="false">IF(A1780="","",DATE(YEAR(A1780),MONTH(A1780),1))</f>
        <v/>
      </c>
    </row>
    <row r="1781" customFormat="false" ht="15" hidden="false" customHeight="false" outlineLevel="0" collapsed="false">
      <c r="A1781" s="21"/>
      <c r="B1781" s="4"/>
      <c r="C1781" s="22"/>
      <c r="D1781" s="5" t="str">
        <f aca="false">IF(B1781="","",IFERROR(INDEX(DE_PARA!$B$6:$B$205,MATCH(B1781,DE_PARA!$A$6:$A$205,0)),"SEM DE-PARA"))</f>
        <v/>
      </c>
      <c r="E1781" s="23" t="str">
        <f aca="false">IF(A1781="","",DATE(YEAR(A1781),MONTH(A1781),1))</f>
        <v/>
      </c>
    </row>
    <row r="1782" customFormat="false" ht="15" hidden="false" customHeight="false" outlineLevel="0" collapsed="false">
      <c r="A1782" s="21"/>
      <c r="B1782" s="4"/>
      <c r="C1782" s="22"/>
      <c r="D1782" s="5" t="str">
        <f aca="false">IF(B1782="","",IFERROR(INDEX(DE_PARA!$B$6:$B$205,MATCH(B1782,DE_PARA!$A$6:$A$205,0)),"SEM DE-PARA"))</f>
        <v/>
      </c>
      <c r="E1782" s="23" t="str">
        <f aca="false">IF(A1782="","",DATE(YEAR(A1782),MONTH(A1782),1))</f>
        <v/>
      </c>
    </row>
    <row r="1783" customFormat="false" ht="15" hidden="false" customHeight="false" outlineLevel="0" collapsed="false">
      <c r="A1783" s="21"/>
      <c r="B1783" s="4"/>
      <c r="C1783" s="22"/>
      <c r="D1783" s="5" t="str">
        <f aca="false">IF(B1783="","",IFERROR(INDEX(DE_PARA!$B$6:$B$205,MATCH(B1783,DE_PARA!$A$6:$A$205,0)),"SEM DE-PARA"))</f>
        <v/>
      </c>
      <c r="E1783" s="23" t="str">
        <f aca="false">IF(A1783="","",DATE(YEAR(A1783),MONTH(A1783),1))</f>
        <v/>
      </c>
    </row>
    <row r="1784" customFormat="false" ht="15" hidden="false" customHeight="false" outlineLevel="0" collapsed="false">
      <c r="A1784" s="21"/>
      <c r="B1784" s="4"/>
      <c r="C1784" s="22"/>
      <c r="D1784" s="5" t="str">
        <f aca="false">IF(B1784="","",IFERROR(INDEX(DE_PARA!$B$6:$B$205,MATCH(B1784,DE_PARA!$A$6:$A$205,0)),"SEM DE-PARA"))</f>
        <v/>
      </c>
      <c r="E1784" s="23" t="str">
        <f aca="false">IF(A1784="","",DATE(YEAR(A1784),MONTH(A1784),1))</f>
        <v/>
      </c>
    </row>
    <row r="1785" customFormat="false" ht="15" hidden="false" customHeight="false" outlineLevel="0" collapsed="false">
      <c r="A1785" s="21"/>
      <c r="B1785" s="4"/>
      <c r="C1785" s="22"/>
      <c r="D1785" s="5" t="str">
        <f aca="false">IF(B1785="","",IFERROR(INDEX(DE_PARA!$B$6:$B$205,MATCH(B1785,DE_PARA!$A$6:$A$205,0)),"SEM DE-PARA"))</f>
        <v/>
      </c>
      <c r="E1785" s="23" t="str">
        <f aca="false">IF(A1785="","",DATE(YEAR(A1785),MONTH(A1785),1))</f>
        <v/>
      </c>
    </row>
    <row r="1786" customFormat="false" ht="15" hidden="false" customHeight="false" outlineLevel="0" collapsed="false">
      <c r="A1786" s="21"/>
      <c r="B1786" s="4"/>
      <c r="C1786" s="22"/>
      <c r="D1786" s="5" t="str">
        <f aca="false">IF(B1786="","",IFERROR(INDEX(DE_PARA!$B$6:$B$205,MATCH(B1786,DE_PARA!$A$6:$A$205,0)),"SEM DE-PARA"))</f>
        <v/>
      </c>
      <c r="E1786" s="23" t="str">
        <f aca="false">IF(A1786="","",DATE(YEAR(A1786),MONTH(A1786),1))</f>
        <v/>
      </c>
    </row>
    <row r="1787" customFormat="false" ht="15" hidden="false" customHeight="false" outlineLevel="0" collapsed="false">
      <c r="A1787" s="21"/>
      <c r="B1787" s="4"/>
      <c r="C1787" s="22"/>
      <c r="D1787" s="5" t="str">
        <f aca="false">IF(B1787="","",IFERROR(INDEX(DE_PARA!$B$6:$B$205,MATCH(B1787,DE_PARA!$A$6:$A$205,0)),"SEM DE-PARA"))</f>
        <v/>
      </c>
      <c r="E1787" s="23" t="str">
        <f aca="false">IF(A1787="","",DATE(YEAR(A1787),MONTH(A1787),1))</f>
        <v/>
      </c>
    </row>
    <row r="1788" customFormat="false" ht="15" hidden="false" customHeight="false" outlineLevel="0" collapsed="false">
      <c r="A1788" s="21"/>
      <c r="B1788" s="4"/>
      <c r="C1788" s="22"/>
      <c r="D1788" s="5" t="str">
        <f aca="false">IF(B1788="","",IFERROR(INDEX(DE_PARA!$B$6:$B$205,MATCH(B1788,DE_PARA!$A$6:$A$205,0)),"SEM DE-PARA"))</f>
        <v/>
      </c>
      <c r="E1788" s="23" t="str">
        <f aca="false">IF(A1788="","",DATE(YEAR(A1788),MONTH(A1788),1))</f>
        <v/>
      </c>
    </row>
    <row r="1789" customFormat="false" ht="15" hidden="false" customHeight="false" outlineLevel="0" collapsed="false">
      <c r="A1789" s="21"/>
      <c r="B1789" s="4"/>
      <c r="C1789" s="22"/>
      <c r="D1789" s="5" t="str">
        <f aca="false">IF(B1789="","",IFERROR(INDEX(DE_PARA!$B$6:$B$205,MATCH(B1789,DE_PARA!$A$6:$A$205,0)),"SEM DE-PARA"))</f>
        <v/>
      </c>
      <c r="E1789" s="23" t="str">
        <f aca="false">IF(A1789="","",DATE(YEAR(A1789),MONTH(A1789),1))</f>
        <v/>
      </c>
    </row>
    <row r="1790" customFormat="false" ht="15" hidden="false" customHeight="false" outlineLevel="0" collapsed="false">
      <c r="A1790" s="21"/>
      <c r="B1790" s="4"/>
      <c r="C1790" s="22"/>
      <c r="D1790" s="5" t="str">
        <f aca="false">IF(B1790="","",IFERROR(INDEX(DE_PARA!$B$6:$B$205,MATCH(B1790,DE_PARA!$A$6:$A$205,0)),"SEM DE-PARA"))</f>
        <v/>
      </c>
      <c r="E1790" s="23" t="str">
        <f aca="false">IF(A1790="","",DATE(YEAR(A1790),MONTH(A1790),1))</f>
        <v/>
      </c>
    </row>
    <row r="1791" customFormat="false" ht="15" hidden="false" customHeight="false" outlineLevel="0" collapsed="false">
      <c r="A1791" s="21"/>
      <c r="B1791" s="4"/>
      <c r="C1791" s="22"/>
      <c r="D1791" s="5" t="str">
        <f aca="false">IF(B1791="","",IFERROR(INDEX(DE_PARA!$B$6:$B$205,MATCH(B1791,DE_PARA!$A$6:$A$205,0)),"SEM DE-PARA"))</f>
        <v/>
      </c>
      <c r="E1791" s="23" t="str">
        <f aca="false">IF(A1791="","",DATE(YEAR(A1791),MONTH(A1791),1))</f>
        <v/>
      </c>
    </row>
    <row r="1792" customFormat="false" ht="15" hidden="false" customHeight="false" outlineLevel="0" collapsed="false">
      <c r="A1792" s="21"/>
      <c r="B1792" s="4"/>
      <c r="C1792" s="22"/>
      <c r="D1792" s="5" t="str">
        <f aca="false">IF(B1792="","",IFERROR(INDEX(DE_PARA!$B$6:$B$205,MATCH(B1792,DE_PARA!$A$6:$A$205,0)),"SEM DE-PARA"))</f>
        <v/>
      </c>
      <c r="E1792" s="23" t="str">
        <f aca="false">IF(A1792="","",DATE(YEAR(A1792),MONTH(A1792),1))</f>
        <v/>
      </c>
    </row>
    <row r="1793" customFormat="false" ht="15" hidden="false" customHeight="false" outlineLevel="0" collapsed="false">
      <c r="A1793" s="21"/>
      <c r="B1793" s="4"/>
      <c r="C1793" s="22"/>
      <c r="D1793" s="5" t="str">
        <f aca="false">IF(B1793="","",IFERROR(INDEX(DE_PARA!$B$6:$B$205,MATCH(B1793,DE_PARA!$A$6:$A$205,0)),"SEM DE-PARA"))</f>
        <v/>
      </c>
      <c r="E1793" s="23" t="str">
        <f aca="false">IF(A1793="","",DATE(YEAR(A1793),MONTH(A1793),1))</f>
        <v/>
      </c>
    </row>
    <row r="1794" customFormat="false" ht="15" hidden="false" customHeight="false" outlineLevel="0" collapsed="false">
      <c r="A1794" s="21"/>
      <c r="B1794" s="4"/>
      <c r="C1794" s="22"/>
      <c r="D1794" s="5" t="str">
        <f aca="false">IF(B1794="","",IFERROR(INDEX(DE_PARA!$B$6:$B$205,MATCH(B1794,DE_PARA!$A$6:$A$205,0)),"SEM DE-PARA"))</f>
        <v/>
      </c>
      <c r="E1794" s="23" t="str">
        <f aca="false">IF(A1794="","",DATE(YEAR(A1794),MONTH(A1794),1))</f>
        <v/>
      </c>
    </row>
    <row r="1795" customFormat="false" ht="15" hidden="false" customHeight="false" outlineLevel="0" collapsed="false">
      <c r="A1795" s="21"/>
      <c r="B1795" s="4"/>
      <c r="C1795" s="22"/>
      <c r="D1795" s="5" t="str">
        <f aca="false">IF(B1795="","",IFERROR(INDEX(DE_PARA!$B$6:$B$205,MATCH(B1795,DE_PARA!$A$6:$A$205,0)),"SEM DE-PARA"))</f>
        <v/>
      </c>
      <c r="E1795" s="23" t="str">
        <f aca="false">IF(A1795="","",DATE(YEAR(A1795),MONTH(A1795),1))</f>
        <v/>
      </c>
    </row>
    <row r="1796" customFormat="false" ht="15" hidden="false" customHeight="false" outlineLevel="0" collapsed="false">
      <c r="A1796" s="21"/>
      <c r="B1796" s="4"/>
      <c r="C1796" s="22"/>
      <c r="D1796" s="5" t="str">
        <f aca="false">IF(B1796="","",IFERROR(INDEX(DE_PARA!$B$6:$B$205,MATCH(B1796,DE_PARA!$A$6:$A$205,0)),"SEM DE-PARA"))</f>
        <v/>
      </c>
      <c r="E1796" s="23" t="str">
        <f aca="false">IF(A1796="","",DATE(YEAR(A1796),MONTH(A1796),1))</f>
        <v/>
      </c>
    </row>
    <row r="1797" customFormat="false" ht="15" hidden="false" customHeight="false" outlineLevel="0" collapsed="false">
      <c r="A1797" s="21"/>
      <c r="B1797" s="4"/>
      <c r="C1797" s="22"/>
      <c r="D1797" s="5" t="str">
        <f aca="false">IF(B1797="","",IFERROR(INDEX(DE_PARA!$B$6:$B$205,MATCH(B1797,DE_PARA!$A$6:$A$205,0)),"SEM DE-PARA"))</f>
        <v/>
      </c>
      <c r="E1797" s="23" t="str">
        <f aca="false">IF(A1797="","",DATE(YEAR(A1797),MONTH(A1797),1))</f>
        <v/>
      </c>
    </row>
    <row r="1798" customFormat="false" ht="15" hidden="false" customHeight="false" outlineLevel="0" collapsed="false">
      <c r="A1798" s="21"/>
      <c r="B1798" s="4"/>
      <c r="C1798" s="22"/>
      <c r="D1798" s="5" t="str">
        <f aca="false">IF(B1798="","",IFERROR(INDEX(DE_PARA!$B$6:$B$205,MATCH(B1798,DE_PARA!$A$6:$A$205,0)),"SEM DE-PARA"))</f>
        <v/>
      </c>
      <c r="E1798" s="23" t="str">
        <f aca="false">IF(A1798="","",DATE(YEAR(A1798),MONTH(A1798),1))</f>
        <v/>
      </c>
    </row>
    <row r="1799" customFormat="false" ht="15" hidden="false" customHeight="false" outlineLevel="0" collapsed="false">
      <c r="A1799" s="21"/>
      <c r="B1799" s="4"/>
      <c r="C1799" s="22"/>
      <c r="D1799" s="5" t="str">
        <f aca="false">IF(B1799="","",IFERROR(INDEX(DE_PARA!$B$6:$B$205,MATCH(B1799,DE_PARA!$A$6:$A$205,0)),"SEM DE-PARA"))</f>
        <v/>
      </c>
      <c r="E1799" s="23" t="str">
        <f aca="false">IF(A1799="","",DATE(YEAR(A1799),MONTH(A1799),1))</f>
        <v/>
      </c>
    </row>
    <row r="1800" customFormat="false" ht="15" hidden="false" customHeight="false" outlineLevel="0" collapsed="false">
      <c r="A1800" s="21"/>
      <c r="B1800" s="4"/>
      <c r="C1800" s="22"/>
      <c r="D1800" s="5" t="str">
        <f aca="false">IF(B1800="","",IFERROR(INDEX(DE_PARA!$B$6:$B$205,MATCH(B1800,DE_PARA!$A$6:$A$205,0)),"SEM DE-PARA"))</f>
        <v/>
      </c>
      <c r="E1800" s="23" t="str">
        <f aca="false">IF(A1800="","",DATE(YEAR(A1800),MONTH(A1800),1))</f>
        <v/>
      </c>
    </row>
    <row r="1801" customFormat="false" ht="15" hidden="false" customHeight="false" outlineLevel="0" collapsed="false">
      <c r="A1801" s="21"/>
      <c r="B1801" s="4"/>
      <c r="C1801" s="22"/>
      <c r="D1801" s="5" t="str">
        <f aca="false">IF(B1801="","",IFERROR(INDEX(DE_PARA!$B$6:$B$205,MATCH(B1801,DE_PARA!$A$6:$A$205,0)),"SEM DE-PARA"))</f>
        <v/>
      </c>
      <c r="E1801" s="23" t="str">
        <f aca="false">IF(A1801="","",DATE(YEAR(A1801),MONTH(A1801),1))</f>
        <v/>
      </c>
    </row>
    <row r="1802" customFormat="false" ht="15" hidden="false" customHeight="false" outlineLevel="0" collapsed="false">
      <c r="A1802" s="21"/>
      <c r="B1802" s="4"/>
      <c r="C1802" s="22"/>
      <c r="D1802" s="5" t="str">
        <f aca="false">IF(B1802="","",IFERROR(INDEX(DE_PARA!$B$6:$B$205,MATCH(B1802,DE_PARA!$A$6:$A$205,0)),"SEM DE-PARA"))</f>
        <v/>
      </c>
      <c r="E1802" s="23" t="str">
        <f aca="false">IF(A1802="","",DATE(YEAR(A1802),MONTH(A1802),1))</f>
        <v/>
      </c>
    </row>
    <row r="1803" customFormat="false" ht="15" hidden="false" customHeight="false" outlineLevel="0" collapsed="false">
      <c r="A1803" s="21"/>
      <c r="B1803" s="4"/>
      <c r="C1803" s="22"/>
      <c r="D1803" s="5" t="str">
        <f aca="false">IF(B1803="","",IFERROR(INDEX(DE_PARA!$B$6:$B$205,MATCH(B1803,DE_PARA!$A$6:$A$205,0)),"SEM DE-PARA"))</f>
        <v/>
      </c>
      <c r="E1803" s="23" t="str">
        <f aca="false">IF(A1803="","",DATE(YEAR(A1803),MONTH(A1803),1))</f>
        <v/>
      </c>
    </row>
    <row r="1804" customFormat="false" ht="15" hidden="false" customHeight="false" outlineLevel="0" collapsed="false">
      <c r="A1804" s="21"/>
      <c r="B1804" s="4"/>
      <c r="C1804" s="22"/>
      <c r="D1804" s="5" t="str">
        <f aca="false">IF(B1804="","",IFERROR(INDEX(DE_PARA!$B$6:$B$205,MATCH(B1804,DE_PARA!$A$6:$A$205,0)),"SEM DE-PARA"))</f>
        <v/>
      </c>
      <c r="E1804" s="23" t="str">
        <f aca="false">IF(A1804="","",DATE(YEAR(A1804),MONTH(A1804),1))</f>
        <v/>
      </c>
    </row>
    <row r="1805" customFormat="false" ht="15" hidden="false" customHeight="false" outlineLevel="0" collapsed="false">
      <c r="A1805" s="21"/>
      <c r="B1805" s="4"/>
      <c r="C1805" s="22"/>
      <c r="D1805" s="5" t="str">
        <f aca="false">IF(B1805="","",IFERROR(INDEX(DE_PARA!$B$6:$B$205,MATCH(B1805,DE_PARA!$A$6:$A$205,0)),"SEM DE-PARA"))</f>
        <v/>
      </c>
      <c r="E1805" s="23" t="str">
        <f aca="false">IF(A1805="","",DATE(YEAR(A1805),MONTH(A1805),1))</f>
        <v/>
      </c>
    </row>
    <row r="1806" customFormat="false" ht="15" hidden="false" customHeight="false" outlineLevel="0" collapsed="false">
      <c r="A1806" s="21"/>
      <c r="B1806" s="4"/>
      <c r="C1806" s="22"/>
      <c r="D1806" s="5" t="str">
        <f aca="false">IF(B1806="","",IFERROR(INDEX(DE_PARA!$B$6:$B$205,MATCH(B1806,DE_PARA!$A$6:$A$205,0)),"SEM DE-PARA"))</f>
        <v/>
      </c>
      <c r="E1806" s="23" t="str">
        <f aca="false">IF(A1806="","",DATE(YEAR(A1806),MONTH(A1806),1))</f>
        <v/>
      </c>
    </row>
    <row r="1807" customFormat="false" ht="15" hidden="false" customHeight="false" outlineLevel="0" collapsed="false">
      <c r="A1807" s="21"/>
      <c r="B1807" s="4"/>
      <c r="C1807" s="22"/>
      <c r="D1807" s="5" t="str">
        <f aca="false">IF(B1807="","",IFERROR(INDEX(DE_PARA!$B$6:$B$205,MATCH(B1807,DE_PARA!$A$6:$A$205,0)),"SEM DE-PARA"))</f>
        <v/>
      </c>
      <c r="E1807" s="23" t="str">
        <f aca="false">IF(A1807="","",DATE(YEAR(A1807),MONTH(A1807),1))</f>
        <v/>
      </c>
    </row>
    <row r="1808" customFormat="false" ht="15" hidden="false" customHeight="false" outlineLevel="0" collapsed="false">
      <c r="A1808" s="21"/>
      <c r="B1808" s="4"/>
      <c r="C1808" s="22"/>
      <c r="D1808" s="5" t="str">
        <f aca="false">IF(B1808="","",IFERROR(INDEX(DE_PARA!$B$6:$B$205,MATCH(B1808,DE_PARA!$A$6:$A$205,0)),"SEM DE-PARA"))</f>
        <v/>
      </c>
      <c r="E1808" s="23" t="str">
        <f aca="false">IF(A1808="","",DATE(YEAR(A1808),MONTH(A1808),1))</f>
        <v/>
      </c>
    </row>
    <row r="1809" customFormat="false" ht="15" hidden="false" customHeight="false" outlineLevel="0" collapsed="false">
      <c r="A1809" s="21"/>
      <c r="B1809" s="4"/>
      <c r="C1809" s="22"/>
      <c r="D1809" s="5" t="str">
        <f aca="false">IF(B1809="","",IFERROR(INDEX(DE_PARA!$B$6:$B$205,MATCH(B1809,DE_PARA!$A$6:$A$205,0)),"SEM DE-PARA"))</f>
        <v/>
      </c>
      <c r="E1809" s="23" t="str">
        <f aca="false">IF(A1809="","",DATE(YEAR(A1809),MONTH(A1809),1))</f>
        <v/>
      </c>
    </row>
    <row r="1810" customFormat="false" ht="15" hidden="false" customHeight="false" outlineLevel="0" collapsed="false">
      <c r="A1810" s="21"/>
      <c r="B1810" s="4"/>
      <c r="C1810" s="22"/>
      <c r="D1810" s="5" t="str">
        <f aca="false">IF(B1810="","",IFERROR(INDEX(DE_PARA!$B$6:$B$205,MATCH(B1810,DE_PARA!$A$6:$A$205,0)),"SEM DE-PARA"))</f>
        <v/>
      </c>
      <c r="E1810" s="23" t="str">
        <f aca="false">IF(A1810="","",DATE(YEAR(A1810),MONTH(A1810),1))</f>
        <v/>
      </c>
    </row>
    <row r="1811" customFormat="false" ht="15" hidden="false" customHeight="false" outlineLevel="0" collapsed="false">
      <c r="A1811" s="21"/>
      <c r="B1811" s="4"/>
      <c r="C1811" s="22"/>
      <c r="D1811" s="5" t="str">
        <f aca="false">IF(B1811="","",IFERROR(INDEX(DE_PARA!$B$6:$B$205,MATCH(B1811,DE_PARA!$A$6:$A$205,0)),"SEM DE-PARA"))</f>
        <v/>
      </c>
      <c r="E1811" s="23" t="str">
        <f aca="false">IF(A1811="","",DATE(YEAR(A1811),MONTH(A1811),1))</f>
        <v/>
      </c>
    </row>
    <row r="1812" customFormat="false" ht="15" hidden="false" customHeight="false" outlineLevel="0" collapsed="false">
      <c r="A1812" s="21"/>
      <c r="B1812" s="4"/>
      <c r="C1812" s="22"/>
      <c r="D1812" s="5" t="str">
        <f aca="false">IF(B1812="","",IFERROR(INDEX(DE_PARA!$B$6:$B$205,MATCH(B1812,DE_PARA!$A$6:$A$205,0)),"SEM DE-PARA"))</f>
        <v/>
      </c>
      <c r="E1812" s="23" t="str">
        <f aca="false">IF(A1812="","",DATE(YEAR(A1812),MONTH(A1812),1))</f>
        <v/>
      </c>
    </row>
    <row r="1813" customFormat="false" ht="15" hidden="false" customHeight="false" outlineLevel="0" collapsed="false">
      <c r="A1813" s="21"/>
      <c r="B1813" s="4"/>
      <c r="C1813" s="22"/>
      <c r="D1813" s="5" t="str">
        <f aca="false">IF(B1813="","",IFERROR(INDEX(DE_PARA!$B$6:$B$205,MATCH(B1813,DE_PARA!$A$6:$A$205,0)),"SEM DE-PARA"))</f>
        <v/>
      </c>
      <c r="E1813" s="23" t="str">
        <f aca="false">IF(A1813="","",DATE(YEAR(A1813),MONTH(A1813),1))</f>
        <v/>
      </c>
    </row>
    <row r="1814" customFormat="false" ht="15" hidden="false" customHeight="false" outlineLevel="0" collapsed="false">
      <c r="A1814" s="21"/>
      <c r="B1814" s="4"/>
      <c r="C1814" s="22"/>
      <c r="D1814" s="5" t="str">
        <f aca="false">IF(B1814="","",IFERROR(INDEX(DE_PARA!$B$6:$B$205,MATCH(B1814,DE_PARA!$A$6:$A$205,0)),"SEM DE-PARA"))</f>
        <v/>
      </c>
      <c r="E1814" s="23" t="str">
        <f aca="false">IF(A1814="","",DATE(YEAR(A1814),MONTH(A1814),1))</f>
        <v/>
      </c>
    </row>
    <row r="1815" customFormat="false" ht="15" hidden="false" customHeight="false" outlineLevel="0" collapsed="false">
      <c r="A1815" s="21"/>
      <c r="B1815" s="4"/>
      <c r="C1815" s="22"/>
      <c r="D1815" s="5" t="str">
        <f aca="false">IF(B1815="","",IFERROR(INDEX(DE_PARA!$B$6:$B$205,MATCH(B1815,DE_PARA!$A$6:$A$205,0)),"SEM DE-PARA"))</f>
        <v/>
      </c>
      <c r="E1815" s="23" t="str">
        <f aca="false">IF(A1815="","",DATE(YEAR(A1815),MONTH(A1815),1))</f>
        <v/>
      </c>
    </row>
    <row r="1816" customFormat="false" ht="15" hidden="false" customHeight="false" outlineLevel="0" collapsed="false">
      <c r="A1816" s="21"/>
      <c r="B1816" s="4"/>
      <c r="C1816" s="22"/>
      <c r="D1816" s="5" t="str">
        <f aca="false">IF(B1816="","",IFERROR(INDEX(DE_PARA!$B$6:$B$205,MATCH(B1816,DE_PARA!$A$6:$A$205,0)),"SEM DE-PARA"))</f>
        <v/>
      </c>
      <c r="E1816" s="23" t="str">
        <f aca="false">IF(A1816="","",DATE(YEAR(A1816),MONTH(A1816),1))</f>
        <v/>
      </c>
    </row>
    <row r="1817" customFormat="false" ht="15" hidden="false" customHeight="false" outlineLevel="0" collapsed="false">
      <c r="A1817" s="21"/>
      <c r="B1817" s="4"/>
      <c r="C1817" s="22"/>
      <c r="D1817" s="5" t="str">
        <f aca="false">IF(B1817="","",IFERROR(INDEX(DE_PARA!$B$6:$B$205,MATCH(B1817,DE_PARA!$A$6:$A$205,0)),"SEM DE-PARA"))</f>
        <v/>
      </c>
      <c r="E1817" s="23" t="str">
        <f aca="false">IF(A1817="","",DATE(YEAR(A1817),MONTH(A1817),1))</f>
        <v/>
      </c>
    </row>
    <row r="1818" customFormat="false" ht="15" hidden="false" customHeight="false" outlineLevel="0" collapsed="false">
      <c r="A1818" s="21"/>
      <c r="B1818" s="4"/>
      <c r="C1818" s="22"/>
      <c r="D1818" s="5" t="str">
        <f aca="false">IF(B1818="","",IFERROR(INDEX(DE_PARA!$B$6:$B$205,MATCH(B1818,DE_PARA!$A$6:$A$205,0)),"SEM DE-PARA"))</f>
        <v/>
      </c>
      <c r="E1818" s="23" t="str">
        <f aca="false">IF(A1818="","",DATE(YEAR(A1818),MONTH(A1818),1))</f>
        <v/>
      </c>
    </row>
    <row r="1819" customFormat="false" ht="15" hidden="false" customHeight="false" outlineLevel="0" collapsed="false">
      <c r="A1819" s="21"/>
      <c r="B1819" s="4"/>
      <c r="C1819" s="22"/>
      <c r="D1819" s="5" t="str">
        <f aca="false">IF(B1819="","",IFERROR(INDEX(DE_PARA!$B$6:$B$205,MATCH(B1819,DE_PARA!$A$6:$A$205,0)),"SEM DE-PARA"))</f>
        <v/>
      </c>
      <c r="E1819" s="23" t="str">
        <f aca="false">IF(A1819="","",DATE(YEAR(A1819),MONTH(A1819),1))</f>
        <v/>
      </c>
    </row>
    <row r="1820" customFormat="false" ht="15" hidden="false" customHeight="false" outlineLevel="0" collapsed="false">
      <c r="A1820" s="21"/>
      <c r="B1820" s="4"/>
      <c r="C1820" s="22"/>
      <c r="D1820" s="5" t="str">
        <f aca="false">IF(B1820="","",IFERROR(INDEX(DE_PARA!$B$6:$B$205,MATCH(B1820,DE_PARA!$A$6:$A$205,0)),"SEM DE-PARA"))</f>
        <v/>
      </c>
      <c r="E1820" s="23" t="str">
        <f aca="false">IF(A1820="","",DATE(YEAR(A1820),MONTH(A1820),1))</f>
        <v/>
      </c>
    </row>
    <row r="1821" customFormat="false" ht="15" hidden="false" customHeight="false" outlineLevel="0" collapsed="false">
      <c r="A1821" s="21"/>
      <c r="B1821" s="4"/>
      <c r="C1821" s="22"/>
      <c r="D1821" s="5" t="str">
        <f aca="false">IF(B1821="","",IFERROR(INDEX(DE_PARA!$B$6:$B$205,MATCH(B1821,DE_PARA!$A$6:$A$205,0)),"SEM DE-PARA"))</f>
        <v/>
      </c>
      <c r="E1821" s="23" t="str">
        <f aca="false">IF(A1821="","",DATE(YEAR(A1821),MONTH(A1821),1))</f>
        <v/>
      </c>
    </row>
    <row r="1822" customFormat="false" ht="15" hidden="false" customHeight="false" outlineLevel="0" collapsed="false">
      <c r="A1822" s="21"/>
      <c r="B1822" s="4"/>
      <c r="C1822" s="22"/>
      <c r="D1822" s="5" t="str">
        <f aca="false">IF(B1822="","",IFERROR(INDEX(DE_PARA!$B$6:$B$205,MATCH(B1822,DE_PARA!$A$6:$A$205,0)),"SEM DE-PARA"))</f>
        <v/>
      </c>
      <c r="E1822" s="23" t="str">
        <f aca="false">IF(A1822="","",DATE(YEAR(A1822),MONTH(A1822),1))</f>
        <v/>
      </c>
    </row>
    <row r="1823" customFormat="false" ht="15" hidden="false" customHeight="false" outlineLevel="0" collapsed="false">
      <c r="A1823" s="21"/>
      <c r="B1823" s="4"/>
      <c r="C1823" s="22"/>
      <c r="D1823" s="5" t="str">
        <f aca="false">IF(B1823="","",IFERROR(INDEX(DE_PARA!$B$6:$B$205,MATCH(B1823,DE_PARA!$A$6:$A$205,0)),"SEM DE-PARA"))</f>
        <v/>
      </c>
      <c r="E1823" s="23" t="str">
        <f aca="false">IF(A1823="","",DATE(YEAR(A1823),MONTH(A1823),1))</f>
        <v/>
      </c>
    </row>
    <row r="1824" customFormat="false" ht="15" hidden="false" customHeight="false" outlineLevel="0" collapsed="false">
      <c r="A1824" s="21"/>
      <c r="B1824" s="4"/>
      <c r="C1824" s="22"/>
      <c r="D1824" s="5" t="str">
        <f aca="false">IF(B1824="","",IFERROR(INDEX(DE_PARA!$B$6:$B$205,MATCH(B1824,DE_PARA!$A$6:$A$205,0)),"SEM DE-PARA"))</f>
        <v/>
      </c>
      <c r="E1824" s="23" t="str">
        <f aca="false">IF(A1824="","",DATE(YEAR(A1824),MONTH(A1824),1))</f>
        <v/>
      </c>
    </row>
    <row r="1825" customFormat="false" ht="15" hidden="false" customHeight="false" outlineLevel="0" collapsed="false">
      <c r="A1825" s="21"/>
      <c r="B1825" s="4"/>
      <c r="C1825" s="22"/>
      <c r="D1825" s="5" t="str">
        <f aca="false">IF(B1825="","",IFERROR(INDEX(DE_PARA!$B$6:$B$205,MATCH(B1825,DE_PARA!$A$6:$A$205,0)),"SEM DE-PARA"))</f>
        <v/>
      </c>
      <c r="E1825" s="23" t="str">
        <f aca="false">IF(A1825="","",DATE(YEAR(A1825),MONTH(A1825),1))</f>
        <v/>
      </c>
    </row>
    <row r="1826" customFormat="false" ht="15" hidden="false" customHeight="false" outlineLevel="0" collapsed="false">
      <c r="A1826" s="21"/>
      <c r="B1826" s="4"/>
      <c r="C1826" s="22"/>
      <c r="D1826" s="5" t="str">
        <f aca="false">IF(B1826="","",IFERROR(INDEX(DE_PARA!$B$6:$B$205,MATCH(B1826,DE_PARA!$A$6:$A$205,0)),"SEM DE-PARA"))</f>
        <v/>
      </c>
      <c r="E1826" s="23" t="str">
        <f aca="false">IF(A1826="","",DATE(YEAR(A1826),MONTH(A1826),1))</f>
        <v/>
      </c>
    </row>
    <row r="1827" customFormat="false" ht="15" hidden="false" customHeight="false" outlineLevel="0" collapsed="false">
      <c r="A1827" s="21"/>
      <c r="B1827" s="4"/>
      <c r="C1827" s="22"/>
      <c r="D1827" s="5" t="str">
        <f aca="false">IF(B1827="","",IFERROR(INDEX(DE_PARA!$B$6:$B$205,MATCH(B1827,DE_PARA!$A$6:$A$205,0)),"SEM DE-PARA"))</f>
        <v/>
      </c>
      <c r="E1827" s="23" t="str">
        <f aca="false">IF(A1827="","",DATE(YEAR(A1827),MONTH(A1827),1))</f>
        <v/>
      </c>
    </row>
    <row r="1828" customFormat="false" ht="15" hidden="false" customHeight="false" outlineLevel="0" collapsed="false">
      <c r="A1828" s="21"/>
      <c r="B1828" s="4"/>
      <c r="C1828" s="22"/>
      <c r="D1828" s="5" t="str">
        <f aca="false">IF(B1828="","",IFERROR(INDEX(DE_PARA!$B$6:$B$205,MATCH(B1828,DE_PARA!$A$6:$A$205,0)),"SEM DE-PARA"))</f>
        <v/>
      </c>
      <c r="E1828" s="23" t="str">
        <f aca="false">IF(A1828="","",DATE(YEAR(A1828),MONTH(A1828),1))</f>
        <v/>
      </c>
    </row>
    <row r="1829" customFormat="false" ht="15" hidden="false" customHeight="false" outlineLevel="0" collapsed="false">
      <c r="A1829" s="21"/>
      <c r="B1829" s="4"/>
      <c r="C1829" s="22"/>
      <c r="D1829" s="5" t="str">
        <f aca="false">IF(B1829="","",IFERROR(INDEX(DE_PARA!$B$6:$B$205,MATCH(B1829,DE_PARA!$A$6:$A$205,0)),"SEM DE-PARA"))</f>
        <v/>
      </c>
      <c r="E1829" s="23" t="str">
        <f aca="false">IF(A1829="","",DATE(YEAR(A1829),MONTH(A1829),1))</f>
        <v/>
      </c>
    </row>
    <row r="1830" customFormat="false" ht="15" hidden="false" customHeight="false" outlineLevel="0" collapsed="false">
      <c r="A1830" s="21"/>
      <c r="B1830" s="4"/>
      <c r="C1830" s="22"/>
      <c r="D1830" s="5" t="str">
        <f aca="false">IF(B1830="","",IFERROR(INDEX(DE_PARA!$B$6:$B$205,MATCH(B1830,DE_PARA!$A$6:$A$205,0)),"SEM DE-PARA"))</f>
        <v/>
      </c>
      <c r="E1830" s="23" t="str">
        <f aca="false">IF(A1830="","",DATE(YEAR(A1830),MONTH(A1830),1))</f>
        <v/>
      </c>
    </row>
    <row r="1831" customFormat="false" ht="15" hidden="false" customHeight="false" outlineLevel="0" collapsed="false">
      <c r="A1831" s="21"/>
      <c r="B1831" s="4"/>
      <c r="C1831" s="22"/>
      <c r="D1831" s="5" t="str">
        <f aca="false">IF(B1831="","",IFERROR(INDEX(DE_PARA!$B$6:$B$205,MATCH(B1831,DE_PARA!$A$6:$A$205,0)),"SEM DE-PARA"))</f>
        <v/>
      </c>
      <c r="E1831" s="23" t="str">
        <f aca="false">IF(A1831="","",DATE(YEAR(A1831),MONTH(A1831),1))</f>
        <v/>
      </c>
    </row>
    <row r="1832" customFormat="false" ht="15" hidden="false" customHeight="false" outlineLevel="0" collapsed="false">
      <c r="A1832" s="21"/>
      <c r="B1832" s="4"/>
      <c r="C1832" s="22"/>
      <c r="D1832" s="5" t="str">
        <f aca="false">IF(B1832="","",IFERROR(INDEX(DE_PARA!$B$6:$B$205,MATCH(B1832,DE_PARA!$A$6:$A$205,0)),"SEM DE-PARA"))</f>
        <v/>
      </c>
      <c r="E1832" s="23" t="str">
        <f aca="false">IF(A1832="","",DATE(YEAR(A1832),MONTH(A1832),1))</f>
        <v/>
      </c>
    </row>
    <row r="1833" customFormat="false" ht="15" hidden="false" customHeight="false" outlineLevel="0" collapsed="false">
      <c r="A1833" s="21"/>
      <c r="B1833" s="4"/>
      <c r="C1833" s="22"/>
      <c r="D1833" s="5" t="str">
        <f aca="false">IF(B1833="","",IFERROR(INDEX(DE_PARA!$B$6:$B$205,MATCH(B1833,DE_PARA!$A$6:$A$205,0)),"SEM DE-PARA"))</f>
        <v/>
      </c>
      <c r="E1833" s="23" t="str">
        <f aca="false">IF(A1833="","",DATE(YEAR(A1833),MONTH(A1833),1))</f>
        <v/>
      </c>
    </row>
    <row r="1834" customFormat="false" ht="15" hidden="false" customHeight="false" outlineLevel="0" collapsed="false">
      <c r="A1834" s="21"/>
      <c r="B1834" s="4"/>
      <c r="C1834" s="22"/>
      <c r="D1834" s="5" t="str">
        <f aca="false">IF(B1834="","",IFERROR(INDEX(DE_PARA!$B$6:$B$205,MATCH(B1834,DE_PARA!$A$6:$A$205,0)),"SEM DE-PARA"))</f>
        <v/>
      </c>
      <c r="E1834" s="23" t="str">
        <f aca="false">IF(A1834="","",DATE(YEAR(A1834),MONTH(A1834),1))</f>
        <v/>
      </c>
    </row>
    <row r="1835" customFormat="false" ht="15" hidden="false" customHeight="false" outlineLevel="0" collapsed="false">
      <c r="A1835" s="21"/>
      <c r="B1835" s="4"/>
      <c r="C1835" s="22"/>
      <c r="D1835" s="5" t="str">
        <f aca="false">IF(B1835="","",IFERROR(INDEX(DE_PARA!$B$6:$B$205,MATCH(B1835,DE_PARA!$A$6:$A$205,0)),"SEM DE-PARA"))</f>
        <v/>
      </c>
      <c r="E1835" s="23" t="str">
        <f aca="false">IF(A1835="","",DATE(YEAR(A1835),MONTH(A1835),1))</f>
        <v/>
      </c>
    </row>
    <row r="1836" customFormat="false" ht="15" hidden="false" customHeight="false" outlineLevel="0" collapsed="false">
      <c r="A1836" s="21"/>
      <c r="B1836" s="4"/>
      <c r="C1836" s="22"/>
      <c r="D1836" s="5" t="str">
        <f aca="false">IF(B1836="","",IFERROR(INDEX(DE_PARA!$B$6:$B$205,MATCH(B1836,DE_PARA!$A$6:$A$205,0)),"SEM DE-PARA"))</f>
        <v/>
      </c>
      <c r="E1836" s="23" t="str">
        <f aca="false">IF(A1836="","",DATE(YEAR(A1836),MONTH(A1836),1))</f>
        <v/>
      </c>
    </row>
    <row r="1837" customFormat="false" ht="15" hidden="false" customHeight="false" outlineLevel="0" collapsed="false">
      <c r="A1837" s="21"/>
      <c r="B1837" s="4"/>
      <c r="C1837" s="22"/>
      <c r="D1837" s="5" t="str">
        <f aca="false">IF(B1837="","",IFERROR(INDEX(DE_PARA!$B$6:$B$205,MATCH(B1837,DE_PARA!$A$6:$A$205,0)),"SEM DE-PARA"))</f>
        <v/>
      </c>
      <c r="E1837" s="23" t="str">
        <f aca="false">IF(A1837="","",DATE(YEAR(A1837),MONTH(A1837),1))</f>
        <v/>
      </c>
    </row>
    <row r="1838" customFormat="false" ht="15" hidden="false" customHeight="false" outlineLevel="0" collapsed="false">
      <c r="A1838" s="21"/>
      <c r="B1838" s="4"/>
      <c r="C1838" s="22"/>
      <c r="D1838" s="5" t="str">
        <f aca="false">IF(B1838="","",IFERROR(INDEX(DE_PARA!$B$6:$B$205,MATCH(B1838,DE_PARA!$A$6:$A$205,0)),"SEM DE-PARA"))</f>
        <v/>
      </c>
      <c r="E1838" s="23" t="str">
        <f aca="false">IF(A1838="","",DATE(YEAR(A1838),MONTH(A1838),1))</f>
        <v/>
      </c>
    </row>
    <row r="1839" customFormat="false" ht="15" hidden="false" customHeight="false" outlineLevel="0" collapsed="false">
      <c r="A1839" s="21"/>
      <c r="B1839" s="4"/>
      <c r="C1839" s="22"/>
      <c r="D1839" s="5" t="str">
        <f aca="false">IF(B1839="","",IFERROR(INDEX(DE_PARA!$B$6:$B$205,MATCH(B1839,DE_PARA!$A$6:$A$205,0)),"SEM DE-PARA"))</f>
        <v/>
      </c>
      <c r="E1839" s="23" t="str">
        <f aca="false">IF(A1839="","",DATE(YEAR(A1839),MONTH(A1839),1))</f>
        <v/>
      </c>
    </row>
    <row r="1840" customFormat="false" ht="15" hidden="false" customHeight="false" outlineLevel="0" collapsed="false">
      <c r="A1840" s="21"/>
      <c r="B1840" s="4"/>
      <c r="C1840" s="22"/>
      <c r="D1840" s="5" t="str">
        <f aca="false">IF(B1840="","",IFERROR(INDEX(DE_PARA!$B$6:$B$205,MATCH(B1840,DE_PARA!$A$6:$A$205,0)),"SEM DE-PARA"))</f>
        <v/>
      </c>
      <c r="E1840" s="23" t="str">
        <f aca="false">IF(A1840="","",DATE(YEAR(A1840),MONTH(A1840),1))</f>
        <v/>
      </c>
    </row>
    <row r="1841" customFormat="false" ht="15" hidden="false" customHeight="false" outlineLevel="0" collapsed="false">
      <c r="A1841" s="21"/>
      <c r="B1841" s="4"/>
      <c r="C1841" s="22"/>
      <c r="D1841" s="5" t="str">
        <f aca="false">IF(B1841="","",IFERROR(INDEX(DE_PARA!$B$6:$B$205,MATCH(B1841,DE_PARA!$A$6:$A$205,0)),"SEM DE-PARA"))</f>
        <v/>
      </c>
      <c r="E1841" s="23" t="str">
        <f aca="false">IF(A1841="","",DATE(YEAR(A1841),MONTH(A1841),1))</f>
        <v/>
      </c>
    </row>
    <row r="1842" customFormat="false" ht="15" hidden="false" customHeight="false" outlineLevel="0" collapsed="false">
      <c r="A1842" s="21"/>
      <c r="B1842" s="4"/>
      <c r="C1842" s="22"/>
      <c r="D1842" s="5" t="str">
        <f aca="false">IF(B1842="","",IFERROR(INDEX(DE_PARA!$B$6:$B$205,MATCH(B1842,DE_PARA!$A$6:$A$205,0)),"SEM DE-PARA"))</f>
        <v/>
      </c>
      <c r="E1842" s="23" t="str">
        <f aca="false">IF(A1842="","",DATE(YEAR(A1842),MONTH(A1842),1))</f>
        <v/>
      </c>
    </row>
    <row r="1843" customFormat="false" ht="15" hidden="false" customHeight="false" outlineLevel="0" collapsed="false">
      <c r="A1843" s="21"/>
      <c r="B1843" s="4"/>
      <c r="C1843" s="22"/>
      <c r="D1843" s="5" t="str">
        <f aca="false">IF(B1843="","",IFERROR(INDEX(DE_PARA!$B$6:$B$205,MATCH(B1843,DE_PARA!$A$6:$A$205,0)),"SEM DE-PARA"))</f>
        <v/>
      </c>
      <c r="E1843" s="23" t="str">
        <f aca="false">IF(A1843="","",DATE(YEAR(A1843),MONTH(A1843),1))</f>
        <v/>
      </c>
    </row>
    <row r="1844" customFormat="false" ht="15" hidden="false" customHeight="false" outlineLevel="0" collapsed="false">
      <c r="A1844" s="21"/>
      <c r="B1844" s="4"/>
      <c r="C1844" s="22"/>
      <c r="D1844" s="5" t="str">
        <f aca="false">IF(B1844="","",IFERROR(INDEX(DE_PARA!$B$6:$B$205,MATCH(B1844,DE_PARA!$A$6:$A$205,0)),"SEM DE-PARA"))</f>
        <v/>
      </c>
      <c r="E1844" s="23" t="str">
        <f aca="false">IF(A1844="","",DATE(YEAR(A1844),MONTH(A1844),1))</f>
        <v/>
      </c>
    </row>
    <row r="1845" customFormat="false" ht="15" hidden="false" customHeight="false" outlineLevel="0" collapsed="false">
      <c r="A1845" s="21"/>
      <c r="B1845" s="4"/>
      <c r="C1845" s="22"/>
      <c r="D1845" s="5" t="str">
        <f aca="false">IF(B1845="","",IFERROR(INDEX(DE_PARA!$B$6:$B$205,MATCH(B1845,DE_PARA!$A$6:$A$205,0)),"SEM DE-PARA"))</f>
        <v/>
      </c>
      <c r="E1845" s="23" t="str">
        <f aca="false">IF(A1845="","",DATE(YEAR(A1845),MONTH(A1845),1))</f>
        <v/>
      </c>
    </row>
    <row r="1846" customFormat="false" ht="15" hidden="false" customHeight="false" outlineLevel="0" collapsed="false">
      <c r="A1846" s="21"/>
      <c r="B1846" s="4"/>
      <c r="C1846" s="22"/>
      <c r="D1846" s="5" t="str">
        <f aca="false">IF(B1846="","",IFERROR(INDEX(DE_PARA!$B$6:$B$205,MATCH(B1846,DE_PARA!$A$6:$A$205,0)),"SEM DE-PARA"))</f>
        <v/>
      </c>
      <c r="E1846" s="23" t="str">
        <f aca="false">IF(A1846="","",DATE(YEAR(A1846),MONTH(A1846),1))</f>
        <v/>
      </c>
    </row>
    <row r="1847" customFormat="false" ht="15" hidden="false" customHeight="false" outlineLevel="0" collapsed="false">
      <c r="A1847" s="21"/>
      <c r="B1847" s="4"/>
      <c r="C1847" s="22"/>
      <c r="D1847" s="5" t="str">
        <f aca="false">IF(B1847="","",IFERROR(INDEX(DE_PARA!$B$6:$B$205,MATCH(B1847,DE_PARA!$A$6:$A$205,0)),"SEM DE-PARA"))</f>
        <v/>
      </c>
      <c r="E1847" s="23" t="str">
        <f aca="false">IF(A1847="","",DATE(YEAR(A1847),MONTH(A1847),1))</f>
        <v/>
      </c>
    </row>
    <row r="1848" customFormat="false" ht="15" hidden="false" customHeight="false" outlineLevel="0" collapsed="false">
      <c r="A1848" s="21"/>
      <c r="B1848" s="4"/>
      <c r="C1848" s="22"/>
      <c r="D1848" s="5" t="str">
        <f aca="false">IF(B1848="","",IFERROR(INDEX(DE_PARA!$B$6:$B$205,MATCH(B1848,DE_PARA!$A$6:$A$205,0)),"SEM DE-PARA"))</f>
        <v/>
      </c>
      <c r="E1848" s="23" t="str">
        <f aca="false">IF(A1848="","",DATE(YEAR(A1848),MONTH(A1848),1))</f>
        <v/>
      </c>
    </row>
    <row r="1849" customFormat="false" ht="15" hidden="false" customHeight="false" outlineLevel="0" collapsed="false">
      <c r="A1849" s="21"/>
      <c r="B1849" s="4"/>
      <c r="C1849" s="22"/>
      <c r="D1849" s="5" t="str">
        <f aca="false">IF(B1849="","",IFERROR(INDEX(DE_PARA!$B$6:$B$205,MATCH(B1849,DE_PARA!$A$6:$A$205,0)),"SEM DE-PARA"))</f>
        <v/>
      </c>
      <c r="E1849" s="23" t="str">
        <f aca="false">IF(A1849="","",DATE(YEAR(A1849),MONTH(A1849),1))</f>
        <v/>
      </c>
    </row>
    <row r="1850" customFormat="false" ht="15" hidden="false" customHeight="false" outlineLevel="0" collapsed="false">
      <c r="A1850" s="21"/>
      <c r="B1850" s="4"/>
      <c r="C1850" s="22"/>
      <c r="D1850" s="5" t="str">
        <f aca="false">IF(B1850="","",IFERROR(INDEX(DE_PARA!$B$6:$B$205,MATCH(B1850,DE_PARA!$A$6:$A$205,0)),"SEM DE-PARA"))</f>
        <v/>
      </c>
      <c r="E1850" s="23" t="str">
        <f aca="false">IF(A1850="","",DATE(YEAR(A1850),MONTH(A1850),1))</f>
        <v/>
      </c>
    </row>
    <row r="1851" customFormat="false" ht="15" hidden="false" customHeight="false" outlineLevel="0" collapsed="false">
      <c r="A1851" s="21"/>
      <c r="B1851" s="4"/>
      <c r="C1851" s="22"/>
      <c r="D1851" s="5" t="str">
        <f aca="false">IF(B1851="","",IFERROR(INDEX(DE_PARA!$B$6:$B$205,MATCH(B1851,DE_PARA!$A$6:$A$205,0)),"SEM DE-PARA"))</f>
        <v/>
      </c>
      <c r="E1851" s="23" t="str">
        <f aca="false">IF(A1851="","",DATE(YEAR(A1851),MONTH(A1851),1))</f>
        <v/>
      </c>
    </row>
    <row r="1852" customFormat="false" ht="15" hidden="false" customHeight="false" outlineLevel="0" collapsed="false">
      <c r="A1852" s="21"/>
      <c r="B1852" s="4"/>
      <c r="C1852" s="22"/>
      <c r="D1852" s="5" t="str">
        <f aca="false">IF(B1852="","",IFERROR(INDEX(DE_PARA!$B$6:$B$205,MATCH(B1852,DE_PARA!$A$6:$A$205,0)),"SEM DE-PARA"))</f>
        <v/>
      </c>
      <c r="E1852" s="23" t="str">
        <f aca="false">IF(A1852="","",DATE(YEAR(A1852),MONTH(A1852),1))</f>
        <v/>
      </c>
    </row>
    <row r="1853" customFormat="false" ht="15" hidden="false" customHeight="false" outlineLevel="0" collapsed="false">
      <c r="A1853" s="21"/>
      <c r="B1853" s="4"/>
      <c r="C1853" s="22"/>
      <c r="D1853" s="5" t="str">
        <f aca="false">IF(B1853="","",IFERROR(INDEX(DE_PARA!$B$6:$B$205,MATCH(B1853,DE_PARA!$A$6:$A$205,0)),"SEM DE-PARA"))</f>
        <v/>
      </c>
      <c r="E1853" s="23" t="str">
        <f aca="false">IF(A1853="","",DATE(YEAR(A1853),MONTH(A1853),1))</f>
        <v/>
      </c>
    </row>
    <row r="1854" customFormat="false" ht="15" hidden="false" customHeight="false" outlineLevel="0" collapsed="false">
      <c r="A1854" s="21"/>
      <c r="B1854" s="4"/>
      <c r="C1854" s="22"/>
      <c r="D1854" s="5" t="str">
        <f aca="false">IF(B1854="","",IFERROR(INDEX(DE_PARA!$B$6:$B$205,MATCH(B1854,DE_PARA!$A$6:$A$205,0)),"SEM DE-PARA"))</f>
        <v/>
      </c>
      <c r="E1854" s="23" t="str">
        <f aca="false">IF(A1854="","",DATE(YEAR(A1854),MONTH(A1854),1))</f>
        <v/>
      </c>
    </row>
    <row r="1855" customFormat="false" ht="15" hidden="false" customHeight="false" outlineLevel="0" collapsed="false">
      <c r="A1855" s="21"/>
      <c r="B1855" s="4"/>
      <c r="C1855" s="22"/>
      <c r="D1855" s="5" t="str">
        <f aca="false">IF(B1855="","",IFERROR(INDEX(DE_PARA!$B$6:$B$205,MATCH(B1855,DE_PARA!$A$6:$A$205,0)),"SEM DE-PARA"))</f>
        <v/>
      </c>
      <c r="E1855" s="23" t="str">
        <f aca="false">IF(A1855="","",DATE(YEAR(A1855),MONTH(A1855),1))</f>
        <v/>
      </c>
    </row>
    <row r="1856" customFormat="false" ht="15" hidden="false" customHeight="false" outlineLevel="0" collapsed="false">
      <c r="A1856" s="21"/>
      <c r="B1856" s="4"/>
      <c r="C1856" s="22"/>
      <c r="D1856" s="5" t="str">
        <f aca="false">IF(B1856="","",IFERROR(INDEX(DE_PARA!$B$6:$B$205,MATCH(B1856,DE_PARA!$A$6:$A$205,0)),"SEM DE-PARA"))</f>
        <v/>
      </c>
      <c r="E1856" s="23" t="str">
        <f aca="false">IF(A1856="","",DATE(YEAR(A1856),MONTH(A1856),1))</f>
        <v/>
      </c>
    </row>
    <row r="1857" customFormat="false" ht="15" hidden="false" customHeight="false" outlineLevel="0" collapsed="false">
      <c r="A1857" s="21"/>
      <c r="B1857" s="4"/>
      <c r="C1857" s="22"/>
      <c r="D1857" s="5" t="str">
        <f aca="false">IF(B1857="","",IFERROR(INDEX(DE_PARA!$B$6:$B$205,MATCH(B1857,DE_PARA!$A$6:$A$205,0)),"SEM DE-PARA"))</f>
        <v/>
      </c>
      <c r="E1857" s="23" t="str">
        <f aca="false">IF(A1857="","",DATE(YEAR(A1857),MONTH(A1857),1))</f>
        <v/>
      </c>
    </row>
    <row r="1858" customFormat="false" ht="15" hidden="false" customHeight="false" outlineLevel="0" collapsed="false">
      <c r="A1858" s="21"/>
      <c r="B1858" s="4"/>
      <c r="C1858" s="22"/>
      <c r="D1858" s="5" t="str">
        <f aca="false">IF(B1858="","",IFERROR(INDEX(DE_PARA!$B$6:$B$205,MATCH(B1858,DE_PARA!$A$6:$A$205,0)),"SEM DE-PARA"))</f>
        <v/>
      </c>
      <c r="E1858" s="23" t="str">
        <f aca="false">IF(A1858="","",DATE(YEAR(A1858),MONTH(A1858),1))</f>
        <v/>
      </c>
    </row>
    <row r="1859" customFormat="false" ht="15" hidden="false" customHeight="false" outlineLevel="0" collapsed="false">
      <c r="A1859" s="21"/>
      <c r="B1859" s="4"/>
      <c r="C1859" s="22"/>
      <c r="D1859" s="5" t="str">
        <f aca="false">IF(B1859="","",IFERROR(INDEX(DE_PARA!$B$6:$B$205,MATCH(B1859,DE_PARA!$A$6:$A$205,0)),"SEM DE-PARA"))</f>
        <v/>
      </c>
      <c r="E1859" s="23" t="str">
        <f aca="false">IF(A1859="","",DATE(YEAR(A1859),MONTH(A1859),1))</f>
        <v/>
      </c>
    </row>
    <row r="1860" customFormat="false" ht="15" hidden="false" customHeight="false" outlineLevel="0" collapsed="false">
      <c r="A1860" s="21"/>
      <c r="B1860" s="4"/>
      <c r="C1860" s="22"/>
      <c r="D1860" s="5" t="str">
        <f aca="false">IF(B1860="","",IFERROR(INDEX(DE_PARA!$B$6:$B$205,MATCH(B1860,DE_PARA!$A$6:$A$205,0)),"SEM DE-PARA"))</f>
        <v/>
      </c>
      <c r="E1860" s="23" t="str">
        <f aca="false">IF(A1860="","",DATE(YEAR(A1860),MONTH(A1860),1))</f>
        <v/>
      </c>
    </row>
    <row r="1861" customFormat="false" ht="15" hidden="false" customHeight="false" outlineLevel="0" collapsed="false">
      <c r="A1861" s="21"/>
      <c r="B1861" s="4"/>
      <c r="C1861" s="22"/>
      <c r="D1861" s="5" t="str">
        <f aca="false">IF(B1861="","",IFERROR(INDEX(DE_PARA!$B$6:$B$205,MATCH(B1861,DE_PARA!$A$6:$A$205,0)),"SEM DE-PARA"))</f>
        <v/>
      </c>
      <c r="E1861" s="23" t="str">
        <f aca="false">IF(A1861="","",DATE(YEAR(A1861),MONTH(A1861),1))</f>
        <v/>
      </c>
    </row>
    <row r="1862" customFormat="false" ht="15" hidden="false" customHeight="false" outlineLevel="0" collapsed="false">
      <c r="A1862" s="21"/>
      <c r="B1862" s="4"/>
      <c r="C1862" s="22"/>
      <c r="D1862" s="5" t="str">
        <f aca="false">IF(B1862="","",IFERROR(INDEX(DE_PARA!$B$6:$B$205,MATCH(B1862,DE_PARA!$A$6:$A$205,0)),"SEM DE-PARA"))</f>
        <v/>
      </c>
      <c r="E1862" s="23" t="str">
        <f aca="false">IF(A1862="","",DATE(YEAR(A1862),MONTH(A1862),1))</f>
        <v/>
      </c>
    </row>
    <row r="1863" customFormat="false" ht="15" hidden="false" customHeight="false" outlineLevel="0" collapsed="false">
      <c r="A1863" s="21"/>
      <c r="B1863" s="4"/>
      <c r="C1863" s="22"/>
      <c r="D1863" s="5" t="str">
        <f aca="false">IF(B1863="","",IFERROR(INDEX(DE_PARA!$B$6:$B$205,MATCH(B1863,DE_PARA!$A$6:$A$205,0)),"SEM DE-PARA"))</f>
        <v/>
      </c>
      <c r="E1863" s="23" t="str">
        <f aca="false">IF(A1863="","",DATE(YEAR(A1863),MONTH(A1863),1))</f>
        <v/>
      </c>
    </row>
    <row r="1864" customFormat="false" ht="15" hidden="false" customHeight="false" outlineLevel="0" collapsed="false">
      <c r="A1864" s="21"/>
      <c r="B1864" s="4"/>
      <c r="C1864" s="22"/>
      <c r="D1864" s="5" t="str">
        <f aca="false">IF(B1864="","",IFERROR(INDEX(DE_PARA!$B$6:$B$205,MATCH(B1864,DE_PARA!$A$6:$A$205,0)),"SEM DE-PARA"))</f>
        <v/>
      </c>
      <c r="E1864" s="23" t="str">
        <f aca="false">IF(A1864="","",DATE(YEAR(A1864),MONTH(A1864),1))</f>
        <v/>
      </c>
    </row>
    <row r="1865" customFormat="false" ht="15" hidden="false" customHeight="false" outlineLevel="0" collapsed="false">
      <c r="A1865" s="21"/>
      <c r="B1865" s="4"/>
      <c r="C1865" s="22"/>
      <c r="D1865" s="5" t="str">
        <f aca="false">IF(B1865="","",IFERROR(INDEX(DE_PARA!$B$6:$B$205,MATCH(B1865,DE_PARA!$A$6:$A$205,0)),"SEM DE-PARA"))</f>
        <v/>
      </c>
      <c r="E1865" s="23" t="str">
        <f aca="false">IF(A1865="","",DATE(YEAR(A1865),MONTH(A1865),1))</f>
        <v/>
      </c>
    </row>
    <row r="1866" customFormat="false" ht="15" hidden="false" customHeight="false" outlineLevel="0" collapsed="false">
      <c r="A1866" s="21"/>
      <c r="B1866" s="4"/>
      <c r="C1866" s="22"/>
      <c r="D1866" s="5" t="str">
        <f aca="false">IF(B1866="","",IFERROR(INDEX(DE_PARA!$B$6:$B$205,MATCH(B1866,DE_PARA!$A$6:$A$205,0)),"SEM DE-PARA"))</f>
        <v/>
      </c>
      <c r="E1866" s="23" t="str">
        <f aca="false">IF(A1866="","",DATE(YEAR(A1866),MONTH(A1866),1))</f>
        <v/>
      </c>
    </row>
    <row r="1867" customFormat="false" ht="15" hidden="false" customHeight="false" outlineLevel="0" collapsed="false">
      <c r="A1867" s="21"/>
      <c r="B1867" s="4"/>
      <c r="C1867" s="22"/>
      <c r="D1867" s="5" t="str">
        <f aca="false">IF(B1867="","",IFERROR(INDEX(DE_PARA!$B$6:$B$205,MATCH(B1867,DE_PARA!$A$6:$A$205,0)),"SEM DE-PARA"))</f>
        <v/>
      </c>
      <c r="E1867" s="23" t="str">
        <f aca="false">IF(A1867="","",DATE(YEAR(A1867),MONTH(A1867),1))</f>
        <v/>
      </c>
    </row>
    <row r="1868" customFormat="false" ht="15" hidden="false" customHeight="false" outlineLevel="0" collapsed="false">
      <c r="A1868" s="21"/>
      <c r="B1868" s="4"/>
      <c r="C1868" s="22"/>
      <c r="D1868" s="5" t="str">
        <f aca="false">IF(B1868="","",IFERROR(INDEX(DE_PARA!$B$6:$B$205,MATCH(B1868,DE_PARA!$A$6:$A$205,0)),"SEM DE-PARA"))</f>
        <v/>
      </c>
      <c r="E1868" s="23" t="str">
        <f aca="false">IF(A1868="","",DATE(YEAR(A1868),MONTH(A1868),1))</f>
        <v/>
      </c>
    </row>
    <row r="1869" customFormat="false" ht="15" hidden="false" customHeight="false" outlineLevel="0" collapsed="false">
      <c r="A1869" s="21"/>
      <c r="B1869" s="4"/>
      <c r="C1869" s="22"/>
      <c r="D1869" s="5" t="str">
        <f aca="false">IF(B1869="","",IFERROR(INDEX(DE_PARA!$B$6:$B$205,MATCH(B1869,DE_PARA!$A$6:$A$205,0)),"SEM DE-PARA"))</f>
        <v/>
      </c>
      <c r="E1869" s="23" t="str">
        <f aca="false">IF(A1869="","",DATE(YEAR(A1869),MONTH(A1869),1))</f>
        <v/>
      </c>
    </row>
    <row r="1870" customFormat="false" ht="15" hidden="false" customHeight="false" outlineLevel="0" collapsed="false">
      <c r="A1870" s="21"/>
      <c r="B1870" s="4"/>
      <c r="C1870" s="22"/>
      <c r="D1870" s="5" t="str">
        <f aca="false">IF(B1870="","",IFERROR(INDEX(DE_PARA!$B$6:$B$205,MATCH(B1870,DE_PARA!$A$6:$A$205,0)),"SEM DE-PARA"))</f>
        <v/>
      </c>
      <c r="E1870" s="23" t="str">
        <f aca="false">IF(A1870="","",DATE(YEAR(A1870),MONTH(A1870),1))</f>
        <v/>
      </c>
    </row>
    <row r="1871" customFormat="false" ht="15" hidden="false" customHeight="false" outlineLevel="0" collapsed="false">
      <c r="A1871" s="21"/>
      <c r="B1871" s="4"/>
      <c r="C1871" s="22"/>
      <c r="D1871" s="5" t="str">
        <f aca="false">IF(B1871="","",IFERROR(INDEX(DE_PARA!$B$6:$B$205,MATCH(B1871,DE_PARA!$A$6:$A$205,0)),"SEM DE-PARA"))</f>
        <v/>
      </c>
      <c r="E1871" s="23" t="str">
        <f aca="false">IF(A1871="","",DATE(YEAR(A1871),MONTH(A1871),1))</f>
        <v/>
      </c>
    </row>
    <row r="1872" customFormat="false" ht="15" hidden="false" customHeight="false" outlineLevel="0" collapsed="false">
      <c r="A1872" s="21"/>
      <c r="B1872" s="4"/>
      <c r="C1872" s="22"/>
      <c r="D1872" s="5" t="str">
        <f aca="false">IF(B1872="","",IFERROR(INDEX(DE_PARA!$B$6:$B$205,MATCH(B1872,DE_PARA!$A$6:$A$205,0)),"SEM DE-PARA"))</f>
        <v/>
      </c>
      <c r="E1872" s="23" t="str">
        <f aca="false">IF(A1872="","",DATE(YEAR(A1872),MONTH(A1872),1))</f>
        <v/>
      </c>
    </row>
    <row r="1873" customFormat="false" ht="15" hidden="false" customHeight="false" outlineLevel="0" collapsed="false">
      <c r="A1873" s="21"/>
      <c r="B1873" s="4"/>
      <c r="C1873" s="22"/>
      <c r="D1873" s="5" t="str">
        <f aca="false">IF(B1873="","",IFERROR(INDEX(DE_PARA!$B$6:$B$205,MATCH(B1873,DE_PARA!$A$6:$A$205,0)),"SEM DE-PARA"))</f>
        <v/>
      </c>
      <c r="E1873" s="23" t="str">
        <f aca="false">IF(A1873="","",DATE(YEAR(A1873),MONTH(A1873),1))</f>
        <v/>
      </c>
    </row>
    <row r="1874" customFormat="false" ht="15" hidden="false" customHeight="false" outlineLevel="0" collapsed="false">
      <c r="A1874" s="21"/>
      <c r="B1874" s="4"/>
      <c r="C1874" s="22"/>
      <c r="D1874" s="5" t="str">
        <f aca="false">IF(B1874="","",IFERROR(INDEX(DE_PARA!$B$6:$B$205,MATCH(B1874,DE_PARA!$A$6:$A$205,0)),"SEM DE-PARA"))</f>
        <v/>
      </c>
      <c r="E1874" s="23" t="str">
        <f aca="false">IF(A1874="","",DATE(YEAR(A1874),MONTH(A1874),1))</f>
        <v/>
      </c>
    </row>
    <row r="1875" customFormat="false" ht="15" hidden="false" customHeight="false" outlineLevel="0" collapsed="false">
      <c r="A1875" s="21"/>
      <c r="B1875" s="4"/>
      <c r="C1875" s="22"/>
      <c r="D1875" s="5" t="str">
        <f aca="false">IF(B1875="","",IFERROR(INDEX(DE_PARA!$B$6:$B$205,MATCH(B1875,DE_PARA!$A$6:$A$205,0)),"SEM DE-PARA"))</f>
        <v/>
      </c>
      <c r="E1875" s="23" t="str">
        <f aca="false">IF(A1875="","",DATE(YEAR(A1875),MONTH(A1875),1))</f>
        <v/>
      </c>
    </row>
    <row r="1876" customFormat="false" ht="15" hidden="false" customHeight="false" outlineLevel="0" collapsed="false">
      <c r="A1876" s="21"/>
      <c r="B1876" s="4"/>
      <c r="C1876" s="22"/>
      <c r="D1876" s="5" t="str">
        <f aca="false">IF(B1876="","",IFERROR(INDEX(DE_PARA!$B$6:$B$205,MATCH(B1876,DE_PARA!$A$6:$A$205,0)),"SEM DE-PARA"))</f>
        <v/>
      </c>
      <c r="E1876" s="23" t="str">
        <f aca="false">IF(A1876="","",DATE(YEAR(A1876),MONTH(A1876),1))</f>
        <v/>
      </c>
    </row>
    <row r="1877" customFormat="false" ht="15" hidden="false" customHeight="false" outlineLevel="0" collapsed="false">
      <c r="A1877" s="21"/>
      <c r="B1877" s="4"/>
      <c r="C1877" s="22"/>
      <c r="D1877" s="5" t="str">
        <f aca="false">IF(B1877="","",IFERROR(INDEX(DE_PARA!$B$6:$B$205,MATCH(B1877,DE_PARA!$A$6:$A$205,0)),"SEM DE-PARA"))</f>
        <v/>
      </c>
      <c r="E1877" s="23" t="str">
        <f aca="false">IF(A1877="","",DATE(YEAR(A1877),MONTH(A1877),1))</f>
        <v/>
      </c>
    </row>
    <row r="1878" customFormat="false" ht="15" hidden="false" customHeight="false" outlineLevel="0" collapsed="false">
      <c r="A1878" s="21"/>
      <c r="B1878" s="4"/>
      <c r="C1878" s="22"/>
      <c r="D1878" s="5" t="str">
        <f aca="false">IF(B1878="","",IFERROR(INDEX(DE_PARA!$B$6:$B$205,MATCH(B1878,DE_PARA!$A$6:$A$205,0)),"SEM DE-PARA"))</f>
        <v/>
      </c>
      <c r="E1878" s="23" t="str">
        <f aca="false">IF(A1878="","",DATE(YEAR(A1878),MONTH(A1878),1))</f>
        <v/>
      </c>
    </row>
    <row r="1879" customFormat="false" ht="15" hidden="false" customHeight="false" outlineLevel="0" collapsed="false">
      <c r="A1879" s="21"/>
      <c r="B1879" s="4"/>
      <c r="C1879" s="22"/>
      <c r="D1879" s="5" t="str">
        <f aca="false">IF(B1879="","",IFERROR(INDEX(DE_PARA!$B$6:$B$205,MATCH(B1879,DE_PARA!$A$6:$A$205,0)),"SEM DE-PARA"))</f>
        <v/>
      </c>
      <c r="E1879" s="23" t="str">
        <f aca="false">IF(A1879="","",DATE(YEAR(A1879),MONTH(A1879),1))</f>
        <v/>
      </c>
    </row>
    <row r="1880" customFormat="false" ht="15" hidden="false" customHeight="false" outlineLevel="0" collapsed="false">
      <c r="A1880" s="21"/>
      <c r="B1880" s="4"/>
      <c r="C1880" s="22"/>
      <c r="D1880" s="5" t="str">
        <f aca="false">IF(B1880="","",IFERROR(INDEX(DE_PARA!$B$6:$B$205,MATCH(B1880,DE_PARA!$A$6:$A$205,0)),"SEM DE-PARA"))</f>
        <v/>
      </c>
      <c r="E1880" s="23" t="str">
        <f aca="false">IF(A1880="","",DATE(YEAR(A1880),MONTH(A1880),1))</f>
        <v/>
      </c>
    </row>
    <row r="1881" customFormat="false" ht="15" hidden="false" customHeight="false" outlineLevel="0" collapsed="false">
      <c r="A1881" s="21"/>
      <c r="B1881" s="4"/>
      <c r="C1881" s="22"/>
      <c r="D1881" s="5" t="str">
        <f aca="false">IF(B1881="","",IFERROR(INDEX(DE_PARA!$B$6:$B$205,MATCH(B1881,DE_PARA!$A$6:$A$205,0)),"SEM DE-PARA"))</f>
        <v/>
      </c>
      <c r="E1881" s="23" t="str">
        <f aca="false">IF(A1881="","",DATE(YEAR(A1881),MONTH(A1881),1))</f>
        <v/>
      </c>
    </row>
    <row r="1882" customFormat="false" ht="15" hidden="false" customHeight="false" outlineLevel="0" collapsed="false">
      <c r="A1882" s="21"/>
      <c r="B1882" s="4"/>
      <c r="C1882" s="22"/>
      <c r="D1882" s="5" t="str">
        <f aca="false">IF(B1882="","",IFERROR(INDEX(DE_PARA!$B$6:$B$205,MATCH(B1882,DE_PARA!$A$6:$A$205,0)),"SEM DE-PARA"))</f>
        <v/>
      </c>
      <c r="E1882" s="23" t="str">
        <f aca="false">IF(A1882="","",DATE(YEAR(A1882),MONTH(A1882),1))</f>
        <v/>
      </c>
    </row>
    <row r="1883" customFormat="false" ht="15" hidden="false" customHeight="false" outlineLevel="0" collapsed="false">
      <c r="A1883" s="21"/>
      <c r="B1883" s="4"/>
      <c r="C1883" s="22"/>
      <c r="D1883" s="5" t="str">
        <f aca="false">IF(B1883="","",IFERROR(INDEX(DE_PARA!$B$6:$B$205,MATCH(B1883,DE_PARA!$A$6:$A$205,0)),"SEM DE-PARA"))</f>
        <v/>
      </c>
      <c r="E1883" s="23" t="str">
        <f aca="false">IF(A1883="","",DATE(YEAR(A1883),MONTH(A1883),1))</f>
        <v/>
      </c>
    </row>
    <row r="1884" customFormat="false" ht="15" hidden="false" customHeight="false" outlineLevel="0" collapsed="false">
      <c r="A1884" s="21"/>
      <c r="B1884" s="4"/>
      <c r="C1884" s="22"/>
      <c r="D1884" s="5" t="str">
        <f aca="false">IF(B1884="","",IFERROR(INDEX(DE_PARA!$B$6:$B$205,MATCH(B1884,DE_PARA!$A$6:$A$205,0)),"SEM DE-PARA"))</f>
        <v/>
      </c>
      <c r="E1884" s="23" t="str">
        <f aca="false">IF(A1884="","",DATE(YEAR(A1884),MONTH(A1884),1))</f>
        <v/>
      </c>
    </row>
    <row r="1885" customFormat="false" ht="15" hidden="false" customHeight="false" outlineLevel="0" collapsed="false">
      <c r="A1885" s="21"/>
      <c r="B1885" s="4"/>
      <c r="C1885" s="22"/>
      <c r="D1885" s="5" t="str">
        <f aca="false">IF(B1885="","",IFERROR(INDEX(DE_PARA!$B$6:$B$205,MATCH(B1885,DE_PARA!$A$6:$A$205,0)),"SEM DE-PARA"))</f>
        <v/>
      </c>
      <c r="E1885" s="23" t="str">
        <f aca="false">IF(A1885="","",DATE(YEAR(A1885),MONTH(A1885),1))</f>
        <v/>
      </c>
    </row>
    <row r="1886" customFormat="false" ht="15" hidden="false" customHeight="false" outlineLevel="0" collapsed="false">
      <c r="A1886" s="21"/>
      <c r="B1886" s="4"/>
      <c r="C1886" s="22"/>
      <c r="D1886" s="5" t="str">
        <f aca="false">IF(B1886="","",IFERROR(INDEX(DE_PARA!$B$6:$B$205,MATCH(B1886,DE_PARA!$A$6:$A$205,0)),"SEM DE-PARA"))</f>
        <v/>
      </c>
      <c r="E1886" s="23" t="str">
        <f aca="false">IF(A1886="","",DATE(YEAR(A1886),MONTH(A1886),1))</f>
        <v/>
      </c>
    </row>
    <row r="1887" customFormat="false" ht="15" hidden="false" customHeight="false" outlineLevel="0" collapsed="false">
      <c r="A1887" s="21"/>
      <c r="B1887" s="4"/>
      <c r="C1887" s="22"/>
      <c r="D1887" s="5" t="str">
        <f aca="false">IF(B1887="","",IFERROR(INDEX(DE_PARA!$B$6:$B$205,MATCH(B1887,DE_PARA!$A$6:$A$205,0)),"SEM DE-PARA"))</f>
        <v/>
      </c>
      <c r="E1887" s="23" t="str">
        <f aca="false">IF(A1887="","",DATE(YEAR(A1887),MONTH(A1887),1))</f>
        <v/>
      </c>
    </row>
    <row r="1888" customFormat="false" ht="15" hidden="false" customHeight="false" outlineLevel="0" collapsed="false">
      <c r="A1888" s="21"/>
      <c r="B1888" s="4"/>
      <c r="C1888" s="22"/>
      <c r="D1888" s="5" t="str">
        <f aca="false">IF(B1888="","",IFERROR(INDEX(DE_PARA!$B$6:$B$205,MATCH(B1888,DE_PARA!$A$6:$A$205,0)),"SEM DE-PARA"))</f>
        <v/>
      </c>
      <c r="E1888" s="23" t="str">
        <f aca="false">IF(A1888="","",DATE(YEAR(A1888),MONTH(A1888),1))</f>
        <v/>
      </c>
    </row>
    <row r="1889" customFormat="false" ht="15" hidden="false" customHeight="false" outlineLevel="0" collapsed="false">
      <c r="A1889" s="21"/>
      <c r="B1889" s="4"/>
      <c r="C1889" s="22"/>
      <c r="D1889" s="5" t="str">
        <f aca="false">IF(B1889="","",IFERROR(INDEX(DE_PARA!$B$6:$B$205,MATCH(B1889,DE_PARA!$A$6:$A$205,0)),"SEM DE-PARA"))</f>
        <v/>
      </c>
      <c r="E1889" s="23" t="str">
        <f aca="false">IF(A1889="","",DATE(YEAR(A1889),MONTH(A1889),1))</f>
        <v/>
      </c>
    </row>
    <row r="1890" customFormat="false" ht="15" hidden="false" customHeight="false" outlineLevel="0" collapsed="false">
      <c r="A1890" s="21"/>
      <c r="B1890" s="4"/>
      <c r="C1890" s="22"/>
      <c r="D1890" s="5" t="str">
        <f aca="false">IF(B1890="","",IFERROR(INDEX(DE_PARA!$B$6:$B$205,MATCH(B1890,DE_PARA!$A$6:$A$205,0)),"SEM DE-PARA"))</f>
        <v/>
      </c>
      <c r="E1890" s="23" t="str">
        <f aca="false">IF(A1890="","",DATE(YEAR(A1890),MONTH(A1890),1))</f>
        <v/>
      </c>
    </row>
    <row r="1891" customFormat="false" ht="15" hidden="false" customHeight="false" outlineLevel="0" collapsed="false">
      <c r="A1891" s="21"/>
      <c r="B1891" s="4"/>
      <c r="C1891" s="22"/>
      <c r="D1891" s="5" t="str">
        <f aca="false">IF(B1891="","",IFERROR(INDEX(DE_PARA!$B$6:$B$205,MATCH(B1891,DE_PARA!$A$6:$A$205,0)),"SEM DE-PARA"))</f>
        <v/>
      </c>
      <c r="E1891" s="23" t="str">
        <f aca="false">IF(A1891="","",DATE(YEAR(A1891),MONTH(A1891),1))</f>
        <v/>
      </c>
    </row>
    <row r="1892" customFormat="false" ht="15" hidden="false" customHeight="false" outlineLevel="0" collapsed="false">
      <c r="A1892" s="21"/>
      <c r="B1892" s="4"/>
      <c r="C1892" s="22"/>
      <c r="D1892" s="5" t="str">
        <f aca="false">IF(B1892="","",IFERROR(INDEX(DE_PARA!$B$6:$B$205,MATCH(B1892,DE_PARA!$A$6:$A$205,0)),"SEM DE-PARA"))</f>
        <v/>
      </c>
      <c r="E1892" s="23" t="str">
        <f aca="false">IF(A1892="","",DATE(YEAR(A1892),MONTH(A1892),1))</f>
        <v/>
      </c>
    </row>
    <row r="1893" customFormat="false" ht="15" hidden="false" customHeight="false" outlineLevel="0" collapsed="false">
      <c r="A1893" s="21"/>
      <c r="B1893" s="4"/>
      <c r="C1893" s="22"/>
      <c r="D1893" s="5" t="str">
        <f aca="false">IF(B1893="","",IFERROR(INDEX(DE_PARA!$B$6:$B$205,MATCH(B1893,DE_PARA!$A$6:$A$205,0)),"SEM DE-PARA"))</f>
        <v/>
      </c>
      <c r="E1893" s="23" t="str">
        <f aca="false">IF(A1893="","",DATE(YEAR(A1893),MONTH(A1893),1))</f>
        <v/>
      </c>
    </row>
    <row r="1894" customFormat="false" ht="15" hidden="false" customHeight="false" outlineLevel="0" collapsed="false">
      <c r="A1894" s="21"/>
      <c r="B1894" s="4"/>
      <c r="C1894" s="22"/>
      <c r="D1894" s="5" t="str">
        <f aca="false">IF(B1894="","",IFERROR(INDEX(DE_PARA!$B$6:$B$205,MATCH(B1894,DE_PARA!$A$6:$A$205,0)),"SEM DE-PARA"))</f>
        <v/>
      </c>
      <c r="E1894" s="23" t="str">
        <f aca="false">IF(A1894="","",DATE(YEAR(A1894),MONTH(A1894),1))</f>
        <v/>
      </c>
    </row>
    <row r="1895" customFormat="false" ht="15" hidden="false" customHeight="false" outlineLevel="0" collapsed="false">
      <c r="A1895" s="21"/>
      <c r="B1895" s="4"/>
      <c r="C1895" s="22"/>
      <c r="D1895" s="5" t="str">
        <f aca="false">IF(B1895="","",IFERROR(INDEX(DE_PARA!$B$6:$B$205,MATCH(B1895,DE_PARA!$A$6:$A$205,0)),"SEM DE-PARA"))</f>
        <v/>
      </c>
      <c r="E1895" s="23" t="str">
        <f aca="false">IF(A1895="","",DATE(YEAR(A1895),MONTH(A1895),1))</f>
        <v/>
      </c>
    </row>
    <row r="1896" customFormat="false" ht="15" hidden="false" customHeight="false" outlineLevel="0" collapsed="false">
      <c r="A1896" s="21"/>
      <c r="B1896" s="4"/>
      <c r="C1896" s="22"/>
      <c r="D1896" s="5" t="str">
        <f aca="false">IF(B1896="","",IFERROR(INDEX(DE_PARA!$B$6:$B$205,MATCH(B1896,DE_PARA!$A$6:$A$205,0)),"SEM DE-PARA"))</f>
        <v/>
      </c>
      <c r="E1896" s="23" t="str">
        <f aca="false">IF(A1896="","",DATE(YEAR(A1896),MONTH(A1896),1))</f>
        <v/>
      </c>
    </row>
    <row r="1897" customFormat="false" ht="15" hidden="false" customHeight="false" outlineLevel="0" collapsed="false">
      <c r="A1897" s="21"/>
      <c r="B1897" s="4"/>
      <c r="C1897" s="22"/>
      <c r="D1897" s="5" t="str">
        <f aca="false">IF(B1897="","",IFERROR(INDEX(DE_PARA!$B$6:$B$205,MATCH(B1897,DE_PARA!$A$6:$A$205,0)),"SEM DE-PARA"))</f>
        <v/>
      </c>
      <c r="E1897" s="23" t="str">
        <f aca="false">IF(A1897="","",DATE(YEAR(A1897),MONTH(A1897),1))</f>
        <v/>
      </c>
    </row>
    <row r="1898" customFormat="false" ht="15" hidden="false" customHeight="false" outlineLevel="0" collapsed="false">
      <c r="A1898" s="21"/>
      <c r="B1898" s="4"/>
      <c r="C1898" s="22"/>
      <c r="D1898" s="5" t="str">
        <f aca="false">IF(B1898="","",IFERROR(INDEX(DE_PARA!$B$6:$B$205,MATCH(B1898,DE_PARA!$A$6:$A$205,0)),"SEM DE-PARA"))</f>
        <v/>
      </c>
      <c r="E1898" s="23" t="str">
        <f aca="false">IF(A1898="","",DATE(YEAR(A1898),MONTH(A1898),1))</f>
        <v/>
      </c>
    </row>
    <row r="1899" customFormat="false" ht="15" hidden="false" customHeight="false" outlineLevel="0" collapsed="false">
      <c r="A1899" s="21"/>
      <c r="B1899" s="4"/>
      <c r="C1899" s="22"/>
      <c r="D1899" s="5" t="str">
        <f aca="false">IF(B1899="","",IFERROR(INDEX(DE_PARA!$B$6:$B$205,MATCH(B1899,DE_PARA!$A$6:$A$205,0)),"SEM DE-PARA"))</f>
        <v/>
      </c>
      <c r="E1899" s="23" t="str">
        <f aca="false">IF(A1899="","",DATE(YEAR(A1899),MONTH(A1899),1))</f>
        <v/>
      </c>
    </row>
    <row r="1900" customFormat="false" ht="15" hidden="false" customHeight="false" outlineLevel="0" collapsed="false">
      <c r="A1900" s="21"/>
      <c r="B1900" s="4"/>
      <c r="C1900" s="22"/>
      <c r="D1900" s="5" t="str">
        <f aca="false">IF(B1900="","",IFERROR(INDEX(DE_PARA!$B$6:$B$205,MATCH(B1900,DE_PARA!$A$6:$A$205,0)),"SEM DE-PARA"))</f>
        <v/>
      </c>
      <c r="E1900" s="23" t="str">
        <f aca="false">IF(A1900="","",DATE(YEAR(A1900),MONTH(A1900),1))</f>
        <v/>
      </c>
    </row>
    <row r="1901" customFormat="false" ht="15" hidden="false" customHeight="false" outlineLevel="0" collapsed="false">
      <c r="A1901" s="21"/>
      <c r="B1901" s="4"/>
      <c r="C1901" s="22"/>
      <c r="D1901" s="5" t="str">
        <f aca="false">IF(B1901="","",IFERROR(INDEX(DE_PARA!$B$6:$B$205,MATCH(B1901,DE_PARA!$A$6:$A$205,0)),"SEM DE-PARA"))</f>
        <v/>
      </c>
      <c r="E1901" s="23" t="str">
        <f aca="false">IF(A1901="","",DATE(YEAR(A1901),MONTH(A1901),1))</f>
        <v/>
      </c>
    </row>
    <row r="1902" customFormat="false" ht="15" hidden="false" customHeight="false" outlineLevel="0" collapsed="false">
      <c r="A1902" s="21"/>
      <c r="B1902" s="4"/>
      <c r="C1902" s="22"/>
      <c r="D1902" s="5" t="str">
        <f aca="false">IF(B1902="","",IFERROR(INDEX(DE_PARA!$B$6:$B$205,MATCH(B1902,DE_PARA!$A$6:$A$205,0)),"SEM DE-PARA"))</f>
        <v/>
      </c>
      <c r="E1902" s="23" t="str">
        <f aca="false">IF(A1902="","",DATE(YEAR(A1902),MONTH(A1902),1))</f>
        <v/>
      </c>
    </row>
    <row r="1903" customFormat="false" ht="15" hidden="false" customHeight="false" outlineLevel="0" collapsed="false">
      <c r="A1903" s="21"/>
      <c r="B1903" s="4"/>
      <c r="C1903" s="22"/>
      <c r="D1903" s="5" t="str">
        <f aca="false">IF(B1903="","",IFERROR(INDEX(DE_PARA!$B$6:$B$205,MATCH(B1903,DE_PARA!$A$6:$A$205,0)),"SEM DE-PARA"))</f>
        <v/>
      </c>
      <c r="E1903" s="23" t="str">
        <f aca="false">IF(A1903="","",DATE(YEAR(A1903),MONTH(A1903),1))</f>
        <v/>
      </c>
    </row>
    <row r="1904" customFormat="false" ht="15" hidden="false" customHeight="false" outlineLevel="0" collapsed="false">
      <c r="A1904" s="21"/>
      <c r="B1904" s="4"/>
      <c r="C1904" s="22"/>
      <c r="D1904" s="5" t="str">
        <f aca="false">IF(B1904="","",IFERROR(INDEX(DE_PARA!$B$6:$B$205,MATCH(B1904,DE_PARA!$A$6:$A$205,0)),"SEM DE-PARA"))</f>
        <v/>
      </c>
      <c r="E1904" s="23" t="str">
        <f aca="false">IF(A1904="","",DATE(YEAR(A1904),MONTH(A1904),1))</f>
        <v/>
      </c>
    </row>
    <row r="1905" customFormat="false" ht="15" hidden="false" customHeight="false" outlineLevel="0" collapsed="false">
      <c r="A1905" s="21"/>
      <c r="B1905" s="4"/>
      <c r="C1905" s="22"/>
      <c r="D1905" s="5" t="str">
        <f aca="false">IF(B1905="","",IFERROR(INDEX(DE_PARA!$B$6:$B$205,MATCH(B1905,DE_PARA!$A$6:$A$205,0)),"SEM DE-PARA"))</f>
        <v/>
      </c>
      <c r="E1905" s="23" t="str">
        <f aca="false">IF(A1905="","",DATE(YEAR(A1905),MONTH(A1905),1))</f>
        <v/>
      </c>
    </row>
    <row r="1906" customFormat="false" ht="15" hidden="false" customHeight="false" outlineLevel="0" collapsed="false">
      <c r="A1906" s="21"/>
      <c r="B1906" s="4"/>
      <c r="C1906" s="22"/>
      <c r="D1906" s="5" t="str">
        <f aca="false">IF(B1906="","",IFERROR(INDEX(DE_PARA!$B$6:$B$205,MATCH(B1906,DE_PARA!$A$6:$A$205,0)),"SEM DE-PARA"))</f>
        <v/>
      </c>
      <c r="E1906" s="23" t="str">
        <f aca="false">IF(A1906="","",DATE(YEAR(A1906),MONTH(A1906),1))</f>
        <v/>
      </c>
    </row>
    <row r="1907" customFormat="false" ht="15" hidden="false" customHeight="false" outlineLevel="0" collapsed="false">
      <c r="A1907" s="21"/>
      <c r="B1907" s="4"/>
      <c r="C1907" s="22"/>
      <c r="D1907" s="5" t="str">
        <f aca="false">IF(B1907="","",IFERROR(INDEX(DE_PARA!$B$6:$B$205,MATCH(B1907,DE_PARA!$A$6:$A$205,0)),"SEM DE-PARA"))</f>
        <v/>
      </c>
      <c r="E1907" s="23" t="str">
        <f aca="false">IF(A1907="","",DATE(YEAR(A1907),MONTH(A1907),1))</f>
        <v/>
      </c>
    </row>
    <row r="1908" customFormat="false" ht="15" hidden="false" customHeight="false" outlineLevel="0" collapsed="false">
      <c r="A1908" s="21"/>
      <c r="B1908" s="4"/>
      <c r="C1908" s="22"/>
      <c r="D1908" s="5" t="str">
        <f aca="false">IF(B1908="","",IFERROR(INDEX(DE_PARA!$B$6:$B$205,MATCH(B1908,DE_PARA!$A$6:$A$205,0)),"SEM DE-PARA"))</f>
        <v/>
      </c>
      <c r="E1908" s="23" t="str">
        <f aca="false">IF(A1908="","",DATE(YEAR(A1908),MONTH(A1908),1))</f>
        <v/>
      </c>
    </row>
    <row r="1909" customFormat="false" ht="15" hidden="false" customHeight="false" outlineLevel="0" collapsed="false">
      <c r="A1909" s="21"/>
      <c r="B1909" s="4"/>
      <c r="C1909" s="22"/>
      <c r="D1909" s="5" t="str">
        <f aca="false">IF(B1909="","",IFERROR(INDEX(DE_PARA!$B$6:$B$205,MATCH(B1909,DE_PARA!$A$6:$A$205,0)),"SEM DE-PARA"))</f>
        <v/>
      </c>
      <c r="E1909" s="23" t="str">
        <f aca="false">IF(A1909="","",DATE(YEAR(A1909),MONTH(A1909),1))</f>
        <v/>
      </c>
    </row>
    <row r="1910" customFormat="false" ht="15" hidden="false" customHeight="false" outlineLevel="0" collapsed="false">
      <c r="A1910" s="21"/>
      <c r="B1910" s="4"/>
      <c r="C1910" s="22"/>
      <c r="D1910" s="5" t="str">
        <f aca="false">IF(B1910="","",IFERROR(INDEX(DE_PARA!$B$6:$B$205,MATCH(B1910,DE_PARA!$A$6:$A$205,0)),"SEM DE-PARA"))</f>
        <v/>
      </c>
      <c r="E1910" s="23" t="str">
        <f aca="false">IF(A1910="","",DATE(YEAR(A1910),MONTH(A1910),1))</f>
        <v/>
      </c>
    </row>
    <row r="1911" customFormat="false" ht="15" hidden="false" customHeight="false" outlineLevel="0" collapsed="false">
      <c r="A1911" s="21"/>
      <c r="B1911" s="4"/>
      <c r="C1911" s="22"/>
      <c r="D1911" s="5" t="str">
        <f aca="false">IF(B1911="","",IFERROR(INDEX(DE_PARA!$B$6:$B$205,MATCH(B1911,DE_PARA!$A$6:$A$205,0)),"SEM DE-PARA"))</f>
        <v/>
      </c>
      <c r="E1911" s="23" t="str">
        <f aca="false">IF(A1911="","",DATE(YEAR(A1911),MONTH(A1911),1))</f>
        <v/>
      </c>
    </row>
    <row r="1912" customFormat="false" ht="15" hidden="false" customHeight="false" outlineLevel="0" collapsed="false">
      <c r="A1912" s="21"/>
      <c r="B1912" s="4"/>
      <c r="C1912" s="22"/>
      <c r="D1912" s="5" t="str">
        <f aca="false">IF(B1912="","",IFERROR(INDEX(DE_PARA!$B$6:$B$205,MATCH(B1912,DE_PARA!$A$6:$A$205,0)),"SEM DE-PARA"))</f>
        <v/>
      </c>
      <c r="E1912" s="23" t="str">
        <f aca="false">IF(A1912="","",DATE(YEAR(A1912),MONTH(A1912),1))</f>
        <v/>
      </c>
    </row>
    <row r="1913" customFormat="false" ht="15" hidden="false" customHeight="false" outlineLevel="0" collapsed="false">
      <c r="A1913" s="21"/>
      <c r="B1913" s="4"/>
      <c r="C1913" s="22"/>
      <c r="D1913" s="5" t="str">
        <f aca="false">IF(B1913="","",IFERROR(INDEX(DE_PARA!$B$6:$B$205,MATCH(B1913,DE_PARA!$A$6:$A$205,0)),"SEM DE-PARA"))</f>
        <v/>
      </c>
      <c r="E1913" s="23" t="str">
        <f aca="false">IF(A1913="","",DATE(YEAR(A1913),MONTH(A1913),1))</f>
        <v/>
      </c>
    </row>
    <row r="1914" customFormat="false" ht="15" hidden="false" customHeight="false" outlineLevel="0" collapsed="false">
      <c r="A1914" s="21"/>
      <c r="B1914" s="4"/>
      <c r="C1914" s="22"/>
      <c r="D1914" s="5" t="str">
        <f aca="false">IF(B1914="","",IFERROR(INDEX(DE_PARA!$B$6:$B$205,MATCH(B1914,DE_PARA!$A$6:$A$205,0)),"SEM DE-PARA"))</f>
        <v/>
      </c>
      <c r="E1914" s="23" t="str">
        <f aca="false">IF(A1914="","",DATE(YEAR(A1914),MONTH(A1914),1))</f>
        <v/>
      </c>
    </row>
    <row r="1915" customFormat="false" ht="15" hidden="false" customHeight="false" outlineLevel="0" collapsed="false">
      <c r="A1915" s="21"/>
      <c r="B1915" s="4"/>
      <c r="C1915" s="22"/>
      <c r="D1915" s="5" t="str">
        <f aca="false">IF(B1915="","",IFERROR(INDEX(DE_PARA!$B$6:$B$205,MATCH(B1915,DE_PARA!$A$6:$A$205,0)),"SEM DE-PARA"))</f>
        <v/>
      </c>
      <c r="E1915" s="23" t="str">
        <f aca="false">IF(A1915="","",DATE(YEAR(A1915),MONTH(A1915),1))</f>
        <v/>
      </c>
    </row>
    <row r="1916" customFormat="false" ht="15" hidden="false" customHeight="false" outlineLevel="0" collapsed="false">
      <c r="A1916" s="21"/>
      <c r="B1916" s="4"/>
      <c r="C1916" s="22"/>
      <c r="D1916" s="5" t="str">
        <f aca="false">IF(B1916="","",IFERROR(INDEX(DE_PARA!$B$6:$B$205,MATCH(B1916,DE_PARA!$A$6:$A$205,0)),"SEM DE-PARA"))</f>
        <v/>
      </c>
      <c r="E1916" s="23" t="str">
        <f aca="false">IF(A1916="","",DATE(YEAR(A1916),MONTH(A1916),1))</f>
        <v/>
      </c>
    </row>
    <row r="1917" customFormat="false" ht="15" hidden="false" customHeight="false" outlineLevel="0" collapsed="false">
      <c r="A1917" s="21"/>
      <c r="B1917" s="4"/>
      <c r="C1917" s="22"/>
      <c r="D1917" s="5" t="str">
        <f aca="false">IF(B1917="","",IFERROR(INDEX(DE_PARA!$B$6:$B$205,MATCH(B1917,DE_PARA!$A$6:$A$205,0)),"SEM DE-PARA"))</f>
        <v/>
      </c>
      <c r="E1917" s="23" t="str">
        <f aca="false">IF(A1917="","",DATE(YEAR(A1917),MONTH(A1917),1))</f>
        <v/>
      </c>
    </row>
    <row r="1918" customFormat="false" ht="15" hidden="false" customHeight="false" outlineLevel="0" collapsed="false">
      <c r="A1918" s="21"/>
      <c r="B1918" s="4"/>
      <c r="C1918" s="22"/>
      <c r="D1918" s="5" t="str">
        <f aca="false">IF(B1918="","",IFERROR(INDEX(DE_PARA!$B$6:$B$205,MATCH(B1918,DE_PARA!$A$6:$A$205,0)),"SEM DE-PARA"))</f>
        <v/>
      </c>
      <c r="E1918" s="23" t="str">
        <f aca="false">IF(A1918="","",DATE(YEAR(A1918),MONTH(A1918),1))</f>
        <v/>
      </c>
    </row>
    <row r="1919" customFormat="false" ht="15" hidden="false" customHeight="false" outlineLevel="0" collapsed="false">
      <c r="A1919" s="21"/>
      <c r="B1919" s="4"/>
      <c r="C1919" s="22"/>
      <c r="D1919" s="5" t="str">
        <f aca="false">IF(B1919="","",IFERROR(INDEX(DE_PARA!$B$6:$B$205,MATCH(B1919,DE_PARA!$A$6:$A$205,0)),"SEM DE-PARA"))</f>
        <v/>
      </c>
      <c r="E1919" s="23" t="str">
        <f aca="false">IF(A1919="","",DATE(YEAR(A1919),MONTH(A1919),1))</f>
        <v/>
      </c>
    </row>
    <row r="1920" customFormat="false" ht="15" hidden="false" customHeight="false" outlineLevel="0" collapsed="false">
      <c r="A1920" s="21"/>
      <c r="B1920" s="4"/>
      <c r="C1920" s="22"/>
      <c r="D1920" s="5" t="str">
        <f aca="false">IF(B1920="","",IFERROR(INDEX(DE_PARA!$B$6:$B$205,MATCH(B1920,DE_PARA!$A$6:$A$205,0)),"SEM DE-PARA"))</f>
        <v/>
      </c>
      <c r="E1920" s="23" t="str">
        <f aca="false">IF(A1920="","",DATE(YEAR(A1920),MONTH(A1920),1))</f>
        <v/>
      </c>
    </row>
    <row r="1921" customFormat="false" ht="15" hidden="false" customHeight="false" outlineLevel="0" collapsed="false">
      <c r="A1921" s="21"/>
      <c r="B1921" s="4"/>
      <c r="C1921" s="22"/>
      <c r="D1921" s="5" t="str">
        <f aca="false">IF(B1921="","",IFERROR(INDEX(DE_PARA!$B$6:$B$205,MATCH(B1921,DE_PARA!$A$6:$A$205,0)),"SEM DE-PARA"))</f>
        <v/>
      </c>
      <c r="E1921" s="23" t="str">
        <f aca="false">IF(A1921="","",DATE(YEAR(A1921),MONTH(A1921),1))</f>
        <v/>
      </c>
    </row>
    <row r="1922" customFormat="false" ht="15" hidden="false" customHeight="false" outlineLevel="0" collapsed="false">
      <c r="A1922" s="21"/>
      <c r="B1922" s="4"/>
      <c r="C1922" s="22"/>
      <c r="D1922" s="5" t="str">
        <f aca="false">IF(B1922="","",IFERROR(INDEX(DE_PARA!$B$6:$B$205,MATCH(B1922,DE_PARA!$A$6:$A$205,0)),"SEM DE-PARA"))</f>
        <v/>
      </c>
      <c r="E1922" s="23" t="str">
        <f aca="false">IF(A1922="","",DATE(YEAR(A1922),MONTH(A1922),1))</f>
        <v/>
      </c>
    </row>
    <row r="1923" customFormat="false" ht="15" hidden="false" customHeight="false" outlineLevel="0" collapsed="false">
      <c r="A1923" s="21"/>
      <c r="B1923" s="4"/>
      <c r="C1923" s="22"/>
      <c r="D1923" s="5" t="str">
        <f aca="false">IF(B1923="","",IFERROR(INDEX(DE_PARA!$B$6:$B$205,MATCH(B1923,DE_PARA!$A$6:$A$205,0)),"SEM DE-PARA"))</f>
        <v/>
      </c>
      <c r="E1923" s="23" t="str">
        <f aca="false">IF(A1923="","",DATE(YEAR(A1923),MONTH(A1923),1))</f>
        <v/>
      </c>
    </row>
    <row r="1924" customFormat="false" ht="15" hidden="false" customHeight="false" outlineLevel="0" collapsed="false">
      <c r="A1924" s="21"/>
      <c r="B1924" s="4"/>
      <c r="C1924" s="22"/>
      <c r="D1924" s="5" t="str">
        <f aca="false">IF(B1924="","",IFERROR(INDEX(DE_PARA!$B$6:$B$205,MATCH(B1924,DE_PARA!$A$6:$A$205,0)),"SEM DE-PARA"))</f>
        <v/>
      </c>
      <c r="E1924" s="23" t="str">
        <f aca="false">IF(A1924="","",DATE(YEAR(A1924),MONTH(A1924),1))</f>
        <v/>
      </c>
    </row>
    <row r="1925" customFormat="false" ht="15" hidden="false" customHeight="false" outlineLevel="0" collapsed="false">
      <c r="A1925" s="21"/>
      <c r="B1925" s="4"/>
      <c r="C1925" s="22"/>
      <c r="D1925" s="5" t="str">
        <f aca="false">IF(B1925="","",IFERROR(INDEX(DE_PARA!$B$6:$B$205,MATCH(B1925,DE_PARA!$A$6:$A$205,0)),"SEM DE-PARA"))</f>
        <v/>
      </c>
      <c r="E1925" s="23" t="str">
        <f aca="false">IF(A1925="","",DATE(YEAR(A1925),MONTH(A1925),1))</f>
        <v/>
      </c>
    </row>
    <row r="1926" customFormat="false" ht="15" hidden="false" customHeight="false" outlineLevel="0" collapsed="false">
      <c r="A1926" s="21"/>
      <c r="B1926" s="4"/>
      <c r="C1926" s="22"/>
      <c r="D1926" s="5" t="str">
        <f aca="false">IF(B1926="","",IFERROR(INDEX(DE_PARA!$B$6:$B$205,MATCH(B1926,DE_PARA!$A$6:$A$205,0)),"SEM DE-PARA"))</f>
        <v/>
      </c>
      <c r="E1926" s="23" t="str">
        <f aca="false">IF(A1926="","",DATE(YEAR(A1926),MONTH(A1926),1))</f>
        <v/>
      </c>
    </row>
    <row r="1927" customFormat="false" ht="15" hidden="false" customHeight="false" outlineLevel="0" collapsed="false">
      <c r="A1927" s="21"/>
      <c r="B1927" s="4"/>
      <c r="C1927" s="22"/>
      <c r="D1927" s="5" t="str">
        <f aca="false">IF(B1927="","",IFERROR(INDEX(DE_PARA!$B$6:$B$205,MATCH(B1927,DE_PARA!$A$6:$A$205,0)),"SEM DE-PARA"))</f>
        <v/>
      </c>
      <c r="E1927" s="23" t="str">
        <f aca="false">IF(A1927="","",DATE(YEAR(A1927),MONTH(A1927),1))</f>
        <v/>
      </c>
    </row>
    <row r="1928" customFormat="false" ht="15" hidden="false" customHeight="false" outlineLevel="0" collapsed="false">
      <c r="A1928" s="21"/>
      <c r="B1928" s="4"/>
      <c r="C1928" s="22"/>
      <c r="D1928" s="5" t="str">
        <f aca="false">IF(B1928="","",IFERROR(INDEX(DE_PARA!$B$6:$B$205,MATCH(B1928,DE_PARA!$A$6:$A$205,0)),"SEM DE-PARA"))</f>
        <v/>
      </c>
      <c r="E1928" s="23" t="str">
        <f aca="false">IF(A1928="","",DATE(YEAR(A1928),MONTH(A1928),1))</f>
        <v/>
      </c>
    </row>
    <row r="1929" customFormat="false" ht="15" hidden="false" customHeight="false" outlineLevel="0" collapsed="false">
      <c r="A1929" s="21"/>
      <c r="B1929" s="4"/>
      <c r="C1929" s="22"/>
      <c r="D1929" s="5" t="str">
        <f aca="false">IF(B1929="","",IFERROR(INDEX(DE_PARA!$B$6:$B$205,MATCH(B1929,DE_PARA!$A$6:$A$205,0)),"SEM DE-PARA"))</f>
        <v/>
      </c>
      <c r="E1929" s="23" t="str">
        <f aca="false">IF(A1929="","",DATE(YEAR(A1929),MONTH(A1929),1))</f>
        <v/>
      </c>
    </row>
    <row r="1930" customFormat="false" ht="15" hidden="false" customHeight="false" outlineLevel="0" collapsed="false">
      <c r="A1930" s="21"/>
      <c r="B1930" s="4"/>
      <c r="C1930" s="22"/>
      <c r="D1930" s="5" t="str">
        <f aca="false">IF(B1930="","",IFERROR(INDEX(DE_PARA!$B$6:$B$205,MATCH(B1930,DE_PARA!$A$6:$A$205,0)),"SEM DE-PARA"))</f>
        <v/>
      </c>
      <c r="E1930" s="23" t="str">
        <f aca="false">IF(A1930="","",DATE(YEAR(A1930),MONTH(A1930),1))</f>
        <v/>
      </c>
    </row>
    <row r="1931" customFormat="false" ht="15" hidden="false" customHeight="false" outlineLevel="0" collapsed="false">
      <c r="A1931" s="21"/>
      <c r="B1931" s="4"/>
      <c r="C1931" s="22"/>
      <c r="D1931" s="5" t="str">
        <f aca="false">IF(B1931="","",IFERROR(INDEX(DE_PARA!$B$6:$B$205,MATCH(B1931,DE_PARA!$A$6:$A$205,0)),"SEM DE-PARA"))</f>
        <v/>
      </c>
      <c r="E1931" s="23" t="str">
        <f aca="false">IF(A1931="","",DATE(YEAR(A1931),MONTH(A1931),1))</f>
        <v/>
      </c>
    </row>
    <row r="1932" customFormat="false" ht="15" hidden="false" customHeight="false" outlineLevel="0" collapsed="false">
      <c r="A1932" s="21"/>
      <c r="B1932" s="4"/>
      <c r="C1932" s="22"/>
      <c r="D1932" s="5" t="str">
        <f aca="false">IF(B1932="","",IFERROR(INDEX(DE_PARA!$B$6:$B$205,MATCH(B1932,DE_PARA!$A$6:$A$205,0)),"SEM DE-PARA"))</f>
        <v/>
      </c>
      <c r="E1932" s="23" t="str">
        <f aca="false">IF(A1932="","",DATE(YEAR(A1932),MONTH(A1932),1))</f>
        <v/>
      </c>
    </row>
    <row r="1933" customFormat="false" ht="15" hidden="false" customHeight="false" outlineLevel="0" collapsed="false">
      <c r="A1933" s="21"/>
      <c r="B1933" s="4"/>
      <c r="C1933" s="22"/>
      <c r="D1933" s="5" t="str">
        <f aca="false">IF(B1933="","",IFERROR(INDEX(DE_PARA!$B$6:$B$205,MATCH(B1933,DE_PARA!$A$6:$A$205,0)),"SEM DE-PARA"))</f>
        <v/>
      </c>
      <c r="E1933" s="23" t="str">
        <f aca="false">IF(A1933="","",DATE(YEAR(A1933),MONTH(A1933),1))</f>
        <v/>
      </c>
    </row>
    <row r="1934" customFormat="false" ht="15" hidden="false" customHeight="false" outlineLevel="0" collapsed="false">
      <c r="A1934" s="21"/>
      <c r="B1934" s="4"/>
      <c r="C1934" s="22"/>
      <c r="D1934" s="5" t="str">
        <f aca="false">IF(B1934="","",IFERROR(INDEX(DE_PARA!$B$6:$B$205,MATCH(B1934,DE_PARA!$A$6:$A$205,0)),"SEM DE-PARA"))</f>
        <v/>
      </c>
      <c r="E1934" s="23" t="str">
        <f aca="false">IF(A1934="","",DATE(YEAR(A1934),MONTH(A1934),1))</f>
        <v/>
      </c>
    </row>
    <row r="1935" customFormat="false" ht="15" hidden="false" customHeight="false" outlineLevel="0" collapsed="false">
      <c r="A1935" s="21"/>
      <c r="B1935" s="4"/>
      <c r="C1935" s="22"/>
      <c r="D1935" s="5" t="str">
        <f aca="false">IF(B1935="","",IFERROR(INDEX(DE_PARA!$B$6:$B$205,MATCH(B1935,DE_PARA!$A$6:$A$205,0)),"SEM DE-PARA"))</f>
        <v/>
      </c>
      <c r="E1935" s="23" t="str">
        <f aca="false">IF(A1935="","",DATE(YEAR(A1935),MONTH(A1935),1))</f>
        <v/>
      </c>
    </row>
    <row r="1936" customFormat="false" ht="15" hidden="false" customHeight="false" outlineLevel="0" collapsed="false">
      <c r="A1936" s="21"/>
      <c r="B1936" s="4"/>
      <c r="C1936" s="22"/>
      <c r="D1936" s="5" t="str">
        <f aca="false">IF(B1936="","",IFERROR(INDEX(DE_PARA!$B$6:$B$205,MATCH(B1936,DE_PARA!$A$6:$A$205,0)),"SEM DE-PARA"))</f>
        <v/>
      </c>
      <c r="E1936" s="23" t="str">
        <f aca="false">IF(A1936="","",DATE(YEAR(A1936),MONTH(A1936),1))</f>
        <v/>
      </c>
    </row>
    <row r="1937" customFormat="false" ht="15" hidden="false" customHeight="false" outlineLevel="0" collapsed="false">
      <c r="A1937" s="21"/>
      <c r="B1937" s="4"/>
      <c r="C1937" s="22"/>
      <c r="D1937" s="5" t="str">
        <f aca="false">IF(B1937="","",IFERROR(INDEX(DE_PARA!$B$6:$B$205,MATCH(B1937,DE_PARA!$A$6:$A$205,0)),"SEM DE-PARA"))</f>
        <v/>
      </c>
      <c r="E1937" s="23" t="str">
        <f aca="false">IF(A1937="","",DATE(YEAR(A1937),MONTH(A1937),1))</f>
        <v/>
      </c>
    </row>
    <row r="1938" customFormat="false" ht="15" hidden="false" customHeight="false" outlineLevel="0" collapsed="false">
      <c r="A1938" s="21"/>
      <c r="B1938" s="4"/>
      <c r="C1938" s="22"/>
      <c r="D1938" s="5" t="str">
        <f aca="false">IF(B1938="","",IFERROR(INDEX(DE_PARA!$B$6:$B$205,MATCH(B1938,DE_PARA!$A$6:$A$205,0)),"SEM DE-PARA"))</f>
        <v/>
      </c>
      <c r="E1938" s="23" t="str">
        <f aca="false">IF(A1938="","",DATE(YEAR(A1938),MONTH(A1938),1))</f>
        <v/>
      </c>
    </row>
    <row r="1939" customFormat="false" ht="15" hidden="false" customHeight="false" outlineLevel="0" collapsed="false">
      <c r="A1939" s="21"/>
      <c r="B1939" s="4"/>
      <c r="C1939" s="22"/>
      <c r="D1939" s="5" t="str">
        <f aca="false">IF(B1939="","",IFERROR(INDEX(DE_PARA!$B$6:$B$205,MATCH(B1939,DE_PARA!$A$6:$A$205,0)),"SEM DE-PARA"))</f>
        <v/>
      </c>
      <c r="E1939" s="23" t="str">
        <f aca="false">IF(A1939="","",DATE(YEAR(A1939),MONTH(A1939),1))</f>
        <v/>
      </c>
    </row>
    <row r="1940" customFormat="false" ht="15" hidden="false" customHeight="false" outlineLevel="0" collapsed="false">
      <c r="A1940" s="21"/>
      <c r="B1940" s="4"/>
      <c r="C1940" s="22"/>
      <c r="D1940" s="5" t="str">
        <f aca="false">IF(B1940="","",IFERROR(INDEX(DE_PARA!$B$6:$B$205,MATCH(B1940,DE_PARA!$A$6:$A$205,0)),"SEM DE-PARA"))</f>
        <v/>
      </c>
      <c r="E1940" s="23" t="str">
        <f aca="false">IF(A1940="","",DATE(YEAR(A1940),MONTH(A1940),1))</f>
        <v/>
      </c>
    </row>
    <row r="1941" customFormat="false" ht="15" hidden="false" customHeight="false" outlineLevel="0" collapsed="false">
      <c r="A1941" s="21"/>
      <c r="B1941" s="4"/>
      <c r="C1941" s="22"/>
      <c r="D1941" s="5" t="str">
        <f aca="false">IF(B1941="","",IFERROR(INDEX(DE_PARA!$B$6:$B$205,MATCH(B1941,DE_PARA!$A$6:$A$205,0)),"SEM DE-PARA"))</f>
        <v/>
      </c>
      <c r="E1941" s="23" t="str">
        <f aca="false">IF(A1941="","",DATE(YEAR(A1941),MONTH(A1941),1))</f>
        <v/>
      </c>
    </row>
    <row r="1942" customFormat="false" ht="15" hidden="false" customHeight="false" outlineLevel="0" collapsed="false">
      <c r="A1942" s="21"/>
      <c r="B1942" s="4"/>
      <c r="C1942" s="22"/>
      <c r="D1942" s="5" t="str">
        <f aca="false">IF(B1942="","",IFERROR(INDEX(DE_PARA!$B$6:$B$205,MATCH(B1942,DE_PARA!$A$6:$A$205,0)),"SEM DE-PARA"))</f>
        <v/>
      </c>
      <c r="E1942" s="23" t="str">
        <f aca="false">IF(A1942="","",DATE(YEAR(A1942),MONTH(A1942),1))</f>
        <v/>
      </c>
    </row>
    <row r="1943" customFormat="false" ht="15" hidden="false" customHeight="false" outlineLevel="0" collapsed="false">
      <c r="A1943" s="21"/>
      <c r="B1943" s="4"/>
      <c r="C1943" s="22"/>
      <c r="D1943" s="5" t="str">
        <f aca="false">IF(B1943="","",IFERROR(INDEX(DE_PARA!$B$6:$B$205,MATCH(B1943,DE_PARA!$A$6:$A$205,0)),"SEM DE-PARA"))</f>
        <v/>
      </c>
      <c r="E1943" s="23" t="str">
        <f aca="false">IF(A1943="","",DATE(YEAR(A1943),MONTH(A1943),1))</f>
        <v/>
      </c>
    </row>
    <row r="1944" customFormat="false" ht="15" hidden="false" customHeight="false" outlineLevel="0" collapsed="false">
      <c r="A1944" s="21"/>
      <c r="B1944" s="4"/>
      <c r="C1944" s="22"/>
      <c r="D1944" s="5" t="str">
        <f aca="false">IF(B1944="","",IFERROR(INDEX(DE_PARA!$B$6:$B$205,MATCH(B1944,DE_PARA!$A$6:$A$205,0)),"SEM DE-PARA"))</f>
        <v/>
      </c>
      <c r="E1944" s="23" t="str">
        <f aca="false">IF(A1944="","",DATE(YEAR(A1944),MONTH(A1944),1))</f>
        <v/>
      </c>
    </row>
    <row r="1945" customFormat="false" ht="15" hidden="false" customHeight="false" outlineLevel="0" collapsed="false">
      <c r="A1945" s="21"/>
      <c r="B1945" s="4"/>
      <c r="C1945" s="22"/>
      <c r="D1945" s="5" t="str">
        <f aca="false">IF(B1945="","",IFERROR(INDEX(DE_PARA!$B$6:$B$205,MATCH(B1945,DE_PARA!$A$6:$A$205,0)),"SEM DE-PARA"))</f>
        <v/>
      </c>
      <c r="E1945" s="23" t="str">
        <f aca="false">IF(A1945="","",DATE(YEAR(A1945),MONTH(A1945),1))</f>
        <v/>
      </c>
    </row>
    <row r="1946" customFormat="false" ht="15" hidden="false" customHeight="false" outlineLevel="0" collapsed="false">
      <c r="A1946" s="21"/>
      <c r="B1946" s="4"/>
      <c r="C1946" s="22"/>
      <c r="D1946" s="5" t="str">
        <f aca="false">IF(B1946="","",IFERROR(INDEX(DE_PARA!$B$6:$B$205,MATCH(B1946,DE_PARA!$A$6:$A$205,0)),"SEM DE-PARA"))</f>
        <v/>
      </c>
      <c r="E1946" s="23" t="str">
        <f aca="false">IF(A1946="","",DATE(YEAR(A1946),MONTH(A1946),1))</f>
        <v/>
      </c>
    </row>
    <row r="1947" customFormat="false" ht="15" hidden="false" customHeight="false" outlineLevel="0" collapsed="false">
      <c r="A1947" s="21"/>
      <c r="B1947" s="4"/>
      <c r="C1947" s="22"/>
      <c r="D1947" s="5" t="str">
        <f aca="false">IF(B1947="","",IFERROR(INDEX(DE_PARA!$B$6:$B$205,MATCH(B1947,DE_PARA!$A$6:$A$205,0)),"SEM DE-PARA"))</f>
        <v/>
      </c>
      <c r="E1947" s="23" t="str">
        <f aca="false">IF(A1947="","",DATE(YEAR(A1947),MONTH(A1947),1))</f>
        <v/>
      </c>
    </row>
    <row r="1948" customFormat="false" ht="15" hidden="false" customHeight="false" outlineLevel="0" collapsed="false">
      <c r="A1948" s="21"/>
      <c r="B1948" s="4"/>
      <c r="C1948" s="22"/>
      <c r="D1948" s="5" t="str">
        <f aca="false">IF(B1948="","",IFERROR(INDEX(DE_PARA!$B$6:$B$205,MATCH(B1948,DE_PARA!$A$6:$A$205,0)),"SEM DE-PARA"))</f>
        <v/>
      </c>
      <c r="E1948" s="23" t="str">
        <f aca="false">IF(A1948="","",DATE(YEAR(A1948),MONTH(A1948),1))</f>
        <v/>
      </c>
    </row>
    <row r="1949" customFormat="false" ht="15" hidden="false" customHeight="false" outlineLevel="0" collapsed="false">
      <c r="A1949" s="21"/>
      <c r="B1949" s="4"/>
      <c r="C1949" s="22"/>
      <c r="D1949" s="5" t="str">
        <f aca="false">IF(B1949="","",IFERROR(INDEX(DE_PARA!$B$6:$B$205,MATCH(B1949,DE_PARA!$A$6:$A$205,0)),"SEM DE-PARA"))</f>
        <v/>
      </c>
      <c r="E1949" s="23" t="str">
        <f aca="false">IF(A1949="","",DATE(YEAR(A1949),MONTH(A1949),1))</f>
        <v/>
      </c>
    </row>
    <row r="1950" customFormat="false" ht="15" hidden="false" customHeight="false" outlineLevel="0" collapsed="false">
      <c r="A1950" s="21"/>
      <c r="B1950" s="4"/>
      <c r="C1950" s="22"/>
      <c r="D1950" s="5" t="str">
        <f aca="false">IF(B1950="","",IFERROR(INDEX(DE_PARA!$B$6:$B$205,MATCH(B1950,DE_PARA!$A$6:$A$205,0)),"SEM DE-PARA"))</f>
        <v/>
      </c>
      <c r="E1950" s="23" t="str">
        <f aca="false">IF(A1950="","",DATE(YEAR(A1950),MONTH(A1950),1))</f>
        <v/>
      </c>
    </row>
    <row r="1951" customFormat="false" ht="15" hidden="false" customHeight="false" outlineLevel="0" collapsed="false">
      <c r="A1951" s="21"/>
      <c r="B1951" s="4"/>
      <c r="C1951" s="22"/>
      <c r="D1951" s="5" t="str">
        <f aca="false">IF(B1951="","",IFERROR(INDEX(DE_PARA!$B$6:$B$205,MATCH(B1951,DE_PARA!$A$6:$A$205,0)),"SEM DE-PARA"))</f>
        <v/>
      </c>
      <c r="E1951" s="23" t="str">
        <f aca="false">IF(A1951="","",DATE(YEAR(A1951),MONTH(A1951),1))</f>
        <v/>
      </c>
    </row>
    <row r="1952" customFormat="false" ht="15" hidden="false" customHeight="false" outlineLevel="0" collapsed="false">
      <c r="A1952" s="21"/>
      <c r="B1952" s="4"/>
      <c r="C1952" s="22"/>
      <c r="D1952" s="5" t="str">
        <f aca="false">IF(B1952="","",IFERROR(INDEX(DE_PARA!$B$6:$B$205,MATCH(B1952,DE_PARA!$A$6:$A$205,0)),"SEM DE-PARA"))</f>
        <v/>
      </c>
      <c r="E1952" s="23" t="str">
        <f aca="false">IF(A1952="","",DATE(YEAR(A1952),MONTH(A1952),1))</f>
        <v/>
      </c>
    </row>
    <row r="1953" customFormat="false" ht="15" hidden="false" customHeight="false" outlineLevel="0" collapsed="false">
      <c r="A1953" s="21"/>
      <c r="B1953" s="4"/>
      <c r="C1953" s="22"/>
      <c r="D1953" s="5" t="str">
        <f aca="false">IF(B1953="","",IFERROR(INDEX(DE_PARA!$B$6:$B$205,MATCH(B1953,DE_PARA!$A$6:$A$205,0)),"SEM DE-PARA"))</f>
        <v/>
      </c>
      <c r="E1953" s="23" t="str">
        <f aca="false">IF(A1953="","",DATE(YEAR(A1953),MONTH(A1953),1))</f>
        <v/>
      </c>
    </row>
    <row r="1954" customFormat="false" ht="15" hidden="false" customHeight="false" outlineLevel="0" collapsed="false">
      <c r="A1954" s="21"/>
      <c r="B1954" s="4"/>
      <c r="C1954" s="22"/>
      <c r="D1954" s="5" t="str">
        <f aca="false">IF(B1954="","",IFERROR(INDEX(DE_PARA!$B$6:$B$205,MATCH(B1954,DE_PARA!$A$6:$A$205,0)),"SEM DE-PARA"))</f>
        <v/>
      </c>
      <c r="E1954" s="23" t="str">
        <f aca="false">IF(A1954="","",DATE(YEAR(A1954),MONTH(A1954),1))</f>
        <v/>
      </c>
    </row>
    <row r="1955" customFormat="false" ht="15" hidden="false" customHeight="false" outlineLevel="0" collapsed="false">
      <c r="A1955" s="21"/>
      <c r="B1955" s="4"/>
      <c r="C1955" s="22"/>
      <c r="D1955" s="5" t="str">
        <f aca="false">IF(B1955="","",IFERROR(INDEX(DE_PARA!$B$6:$B$205,MATCH(B1955,DE_PARA!$A$6:$A$205,0)),"SEM DE-PARA"))</f>
        <v/>
      </c>
      <c r="E1955" s="23" t="str">
        <f aca="false">IF(A1955="","",DATE(YEAR(A1955),MONTH(A1955),1))</f>
        <v/>
      </c>
    </row>
    <row r="1956" customFormat="false" ht="15" hidden="false" customHeight="false" outlineLevel="0" collapsed="false">
      <c r="A1956" s="21"/>
      <c r="B1956" s="4"/>
      <c r="C1956" s="22"/>
      <c r="D1956" s="5" t="str">
        <f aca="false">IF(B1956="","",IFERROR(INDEX(DE_PARA!$B$6:$B$205,MATCH(B1956,DE_PARA!$A$6:$A$205,0)),"SEM DE-PARA"))</f>
        <v/>
      </c>
      <c r="E1956" s="23" t="str">
        <f aca="false">IF(A1956="","",DATE(YEAR(A1956),MONTH(A1956),1))</f>
        <v/>
      </c>
    </row>
    <row r="1957" customFormat="false" ht="15" hidden="false" customHeight="false" outlineLevel="0" collapsed="false">
      <c r="A1957" s="21"/>
      <c r="B1957" s="4"/>
      <c r="C1957" s="22"/>
      <c r="D1957" s="5" t="str">
        <f aca="false">IF(B1957="","",IFERROR(INDEX(DE_PARA!$B$6:$B$205,MATCH(B1957,DE_PARA!$A$6:$A$205,0)),"SEM DE-PARA"))</f>
        <v/>
      </c>
      <c r="E1957" s="23" t="str">
        <f aca="false">IF(A1957="","",DATE(YEAR(A1957),MONTH(A1957),1))</f>
        <v/>
      </c>
    </row>
    <row r="1958" customFormat="false" ht="15" hidden="false" customHeight="false" outlineLevel="0" collapsed="false">
      <c r="A1958" s="21"/>
      <c r="B1958" s="4"/>
      <c r="C1958" s="22"/>
      <c r="D1958" s="5" t="str">
        <f aca="false">IF(B1958="","",IFERROR(INDEX(DE_PARA!$B$6:$B$205,MATCH(B1958,DE_PARA!$A$6:$A$205,0)),"SEM DE-PARA"))</f>
        <v/>
      </c>
      <c r="E1958" s="23" t="str">
        <f aca="false">IF(A1958="","",DATE(YEAR(A1958),MONTH(A1958),1))</f>
        <v/>
      </c>
    </row>
    <row r="1959" customFormat="false" ht="15" hidden="false" customHeight="false" outlineLevel="0" collapsed="false">
      <c r="A1959" s="21"/>
      <c r="B1959" s="4"/>
      <c r="C1959" s="22"/>
      <c r="D1959" s="5" t="str">
        <f aca="false">IF(B1959="","",IFERROR(INDEX(DE_PARA!$B$6:$B$205,MATCH(B1959,DE_PARA!$A$6:$A$205,0)),"SEM DE-PARA"))</f>
        <v/>
      </c>
      <c r="E1959" s="23" t="str">
        <f aca="false">IF(A1959="","",DATE(YEAR(A1959),MONTH(A1959),1))</f>
        <v/>
      </c>
    </row>
    <row r="1960" customFormat="false" ht="15" hidden="false" customHeight="false" outlineLevel="0" collapsed="false">
      <c r="A1960" s="21"/>
      <c r="B1960" s="4"/>
      <c r="C1960" s="22"/>
      <c r="D1960" s="5" t="str">
        <f aca="false">IF(B1960="","",IFERROR(INDEX(DE_PARA!$B$6:$B$205,MATCH(B1960,DE_PARA!$A$6:$A$205,0)),"SEM DE-PARA"))</f>
        <v/>
      </c>
      <c r="E1960" s="23" t="str">
        <f aca="false">IF(A1960="","",DATE(YEAR(A1960),MONTH(A1960),1))</f>
        <v/>
      </c>
    </row>
    <row r="1961" customFormat="false" ht="15" hidden="false" customHeight="false" outlineLevel="0" collapsed="false">
      <c r="A1961" s="21"/>
      <c r="B1961" s="4"/>
      <c r="C1961" s="22"/>
      <c r="D1961" s="5" t="str">
        <f aca="false">IF(B1961="","",IFERROR(INDEX(DE_PARA!$B$6:$B$205,MATCH(B1961,DE_PARA!$A$6:$A$205,0)),"SEM DE-PARA"))</f>
        <v/>
      </c>
      <c r="E1961" s="23" t="str">
        <f aca="false">IF(A1961="","",DATE(YEAR(A1961),MONTH(A1961),1))</f>
        <v/>
      </c>
    </row>
    <row r="1962" customFormat="false" ht="15" hidden="false" customHeight="false" outlineLevel="0" collapsed="false">
      <c r="A1962" s="21"/>
      <c r="B1962" s="4"/>
      <c r="C1962" s="22"/>
      <c r="D1962" s="5" t="str">
        <f aca="false">IF(B1962="","",IFERROR(INDEX(DE_PARA!$B$6:$B$205,MATCH(B1962,DE_PARA!$A$6:$A$205,0)),"SEM DE-PARA"))</f>
        <v/>
      </c>
      <c r="E1962" s="23" t="str">
        <f aca="false">IF(A1962="","",DATE(YEAR(A1962),MONTH(A1962),1))</f>
        <v/>
      </c>
    </row>
    <row r="1963" customFormat="false" ht="15" hidden="false" customHeight="false" outlineLevel="0" collapsed="false">
      <c r="A1963" s="21"/>
      <c r="B1963" s="4"/>
      <c r="C1963" s="22"/>
      <c r="D1963" s="5" t="str">
        <f aca="false">IF(B1963="","",IFERROR(INDEX(DE_PARA!$B$6:$B$205,MATCH(B1963,DE_PARA!$A$6:$A$205,0)),"SEM DE-PARA"))</f>
        <v/>
      </c>
      <c r="E1963" s="23" t="str">
        <f aca="false">IF(A1963="","",DATE(YEAR(A1963),MONTH(A1963),1))</f>
        <v/>
      </c>
    </row>
    <row r="1964" customFormat="false" ht="15" hidden="false" customHeight="false" outlineLevel="0" collapsed="false">
      <c r="A1964" s="21"/>
      <c r="B1964" s="4"/>
      <c r="C1964" s="22"/>
      <c r="D1964" s="5" t="str">
        <f aca="false">IF(B1964="","",IFERROR(INDEX(DE_PARA!$B$6:$B$205,MATCH(B1964,DE_PARA!$A$6:$A$205,0)),"SEM DE-PARA"))</f>
        <v/>
      </c>
      <c r="E1964" s="23" t="str">
        <f aca="false">IF(A1964="","",DATE(YEAR(A1964),MONTH(A1964),1))</f>
        <v/>
      </c>
    </row>
    <row r="1965" customFormat="false" ht="15" hidden="false" customHeight="false" outlineLevel="0" collapsed="false">
      <c r="A1965" s="21"/>
      <c r="B1965" s="4"/>
      <c r="C1965" s="22"/>
      <c r="D1965" s="5" t="str">
        <f aca="false">IF(B1965="","",IFERROR(INDEX(DE_PARA!$B$6:$B$205,MATCH(B1965,DE_PARA!$A$6:$A$205,0)),"SEM DE-PARA"))</f>
        <v/>
      </c>
      <c r="E1965" s="23" t="str">
        <f aca="false">IF(A1965="","",DATE(YEAR(A1965),MONTH(A1965),1))</f>
        <v/>
      </c>
    </row>
    <row r="1966" customFormat="false" ht="15" hidden="false" customHeight="false" outlineLevel="0" collapsed="false">
      <c r="A1966" s="21"/>
      <c r="B1966" s="4"/>
      <c r="C1966" s="22"/>
      <c r="D1966" s="5" t="str">
        <f aca="false">IF(B1966="","",IFERROR(INDEX(DE_PARA!$B$6:$B$205,MATCH(B1966,DE_PARA!$A$6:$A$205,0)),"SEM DE-PARA"))</f>
        <v/>
      </c>
      <c r="E1966" s="23" t="str">
        <f aca="false">IF(A1966="","",DATE(YEAR(A1966),MONTH(A1966),1))</f>
        <v/>
      </c>
    </row>
    <row r="1967" customFormat="false" ht="15" hidden="false" customHeight="false" outlineLevel="0" collapsed="false">
      <c r="A1967" s="21"/>
      <c r="B1967" s="4"/>
      <c r="C1967" s="22"/>
      <c r="D1967" s="5" t="str">
        <f aca="false">IF(B1967="","",IFERROR(INDEX(DE_PARA!$B$6:$B$205,MATCH(B1967,DE_PARA!$A$6:$A$205,0)),"SEM DE-PARA"))</f>
        <v/>
      </c>
      <c r="E1967" s="23" t="str">
        <f aca="false">IF(A1967="","",DATE(YEAR(A1967),MONTH(A1967),1))</f>
        <v/>
      </c>
    </row>
    <row r="1968" customFormat="false" ht="15" hidden="false" customHeight="false" outlineLevel="0" collapsed="false">
      <c r="A1968" s="21"/>
      <c r="B1968" s="4"/>
      <c r="C1968" s="22"/>
      <c r="D1968" s="5" t="str">
        <f aca="false">IF(B1968="","",IFERROR(INDEX(DE_PARA!$B$6:$B$205,MATCH(B1968,DE_PARA!$A$6:$A$205,0)),"SEM DE-PARA"))</f>
        <v/>
      </c>
      <c r="E1968" s="23" t="str">
        <f aca="false">IF(A1968="","",DATE(YEAR(A1968),MONTH(A1968),1))</f>
        <v/>
      </c>
    </row>
    <row r="1969" customFormat="false" ht="15" hidden="false" customHeight="false" outlineLevel="0" collapsed="false">
      <c r="A1969" s="21"/>
      <c r="B1969" s="4"/>
      <c r="C1969" s="22"/>
      <c r="D1969" s="5" t="str">
        <f aca="false">IF(B1969="","",IFERROR(INDEX(DE_PARA!$B$6:$B$205,MATCH(B1969,DE_PARA!$A$6:$A$205,0)),"SEM DE-PARA"))</f>
        <v/>
      </c>
      <c r="E1969" s="23" t="str">
        <f aca="false">IF(A1969="","",DATE(YEAR(A1969),MONTH(A1969),1))</f>
        <v/>
      </c>
    </row>
    <row r="1970" customFormat="false" ht="15" hidden="false" customHeight="false" outlineLevel="0" collapsed="false">
      <c r="A1970" s="21"/>
      <c r="B1970" s="4"/>
      <c r="C1970" s="22"/>
      <c r="D1970" s="5" t="str">
        <f aca="false">IF(B1970="","",IFERROR(INDEX(DE_PARA!$B$6:$B$205,MATCH(B1970,DE_PARA!$A$6:$A$205,0)),"SEM DE-PARA"))</f>
        <v/>
      </c>
      <c r="E1970" s="23" t="str">
        <f aca="false">IF(A1970="","",DATE(YEAR(A1970),MONTH(A1970),1))</f>
        <v/>
      </c>
    </row>
    <row r="1971" customFormat="false" ht="15" hidden="false" customHeight="false" outlineLevel="0" collapsed="false">
      <c r="A1971" s="21"/>
      <c r="B1971" s="4"/>
      <c r="C1971" s="22"/>
      <c r="D1971" s="5" t="str">
        <f aca="false">IF(B1971="","",IFERROR(INDEX(DE_PARA!$B$6:$B$205,MATCH(B1971,DE_PARA!$A$6:$A$205,0)),"SEM DE-PARA"))</f>
        <v/>
      </c>
      <c r="E1971" s="23" t="str">
        <f aca="false">IF(A1971="","",DATE(YEAR(A1971),MONTH(A1971),1))</f>
        <v/>
      </c>
    </row>
    <row r="1972" customFormat="false" ht="15" hidden="false" customHeight="false" outlineLevel="0" collapsed="false">
      <c r="A1972" s="21"/>
      <c r="B1972" s="4"/>
      <c r="C1972" s="22"/>
      <c r="D1972" s="5" t="str">
        <f aca="false">IF(B1972="","",IFERROR(INDEX(DE_PARA!$B$6:$B$205,MATCH(B1972,DE_PARA!$A$6:$A$205,0)),"SEM DE-PARA"))</f>
        <v/>
      </c>
      <c r="E1972" s="23" t="str">
        <f aca="false">IF(A1972="","",DATE(YEAR(A1972),MONTH(A1972),1))</f>
        <v/>
      </c>
    </row>
    <row r="1973" customFormat="false" ht="15" hidden="false" customHeight="false" outlineLevel="0" collapsed="false">
      <c r="A1973" s="21"/>
      <c r="B1973" s="4"/>
      <c r="C1973" s="22"/>
      <c r="D1973" s="5" t="str">
        <f aca="false">IF(B1973="","",IFERROR(INDEX(DE_PARA!$B$6:$B$205,MATCH(B1973,DE_PARA!$A$6:$A$205,0)),"SEM DE-PARA"))</f>
        <v/>
      </c>
      <c r="E1973" s="23" t="str">
        <f aca="false">IF(A1973="","",DATE(YEAR(A1973),MONTH(A1973),1))</f>
        <v/>
      </c>
    </row>
    <row r="1974" customFormat="false" ht="15" hidden="false" customHeight="false" outlineLevel="0" collapsed="false">
      <c r="A1974" s="21"/>
      <c r="B1974" s="4"/>
      <c r="C1974" s="22"/>
      <c r="D1974" s="5" t="str">
        <f aca="false">IF(B1974="","",IFERROR(INDEX(DE_PARA!$B$6:$B$205,MATCH(B1974,DE_PARA!$A$6:$A$205,0)),"SEM DE-PARA"))</f>
        <v/>
      </c>
      <c r="E1974" s="23" t="str">
        <f aca="false">IF(A1974="","",DATE(YEAR(A1974),MONTH(A1974),1))</f>
        <v/>
      </c>
    </row>
    <row r="1975" customFormat="false" ht="15" hidden="false" customHeight="false" outlineLevel="0" collapsed="false">
      <c r="A1975" s="21"/>
      <c r="B1975" s="4"/>
      <c r="C1975" s="22"/>
      <c r="D1975" s="5" t="str">
        <f aca="false">IF(B1975="","",IFERROR(INDEX(DE_PARA!$B$6:$B$205,MATCH(B1975,DE_PARA!$A$6:$A$205,0)),"SEM DE-PARA"))</f>
        <v/>
      </c>
      <c r="E1975" s="23" t="str">
        <f aca="false">IF(A1975="","",DATE(YEAR(A1975),MONTH(A1975),1))</f>
        <v/>
      </c>
    </row>
    <row r="1976" customFormat="false" ht="15" hidden="false" customHeight="false" outlineLevel="0" collapsed="false">
      <c r="A1976" s="21"/>
      <c r="B1976" s="4"/>
      <c r="C1976" s="22"/>
      <c r="D1976" s="5" t="str">
        <f aca="false">IF(B1976="","",IFERROR(INDEX(DE_PARA!$B$6:$B$205,MATCH(B1976,DE_PARA!$A$6:$A$205,0)),"SEM DE-PARA"))</f>
        <v/>
      </c>
      <c r="E1976" s="23" t="str">
        <f aca="false">IF(A1976="","",DATE(YEAR(A1976),MONTH(A1976),1))</f>
        <v/>
      </c>
    </row>
    <row r="1977" customFormat="false" ht="15" hidden="false" customHeight="false" outlineLevel="0" collapsed="false">
      <c r="A1977" s="21"/>
      <c r="B1977" s="4"/>
      <c r="C1977" s="22"/>
      <c r="D1977" s="5" t="str">
        <f aca="false">IF(B1977="","",IFERROR(INDEX(DE_PARA!$B$6:$B$205,MATCH(B1977,DE_PARA!$A$6:$A$205,0)),"SEM DE-PARA"))</f>
        <v/>
      </c>
      <c r="E1977" s="23" t="str">
        <f aca="false">IF(A1977="","",DATE(YEAR(A1977),MONTH(A1977),1))</f>
        <v/>
      </c>
    </row>
    <row r="1978" customFormat="false" ht="15" hidden="false" customHeight="false" outlineLevel="0" collapsed="false">
      <c r="A1978" s="21"/>
      <c r="B1978" s="4"/>
      <c r="C1978" s="22"/>
      <c r="D1978" s="5" t="str">
        <f aca="false">IF(B1978="","",IFERROR(INDEX(DE_PARA!$B$6:$B$205,MATCH(B1978,DE_PARA!$A$6:$A$205,0)),"SEM DE-PARA"))</f>
        <v/>
      </c>
      <c r="E1978" s="23" t="str">
        <f aca="false">IF(A1978="","",DATE(YEAR(A1978),MONTH(A1978),1))</f>
        <v/>
      </c>
    </row>
    <row r="1979" customFormat="false" ht="15" hidden="false" customHeight="false" outlineLevel="0" collapsed="false">
      <c r="A1979" s="21"/>
      <c r="B1979" s="4"/>
      <c r="C1979" s="22"/>
      <c r="D1979" s="5" t="str">
        <f aca="false">IF(B1979="","",IFERROR(INDEX(DE_PARA!$B$6:$B$205,MATCH(B1979,DE_PARA!$A$6:$A$205,0)),"SEM DE-PARA"))</f>
        <v/>
      </c>
      <c r="E1979" s="23" t="str">
        <f aca="false">IF(A1979="","",DATE(YEAR(A1979),MONTH(A1979),1))</f>
        <v/>
      </c>
    </row>
    <row r="1980" customFormat="false" ht="15" hidden="false" customHeight="false" outlineLevel="0" collapsed="false">
      <c r="A1980" s="21"/>
      <c r="B1980" s="4"/>
      <c r="C1980" s="22"/>
      <c r="D1980" s="5" t="str">
        <f aca="false">IF(B1980="","",IFERROR(INDEX(DE_PARA!$B$6:$B$205,MATCH(B1980,DE_PARA!$A$6:$A$205,0)),"SEM DE-PARA"))</f>
        <v/>
      </c>
      <c r="E1980" s="23" t="str">
        <f aca="false">IF(A1980="","",DATE(YEAR(A1980),MONTH(A1980),1))</f>
        <v/>
      </c>
    </row>
    <row r="1981" customFormat="false" ht="15" hidden="false" customHeight="false" outlineLevel="0" collapsed="false">
      <c r="A1981" s="21"/>
      <c r="B1981" s="4"/>
      <c r="C1981" s="22"/>
      <c r="D1981" s="5" t="str">
        <f aca="false">IF(B1981="","",IFERROR(INDEX(DE_PARA!$B$6:$B$205,MATCH(B1981,DE_PARA!$A$6:$A$205,0)),"SEM DE-PARA"))</f>
        <v/>
      </c>
      <c r="E1981" s="23" t="str">
        <f aca="false">IF(A1981="","",DATE(YEAR(A1981),MONTH(A1981),1))</f>
        <v/>
      </c>
    </row>
    <row r="1982" customFormat="false" ht="15" hidden="false" customHeight="false" outlineLevel="0" collapsed="false">
      <c r="A1982" s="21"/>
      <c r="B1982" s="4"/>
      <c r="C1982" s="22"/>
      <c r="D1982" s="5" t="str">
        <f aca="false">IF(B1982="","",IFERROR(INDEX(DE_PARA!$B$6:$B$205,MATCH(B1982,DE_PARA!$A$6:$A$205,0)),"SEM DE-PARA"))</f>
        <v/>
      </c>
      <c r="E1982" s="23" t="str">
        <f aca="false">IF(A1982="","",DATE(YEAR(A1982),MONTH(A1982),1))</f>
        <v/>
      </c>
    </row>
    <row r="1983" customFormat="false" ht="15" hidden="false" customHeight="false" outlineLevel="0" collapsed="false">
      <c r="A1983" s="21"/>
      <c r="B1983" s="4"/>
      <c r="C1983" s="22"/>
      <c r="D1983" s="5" t="str">
        <f aca="false">IF(B1983="","",IFERROR(INDEX(DE_PARA!$B$6:$B$205,MATCH(B1983,DE_PARA!$A$6:$A$205,0)),"SEM DE-PARA"))</f>
        <v/>
      </c>
      <c r="E1983" s="23" t="str">
        <f aca="false">IF(A1983="","",DATE(YEAR(A1983),MONTH(A1983),1))</f>
        <v/>
      </c>
    </row>
    <row r="1984" customFormat="false" ht="15" hidden="false" customHeight="false" outlineLevel="0" collapsed="false">
      <c r="A1984" s="21"/>
      <c r="B1984" s="4"/>
      <c r="C1984" s="22"/>
      <c r="D1984" s="5" t="str">
        <f aca="false">IF(B1984="","",IFERROR(INDEX(DE_PARA!$B$6:$B$205,MATCH(B1984,DE_PARA!$A$6:$A$205,0)),"SEM DE-PARA"))</f>
        <v/>
      </c>
      <c r="E1984" s="23" t="str">
        <f aca="false">IF(A1984="","",DATE(YEAR(A1984),MONTH(A1984),1))</f>
        <v/>
      </c>
    </row>
    <row r="1985" customFormat="false" ht="15" hidden="false" customHeight="false" outlineLevel="0" collapsed="false">
      <c r="A1985" s="21"/>
      <c r="B1985" s="4"/>
      <c r="C1985" s="22"/>
      <c r="D1985" s="5" t="str">
        <f aca="false">IF(B1985="","",IFERROR(INDEX(DE_PARA!$B$6:$B$205,MATCH(B1985,DE_PARA!$A$6:$A$205,0)),"SEM DE-PARA"))</f>
        <v/>
      </c>
      <c r="E1985" s="23" t="str">
        <f aca="false">IF(A1985="","",DATE(YEAR(A1985),MONTH(A1985),1))</f>
        <v/>
      </c>
    </row>
    <row r="1986" customFormat="false" ht="15" hidden="false" customHeight="false" outlineLevel="0" collapsed="false">
      <c r="A1986" s="21"/>
      <c r="B1986" s="4"/>
      <c r="C1986" s="22"/>
      <c r="D1986" s="5" t="str">
        <f aca="false">IF(B1986="","",IFERROR(INDEX(DE_PARA!$B$6:$B$205,MATCH(B1986,DE_PARA!$A$6:$A$205,0)),"SEM DE-PARA"))</f>
        <v/>
      </c>
      <c r="E1986" s="23" t="str">
        <f aca="false">IF(A1986="","",DATE(YEAR(A1986),MONTH(A1986),1))</f>
        <v/>
      </c>
    </row>
    <row r="1987" customFormat="false" ht="15" hidden="false" customHeight="false" outlineLevel="0" collapsed="false">
      <c r="A1987" s="21"/>
      <c r="B1987" s="4"/>
      <c r="C1987" s="22"/>
      <c r="D1987" s="5" t="str">
        <f aca="false">IF(B1987="","",IFERROR(INDEX(DE_PARA!$B$6:$B$205,MATCH(B1987,DE_PARA!$A$6:$A$205,0)),"SEM DE-PARA"))</f>
        <v/>
      </c>
      <c r="E1987" s="23" t="str">
        <f aca="false">IF(A1987="","",DATE(YEAR(A1987),MONTH(A1987),1))</f>
        <v/>
      </c>
    </row>
    <row r="1988" customFormat="false" ht="15" hidden="false" customHeight="false" outlineLevel="0" collapsed="false">
      <c r="A1988" s="21"/>
      <c r="B1988" s="4"/>
      <c r="C1988" s="22"/>
      <c r="D1988" s="5" t="str">
        <f aca="false">IF(B1988="","",IFERROR(INDEX(DE_PARA!$B$6:$B$205,MATCH(B1988,DE_PARA!$A$6:$A$205,0)),"SEM DE-PARA"))</f>
        <v/>
      </c>
      <c r="E1988" s="23" t="str">
        <f aca="false">IF(A1988="","",DATE(YEAR(A1988),MONTH(A1988),1))</f>
        <v/>
      </c>
    </row>
    <row r="1989" customFormat="false" ht="15" hidden="false" customHeight="false" outlineLevel="0" collapsed="false">
      <c r="A1989" s="21"/>
      <c r="B1989" s="4"/>
      <c r="C1989" s="22"/>
      <c r="D1989" s="5" t="str">
        <f aca="false">IF(B1989="","",IFERROR(INDEX(DE_PARA!$B$6:$B$205,MATCH(B1989,DE_PARA!$A$6:$A$205,0)),"SEM DE-PARA"))</f>
        <v/>
      </c>
      <c r="E1989" s="23" t="str">
        <f aca="false">IF(A1989="","",DATE(YEAR(A1989),MONTH(A1989),1))</f>
        <v/>
      </c>
    </row>
    <row r="1990" customFormat="false" ht="15" hidden="false" customHeight="false" outlineLevel="0" collapsed="false">
      <c r="A1990" s="21"/>
      <c r="B1990" s="4"/>
      <c r="C1990" s="22"/>
      <c r="D1990" s="5" t="str">
        <f aca="false">IF(B1990="","",IFERROR(INDEX(DE_PARA!$B$6:$B$205,MATCH(B1990,DE_PARA!$A$6:$A$205,0)),"SEM DE-PARA"))</f>
        <v/>
      </c>
      <c r="E1990" s="23" t="str">
        <f aca="false">IF(A1990="","",DATE(YEAR(A1990),MONTH(A1990),1))</f>
        <v/>
      </c>
    </row>
    <row r="1991" customFormat="false" ht="15" hidden="false" customHeight="false" outlineLevel="0" collapsed="false">
      <c r="A1991" s="21"/>
      <c r="B1991" s="4"/>
      <c r="C1991" s="22"/>
      <c r="D1991" s="5" t="str">
        <f aca="false">IF(B1991="","",IFERROR(INDEX(DE_PARA!$B$6:$B$205,MATCH(B1991,DE_PARA!$A$6:$A$205,0)),"SEM DE-PARA"))</f>
        <v/>
      </c>
      <c r="E1991" s="23" t="str">
        <f aca="false">IF(A1991="","",DATE(YEAR(A1991),MONTH(A1991),1))</f>
        <v/>
      </c>
    </row>
    <row r="1992" customFormat="false" ht="15" hidden="false" customHeight="false" outlineLevel="0" collapsed="false">
      <c r="A1992" s="21"/>
      <c r="B1992" s="4"/>
      <c r="C1992" s="22"/>
      <c r="D1992" s="5" t="str">
        <f aca="false">IF(B1992="","",IFERROR(INDEX(DE_PARA!$B$6:$B$205,MATCH(B1992,DE_PARA!$A$6:$A$205,0)),"SEM DE-PARA"))</f>
        <v/>
      </c>
      <c r="E1992" s="23" t="str">
        <f aca="false">IF(A1992="","",DATE(YEAR(A1992),MONTH(A1992),1))</f>
        <v/>
      </c>
    </row>
    <row r="1993" customFormat="false" ht="15" hidden="false" customHeight="false" outlineLevel="0" collapsed="false">
      <c r="A1993" s="21"/>
      <c r="B1993" s="4"/>
      <c r="C1993" s="22"/>
      <c r="D1993" s="5" t="str">
        <f aca="false">IF(B1993="","",IFERROR(INDEX(DE_PARA!$B$6:$B$205,MATCH(B1993,DE_PARA!$A$6:$A$205,0)),"SEM DE-PARA"))</f>
        <v/>
      </c>
      <c r="E1993" s="23" t="str">
        <f aca="false">IF(A1993="","",DATE(YEAR(A1993),MONTH(A1993),1))</f>
        <v/>
      </c>
    </row>
    <row r="1994" customFormat="false" ht="15" hidden="false" customHeight="false" outlineLevel="0" collapsed="false">
      <c r="A1994" s="21"/>
      <c r="B1994" s="4"/>
      <c r="C1994" s="22"/>
      <c r="D1994" s="5" t="str">
        <f aca="false">IF(B1994="","",IFERROR(INDEX(DE_PARA!$B$6:$B$205,MATCH(B1994,DE_PARA!$A$6:$A$205,0)),"SEM DE-PARA"))</f>
        <v/>
      </c>
      <c r="E1994" s="23" t="str">
        <f aca="false">IF(A1994="","",DATE(YEAR(A1994),MONTH(A1994),1))</f>
        <v/>
      </c>
    </row>
    <row r="1995" customFormat="false" ht="15" hidden="false" customHeight="false" outlineLevel="0" collapsed="false">
      <c r="A1995" s="21"/>
      <c r="B1995" s="4"/>
      <c r="C1995" s="22"/>
      <c r="D1995" s="5" t="str">
        <f aca="false">IF(B1995="","",IFERROR(INDEX(DE_PARA!$B$6:$B$205,MATCH(B1995,DE_PARA!$A$6:$A$205,0)),"SEM DE-PARA"))</f>
        <v/>
      </c>
      <c r="E1995" s="23" t="str">
        <f aca="false">IF(A1995="","",DATE(YEAR(A1995),MONTH(A1995),1))</f>
        <v/>
      </c>
    </row>
    <row r="1996" customFormat="false" ht="15" hidden="false" customHeight="false" outlineLevel="0" collapsed="false">
      <c r="A1996" s="21"/>
      <c r="B1996" s="4"/>
      <c r="C1996" s="22"/>
      <c r="D1996" s="5" t="str">
        <f aca="false">IF(B1996="","",IFERROR(INDEX(DE_PARA!$B$6:$B$205,MATCH(B1996,DE_PARA!$A$6:$A$205,0)),"SEM DE-PARA"))</f>
        <v/>
      </c>
      <c r="E1996" s="23" t="str">
        <f aca="false">IF(A1996="","",DATE(YEAR(A1996),MONTH(A1996),1))</f>
        <v/>
      </c>
    </row>
    <row r="1997" customFormat="false" ht="15" hidden="false" customHeight="false" outlineLevel="0" collapsed="false">
      <c r="A1997" s="21"/>
      <c r="B1997" s="4"/>
      <c r="C1997" s="22"/>
      <c r="D1997" s="5" t="str">
        <f aca="false">IF(B1997="","",IFERROR(INDEX(DE_PARA!$B$6:$B$205,MATCH(B1997,DE_PARA!$A$6:$A$205,0)),"SEM DE-PARA"))</f>
        <v/>
      </c>
      <c r="E1997" s="23" t="str">
        <f aca="false">IF(A1997="","",DATE(YEAR(A1997),MONTH(A1997),1))</f>
        <v/>
      </c>
    </row>
    <row r="1998" customFormat="false" ht="15" hidden="false" customHeight="false" outlineLevel="0" collapsed="false">
      <c r="A1998" s="21"/>
      <c r="B1998" s="4"/>
      <c r="C1998" s="22"/>
      <c r="D1998" s="5" t="str">
        <f aca="false">IF(B1998="","",IFERROR(INDEX(DE_PARA!$B$6:$B$205,MATCH(B1998,DE_PARA!$A$6:$A$205,0)),"SEM DE-PARA"))</f>
        <v/>
      </c>
      <c r="E1998" s="23" t="str">
        <f aca="false">IF(A1998="","",DATE(YEAR(A1998),MONTH(A1998),1))</f>
        <v/>
      </c>
    </row>
    <row r="1999" customFormat="false" ht="15" hidden="false" customHeight="false" outlineLevel="0" collapsed="false">
      <c r="A1999" s="21"/>
      <c r="B1999" s="4"/>
      <c r="C1999" s="22"/>
      <c r="D1999" s="5" t="str">
        <f aca="false">IF(B1999="","",IFERROR(INDEX(DE_PARA!$B$6:$B$205,MATCH(B1999,DE_PARA!$A$6:$A$205,0)),"SEM DE-PARA"))</f>
        <v/>
      </c>
      <c r="E1999" s="23" t="str">
        <f aca="false">IF(A1999="","",DATE(YEAR(A1999),MONTH(A1999),1))</f>
        <v/>
      </c>
    </row>
    <row r="2000" customFormat="false" ht="15" hidden="false" customHeight="false" outlineLevel="0" collapsed="false">
      <c r="A2000" s="21"/>
      <c r="B2000" s="4"/>
      <c r="C2000" s="22"/>
      <c r="D2000" s="5" t="str">
        <f aca="false">IF(B2000="","",IFERROR(INDEX(DE_PARA!$B$6:$B$205,MATCH(B2000,DE_PARA!$A$6:$A$205,0)),"SEM DE-PARA"))</f>
        <v/>
      </c>
      <c r="E2000" s="23" t="str">
        <f aca="false">IF(A2000="","",DATE(YEAR(A2000),MONTH(A2000),1))</f>
        <v/>
      </c>
    </row>
    <row r="2001" customFormat="false" ht="15" hidden="false" customHeight="false" outlineLevel="0" collapsed="false">
      <c r="A2001" s="21"/>
      <c r="B2001" s="4"/>
      <c r="C2001" s="22"/>
      <c r="D2001" s="5" t="str">
        <f aca="false">IF(B2001="","",IFERROR(INDEX(DE_PARA!$B$6:$B$205,MATCH(B2001,DE_PARA!$A$6:$A$205,0)),"SEM DE-PARA"))</f>
        <v/>
      </c>
      <c r="E2001" s="23" t="str">
        <f aca="false">IF(A2001="","",DATE(YEAR(A2001),MONTH(A2001),1))</f>
        <v/>
      </c>
    </row>
    <row r="2002" customFormat="false" ht="15" hidden="false" customHeight="false" outlineLevel="0" collapsed="false">
      <c r="A2002" s="21"/>
      <c r="B2002" s="4"/>
      <c r="C2002" s="22"/>
      <c r="D2002" s="5" t="str">
        <f aca="false">IF(B2002="","",IFERROR(INDEX(DE_PARA!$B$6:$B$205,MATCH(B2002,DE_PARA!$A$6:$A$205,0)),"SEM DE-PARA"))</f>
        <v/>
      </c>
      <c r="E2002" s="23" t="str">
        <f aca="false">IF(A2002="","",DATE(YEAR(A2002),MONTH(A2002),1))</f>
        <v/>
      </c>
    </row>
    <row r="2003" customFormat="false" ht="15" hidden="false" customHeight="false" outlineLevel="0" collapsed="false">
      <c r="A2003" s="21"/>
      <c r="B2003" s="4"/>
      <c r="C2003" s="22"/>
      <c r="D2003" s="5" t="str">
        <f aca="false">IF(B2003="","",IFERROR(INDEX(DE_PARA!$B$6:$B$205,MATCH(B2003,DE_PARA!$A$6:$A$205,0)),"SEM DE-PARA"))</f>
        <v/>
      </c>
      <c r="E2003" s="23" t="str">
        <f aca="false">IF(A2003="","",DATE(YEAR(A2003),MONTH(A2003),1))</f>
        <v/>
      </c>
    </row>
    <row r="2004" customFormat="false" ht="15" hidden="false" customHeight="false" outlineLevel="0" collapsed="false">
      <c r="A2004" s="21"/>
      <c r="B2004" s="4"/>
      <c r="C2004" s="22"/>
      <c r="D2004" s="5" t="str">
        <f aca="false">IF(B2004="","",IFERROR(INDEX(DE_PARA!$B$6:$B$205,MATCH(B2004,DE_PARA!$A$6:$A$205,0)),"SEM DE-PARA"))</f>
        <v/>
      </c>
      <c r="E2004" s="23" t="str">
        <f aca="false">IF(A2004="","",DATE(YEAR(A2004),MONTH(A2004),1))</f>
        <v/>
      </c>
    </row>
    <row r="2005" customFormat="false" ht="15" hidden="false" customHeight="false" outlineLevel="0" collapsed="false">
      <c r="A2005" s="21"/>
      <c r="B2005" s="4"/>
      <c r="C2005" s="22"/>
      <c r="D2005" s="5" t="str">
        <f aca="false">IF(B2005="","",IFERROR(INDEX(DE_PARA!$B$6:$B$205,MATCH(B2005,DE_PARA!$A$6:$A$205,0)),"SEM DE-PARA"))</f>
        <v/>
      </c>
      <c r="E2005" s="23" t="str">
        <f aca="false">IF(A2005="","",DATE(YEAR(A2005),MONTH(A2005),1))</f>
        <v/>
      </c>
    </row>
    <row r="2006" customFormat="false" ht="15" hidden="false" customHeight="false" outlineLevel="0" collapsed="false">
      <c r="A2006" s="21"/>
      <c r="B2006" s="4"/>
      <c r="C2006" s="22"/>
      <c r="D2006" s="5" t="str">
        <f aca="false">IF(B2006="","",IFERROR(INDEX(DE_PARA!$B$6:$B$205,MATCH(B2006,DE_PARA!$A$6:$A$205,0)),"SEM DE-PARA"))</f>
        <v/>
      </c>
      <c r="E2006" s="23" t="str">
        <f aca="false">IF(A2006="","",DATE(YEAR(A2006),MONTH(A2006),1))</f>
        <v/>
      </c>
    </row>
    <row r="2007" customFormat="false" ht="15" hidden="false" customHeight="false" outlineLevel="0" collapsed="false">
      <c r="A2007" s="21"/>
      <c r="B2007" s="4"/>
      <c r="C2007" s="22"/>
      <c r="D2007" s="5" t="str">
        <f aca="false">IF(B2007="","",IFERROR(INDEX(DE_PARA!$B$6:$B$205,MATCH(B2007,DE_PARA!$A$6:$A$205,0)),"SEM DE-PARA"))</f>
        <v/>
      </c>
      <c r="E2007" s="23" t="str">
        <f aca="false">IF(A2007="","",DATE(YEAR(A2007),MONTH(A2007),1))</f>
        <v/>
      </c>
    </row>
    <row r="2008" customFormat="false" ht="15" hidden="false" customHeight="false" outlineLevel="0" collapsed="false">
      <c r="A2008" s="21"/>
      <c r="B2008" s="4"/>
      <c r="C2008" s="22"/>
      <c r="D2008" s="5" t="str">
        <f aca="false">IF(B2008="","",IFERROR(INDEX(DE_PARA!$B$6:$B$205,MATCH(B2008,DE_PARA!$A$6:$A$205,0)),"SEM DE-PARA"))</f>
        <v/>
      </c>
      <c r="E2008" s="23" t="str">
        <f aca="false">IF(A2008="","",DATE(YEAR(A2008),MONTH(A2008),1))</f>
        <v/>
      </c>
    </row>
    <row r="2009" customFormat="false" ht="15" hidden="false" customHeight="false" outlineLevel="0" collapsed="false">
      <c r="A2009" s="21"/>
      <c r="B2009" s="4"/>
      <c r="C2009" s="22"/>
      <c r="D2009" s="5" t="str">
        <f aca="false">IF(B2009="","",IFERROR(INDEX(DE_PARA!$B$6:$B$205,MATCH(B2009,DE_PARA!$A$6:$A$205,0)),"SEM DE-PARA"))</f>
        <v/>
      </c>
      <c r="E2009" s="23" t="str">
        <f aca="false">IF(A2009="","",DATE(YEAR(A2009),MONTH(A2009),1))</f>
        <v/>
      </c>
    </row>
    <row r="2010" customFormat="false" ht="15" hidden="false" customHeight="false" outlineLevel="0" collapsed="false">
      <c r="A2010" s="21"/>
      <c r="B2010" s="4"/>
      <c r="C2010" s="22"/>
      <c r="D2010" s="5" t="str">
        <f aca="false">IF(B2010="","",IFERROR(INDEX(DE_PARA!$B$6:$B$205,MATCH(B2010,DE_PARA!$A$6:$A$205,0)),"SEM DE-PARA"))</f>
        <v/>
      </c>
      <c r="E2010" s="23" t="str">
        <f aca="false">IF(A2010="","",DATE(YEAR(A2010),MONTH(A2010),1))</f>
        <v/>
      </c>
    </row>
    <row r="2011" customFormat="false" ht="15" hidden="false" customHeight="false" outlineLevel="0" collapsed="false">
      <c r="A2011" s="21"/>
      <c r="B2011" s="4"/>
      <c r="C2011" s="22"/>
      <c r="D2011" s="5" t="str">
        <f aca="false">IF(B2011="","",IFERROR(INDEX(DE_PARA!$B$6:$B$205,MATCH(B2011,DE_PARA!$A$6:$A$205,0)),"SEM DE-PARA"))</f>
        <v/>
      </c>
      <c r="E2011" s="23" t="str">
        <f aca="false">IF(A2011="","",DATE(YEAR(A2011),MONTH(A2011),1))</f>
        <v/>
      </c>
    </row>
    <row r="2012" customFormat="false" ht="15" hidden="false" customHeight="false" outlineLevel="0" collapsed="false">
      <c r="A2012" s="21"/>
      <c r="B2012" s="4"/>
      <c r="C2012" s="22"/>
      <c r="D2012" s="5" t="str">
        <f aca="false">IF(B2012="","",IFERROR(INDEX(DE_PARA!$B$6:$B$205,MATCH(B2012,DE_PARA!$A$6:$A$205,0)),"SEM DE-PARA"))</f>
        <v/>
      </c>
      <c r="E2012" s="23" t="str">
        <f aca="false">IF(A2012="","",DATE(YEAR(A2012),MONTH(A2012),1))</f>
        <v/>
      </c>
    </row>
    <row r="2013" customFormat="false" ht="15" hidden="false" customHeight="false" outlineLevel="0" collapsed="false">
      <c r="A2013" s="21"/>
      <c r="B2013" s="4"/>
      <c r="C2013" s="22"/>
      <c r="D2013" s="5" t="str">
        <f aca="false">IF(B2013="","",IFERROR(INDEX(DE_PARA!$B$6:$B$205,MATCH(B2013,DE_PARA!$A$6:$A$205,0)),"SEM DE-PARA"))</f>
        <v/>
      </c>
      <c r="E2013" s="23" t="str">
        <f aca="false">IF(A2013="","",DATE(YEAR(A2013),MONTH(A2013),1))</f>
        <v/>
      </c>
    </row>
    <row r="2014" customFormat="false" ht="15" hidden="false" customHeight="false" outlineLevel="0" collapsed="false">
      <c r="A2014" s="21"/>
      <c r="B2014" s="4"/>
      <c r="C2014" s="22"/>
      <c r="D2014" s="5" t="str">
        <f aca="false">IF(B2014="","",IFERROR(INDEX(DE_PARA!$B$6:$B$205,MATCH(B2014,DE_PARA!$A$6:$A$205,0)),"SEM DE-PARA"))</f>
        <v/>
      </c>
      <c r="E2014" s="23" t="str">
        <f aca="false">IF(A2014="","",DATE(YEAR(A2014),MONTH(A2014),1))</f>
        <v/>
      </c>
    </row>
    <row r="2015" customFormat="false" ht="15" hidden="false" customHeight="false" outlineLevel="0" collapsed="false">
      <c r="A2015" s="21"/>
      <c r="B2015" s="4"/>
      <c r="C2015" s="22"/>
      <c r="D2015" s="5" t="str">
        <f aca="false">IF(B2015="","",IFERROR(INDEX(DE_PARA!$B$6:$B$205,MATCH(B2015,DE_PARA!$A$6:$A$205,0)),"SEM DE-PARA"))</f>
        <v/>
      </c>
      <c r="E2015" s="23" t="str">
        <f aca="false">IF(A2015="","",DATE(YEAR(A2015),MONTH(A2015),1))</f>
        <v/>
      </c>
    </row>
    <row r="2016" customFormat="false" ht="15" hidden="false" customHeight="false" outlineLevel="0" collapsed="false">
      <c r="A2016" s="21"/>
      <c r="B2016" s="4"/>
      <c r="C2016" s="22"/>
      <c r="D2016" s="5" t="str">
        <f aca="false">IF(B2016="","",IFERROR(INDEX(DE_PARA!$B$6:$B$205,MATCH(B2016,DE_PARA!$A$6:$A$205,0)),"SEM DE-PARA"))</f>
        <v/>
      </c>
      <c r="E2016" s="23" t="str">
        <f aca="false">IF(A2016="","",DATE(YEAR(A2016),MONTH(A2016),1))</f>
        <v/>
      </c>
    </row>
    <row r="2017" customFormat="false" ht="15" hidden="false" customHeight="false" outlineLevel="0" collapsed="false">
      <c r="A2017" s="21"/>
      <c r="B2017" s="4"/>
      <c r="C2017" s="22"/>
      <c r="D2017" s="5" t="str">
        <f aca="false">IF(B2017="","",IFERROR(INDEX(DE_PARA!$B$6:$B$205,MATCH(B2017,DE_PARA!$A$6:$A$205,0)),"SEM DE-PARA"))</f>
        <v/>
      </c>
      <c r="E2017" s="23" t="str">
        <f aca="false">IF(A2017="","",DATE(YEAR(A2017),MONTH(A2017),1))</f>
        <v/>
      </c>
    </row>
    <row r="2018" customFormat="false" ht="15" hidden="false" customHeight="false" outlineLevel="0" collapsed="false">
      <c r="A2018" s="21"/>
      <c r="B2018" s="4"/>
      <c r="C2018" s="22"/>
      <c r="D2018" s="5" t="str">
        <f aca="false">IF(B2018="","",IFERROR(INDEX(DE_PARA!$B$6:$B$205,MATCH(B2018,DE_PARA!$A$6:$A$205,0)),"SEM DE-PARA"))</f>
        <v/>
      </c>
      <c r="E2018" s="23" t="str">
        <f aca="false">IF(A2018="","",DATE(YEAR(A2018),MONTH(A2018),1))</f>
        <v/>
      </c>
    </row>
    <row r="2019" customFormat="false" ht="15" hidden="false" customHeight="false" outlineLevel="0" collapsed="false">
      <c r="A2019" s="21"/>
      <c r="B2019" s="4"/>
      <c r="C2019" s="22"/>
      <c r="D2019" s="5" t="str">
        <f aca="false">IF(B2019="","",IFERROR(INDEX(DE_PARA!$B$6:$B$205,MATCH(B2019,DE_PARA!$A$6:$A$205,0)),"SEM DE-PARA"))</f>
        <v/>
      </c>
      <c r="E2019" s="23" t="str">
        <f aca="false">IF(A2019="","",DATE(YEAR(A2019),MONTH(A2019),1))</f>
        <v/>
      </c>
    </row>
    <row r="2020" customFormat="false" ht="15" hidden="false" customHeight="false" outlineLevel="0" collapsed="false">
      <c r="A2020" s="21"/>
      <c r="B2020" s="4"/>
      <c r="C2020" s="22"/>
      <c r="D2020" s="5" t="str">
        <f aca="false">IF(B2020="","",IFERROR(INDEX(DE_PARA!$B$6:$B$205,MATCH(B2020,DE_PARA!$A$6:$A$205,0)),"SEM DE-PARA"))</f>
        <v/>
      </c>
      <c r="E2020" s="23" t="str">
        <f aca="false">IF(A2020="","",DATE(YEAR(A2020),MONTH(A2020),1))</f>
        <v/>
      </c>
    </row>
    <row r="2021" customFormat="false" ht="15" hidden="false" customHeight="false" outlineLevel="0" collapsed="false">
      <c r="A2021" s="21"/>
      <c r="B2021" s="4"/>
      <c r="C2021" s="22"/>
      <c r="D2021" s="5" t="str">
        <f aca="false">IF(B2021="","",IFERROR(INDEX(DE_PARA!$B$6:$B$205,MATCH(B2021,DE_PARA!$A$6:$A$205,0)),"SEM DE-PARA"))</f>
        <v/>
      </c>
      <c r="E2021" s="23" t="str">
        <f aca="false">IF(A2021="","",DATE(YEAR(A2021),MONTH(A2021),1))</f>
        <v/>
      </c>
    </row>
    <row r="2022" customFormat="false" ht="15" hidden="false" customHeight="false" outlineLevel="0" collapsed="false">
      <c r="A2022" s="21"/>
      <c r="B2022" s="4"/>
      <c r="C2022" s="22"/>
      <c r="D2022" s="5" t="str">
        <f aca="false">IF(B2022="","",IFERROR(INDEX(DE_PARA!$B$6:$B$205,MATCH(B2022,DE_PARA!$A$6:$A$205,0)),"SEM DE-PARA"))</f>
        <v/>
      </c>
      <c r="E2022" s="23" t="str">
        <f aca="false">IF(A2022="","",DATE(YEAR(A2022),MONTH(A2022),1))</f>
        <v/>
      </c>
    </row>
    <row r="2023" customFormat="false" ht="15" hidden="false" customHeight="false" outlineLevel="0" collapsed="false">
      <c r="A2023" s="21"/>
      <c r="B2023" s="4"/>
      <c r="C2023" s="22"/>
      <c r="D2023" s="5" t="str">
        <f aca="false">IF(B2023="","",IFERROR(INDEX(DE_PARA!$B$6:$B$205,MATCH(B2023,DE_PARA!$A$6:$A$205,0)),"SEM DE-PARA"))</f>
        <v/>
      </c>
      <c r="E2023" s="23" t="str">
        <f aca="false">IF(A2023="","",DATE(YEAR(A2023),MONTH(A2023),1))</f>
        <v/>
      </c>
    </row>
    <row r="2024" customFormat="false" ht="15" hidden="false" customHeight="false" outlineLevel="0" collapsed="false">
      <c r="A2024" s="21"/>
      <c r="B2024" s="4"/>
      <c r="C2024" s="22"/>
      <c r="D2024" s="5" t="str">
        <f aca="false">IF(B2024="","",IFERROR(INDEX(DE_PARA!$B$6:$B$205,MATCH(B2024,DE_PARA!$A$6:$A$205,0)),"SEM DE-PARA"))</f>
        <v/>
      </c>
      <c r="E2024" s="23" t="str">
        <f aca="false">IF(A2024="","",DATE(YEAR(A2024),MONTH(A2024),1))</f>
        <v/>
      </c>
    </row>
    <row r="2025" customFormat="false" ht="15" hidden="false" customHeight="false" outlineLevel="0" collapsed="false">
      <c r="A2025" s="21"/>
      <c r="B2025" s="4"/>
      <c r="C2025" s="22"/>
      <c r="D2025" s="5" t="str">
        <f aca="false">IF(B2025="","",IFERROR(INDEX(DE_PARA!$B$6:$B$205,MATCH(B2025,DE_PARA!$A$6:$A$205,0)),"SEM DE-PARA"))</f>
        <v/>
      </c>
      <c r="E2025" s="23" t="str">
        <f aca="false">IF(A2025="","",DATE(YEAR(A2025),MONTH(A2025),1))</f>
        <v/>
      </c>
    </row>
    <row r="2026" customFormat="false" ht="15" hidden="false" customHeight="false" outlineLevel="0" collapsed="false">
      <c r="A2026" s="21"/>
      <c r="B2026" s="4"/>
      <c r="C2026" s="22"/>
      <c r="D2026" s="5" t="str">
        <f aca="false">IF(B2026="","",IFERROR(INDEX(DE_PARA!$B$6:$B$205,MATCH(B2026,DE_PARA!$A$6:$A$205,0)),"SEM DE-PARA"))</f>
        <v/>
      </c>
      <c r="E2026" s="23" t="str">
        <f aca="false">IF(A2026="","",DATE(YEAR(A2026),MONTH(A2026),1))</f>
        <v/>
      </c>
    </row>
    <row r="2027" customFormat="false" ht="15" hidden="false" customHeight="false" outlineLevel="0" collapsed="false">
      <c r="A2027" s="21"/>
      <c r="B2027" s="4"/>
      <c r="C2027" s="22"/>
      <c r="D2027" s="5" t="str">
        <f aca="false">IF(B2027="","",IFERROR(INDEX(DE_PARA!$B$6:$B$205,MATCH(B2027,DE_PARA!$A$6:$A$205,0)),"SEM DE-PARA"))</f>
        <v/>
      </c>
      <c r="E2027" s="23" t="str">
        <f aca="false">IF(A2027="","",DATE(YEAR(A2027),MONTH(A2027),1))</f>
        <v/>
      </c>
    </row>
    <row r="2028" customFormat="false" ht="15" hidden="false" customHeight="false" outlineLevel="0" collapsed="false">
      <c r="A2028" s="21"/>
      <c r="B2028" s="4"/>
      <c r="C2028" s="22"/>
      <c r="D2028" s="5" t="str">
        <f aca="false">IF(B2028="","",IFERROR(INDEX(DE_PARA!$B$6:$B$205,MATCH(B2028,DE_PARA!$A$6:$A$205,0)),"SEM DE-PARA"))</f>
        <v/>
      </c>
      <c r="E2028" s="23" t="str">
        <f aca="false">IF(A2028="","",DATE(YEAR(A2028),MONTH(A2028),1))</f>
        <v/>
      </c>
    </row>
    <row r="2029" customFormat="false" ht="15" hidden="false" customHeight="false" outlineLevel="0" collapsed="false">
      <c r="A2029" s="21"/>
      <c r="B2029" s="4"/>
      <c r="C2029" s="22"/>
      <c r="D2029" s="5" t="str">
        <f aca="false">IF(B2029="","",IFERROR(INDEX(DE_PARA!$B$6:$B$205,MATCH(B2029,DE_PARA!$A$6:$A$205,0)),"SEM DE-PARA"))</f>
        <v/>
      </c>
      <c r="E2029" s="23" t="str">
        <f aca="false">IF(A2029="","",DATE(YEAR(A2029),MONTH(A2029),1))</f>
        <v/>
      </c>
    </row>
    <row r="2030" customFormat="false" ht="15" hidden="false" customHeight="false" outlineLevel="0" collapsed="false">
      <c r="A2030" s="21"/>
      <c r="B2030" s="4"/>
      <c r="C2030" s="22"/>
      <c r="D2030" s="5" t="str">
        <f aca="false">IF(B2030="","",IFERROR(INDEX(DE_PARA!$B$6:$B$205,MATCH(B2030,DE_PARA!$A$6:$A$205,0)),"SEM DE-PARA"))</f>
        <v/>
      </c>
      <c r="E2030" s="23" t="str">
        <f aca="false">IF(A2030="","",DATE(YEAR(A2030),MONTH(A2030),1))</f>
        <v/>
      </c>
    </row>
    <row r="2031" customFormat="false" ht="15" hidden="false" customHeight="false" outlineLevel="0" collapsed="false">
      <c r="A2031" s="21"/>
      <c r="B2031" s="4"/>
      <c r="C2031" s="22"/>
      <c r="D2031" s="5" t="str">
        <f aca="false">IF(B2031="","",IFERROR(INDEX(DE_PARA!$B$6:$B$205,MATCH(B2031,DE_PARA!$A$6:$A$205,0)),"SEM DE-PARA"))</f>
        <v/>
      </c>
      <c r="E2031" s="23" t="str">
        <f aca="false">IF(A2031="","",DATE(YEAR(A2031),MONTH(A2031),1))</f>
        <v/>
      </c>
    </row>
    <row r="2032" customFormat="false" ht="15" hidden="false" customHeight="false" outlineLevel="0" collapsed="false">
      <c r="A2032" s="21"/>
      <c r="B2032" s="4"/>
      <c r="C2032" s="22"/>
      <c r="D2032" s="5" t="str">
        <f aca="false">IF(B2032="","",IFERROR(INDEX(DE_PARA!$B$6:$B$205,MATCH(B2032,DE_PARA!$A$6:$A$205,0)),"SEM DE-PARA"))</f>
        <v/>
      </c>
      <c r="E2032" s="23" t="str">
        <f aca="false">IF(A2032="","",DATE(YEAR(A2032),MONTH(A2032),1))</f>
        <v/>
      </c>
    </row>
    <row r="2033" customFormat="false" ht="15" hidden="false" customHeight="false" outlineLevel="0" collapsed="false">
      <c r="A2033" s="21"/>
      <c r="B2033" s="4"/>
      <c r="C2033" s="22"/>
      <c r="D2033" s="5" t="str">
        <f aca="false">IF(B2033="","",IFERROR(INDEX(DE_PARA!$B$6:$B$205,MATCH(B2033,DE_PARA!$A$6:$A$205,0)),"SEM DE-PARA"))</f>
        <v/>
      </c>
      <c r="E2033" s="23" t="str">
        <f aca="false">IF(A2033="","",DATE(YEAR(A2033),MONTH(A2033),1))</f>
        <v/>
      </c>
    </row>
    <row r="2034" customFormat="false" ht="15" hidden="false" customHeight="false" outlineLevel="0" collapsed="false">
      <c r="A2034" s="21"/>
      <c r="B2034" s="4"/>
      <c r="C2034" s="22"/>
      <c r="D2034" s="5" t="str">
        <f aca="false">IF(B2034="","",IFERROR(INDEX(DE_PARA!$B$6:$B$205,MATCH(B2034,DE_PARA!$A$6:$A$205,0)),"SEM DE-PARA"))</f>
        <v/>
      </c>
      <c r="E2034" s="23" t="str">
        <f aca="false">IF(A2034="","",DATE(YEAR(A2034),MONTH(A2034),1))</f>
        <v/>
      </c>
    </row>
    <row r="2035" customFormat="false" ht="15" hidden="false" customHeight="false" outlineLevel="0" collapsed="false">
      <c r="A2035" s="21"/>
      <c r="B2035" s="4"/>
      <c r="C2035" s="22"/>
      <c r="D2035" s="5" t="str">
        <f aca="false">IF(B2035="","",IFERROR(INDEX(DE_PARA!$B$6:$B$205,MATCH(B2035,DE_PARA!$A$6:$A$205,0)),"SEM DE-PARA"))</f>
        <v/>
      </c>
      <c r="E2035" s="23" t="str">
        <f aca="false">IF(A2035="","",DATE(YEAR(A2035),MONTH(A2035),1))</f>
        <v/>
      </c>
    </row>
    <row r="2036" customFormat="false" ht="15" hidden="false" customHeight="false" outlineLevel="0" collapsed="false">
      <c r="A2036" s="21"/>
      <c r="B2036" s="4"/>
      <c r="C2036" s="22"/>
      <c r="D2036" s="5" t="str">
        <f aca="false">IF(B2036="","",IFERROR(INDEX(DE_PARA!$B$6:$B$205,MATCH(B2036,DE_PARA!$A$6:$A$205,0)),"SEM DE-PARA"))</f>
        <v/>
      </c>
      <c r="E2036" s="23" t="str">
        <f aca="false">IF(A2036="","",DATE(YEAR(A2036),MONTH(A2036),1))</f>
        <v/>
      </c>
    </row>
    <row r="2037" customFormat="false" ht="15" hidden="false" customHeight="false" outlineLevel="0" collapsed="false">
      <c r="A2037" s="21"/>
      <c r="B2037" s="4"/>
      <c r="C2037" s="22"/>
      <c r="D2037" s="5" t="str">
        <f aca="false">IF(B2037="","",IFERROR(INDEX(DE_PARA!$B$6:$B$205,MATCH(B2037,DE_PARA!$A$6:$A$205,0)),"SEM DE-PARA"))</f>
        <v/>
      </c>
      <c r="E2037" s="23" t="str">
        <f aca="false">IF(A2037="","",DATE(YEAR(A2037),MONTH(A2037),1))</f>
        <v/>
      </c>
    </row>
    <row r="2038" customFormat="false" ht="15" hidden="false" customHeight="false" outlineLevel="0" collapsed="false">
      <c r="A2038" s="21"/>
      <c r="B2038" s="4"/>
      <c r="C2038" s="22"/>
      <c r="D2038" s="5" t="str">
        <f aca="false">IF(B2038="","",IFERROR(INDEX(DE_PARA!$B$6:$B$205,MATCH(B2038,DE_PARA!$A$6:$A$205,0)),"SEM DE-PARA"))</f>
        <v/>
      </c>
      <c r="E2038" s="23" t="str">
        <f aca="false">IF(A2038="","",DATE(YEAR(A2038),MONTH(A2038),1))</f>
        <v/>
      </c>
    </row>
    <row r="2039" customFormat="false" ht="15" hidden="false" customHeight="false" outlineLevel="0" collapsed="false">
      <c r="A2039" s="21"/>
      <c r="B2039" s="4"/>
      <c r="C2039" s="22"/>
      <c r="D2039" s="5" t="str">
        <f aca="false">IF(B2039="","",IFERROR(INDEX(DE_PARA!$B$6:$B$205,MATCH(B2039,DE_PARA!$A$6:$A$205,0)),"SEM DE-PARA"))</f>
        <v/>
      </c>
      <c r="E2039" s="23" t="str">
        <f aca="false">IF(A2039="","",DATE(YEAR(A2039),MONTH(A2039),1))</f>
        <v/>
      </c>
    </row>
    <row r="2040" customFormat="false" ht="15" hidden="false" customHeight="false" outlineLevel="0" collapsed="false">
      <c r="A2040" s="21"/>
      <c r="B2040" s="4"/>
      <c r="C2040" s="22"/>
      <c r="D2040" s="5" t="str">
        <f aca="false">IF(B2040="","",IFERROR(INDEX(DE_PARA!$B$6:$B$205,MATCH(B2040,DE_PARA!$A$6:$A$205,0)),"SEM DE-PARA"))</f>
        <v/>
      </c>
      <c r="E2040" s="23" t="str">
        <f aca="false">IF(A2040="","",DATE(YEAR(A2040),MONTH(A2040),1))</f>
        <v/>
      </c>
    </row>
    <row r="2041" customFormat="false" ht="15" hidden="false" customHeight="false" outlineLevel="0" collapsed="false">
      <c r="A2041" s="21"/>
      <c r="B2041" s="4"/>
      <c r="C2041" s="22"/>
      <c r="D2041" s="5" t="str">
        <f aca="false">IF(B2041="","",IFERROR(INDEX(DE_PARA!$B$6:$B$205,MATCH(B2041,DE_PARA!$A$6:$A$205,0)),"SEM DE-PARA"))</f>
        <v/>
      </c>
      <c r="E2041" s="23" t="str">
        <f aca="false">IF(A2041="","",DATE(YEAR(A2041),MONTH(A2041),1))</f>
        <v/>
      </c>
    </row>
    <row r="2042" customFormat="false" ht="15" hidden="false" customHeight="false" outlineLevel="0" collapsed="false">
      <c r="A2042" s="21"/>
      <c r="B2042" s="4"/>
      <c r="C2042" s="22"/>
      <c r="D2042" s="5" t="str">
        <f aca="false">IF(B2042="","",IFERROR(INDEX(DE_PARA!$B$6:$B$205,MATCH(B2042,DE_PARA!$A$6:$A$205,0)),"SEM DE-PARA"))</f>
        <v/>
      </c>
      <c r="E2042" s="23" t="str">
        <f aca="false">IF(A2042="","",DATE(YEAR(A2042),MONTH(A2042),1))</f>
        <v/>
      </c>
    </row>
    <row r="2043" customFormat="false" ht="15" hidden="false" customHeight="false" outlineLevel="0" collapsed="false">
      <c r="A2043" s="21"/>
      <c r="B2043" s="4"/>
      <c r="C2043" s="22"/>
      <c r="D2043" s="5" t="str">
        <f aca="false">IF(B2043="","",IFERROR(INDEX(DE_PARA!$B$6:$B$205,MATCH(B2043,DE_PARA!$A$6:$A$205,0)),"SEM DE-PARA"))</f>
        <v/>
      </c>
      <c r="E2043" s="23" t="str">
        <f aca="false">IF(A2043="","",DATE(YEAR(A2043),MONTH(A2043),1))</f>
        <v/>
      </c>
    </row>
    <row r="2044" customFormat="false" ht="15" hidden="false" customHeight="false" outlineLevel="0" collapsed="false">
      <c r="A2044" s="21"/>
      <c r="B2044" s="4"/>
      <c r="C2044" s="22"/>
      <c r="D2044" s="5" t="str">
        <f aca="false">IF(B2044="","",IFERROR(INDEX(DE_PARA!$B$6:$B$205,MATCH(B2044,DE_PARA!$A$6:$A$205,0)),"SEM DE-PARA"))</f>
        <v/>
      </c>
      <c r="E2044" s="23" t="str">
        <f aca="false">IF(A2044="","",DATE(YEAR(A2044),MONTH(A2044),1))</f>
        <v/>
      </c>
    </row>
    <row r="2045" customFormat="false" ht="15" hidden="false" customHeight="false" outlineLevel="0" collapsed="false">
      <c r="A2045" s="21"/>
      <c r="B2045" s="4"/>
      <c r="C2045" s="22"/>
      <c r="D2045" s="5" t="str">
        <f aca="false">IF(B2045="","",IFERROR(INDEX(DE_PARA!$B$6:$B$205,MATCH(B2045,DE_PARA!$A$6:$A$205,0)),"SEM DE-PARA"))</f>
        <v/>
      </c>
      <c r="E2045" s="23" t="str">
        <f aca="false">IF(A2045="","",DATE(YEAR(A2045),MONTH(A2045),1))</f>
        <v/>
      </c>
    </row>
    <row r="2046" customFormat="false" ht="15" hidden="false" customHeight="false" outlineLevel="0" collapsed="false">
      <c r="A2046" s="21"/>
      <c r="B2046" s="4"/>
      <c r="C2046" s="22"/>
      <c r="D2046" s="5" t="str">
        <f aca="false">IF(B2046="","",IFERROR(INDEX(DE_PARA!$B$6:$B$205,MATCH(B2046,DE_PARA!$A$6:$A$205,0)),"SEM DE-PARA"))</f>
        <v/>
      </c>
      <c r="E2046" s="23" t="str">
        <f aca="false">IF(A2046="","",DATE(YEAR(A2046),MONTH(A2046),1))</f>
        <v/>
      </c>
    </row>
    <row r="2047" customFormat="false" ht="15" hidden="false" customHeight="false" outlineLevel="0" collapsed="false">
      <c r="A2047" s="21"/>
      <c r="B2047" s="4"/>
      <c r="C2047" s="22"/>
      <c r="D2047" s="5" t="str">
        <f aca="false">IF(B2047="","",IFERROR(INDEX(DE_PARA!$B$6:$B$205,MATCH(B2047,DE_PARA!$A$6:$A$205,0)),"SEM DE-PARA"))</f>
        <v/>
      </c>
      <c r="E2047" s="23" t="str">
        <f aca="false">IF(A2047="","",DATE(YEAR(A2047),MONTH(A2047),1))</f>
        <v/>
      </c>
    </row>
    <row r="2048" customFormat="false" ht="15" hidden="false" customHeight="false" outlineLevel="0" collapsed="false">
      <c r="A2048" s="21"/>
      <c r="B2048" s="4"/>
      <c r="C2048" s="22"/>
      <c r="D2048" s="5" t="str">
        <f aca="false">IF(B2048="","",IFERROR(INDEX(DE_PARA!$B$6:$B$205,MATCH(B2048,DE_PARA!$A$6:$A$205,0)),"SEM DE-PARA"))</f>
        <v/>
      </c>
      <c r="E2048" s="23" t="str">
        <f aca="false">IF(A2048="","",DATE(YEAR(A2048),MONTH(A2048),1))</f>
        <v/>
      </c>
    </row>
    <row r="2049" customFormat="false" ht="15" hidden="false" customHeight="false" outlineLevel="0" collapsed="false">
      <c r="A2049" s="21"/>
      <c r="B2049" s="4"/>
      <c r="C2049" s="22"/>
      <c r="D2049" s="5" t="str">
        <f aca="false">IF(B2049="","",IFERROR(INDEX(DE_PARA!$B$6:$B$205,MATCH(B2049,DE_PARA!$A$6:$A$205,0)),"SEM DE-PARA"))</f>
        <v/>
      </c>
      <c r="E2049" s="23" t="str">
        <f aca="false">IF(A2049="","",DATE(YEAR(A2049),MONTH(A2049),1))</f>
        <v/>
      </c>
    </row>
    <row r="2050" customFormat="false" ht="15" hidden="false" customHeight="false" outlineLevel="0" collapsed="false">
      <c r="A2050" s="21"/>
      <c r="B2050" s="4"/>
      <c r="C2050" s="22"/>
      <c r="D2050" s="5" t="str">
        <f aca="false">IF(B2050="","",IFERROR(INDEX(DE_PARA!$B$6:$B$205,MATCH(B2050,DE_PARA!$A$6:$A$205,0)),"SEM DE-PARA"))</f>
        <v/>
      </c>
      <c r="E2050" s="23" t="str">
        <f aca="false">IF(A2050="","",DATE(YEAR(A2050),MONTH(A2050),1))</f>
        <v/>
      </c>
    </row>
    <row r="2051" customFormat="false" ht="15" hidden="false" customHeight="false" outlineLevel="0" collapsed="false">
      <c r="A2051" s="21"/>
      <c r="B2051" s="4"/>
      <c r="C2051" s="22"/>
      <c r="D2051" s="5" t="str">
        <f aca="false">IF(B2051="","",IFERROR(INDEX(DE_PARA!$B$6:$B$205,MATCH(B2051,DE_PARA!$A$6:$A$205,0)),"SEM DE-PARA"))</f>
        <v/>
      </c>
      <c r="E2051" s="23" t="str">
        <f aca="false">IF(A2051="","",DATE(YEAR(A2051),MONTH(A2051),1))</f>
        <v/>
      </c>
    </row>
    <row r="2052" customFormat="false" ht="15" hidden="false" customHeight="false" outlineLevel="0" collapsed="false">
      <c r="A2052" s="21"/>
      <c r="B2052" s="4"/>
      <c r="C2052" s="22"/>
      <c r="D2052" s="5" t="str">
        <f aca="false">IF(B2052="","",IFERROR(INDEX(DE_PARA!$B$6:$B$205,MATCH(B2052,DE_PARA!$A$6:$A$205,0)),"SEM DE-PARA"))</f>
        <v/>
      </c>
      <c r="E2052" s="23" t="str">
        <f aca="false">IF(A2052="","",DATE(YEAR(A2052),MONTH(A2052),1))</f>
        <v/>
      </c>
    </row>
    <row r="2053" customFormat="false" ht="15" hidden="false" customHeight="false" outlineLevel="0" collapsed="false">
      <c r="A2053" s="21"/>
      <c r="B2053" s="4"/>
      <c r="C2053" s="22"/>
      <c r="D2053" s="5" t="str">
        <f aca="false">IF(B2053="","",IFERROR(INDEX(DE_PARA!$B$6:$B$205,MATCH(B2053,DE_PARA!$A$6:$A$205,0)),"SEM DE-PARA"))</f>
        <v/>
      </c>
      <c r="E2053" s="23" t="str">
        <f aca="false">IF(A2053="","",DATE(YEAR(A2053),MONTH(A2053),1))</f>
        <v/>
      </c>
    </row>
    <row r="2054" customFormat="false" ht="15" hidden="false" customHeight="false" outlineLevel="0" collapsed="false">
      <c r="A2054" s="21"/>
      <c r="B2054" s="4"/>
      <c r="C2054" s="22"/>
      <c r="D2054" s="5" t="str">
        <f aca="false">IF(B2054="","",IFERROR(INDEX(DE_PARA!$B$6:$B$205,MATCH(B2054,DE_PARA!$A$6:$A$205,0)),"SEM DE-PARA"))</f>
        <v/>
      </c>
      <c r="E2054" s="23" t="str">
        <f aca="false">IF(A2054="","",DATE(YEAR(A2054),MONTH(A2054),1))</f>
        <v/>
      </c>
    </row>
    <row r="2055" customFormat="false" ht="15" hidden="false" customHeight="false" outlineLevel="0" collapsed="false">
      <c r="A2055" s="21"/>
      <c r="B2055" s="4"/>
      <c r="C2055" s="22"/>
      <c r="D2055" s="5" t="str">
        <f aca="false">IF(B2055="","",IFERROR(INDEX(DE_PARA!$B$6:$B$205,MATCH(B2055,DE_PARA!$A$6:$A$205,0)),"SEM DE-PARA"))</f>
        <v/>
      </c>
      <c r="E2055" s="23" t="str">
        <f aca="false">IF(A2055="","",DATE(YEAR(A2055),MONTH(A2055),1))</f>
        <v/>
      </c>
    </row>
    <row r="2056" customFormat="false" ht="15" hidden="false" customHeight="false" outlineLevel="0" collapsed="false">
      <c r="A2056" s="21"/>
      <c r="B2056" s="4"/>
      <c r="C2056" s="22"/>
      <c r="D2056" s="5" t="str">
        <f aca="false">IF(B2056="","",IFERROR(INDEX(DE_PARA!$B$6:$B$205,MATCH(B2056,DE_PARA!$A$6:$A$205,0)),"SEM DE-PARA"))</f>
        <v/>
      </c>
      <c r="E2056" s="23" t="str">
        <f aca="false">IF(A2056="","",DATE(YEAR(A2056),MONTH(A2056),1))</f>
        <v/>
      </c>
    </row>
    <row r="2057" customFormat="false" ht="15" hidden="false" customHeight="false" outlineLevel="0" collapsed="false">
      <c r="A2057" s="21"/>
      <c r="B2057" s="4"/>
      <c r="C2057" s="22"/>
      <c r="D2057" s="5" t="str">
        <f aca="false">IF(B2057="","",IFERROR(INDEX(DE_PARA!$B$6:$B$205,MATCH(B2057,DE_PARA!$A$6:$A$205,0)),"SEM DE-PARA"))</f>
        <v/>
      </c>
      <c r="E2057" s="23" t="str">
        <f aca="false">IF(A2057="","",DATE(YEAR(A2057),MONTH(A2057),1))</f>
        <v/>
      </c>
    </row>
    <row r="2058" customFormat="false" ht="15" hidden="false" customHeight="false" outlineLevel="0" collapsed="false">
      <c r="A2058" s="21"/>
      <c r="B2058" s="4"/>
      <c r="C2058" s="22"/>
      <c r="D2058" s="5" t="str">
        <f aca="false">IF(B2058="","",IFERROR(INDEX(DE_PARA!$B$6:$B$205,MATCH(B2058,DE_PARA!$A$6:$A$205,0)),"SEM DE-PARA"))</f>
        <v/>
      </c>
      <c r="E2058" s="23" t="str">
        <f aca="false">IF(A2058="","",DATE(YEAR(A2058),MONTH(A2058),1))</f>
        <v/>
      </c>
    </row>
    <row r="2059" customFormat="false" ht="15" hidden="false" customHeight="false" outlineLevel="0" collapsed="false">
      <c r="A2059" s="21"/>
      <c r="B2059" s="4"/>
      <c r="C2059" s="22"/>
      <c r="D2059" s="5" t="str">
        <f aca="false">IF(B2059="","",IFERROR(INDEX(DE_PARA!$B$6:$B$205,MATCH(B2059,DE_PARA!$A$6:$A$205,0)),"SEM DE-PARA"))</f>
        <v/>
      </c>
      <c r="E2059" s="23" t="str">
        <f aca="false">IF(A2059="","",DATE(YEAR(A2059),MONTH(A2059),1))</f>
        <v/>
      </c>
    </row>
    <row r="2060" customFormat="false" ht="15" hidden="false" customHeight="false" outlineLevel="0" collapsed="false">
      <c r="A2060" s="21"/>
      <c r="B2060" s="4"/>
      <c r="C2060" s="22"/>
      <c r="D2060" s="5" t="str">
        <f aca="false">IF(B2060="","",IFERROR(INDEX(DE_PARA!$B$6:$B$205,MATCH(B2060,DE_PARA!$A$6:$A$205,0)),"SEM DE-PARA"))</f>
        <v/>
      </c>
      <c r="E2060" s="23" t="str">
        <f aca="false">IF(A2060="","",DATE(YEAR(A2060),MONTH(A2060),1))</f>
        <v/>
      </c>
    </row>
    <row r="2061" customFormat="false" ht="15" hidden="false" customHeight="false" outlineLevel="0" collapsed="false">
      <c r="A2061" s="21"/>
      <c r="B2061" s="4"/>
      <c r="C2061" s="22"/>
      <c r="D2061" s="5" t="str">
        <f aca="false">IF(B2061="","",IFERROR(INDEX(DE_PARA!$B$6:$B$205,MATCH(B2061,DE_PARA!$A$6:$A$205,0)),"SEM DE-PARA"))</f>
        <v/>
      </c>
      <c r="E2061" s="23" t="str">
        <f aca="false">IF(A2061="","",DATE(YEAR(A2061),MONTH(A2061),1))</f>
        <v/>
      </c>
    </row>
    <row r="2062" customFormat="false" ht="15" hidden="false" customHeight="false" outlineLevel="0" collapsed="false">
      <c r="A2062" s="21"/>
      <c r="B2062" s="4"/>
      <c r="C2062" s="22"/>
      <c r="D2062" s="5" t="str">
        <f aca="false">IF(B2062="","",IFERROR(INDEX(DE_PARA!$B$6:$B$205,MATCH(B2062,DE_PARA!$A$6:$A$205,0)),"SEM DE-PARA"))</f>
        <v/>
      </c>
      <c r="E2062" s="23" t="str">
        <f aca="false">IF(A2062="","",DATE(YEAR(A2062),MONTH(A2062),1))</f>
        <v/>
      </c>
    </row>
    <row r="2063" customFormat="false" ht="15" hidden="false" customHeight="false" outlineLevel="0" collapsed="false">
      <c r="A2063" s="21"/>
      <c r="B2063" s="4"/>
      <c r="C2063" s="22"/>
      <c r="D2063" s="5" t="str">
        <f aca="false">IF(B2063="","",IFERROR(INDEX(DE_PARA!$B$6:$B$205,MATCH(B2063,DE_PARA!$A$6:$A$205,0)),"SEM DE-PARA"))</f>
        <v/>
      </c>
      <c r="E2063" s="23" t="str">
        <f aca="false">IF(A2063="","",DATE(YEAR(A2063),MONTH(A2063),1))</f>
        <v/>
      </c>
    </row>
    <row r="2064" customFormat="false" ht="15" hidden="false" customHeight="false" outlineLevel="0" collapsed="false">
      <c r="A2064" s="21"/>
      <c r="B2064" s="4"/>
      <c r="C2064" s="22"/>
      <c r="D2064" s="5" t="str">
        <f aca="false">IF(B2064="","",IFERROR(INDEX(DE_PARA!$B$6:$B$205,MATCH(B2064,DE_PARA!$A$6:$A$205,0)),"SEM DE-PARA"))</f>
        <v/>
      </c>
      <c r="E2064" s="23" t="str">
        <f aca="false">IF(A2064="","",DATE(YEAR(A2064),MONTH(A2064),1))</f>
        <v/>
      </c>
    </row>
    <row r="2065" customFormat="false" ht="15" hidden="false" customHeight="false" outlineLevel="0" collapsed="false">
      <c r="A2065" s="21"/>
      <c r="B2065" s="4"/>
      <c r="C2065" s="22"/>
      <c r="D2065" s="5" t="str">
        <f aca="false">IF(B2065="","",IFERROR(INDEX(DE_PARA!$B$6:$B$205,MATCH(B2065,DE_PARA!$A$6:$A$205,0)),"SEM DE-PARA"))</f>
        <v/>
      </c>
      <c r="E2065" s="23" t="str">
        <f aca="false">IF(A2065="","",DATE(YEAR(A2065),MONTH(A2065),1))</f>
        <v/>
      </c>
    </row>
    <row r="2066" customFormat="false" ht="15" hidden="false" customHeight="false" outlineLevel="0" collapsed="false">
      <c r="A2066" s="21"/>
      <c r="B2066" s="4"/>
      <c r="C2066" s="22"/>
      <c r="D2066" s="5" t="str">
        <f aca="false">IF(B2066="","",IFERROR(INDEX(DE_PARA!$B$6:$B$205,MATCH(B2066,DE_PARA!$A$6:$A$205,0)),"SEM DE-PARA"))</f>
        <v/>
      </c>
      <c r="E2066" s="23" t="str">
        <f aca="false">IF(A2066="","",DATE(YEAR(A2066),MONTH(A2066),1))</f>
        <v/>
      </c>
    </row>
    <row r="2067" customFormat="false" ht="15" hidden="false" customHeight="false" outlineLevel="0" collapsed="false">
      <c r="A2067" s="21"/>
      <c r="B2067" s="4"/>
      <c r="C2067" s="22"/>
      <c r="D2067" s="5" t="str">
        <f aca="false">IF(B2067="","",IFERROR(INDEX(DE_PARA!$B$6:$B$205,MATCH(B2067,DE_PARA!$A$6:$A$205,0)),"SEM DE-PARA"))</f>
        <v/>
      </c>
      <c r="E2067" s="23" t="str">
        <f aca="false">IF(A2067="","",DATE(YEAR(A2067),MONTH(A2067),1))</f>
        <v/>
      </c>
    </row>
    <row r="2068" customFormat="false" ht="15" hidden="false" customHeight="false" outlineLevel="0" collapsed="false">
      <c r="A2068" s="21"/>
      <c r="B2068" s="4"/>
      <c r="C2068" s="22"/>
      <c r="D2068" s="5" t="str">
        <f aca="false">IF(B2068="","",IFERROR(INDEX(DE_PARA!$B$6:$B$205,MATCH(B2068,DE_PARA!$A$6:$A$205,0)),"SEM DE-PARA"))</f>
        <v/>
      </c>
      <c r="E2068" s="23" t="str">
        <f aca="false">IF(A2068="","",DATE(YEAR(A2068),MONTH(A2068),1))</f>
        <v/>
      </c>
    </row>
    <row r="2069" customFormat="false" ht="15" hidden="false" customHeight="false" outlineLevel="0" collapsed="false">
      <c r="A2069" s="21"/>
      <c r="B2069" s="4"/>
      <c r="C2069" s="22"/>
      <c r="D2069" s="5" t="str">
        <f aca="false">IF(B2069="","",IFERROR(INDEX(DE_PARA!$B$6:$B$205,MATCH(B2069,DE_PARA!$A$6:$A$205,0)),"SEM DE-PARA"))</f>
        <v/>
      </c>
      <c r="E2069" s="23" t="str">
        <f aca="false">IF(A2069="","",DATE(YEAR(A2069),MONTH(A2069),1))</f>
        <v/>
      </c>
    </row>
    <row r="2070" customFormat="false" ht="15" hidden="false" customHeight="false" outlineLevel="0" collapsed="false">
      <c r="A2070" s="21"/>
      <c r="B2070" s="4"/>
      <c r="C2070" s="22"/>
      <c r="D2070" s="5" t="str">
        <f aca="false">IF(B2070="","",IFERROR(INDEX(DE_PARA!$B$6:$B$205,MATCH(B2070,DE_PARA!$A$6:$A$205,0)),"SEM DE-PARA"))</f>
        <v/>
      </c>
      <c r="E2070" s="23" t="str">
        <f aca="false">IF(A2070="","",DATE(YEAR(A2070),MONTH(A2070),1))</f>
        <v/>
      </c>
    </row>
    <row r="2071" customFormat="false" ht="15" hidden="false" customHeight="false" outlineLevel="0" collapsed="false">
      <c r="A2071" s="21"/>
      <c r="B2071" s="4"/>
      <c r="C2071" s="22"/>
      <c r="D2071" s="5" t="str">
        <f aca="false">IF(B2071="","",IFERROR(INDEX(DE_PARA!$B$6:$B$205,MATCH(B2071,DE_PARA!$A$6:$A$205,0)),"SEM DE-PARA"))</f>
        <v/>
      </c>
      <c r="E2071" s="23" t="str">
        <f aca="false">IF(A2071="","",DATE(YEAR(A2071),MONTH(A2071),1))</f>
        <v/>
      </c>
    </row>
    <row r="2072" customFormat="false" ht="15" hidden="false" customHeight="false" outlineLevel="0" collapsed="false">
      <c r="A2072" s="21"/>
      <c r="B2072" s="4"/>
      <c r="C2072" s="22"/>
      <c r="D2072" s="5" t="str">
        <f aca="false">IF(B2072="","",IFERROR(INDEX(DE_PARA!$B$6:$B$205,MATCH(B2072,DE_PARA!$A$6:$A$205,0)),"SEM DE-PARA"))</f>
        <v/>
      </c>
      <c r="E2072" s="23" t="str">
        <f aca="false">IF(A2072="","",DATE(YEAR(A2072),MONTH(A2072),1))</f>
        <v/>
      </c>
    </row>
    <row r="2073" customFormat="false" ht="15" hidden="false" customHeight="false" outlineLevel="0" collapsed="false">
      <c r="A2073" s="21"/>
      <c r="B2073" s="4"/>
      <c r="C2073" s="22"/>
      <c r="D2073" s="5" t="str">
        <f aca="false">IF(B2073="","",IFERROR(INDEX(DE_PARA!$B$6:$B$205,MATCH(B2073,DE_PARA!$A$6:$A$205,0)),"SEM DE-PARA"))</f>
        <v/>
      </c>
      <c r="E2073" s="23" t="str">
        <f aca="false">IF(A2073="","",DATE(YEAR(A2073),MONTH(A2073),1))</f>
        <v/>
      </c>
    </row>
    <row r="2074" customFormat="false" ht="15" hidden="false" customHeight="false" outlineLevel="0" collapsed="false">
      <c r="A2074" s="21"/>
      <c r="B2074" s="4"/>
      <c r="C2074" s="22"/>
      <c r="D2074" s="5" t="str">
        <f aca="false">IF(B2074="","",IFERROR(INDEX(DE_PARA!$B$6:$B$205,MATCH(B2074,DE_PARA!$A$6:$A$205,0)),"SEM DE-PARA"))</f>
        <v/>
      </c>
      <c r="E2074" s="23" t="str">
        <f aca="false">IF(A2074="","",DATE(YEAR(A2074),MONTH(A2074),1))</f>
        <v/>
      </c>
    </row>
    <row r="2075" customFormat="false" ht="15" hidden="false" customHeight="false" outlineLevel="0" collapsed="false">
      <c r="A2075" s="21"/>
      <c r="B2075" s="4"/>
      <c r="C2075" s="22"/>
      <c r="D2075" s="5" t="str">
        <f aca="false">IF(B2075="","",IFERROR(INDEX(DE_PARA!$B$6:$B$205,MATCH(B2075,DE_PARA!$A$6:$A$205,0)),"SEM DE-PARA"))</f>
        <v/>
      </c>
      <c r="E2075" s="23" t="str">
        <f aca="false">IF(A2075="","",DATE(YEAR(A2075),MONTH(A2075),1))</f>
        <v/>
      </c>
    </row>
    <row r="2076" customFormat="false" ht="15" hidden="false" customHeight="false" outlineLevel="0" collapsed="false">
      <c r="A2076" s="21"/>
      <c r="B2076" s="4"/>
      <c r="C2076" s="22"/>
      <c r="D2076" s="5" t="str">
        <f aca="false">IF(B2076="","",IFERROR(INDEX(DE_PARA!$B$6:$B$205,MATCH(B2076,DE_PARA!$A$6:$A$205,0)),"SEM DE-PARA"))</f>
        <v/>
      </c>
      <c r="E2076" s="23" t="str">
        <f aca="false">IF(A2076="","",DATE(YEAR(A2076),MONTH(A2076),1))</f>
        <v/>
      </c>
    </row>
    <row r="2077" customFormat="false" ht="15" hidden="false" customHeight="false" outlineLevel="0" collapsed="false">
      <c r="A2077" s="21"/>
      <c r="B2077" s="4"/>
      <c r="C2077" s="22"/>
      <c r="D2077" s="5" t="str">
        <f aca="false">IF(B2077="","",IFERROR(INDEX(DE_PARA!$B$6:$B$205,MATCH(B2077,DE_PARA!$A$6:$A$205,0)),"SEM DE-PARA"))</f>
        <v/>
      </c>
      <c r="E2077" s="23" t="str">
        <f aca="false">IF(A2077="","",DATE(YEAR(A2077),MONTH(A2077),1))</f>
        <v/>
      </c>
    </row>
    <row r="2078" customFormat="false" ht="15" hidden="false" customHeight="false" outlineLevel="0" collapsed="false">
      <c r="A2078" s="21"/>
      <c r="B2078" s="4"/>
      <c r="C2078" s="22"/>
      <c r="D2078" s="5" t="str">
        <f aca="false">IF(B2078="","",IFERROR(INDEX(DE_PARA!$B$6:$B$205,MATCH(B2078,DE_PARA!$A$6:$A$205,0)),"SEM DE-PARA"))</f>
        <v/>
      </c>
      <c r="E2078" s="23" t="str">
        <f aca="false">IF(A2078="","",DATE(YEAR(A2078),MONTH(A2078),1))</f>
        <v/>
      </c>
    </row>
    <row r="2079" customFormat="false" ht="15" hidden="false" customHeight="false" outlineLevel="0" collapsed="false">
      <c r="A2079" s="21"/>
      <c r="B2079" s="4"/>
      <c r="C2079" s="22"/>
      <c r="D2079" s="5" t="str">
        <f aca="false">IF(B2079="","",IFERROR(INDEX(DE_PARA!$B$6:$B$205,MATCH(B2079,DE_PARA!$A$6:$A$205,0)),"SEM DE-PARA"))</f>
        <v/>
      </c>
      <c r="E2079" s="23" t="str">
        <f aca="false">IF(A2079="","",DATE(YEAR(A2079),MONTH(A2079),1))</f>
        <v/>
      </c>
    </row>
    <row r="2080" customFormat="false" ht="15" hidden="false" customHeight="false" outlineLevel="0" collapsed="false">
      <c r="A2080" s="21"/>
      <c r="B2080" s="4"/>
      <c r="C2080" s="22"/>
      <c r="D2080" s="5" t="str">
        <f aca="false">IF(B2080="","",IFERROR(INDEX(DE_PARA!$B$6:$B$205,MATCH(B2080,DE_PARA!$A$6:$A$205,0)),"SEM DE-PARA"))</f>
        <v/>
      </c>
      <c r="E2080" s="23" t="str">
        <f aca="false">IF(A2080="","",DATE(YEAR(A2080),MONTH(A2080),1))</f>
        <v/>
      </c>
    </row>
    <row r="2081" customFormat="false" ht="15" hidden="false" customHeight="false" outlineLevel="0" collapsed="false">
      <c r="A2081" s="21"/>
      <c r="B2081" s="4"/>
      <c r="C2081" s="22"/>
      <c r="D2081" s="5" t="str">
        <f aca="false">IF(B2081="","",IFERROR(INDEX(DE_PARA!$B$6:$B$205,MATCH(B2081,DE_PARA!$A$6:$A$205,0)),"SEM DE-PARA"))</f>
        <v/>
      </c>
      <c r="E2081" s="23" t="str">
        <f aca="false">IF(A2081="","",DATE(YEAR(A2081),MONTH(A2081),1))</f>
        <v/>
      </c>
    </row>
    <row r="2082" customFormat="false" ht="15" hidden="false" customHeight="false" outlineLevel="0" collapsed="false">
      <c r="A2082" s="21"/>
      <c r="B2082" s="4"/>
      <c r="C2082" s="22"/>
      <c r="D2082" s="5" t="str">
        <f aca="false">IF(B2082="","",IFERROR(INDEX(DE_PARA!$B$6:$B$205,MATCH(B2082,DE_PARA!$A$6:$A$205,0)),"SEM DE-PARA"))</f>
        <v/>
      </c>
      <c r="E2082" s="23" t="str">
        <f aca="false">IF(A2082="","",DATE(YEAR(A2082),MONTH(A2082),1))</f>
        <v/>
      </c>
    </row>
    <row r="2083" customFormat="false" ht="15" hidden="false" customHeight="false" outlineLevel="0" collapsed="false">
      <c r="A2083" s="21"/>
      <c r="B2083" s="4"/>
      <c r="C2083" s="22"/>
      <c r="D2083" s="5" t="str">
        <f aca="false">IF(B2083="","",IFERROR(INDEX(DE_PARA!$B$6:$B$205,MATCH(B2083,DE_PARA!$A$6:$A$205,0)),"SEM DE-PARA"))</f>
        <v/>
      </c>
      <c r="E2083" s="23" t="str">
        <f aca="false">IF(A2083="","",DATE(YEAR(A2083),MONTH(A2083),1))</f>
        <v/>
      </c>
    </row>
    <row r="2084" customFormat="false" ht="15" hidden="false" customHeight="false" outlineLevel="0" collapsed="false">
      <c r="A2084" s="21"/>
      <c r="B2084" s="4"/>
      <c r="C2084" s="22"/>
      <c r="D2084" s="5" t="str">
        <f aca="false">IF(B2084="","",IFERROR(INDEX(DE_PARA!$B$6:$B$205,MATCH(B2084,DE_PARA!$A$6:$A$205,0)),"SEM DE-PARA"))</f>
        <v/>
      </c>
      <c r="E2084" s="23" t="str">
        <f aca="false">IF(A2084="","",DATE(YEAR(A2084),MONTH(A2084),1))</f>
        <v/>
      </c>
    </row>
    <row r="2085" customFormat="false" ht="15" hidden="false" customHeight="false" outlineLevel="0" collapsed="false">
      <c r="A2085" s="21"/>
      <c r="B2085" s="4"/>
      <c r="C2085" s="22"/>
      <c r="D2085" s="5" t="str">
        <f aca="false">IF(B2085="","",IFERROR(INDEX(DE_PARA!$B$6:$B$205,MATCH(B2085,DE_PARA!$A$6:$A$205,0)),"SEM DE-PARA"))</f>
        <v/>
      </c>
      <c r="E2085" s="23" t="str">
        <f aca="false">IF(A2085="","",DATE(YEAR(A2085),MONTH(A2085),1))</f>
        <v/>
      </c>
    </row>
    <row r="2086" customFormat="false" ht="15" hidden="false" customHeight="false" outlineLevel="0" collapsed="false">
      <c r="A2086" s="21"/>
      <c r="B2086" s="4"/>
      <c r="C2086" s="22"/>
      <c r="D2086" s="5" t="str">
        <f aca="false">IF(B2086="","",IFERROR(INDEX(DE_PARA!$B$6:$B$205,MATCH(B2086,DE_PARA!$A$6:$A$205,0)),"SEM DE-PARA"))</f>
        <v/>
      </c>
      <c r="E2086" s="23" t="str">
        <f aca="false">IF(A2086="","",DATE(YEAR(A2086),MONTH(A2086),1))</f>
        <v/>
      </c>
    </row>
    <row r="2087" customFormat="false" ht="15" hidden="false" customHeight="false" outlineLevel="0" collapsed="false">
      <c r="A2087" s="21"/>
      <c r="B2087" s="4"/>
      <c r="C2087" s="22"/>
      <c r="D2087" s="5" t="str">
        <f aca="false">IF(B2087="","",IFERROR(INDEX(DE_PARA!$B$6:$B$205,MATCH(B2087,DE_PARA!$A$6:$A$205,0)),"SEM DE-PARA"))</f>
        <v/>
      </c>
      <c r="E2087" s="23" t="str">
        <f aca="false">IF(A2087="","",DATE(YEAR(A2087),MONTH(A2087),1))</f>
        <v/>
      </c>
    </row>
    <row r="2088" customFormat="false" ht="15" hidden="false" customHeight="false" outlineLevel="0" collapsed="false">
      <c r="A2088" s="21"/>
      <c r="B2088" s="4"/>
      <c r="C2088" s="22"/>
      <c r="D2088" s="5" t="str">
        <f aca="false">IF(B2088="","",IFERROR(INDEX(DE_PARA!$B$6:$B$205,MATCH(B2088,DE_PARA!$A$6:$A$205,0)),"SEM DE-PARA"))</f>
        <v/>
      </c>
      <c r="E2088" s="23" t="str">
        <f aca="false">IF(A2088="","",DATE(YEAR(A2088),MONTH(A2088),1))</f>
        <v/>
      </c>
    </row>
    <row r="2089" customFormat="false" ht="15" hidden="false" customHeight="false" outlineLevel="0" collapsed="false">
      <c r="A2089" s="21"/>
      <c r="B2089" s="4"/>
      <c r="C2089" s="22"/>
      <c r="D2089" s="5" t="str">
        <f aca="false">IF(B2089="","",IFERROR(INDEX(DE_PARA!$B$6:$B$205,MATCH(B2089,DE_PARA!$A$6:$A$205,0)),"SEM DE-PARA"))</f>
        <v/>
      </c>
      <c r="E2089" s="23" t="str">
        <f aca="false">IF(A2089="","",DATE(YEAR(A2089),MONTH(A2089),1))</f>
        <v/>
      </c>
    </row>
    <row r="2090" customFormat="false" ht="15" hidden="false" customHeight="false" outlineLevel="0" collapsed="false">
      <c r="A2090" s="21"/>
      <c r="B2090" s="4"/>
      <c r="C2090" s="22"/>
      <c r="D2090" s="5" t="str">
        <f aca="false">IF(B2090="","",IFERROR(INDEX(DE_PARA!$B$6:$B$205,MATCH(B2090,DE_PARA!$A$6:$A$205,0)),"SEM DE-PARA"))</f>
        <v/>
      </c>
      <c r="E2090" s="23" t="str">
        <f aca="false">IF(A2090="","",DATE(YEAR(A2090),MONTH(A2090),1))</f>
        <v/>
      </c>
    </row>
    <row r="2091" customFormat="false" ht="15" hidden="false" customHeight="false" outlineLevel="0" collapsed="false">
      <c r="A2091" s="21"/>
      <c r="B2091" s="4"/>
      <c r="C2091" s="22"/>
      <c r="D2091" s="5" t="str">
        <f aca="false">IF(B2091="","",IFERROR(INDEX(DE_PARA!$B$6:$B$205,MATCH(B2091,DE_PARA!$A$6:$A$205,0)),"SEM DE-PARA"))</f>
        <v/>
      </c>
      <c r="E2091" s="23" t="str">
        <f aca="false">IF(A2091="","",DATE(YEAR(A2091),MONTH(A2091),1))</f>
        <v/>
      </c>
    </row>
    <row r="2092" customFormat="false" ht="15" hidden="false" customHeight="false" outlineLevel="0" collapsed="false">
      <c r="A2092" s="21"/>
      <c r="B2092" s="4"/>
      <c r="C2092" s="22"/>
      <c r="D2092" s="5" t="str">
        <f aca="false">IF(B2092="","",IFERROR(INDEX(DE_PARA!$B$6:$B$205,MATCH(B2092,DE_PARA!$A$6:$A$205,0)),"SEM DE-PARA"))</f>
        <v/>
      </c>
      <c r="E2092" s="23" t="str">
        <f aca="false">IF(A2092="","",DATE(YEAR(A2092),MONTH(A2092),1))</f>
        <v/>
      </c>
    </row>
    <row r="2093" customFormat="false" ht="15" hidden="false" customHeight="false" outlineLevel="0" collapsed="false">
      <c r="A2093" s="21"/>
      <c r="B2093" s="4"/>
      <c r="C2093" s="22"/>
      <c r="D2093" s="5" t="str">
        <f aca="false">IF(B2093="","",IFERROR(INDEX(DE_PARA!$B$6:$B$205,MATCH(B2093,DE_PARA!$A$6:$A$205,0)),"SEM DE-PARA"))</f>
        <v/>
      </c>
      <c r="E2093" s="23" t="str">
        <f aca="false">IF(A2093="","",DATE(YEAR(A2093),MONTH(A2093),1))</f>
        <v/>
      </c>
    </row>
    <row r="2094" customFormat="false" ht="15" hidden="false" customHeight="false" outlineLevel="0" collapsed="false">
      <c r="A2094" s="21"/>
      <c r="B2094" s="4"/>
      <c r="C2094" s="22"/>
      <c r="D2094" s="5" t="str">
        <f aca="false">IF(B2094="","",IFERROR(INDEX(DE_PARA!$B$6:$B$205,MATCH(B2094,DE_PARA!$A$6:$A$205,0)),"SEM DE-PARA"))</f>
        <v/>
      </c>
      <c r="E2094" s="23" t="str">
        <f aca="false">IF(A2094="","",DATE(YEAR(A2094),MONTH(A2094),1))</f>
        <v/>
      </c>
    </row>
    <row r="2095" customFormat="false" ht="15" hidden="false" customHeight="false" outlineLevel="0" collapsed="false">
      <c r="A2095" s="21"/>
      <c r="B2095" s="4"/>
      <c r="C2095" s="22"/>
      <c r="D2095" s="5" t="str">
        <f aca="false">IF(B2095="","",IFERROR(INDEX(DE_PARA!$B$6:$B$205,MATCH(B2095,DE_PARA!$A$6:$A$205,0)),"SEM DE-PARA"))</f>
        <v/>
      </c>
      <c r="E2095" s="23" t="str">
        <f aca="false">IF(A2095="","",DATE(YEAR(A2095),MONTH(A2095),1))</f>
        <v/>
      </c>
    </row>
    <row r="2096" customFormat="false" ht="15" hidden="false" customHeight="false" outlineLevel="0" collapsed="false">
      <c r="A2096" s="21"/>
      <c r="B2096" s="4"/>
      <c r="C2096" s="22"/>
      <c r="D2096" s="5" t="str">
        <f aca="false">IF(B2096="","",IFERROR(INDEX(DE_PARA!$B$6:$B$205,MATCH(B2096,DE_PARA!$A$6:$A$205,0)),"SEM DE-PARA"))</f>
        <v/>
      </c>
      <c r="E2096" s="23" t="str">
        <f aca="false">IF(A2096="","",DATE(YEAR(A2096),MONTH(A2096),1))</f>
        <v/>
      </c>
    </row>
    <row r="2097" customFormat="false" ht="15" hidden="false" customHeight="false" outlineLevel="0" collapsed="false">
      <c r="A2097" s="21"/>
      <c r="B2097" s="4"/>
      <c r="C2097" s="22"/>
      <c r="D2097" s="5" t="str">
        <f aca="false">IF(B2097="","",IFERROR(INDEX(DE_PARA!$B$6:$B$205,MATCH(B2097,DE_PARA!$A$6:$A$205,0)),"SEM DE-PARA"))</f>
        <v/>
      </c>
      <c r="E2097" s="23" t="str">
        <f aca="false">IF(A2097="","",DATE(YEAR(A2097),MONTH(A2097),1))</f>
        <v/>
      </c>
    </row>
    <row r="2098" customFormat="false" ht="15" hidden="false" customHeight="false" outlineLevel="0" collapsed="false">
      <c r="A2098" s="21"/>
      <c r="B2098" s="4"/>
      <c r="C2098" s="22"/>
      <c r="D2098" s="5" t="str">
        <f aca="false">IF(B2098="","",IFERROR(INDEX(DE_PARA!$B$6:$B$205,MATCH(B2098,DE_PARA!$A$6:$A$205,0)),"SEM DE-PARA"))</f>
        <v/>
      </c>
      <c r="E2098" s="23" t="str">
        <f aca="false">IF(A2098="","",DATE(YEAR(A2098),MONTH(A2098),1))</f>
        <v/>
      </c>
    </row>
    <row r="2099" customFormat="false" ht="15" hidden="false" customHeight="false" outlineLevel="0" collapsed="false">
      <c r="A2099" s="21"/>
      <c r="B2099" s="4"/>
      <c r="C2099" s="22"/>
      <c r="D2099" s="5" t="str">
        <f aca="false">IF(B2099="","",IFERROR(INDEX(DE_PARA!$B$6:$B$205,MATCH(B2099,DE_PARA!$A$6:$A$205,0)),"SEM DE-PARA"))</f>
        <v/>
      </c>
      <c r="E2099" s="23" t="str">
        <f aca="false">IF(A2099="","",DATE(YEAR(A2099),MONTH(A2099),1))</f>
        <v/>
      </c>
    </row>
    <row r="2100" customFormat="false" ht="15" hidden="false" customHeight="false" outlineLevel="0" collapsed="false">
      <c r="A2100" s="21"/>
      <c r="B2100" s="4"/>
      <c r="C2100" s="22"/>
      <c r="D2100" s="5" t="str">
        <f aca="false">IF(B2100="","",IFERROR(INDEX(DE_PARA!$B$6:$B$205,MATCH(B2100,DE_PARA!$A$6:$A$205,0)),"SEM DE-PARA"))</f>
        <v/>
      </c>
      <c r="E2100" s="23" t="str">
        <f aca="false">IF(A2100="","",DATE(YEAR(A2100),MONTH(A2100),1))</f>
        <v/>
      </c>
    </row>
    <row r="2101" customFormat="false" ht="15" hidden="false" customHeight="false" outlineLevel="0" collapsed="false">
      <c r="A2101" s="21"/>
      <c r="B2101" s="4"/>
      <c r="C2101" s="22"/>
      <c r="D2101" s="5" t="str">
        <f aca="false">IF(B2101="","",IFERROR(INDEX(DE_PARA!$B$6:$B$205,MATCH(B2101,DE_PARA!$A$6:$A$205,0)),"SEM DE-PARA"))</f>
        <v/>
      </c>
      <c r="E2101" s="23" t="str">
        <f aca="false">IF(A2101="","",DATE(YEAR(A2101),MONTH(A2101),1))</f>
        <v/>
      </c>
    </row>
    <row r="2102" customFormat="false" ht="15" hidden="false" customHeight="false" outlineLevel="0" collapsed="false">
      <c r="A2102" s="21"/>
      <c r="B2102" s="4"/>
      <c r="C2102" s="22"/>
      <c r="D2102" s="5" t="str">
        <f aca="false">IF(B2102="","",IFERROR(INDEX(DE_PARA!$B$6:$B$205,MATCH(B2102,DE_PARA!$A$6:$A$205,0)),"SEM DE-PARA"))</f>
        <v/>
      </c>
      <c r="E2102" s="23" t="str">
        <f aca="false">IF(A2102="","",DATE(YEAR(A2102),MONTH(A2102),1))</f>
        <v/>
      </c>
    </row>
    <row r="2103" customFormat="false" ht="15" hidden="false" customHeight="false" outlineLevel="0" collapsed="false">
      <c r="A2103" s="21"/>
      <c r="B2103" s="4"/>
      <c r="C2103" s="22"/>
      <c r="D2103" s="5" t="str">
        <f aca="false">IF(B2103="","",IFERROR(INDEX(DE_PARA!$B$6:$B$205,MATCH(B2103,DE_PARA!$A$6:$A$205,0)),"SEM DE-PARA"))</f>
        <v/>
      </c>
      <c r="E2103" s="23" t="str">
        <f aca="false">IF(A2103="","",DATE(YEAR(A2103),MONTH(A2103),1))</f>
        <v/>
      </c>
    </row>
    <row r="2104" customFormat="false" ht="15" hidden="false" customHeight="false" outlineLevel="0" collapsed="false">
      <c r="A2104" s="21"/>
      <c r="B2104" s="4"/>
      <c r="C2104" s="22"/>
      <c r="D2104" s="5" t="str">
        <f aca="false">IF(B2104="","",IFERROR(INDEX(DE_PARA!$B$6:$B$205,MATCH(B2104,DE_PARA!$A$6:$A$205,0)),"SEM DE-PARA"))</f>
        <v/>
      </c>
      <c r="E2104" s="23" t="str">
        <f aca="false">IF(A2104="","",DATE(YEAR(A2104),MONTH(A2104),1))</f>
        <v/>
      </c>
    </row>
    <row r="2105" customFormat="false" ht="15" hidden="false" customHeight="false" outlineLevel="0" collapsed="false">
      <c r="A2105" s="21"/>
      <c r="B2105" s="4"/>
      <c r="C2105" s="22"/>
      <c r="D2105" s="5" t="str">
        <f aca="false">IF(B2105="","",IFERROR(INDEX(DE_PARA!$B$6:$B$205,MATCH(B2105,DE_PARA!$A$6:$A$205,0)),"SEM DE-PARA"))</f>
        <v/>
      </c>
      <c r="E2105" s="23" t="str">
        <f aca="false">IF(A2105="","",DATE(YEAR(A2105),MONTH(A2105),1))</f>
        <v/>
      </c>
    </row>
    <row r="2106" customFormat="false" ht="15" hidden="false" customHeight="false" outlineLevel="0" collapsed="false">
      <c r="A2106" s="21"/>
      <c r="B2106" s="4"/>
      <c r="C2106" s="22"/>
      <c r="D2106" s="5" t="str">
        <f aca="false">IF(B2106="","",IFERROR(INDEX(DE_PARA!$B$6:$B$205,MATCH(B2106,DE_PARA!$A$6:$A$205,0)),"SEM DE-PARA"))</f>
        <v/>
      </c>
      <c r="E2106" s="23" t="str">
        <f aca="false">IF(A2106="","",DATE(YEAR(A2106),MONTH(A2106),1))</f>
        <v/>
      </c>
    </row>
    <row r="2107" customFormat="false" ht="15" hidden="false" customHeight="false" outlineLevel="0" collapsed="false">
      <c r="A2107" s="21"/>
      <c r="B2107" s="4"/>
      <c r="C2107" s="22"/>
      <c r="D2107" s="5" t="str">
        <f aca="false">IF(B2107="","",IFERROR(INDEX(DE_PARA!$B$6:$B$205,MATCH(B2107,DE_PARA!$A$6:$A$205,0)),"SEM DE-PARA"))</f>
        <v/>
      </c>
      <c r="E2107" s="23" t="str">
        <f aca="false">IF(A2107="","",DATE(YEAR(A2107),MONTH(A2107),1))</f>
        <v/>
      </c>
    </row>
    <row r="2108" customFormat="false" ht="15" hidden="false" customHeight="false" outlineLevel="0" collapsed="false">
      <c r="A2108" s="21"/>
      <c r="B2108" s="4"/>
      <c r="C2108" s="22"/>
      <c r="D2108" s="5" t="str">
        <f aca="false">IF(B2108="","",IFERROR(INDEX(DE_PARA!$B$6:$B$205,MATCH(B2108,DE_PARA!$A$6:$A$205,0)),"SEM DE-PARA"))</f>
        <v/>
      </c>
      <c r="E2108" s="23" t="str">
        <f aca="false">IF(A2108="","",DATE(YEAR(A2108),MONTH(A2108),1))</f>
        <v/>
      </c>
    </row>
    <row r="2109" customFormat="false" ht="15" hidden="false" customHeight="false" outlineLevel="0" collapsed="false">
      <c r="A2109" s="21"/>
      <c r="B2109" s="4"/>
      <c r="C2109" s="22"/>
      <c r="D2109" s="5" t="str">
        <f aca="false">IF(B2109="","",IFERROR(INDEX(DE_PARA!$B$6:$B$205,MATCH(B2109,DE_PARA!$A$6:$A$205,0)),"SEM DE-PARA"))</f>
        <v/>
      </c>
      <c r="E2109" s="23" t="str">
        <f aca="false">IF(A2109="","",DATE(YEAR(A2109),MONTH(A2109),1))</f>
        <v/>
      </c>
    </row>
    <row r="2110" customFormat="false" ht="15" hidden="false" customHeight="false" outlineLevel="0" collapsed="false">
      <c r="A2110" s="21"/>
      <c r="B2110" s="4"/>
      <c r="C2110" s="22"/>
      <c r="D2110" s="5" t="str">
        <f aca="false">IF(B2110="","",IFERROR(INDEX(DE_PARA!$B$6:$B$205,MATCH(B2110,DE_PARA!$A$6:$A$205,0)),"SEM DE-PARA"))</f>
        <v/>
      </c>
      <c r="E2110" s="23" t="str">
        <f aca="false">IF(A2110="","",DATE(YEAR(A2110),MONTH(A2110),1))</f>
        <v/>
      </c>
    </row>
    <row r="2111" customFormat="false" ht="15" hidden="false" customHeight="false" outlineLevel="0" collapsed="false">
      <c r="A2111" s="21"/>
      <c r="B2111" s="4"/>
      <c r="C2111" s="22"/>
      <c r="D2111" s="5" t="str">
        <f aca="false">IF(B2111="","",IFERROR(INDEX(DE_PARA!$B$6:$B$205,MATCH(B2111,DE_PARA!$A$6:$A$205,0)),"SEM DE-PARA"))</f>
        <v/>
      </c>
      <c r="E2111" s="23" t="str">
        <f aca="false">IF(A2111="","",DATE(YEAR(A2111),MONTH(A2111),1))</f>
        <v/>
      </c>
    </row>
    <row r="2112" customFormat="false" ht="15" hidden="false" customHeight="false" outlineLevel="0" collapsed="false">
      <c r="A2112" s="21"/>
      <c r="B2112" s="4"/>
      <c r="C2112" s="22"/>
      <c r="D2112" s="5" t="str">
        <f aca="false">IF(B2112="","",IFERROR(INDEX(DE_PARA!$B$6:$B$205,MATCH(B2112,DE_PARA!$A$6:$A$205,0)),"SEM DE-PARA"))</f>
        <v/>
      </c>
      <c r="E2112" s="23" t="str">
        <f aca="false">IF(A2112="","",DATE(YEAR(A2112),MONTH(A2112),1))</f>
        <v/>
      </c>
    </row>
    <row r="2113" customFormat="false" ht="15" hidden="false" customHeight="false" outlineLevel="0" collapsed="false">
      <c r="A2113" s="21"/>
      <c r="B2113" s="4"/>
      <c r="C2113" s="22"/>
      <c r="D2113" s="5" t="str">
        <f aca="false">IF(B2113="","",IFERROR(INDEX(DE_PARA!$B$6:$B$205,MATCH(B2113,DE_PARA!$A$6:$A$205,0)),"SEM DE-PARA"))</f>
        <v/>
      </c>
      <c r="E2113" s="23" t="str">
        <f aca="false">IF(A2113="","",DATE(YEAR(A2113),MONTH(A2113),1))</f>
        <v/>
      </c>
    </row>
    <row r="2114" customFormat="false" ht="15" hidden="false" customHeight="false" outlineLevel="0" collapsed="false">
      <c r="A2114" s="21"/>
      <c r="B2114" s="4"/>
      <c r="C2114" s="22"/>
      <c r="D2114" s="5" t="str">
        <f aca="false">IF(B2114="","",IFERROR(INDEX(DE_PARA!$B$6:$B$205,MATCH(B2114,DE_PARA!$A$6:$A$205,0)),"SEM DE-PARA"))</f>
        <v/>
      </c>
      <c r="E2114" s="23" t="str">
        <f aca="false">IF(A2114="","",DATE(YEAR(A2114),MONTH(A2114),1))</f>
        <v/>
      </c>
    </row>
    <row r="2115" customFormat="false" ht="15" hidden="false" customHeight="false" outlineLevel="0" collapsed="false">
      <c r="A2115" s="21"/>
      <c r="B2115" s="4"/>
      <c r="C2115" s="22"/>
      <c r="D2115" s="5" t="str">
        <f aca="false">IF(B2115="","",IFERROR(INDEX(DE_PARA!$B$6:$B$205,MATCH(B2115,DE_PARA!$A$6:$A$205,0)),"SEM DE-PARA"))</f>
        <v/>
      </c>
      <c r="E2115" s="23" t="str">
        <f aca="false">IF(A2115="","",DATE(YEAR(A2115),MONTH(A2115),1))</f>
        <v/>
      </c>
    </row>
    <row r="2116" customFormat="false" ht="15" hidden="false" customHeight="false" outlineLevel="0" collapsed="false">
      <c r="A2116" s="21"/>
      <c r="B2116" s="4"/>
      <c r="C2116" s="22"/>
      <c r="D2116" s="5" t="str">
        <f aca="false">IF(B2116="","",IFERROR(INDEX(DE_PARA!$B$6:$B$205,MATCH(B2116,DE_PARA!$A$6:$A$205,0)),"SEM DE-PARA"))</f>
        <v/>
      </c>
      <c r="E2116" s="23" t="str">
        <f aca="false">IF(A2116="","",DATE(YEAR(A2116),MONTH(A2116),1))</f>
        <v/>
      </c>
    </row>
    <row r="2117" customFormat="false" ht="15" hidden="false" customHeight="false" outlineLevel="0" collapsed="false">
      <c r="A2117" s="21"/>
      <c r="B2117" s="4"/>
      <c r="C2117" s="22"/>
      <c r="D2117" s="5" t="str">
        <f aca="false">IF(B2117="","",IFERROR(INDEX(DE_PARA!$B$6:$B$205,MATCH(B2117,DE_PARA!$A$6:$A$205,0)),"SEM DE-PARA"))</f>
        <v/>
      </c>
      <c r="E2117" s="23" t="str">
        <f aca="false">IF(A2117="","",DATE(YEAR(A2117),MONTH(A2117),1))</f>
        <v/>
      </c>
    </row>
    <row r="2118" customFormat="false" ht="15" hidden="false" customHeight="false" outlineLevel="0" collapsed="false">
      <c r="A2118" s="21"/>
      <c r="B2118" s="4"/>
      <c r="C2118" s="22"/>
      <c r="D2118" s="5" t="str">
        <f aca="false">IF(B2118="","",IFERROR(INDEX(DE_PARA!$B$6:$B$205,MATCH(B2118,DE_PARA!$A$6:$A$205,0)),"SEM DE-PARA"))</f>
        <v/>
      </c>
      <c r="E2118" s="23" t="str">
        <f aca="false">IF(A2118="","",DATE(YEAR(A2118),MONTH(A2118),1))</f>
        <v/>
      </c>
    </row>
    <row r="2119" customFormat="false" ht="15" hidden="false" customHeight="false" outlineLevel="0" collapsed="false">
      <c r="A2119" s="21"/>
      <c r="B2119" s="4"/>
      <c r="C2119" s="22"/>
      <c r="D2119" s="5" t="str">
        <f aca="false">IF(B2119="","",IFERROR(INDEX(DE_PARA!$B$6:$B$205,MATCH(B2119,DE_PARA!$A$6:$A$205,0)),"SEM DE-PARA"))</f>
        <v/>
      </c>
      <c r="E2119" s="23" t="str">
        <f aca="false">IF(A2119="","",DATE(YEAR(A2119),MONTH(A2119),1))</f>
        <v/>
      </c>
    </row>
    <row r="2120" customFormat="false" ht="15" hidden="false" customHeight="false" outlineLevel="0" collapsed="false">
      <c r="A2120" s="21"/>
      <c r="B2120" s="4"/>
      <c r="C2120" s="22"/>
      <c r="D2120" s="5" t="str">
        <f aca="false">IF(B2120="","",IFERROR(INDEX(DE_PARA!$B$6:$B$205,MATCH(B2120,DE_PARA!$A$6:$A$205,0)),"SEM DE-PARA"))</f>
        <v/>
      </c>
      <c r="E2120" s="23" t="str">
        <f aca="false">IF(A2120="","",DATE(YEAR(A2120),MONTH(A2120),1))</f>
        <v/>
      </c>
    </row>
    <row r="2121" customFormat="false" ht="15" hidden="false" customHeight="false" outlineLevel="0" collapsed="false">
      <c r="A2121" s="21"/>
      <c r="B2121" s="4"/>
      <c r="C2121" s="22"/>
      <c r="D2121" s="5" t="str">
        <f aca="false">IF(B2121="","",IFERROR(INDEX(DE_PARA!$B$6:$B$205,MATCH(B2121,DE_PARA!$A$6:$A$205,0)),"SEM DE-PARA"))</f>
        <v/>
      </c>
      <c r="E2121" s="23" t="str">
        <f aca="false">IF(A2121="","",DATE(YEAR(A2121),MONTH(A2121),1))</f>
        <v/>
      </c>
    </row>
    <row r="2122" customFormat="false" ht="15" hidden="false" customHeight="false" outlineLevel="0" collapsed="false">
      <c r="A2122" s="21"/>
      <c r="B2122" s="4"/>
      <c r="C2122" s="22"/>
      <c r="D2122" s="5" t="str">
        <f aca="false">IF(B2122="","",IFERROR(INDEX(DE_PARA!$B$6:$B$205,MATCH(B2122,DE_PARA!$A$6:$A$205,0)),"SEM DE-PARA"))</f>
        <v/>
      </c>
      <c r="E2122" s="23" t="str">
        <f aca="false">IF(A2122="","",DATE(YEAR(A2122),MONTH(A2122),1))</f>
        <v/>
      </c>
    </row>
    <row r="2123" customFormat="false" ht="15" hidden="false" customHeight="false" outlineLevel="0" collapsed="false">
      <c r="A2123" s="21"/>
      <c r="B2123" s="4"/>
      <c r="C2123" s="22"/>
      <c r="D2123" s="5" t="str">
        <f aca="false">IF(B2123="","",IFERROR(INDEX(DE_PARA!$B$6:$B$205,MATCH(B2123,DE_PARA!$A$6:$A$205,0)),"SEM DE-PARA"))</f>
        <v/>
      </c>
      <c r="E2123" s="23" t="str">
        <f aca="false">IF(A2123="","",DATE(YEAR(A2123),MONTH(A2123),1))</f>
        <v/>
      </c>
    </row>
    <row r="2124" customFormat="false" ht="15" hidden="false" customHeight="false" outlineLevel="0" collapsed="false">
      <c r="A2124" s="21"/>
      <c r="B2124" s="4"/>
      <c r="C2124" s="22"/>
      <c r="D2124" s="5" t="str">
        <f aca="false">IF(B2124="","",IFERROR(INDEX(DE_PARA!$B$6:$B$205,MATCH(B2124,DE_PARA!$A$6:$A$205,0)),"SEM DE-PARA"))</f>
        <v/>
      </c>
      <c r="E2124" s="23" t="str">
        <f aca="false">IF(A2124="","",DATE(YEAR(A2124),MONTH(A2124),1))</f>
        <v/>
      </c>
    </row>
    <row r="2125" customFormat="false" ht="15" hidden="false" customHeight="false" outlineLevel="0" collapsed="false">
      <c r="A2125" s="21"/>
      <c r="B2125" s="4"/>
      <c r="C2125" s="22"/>
      <c r="D2125" s="5" t="str">
        <f aca="false">IF(B2125="","",IFERROR(INDEX(DE_PARA!$B$6:$B$205,MATCH(B2125,DE_PARA!$A$6:$A$205,0)),"SEM DE-PARA"))</f>
        <v/>
      </c>
      <c r="E2125" s="23" t="str">
        <f aca="false">IF(A2125="","",DATE(YEAR(A2125),MONTH(A2125),1))</f>
        <v/>
      </c>
    </row>
    <row r="2126" customFormat="false" ht="15" hidden="false" customHeight="false" outlineLevel="0" collapsed="false">
      <c r="A2126" s="21"/>
      <c r="B2126" s="4"/>
      <c r="C2126" s="22"/>
      <c r="D2126" s="5" t="str">
        <f aca="false">IF(B2126="","",IFERROR(INDEX(DE_PARA!$B$6:$B$205,MATCH(B2126,DE_PARA!$A$6:$A$205,0)),"SEM DE-PARA"))</f>
        <v/>
      </c>
      <c r="E2126" s="23" t="str">
        <f aca="false">IF(A2126="","",DATE(YEAR(A2126),MONTH(A2126),1))</f>
        <v/>
      </c>
    </row>
    <row r="2127" customFormat="false" ht="15" hidden="false" customHeight="false" outlineLevel="0" collapsed="false">
      <c r="A2127" s="21"/>
      <c r="B2127" s="4"/>
      <c r="C2127" s="22"/>
      <c r="D2127" s="5" t="str">
        <f aca="false">IF(B2127="","",IFERROR(INDEX(DE_PARA!$B$6:$B$205,MATCH(B2127,DE_PARA!$A$6:$A$205,0)),"SEM DE-PARA"))</f>
        <v/>
      </c>
      <c r="E2127" s="23" t="str">
        <f aca="false">IF(A2127="","",DATE(YEAR(A2127),MONTH(A2127),1))</f>
        <v/>
      </c>
    </row>
    <row r="2128" customFormat="false" ht="15" hidden="false" customHeight="false" outlineLevel="0" collapsed="false">
      <c r="A2128" s="21"/>
      <c r="B2128" s="4"/>
      <c r="C2128" s="22"/>
      <c r="D2128" s="5" t="str">
        <f aca="false">IF(B2128="","",IFERROR(INDEX(DE_PARA!$B$6:$B$205,MATCH(B2128,DE_PARA!$A$6:$A$205,0)),"SEM DE-PARA"))</f>
        <v/>
      </c>
      <c r="E2128" s="23" t="str">
        <f aca="false">IF(A2128="","",DATE(YEAR(A2128),MONTH(A2128),1))</f>
        <v/>
      </c>
    </row>
    <row r="2129" customFormat="false" ht="15" hidden="false" customHeight="false" outlineLevel="0" collapsed="false">
      <c r="A2129" s="21"/>
      <c r="B2129" s="4"/>
      <c r="C2129" s="22"/>
      <c r="D2129" s="5" t="str">
        <f aca="false">IF(B2129="","",IFERROR(INDEX(DE_PARA!$B$6:$B$205,MATCH(B2129,DE_PARA!$A$6:$A$205,0)),"SEM DE-PARA"))</f>
        <v/>
      </c>
      <c r="E2129" s="23" t="str">
        <f aca="false">IF(A2129="","",DATE(YEAR(A2129),MONTH(A2129),1))</f>
        <v/>
      </c>
    </row>
    <row r="2130" customFormat="false" ht="15" hidden="false" customHeight="false" outlineLevel="0" collapsed="false">
      <c r="A2130" s="21"/>
      <c r="B2130" s="4"/>
      <c r="C2130" s="22"/>
      <c r="D2130" s="5" t="str">
        <f aca="false">IF(B2130="","",IFERROR(INDEX(DE_PARA!$B$6:$B$205,MATCH(B2130,DE_PARA!$A$6:$A$205,0)),"SEM DE-PARA"))</f>
        <v/>
      </c>
      <c r="E2130" s="23" t="str">
        <f aca="false">IF(A2130="","",DATE(YEAR(A2130),MONTH(A2130),1))</f>
        <v/>
      </c>
    </row>
    <row r="2131" customFormat="false" ht="15" hidden="false" customHeight="false" outlineLevel="0" collapsed="false">
      <c r="A2131" s="21"/>
      <c r="B2131" s="4"/>
      <c r="C2131" s="22"/>
      <c r="D2131" s="5" t="str">
        <f aca="false">IF(B2131="","",IFERROR(INDEX(DE_PARA!$B$6:$B$205,MATCH(B2131,DE_PARA!$A$6:$A$205,0)),"SEM DE-PARA"))</f>
        <v/>
      </c>
      <c r="E2131" s="23" t="str">
        <f aca="false">IF(A2131="","",DATE(YEAR(A2131),MONTH(A2131),1))</f>
        <v/>
      </c>
    </row>
    <row r="2132" customFormat="false" ht="15" hidden="false" customHeight="false" outlineLevel="0" collapsed="false">
      <c r="A2132" s="21"/>
      <c r="B2132" s="4"/>
      <c r="C2132" s="22"/>
      <c r="D2132" s="5" t="str">
        <f aca="false">IF(B2132="","",IFERROR(INDEX(DE_PARA!$B$6:$B$205,MATCH(B2132,DE_PARA!$A$6:$A$205,0)),"SEM DE-PARA"))</f>
        <v/>
      </c>
      <c r="E2132" s="23" t="str">
        <f aca="false">IF(A2132="","",DATE(YEAR(A2132),MONTH(A2132),1))</f>
        <v/>
      </c>
    </row>
    <row r="2133" customFormat="false" ht="15" hidden="false" customHeight="false" outlineLevel="0" collapsed="false">
      <c r="A2133" s="21"/>
      <c r="B2133" s="4"/>
      <c r="C2133" s="22"/>
      <c r="D2133" s="5" t="str">
        <f aca="false">IF(B2133="","",IFERROR(INDEX(DE_PARA!$B$6:$B$205,MATCH(B2133,DE_PARA!$A$6:$A$205,0)),"SEM DE-PARA"))</f>
        <v/>
      </c>
      <c r="E2133" s="23" t="str">
        <f aca="false">IF(A2133="","",DATE(YEAR(A2133),MONTH(A2133),1))</f>
        <v/>
      </c>
    </row>
    <row r="2134" customFormat="false" ht="15" hidden="false" customHeight="false" outlineLevel="0" collapsed="false">
      <c r="A2134" s="21"/>
      <c r="B2134" s="4"/>
      <c r="C2134" s="22"/>
      <c r="D2134" s="5" t="str">
        <f aca="false">IF(B2134="","",IFERROR(INDEX(DE_PARA!$B$6:$B$205,MATCH(B2134,DE_PARA!$A$6:$A$205,0)),"SEM DE-PARA"))</f>
        <v/>
      </c>
      <c r="E2134" s="23" t="str">
        <f aca="false">IF(A2134="","",DATE(YEAR(A2134),MONTH(A2134),1))</f>
        <v/>
      </c>
    </row>
    <row r="2135" customFormat="false" ht="15" hidden="false" customHeight="false" outlineLevel="0" collapsed="false">
      <c r="A2135" s="21"/>
      <c r="B2135" s="4"/>
      <c r="C2135" s="22"/>
      <c r="D2135" s="5" t="str">
        <f aca="false">IF(B2135="","",IFERROR(INDEX(DE_PARA!$B$6:$B$205,MATCH(B2135,DE_PARA!$A$6:$A$205,0)),"SEM DE-PARA"))</f>
        <v/>
      </c>
      <c r="E2135" s="23" t="str">
        <f aca="false">IF(A2135="","",DATE(YEAR(A2135),MONTH(A2135),1))</f>
        <v/>
      </c>
    </row>
    <row r="2136" customFormat="false" ht="15" hidden="false" customHeight="false" outlineLevel="0" collapsed="false">
      <c r="A2136" s="21"/>
      <c r="B2136" s="4"/>
      <c r="C2136" s="22"/>
      <c r="D2136" s="5" t="str">
        <f aca="false">IF(B2136="","",IFERROR(INDEX(DE_PARA!$B$6:$B$205,MATCH(B2136,DE_PARA!$A$6:$A$205,0)),"SEM DE-PARA"))</f>
        <v/>
      </c>
      <c r="E2136" s="23" t="str">
        <f aca="false">IF(A2136="","",DATE(YEAR(A2136),MONTH(A2136),1))</f>
        <v/>
      </c>
    </row>
    <row r="2137" customFormat="false" ht="15" hidden="false" customHeight="false" outlineLevel="0" collapsed="false">
      <c r="A2137" s="21"/>
      <c r="B2137" s="4"/>
      <c r="C2137" s="22"/>
      <c r="D2137" s="5" t="str">
        <f aca="false">IF(B2137="","",IFERROR(INDEX(DE_PARA!$B$6:$B$205,MATCH(B2137,DE_PARA!$A$6:$A$205,0)),"SEM DE-PARA"))</f>
        <v/>
      </c>
      <c r="E2137" s="23" t="str">
        <f aca="false">IF(A2137="","",DATE(YEAR(A2137),MONTH(A2137),1))</f>
        <v/>
      </c>
    </row>
    <row r="2138" customFormat="false" ht="15" hidden="false" customHeight="false" outlineLevel="0" collapsed="false">
      <c r="A2138" s="21"/>
      <c r="B2138" s="4"/>
      <c r="C2138" s="22"/>
      <c r="D2138" s="5" t="str">
        <f aca="false">IF(B2138="","",IFERROR(INDEX(DE_PARA!$B$6:$B$205,MATCH(B2138,DE_PARA!$A$6:$A$205,0)),"SEM DE-PARA"))</f>
        <v/>
      </c>
      <c r="E2138" s="23" t="str">
        <f aca="false">IF(A2138="","",DATE(YEAR(A2138),MONTH(A2138),1))</f>
        <v/>
      </c>
    </row>
    <row r="2139" customFormat="false" ht="15" hidden="false" customHeight="false" outlineLevel="0" collapsed="false">
      <c r="A2139" s="21"/>
      <c r="B2139" s="4"/>
      <c r="C2139" s="22"/>
      <c r="D2139" s="5" t="str">
        <f aca="false">IF(B2139="","",IFERROR(INDEX(DE_PARA!$B$6:$B$205,MATCH(B2139,DE_PARA!$A$6:$A$205,0)),"SEM DE-PARA"))</f>
        <v/>
      </c>
      <c r="E2139" s="23" t="str">
        <f aca="false">IF(A2139="","",DATE(YEAR(A2139),MONTH(A2139),1))</f>
        <v/>
      </c>
    </row>
    <row r="2140" customFormat="false" ht="15" hidden="false" customHeight="false" outlineLevel="0" collapsed="false">
      <c r="A2140" s="21"/>
      <c r="B2140" s="4"/>
      <c r="C2140" s="22"/>
      <c r="D2140" s="5" t="str">
        <f aca="false">IF(B2140="","",IFERROR(INDEX(DE_PARA!$B$6:$B$205,MATCH(B2140,DE_PARA!$A$6:$A$205,0)),"SEM DE-PARA"))</f>
        <v/>
      </c>
      <c r="E2140" s="23" t="str">
        <f aca="false">IF(A2140="","",DATE(YEAR(A2140),MONTH(A2140),1))</f>
        <v/>
      </c>
    </row>
    <row r="2141" customFormat="false" ht="15" hidden="false" customHeight="false" outlineLevel="0" collapsed="false">
      <c r="A2141" s="21"/>
      <c r="B2141" s="4"/>
      <c r="C2141" s="22"/>
      <c r="D2141" s="5" t="str">
        <f aca="false">IF(B2141="","",IFERROR(INDEX(DE_PARA!$B$6:$B$205,MATCH(B2141,DE_PARA!$A$6:$A$205,0)),"SEM DE-PARA"))</f>
        <v/>
      </c>
      <c r="E2141" s="23" t="str">
        <f aca="false">IF(A2141="","",DATE(YEAR(A2141),MONTH(A2141),1))</f>
        <v/>
      </c>
    </row>
    <row r="2142" customFormat="false" ht="15" hidden="false" customHeight="false" outlineLevel="0" collapsed="false">
      <c r="A2142" s="21"/>
      <c r="B2142" s="4"/>
      <c r="C2142" s="22"/>
      <c r="D2142" s="5" t="str">
        <f aca="false">IF(B2142="","",IFERROR(INDEX(DE_PARA!$B$6:$B$205,MATCH(B2142,DE_PARA!$A$6:$A$205,0)),"SEM DE-PARA"))</f>
        <v/>
      </c>
      <c r="E2142" s="23" t="str">
        <f aca="false">IF(A2142="","",DATE(YEAR(A2142),MONTH(A2142),1))</f>
        <v/>
      </c>
    </row>
    <row r="2143" customFormat="false" ht="15" hidden="false" customHeight="false" outlineLevel="0" collapsed="false">
      <c r="A2143" s="21"/>
      <c r="B2143" s="4"/>
      <c r="C2143" s="22"/>
      <c r="D2143" s="5" t="str">
        <f aca="false">IF(B2143="","",IFERROR(INDEX(DE_PARA!$B$6:$B$205,MATCH(B2143,DE_PARA!$A$6:$A$205,0)),"SEM DE-PARA"))</f>
        <v/>
      </c>
      <c r="E2143" s="23" t="str">
        <f aca="false">IF(A2143="","",DATE(YEAR(A2143),MONTH(A2143),1))</f>
        <v/>
      </c>
    </row>
    <row r="2144" customFormat="false" ht="15" hidden="false" customHeight="false" outlineLevel="0" collapsed="false">
      <c r="A2144" s="21"/>
      <c r="B2144" s="4"/>
      <c r="C2144" s="22"/>
      <c r="D2144" s="5" t="str">
        <f aca="false">IF(B2144="","",IFERROR(INDEX(DE_PARA!$B$6:$B$205,MATCH(B2144,DE_PARA!$A$6:$A$205,0)),"SEM DE-PARA"))</f>
        <v/>
      </c>
      <c r="E2144" s="23" t="str">
        <f aca="false">IF(A2144="","",DATE(YEAR(A2144),MONTH(A2144),1))</f>
        <v/>
      </c>
    </row>
    <row r="2145" customFormat="false" ht="15" hidden="false" customHeight="false" outlineLevel="0" collapsed="false">
      <c r="A2145" s="21"/>
      <c r="B2145" s="4"/>
      <c r="C2145" s="22"/>
      <c r="D2145" s="5" t="str">
        <f aca="false">IF(B2145="","",IFERROR(INDEX(DE_PARA!$B$6:$B$205,MATCH(B2145,DE_PARA!$A$6:$A$205,0)),"SEM DE-PARA"))</f>
        <v/>
      </c>
      <c r="E2145" s="23" t="str">
        <f aca="false">IF(A2145="","",DATE(YEAR(A2145),MONTH(A2145),1))</f>
        <v/>
      </c>
    </row>
    <row r="2146" customFormat="false" ht="15" hidden="false" customHeight="false" outlineLevel="0" collapsed="false">
      <c r="A2146" s="21"/>
      <c r="B2146" s="4"/>
      <c r="C2146" s="22"/>
      <c r="D2146" s="5" t="str">
        <f aca="false">IF(B2146="","",IFERROR(INDEX(DE_PARA!$B$6:$B$205,MATCH(B2146,DE_PARA!$A$6:$A$205,0)),"SEM DE-PARA"))</f>
        <v/>
      </c>
      <c r="E2146" s="23" t="str">
        <f aca="false">IF(A2146="","",DATE(YEAR(A2146),MONTH(A2146),1))</f>
        <v/>
      </c>
    </row>
    <row r="2147" customFormat="false" ht="15" hidden="false" customHeight="false" outlineLevel="0" collapsed="false">
      <c r="A2147" s="21"/>
      <c r="B2147" s="4"/>
      <c r="C2147" s="22"/>
      <c r="D2147" s="5" t="str">
        <f aca="false">IF(B2147="","",IFERROR(INDEX(DE_PARA!$B$6:$B$205,MATCH(B2147,DE_PARA!$A$6:$A$205,0)),"SEM DE-PARA"))</f>
        <v/>
      </c>
      <c r="E2147" s="23" t="str">
        <f aca="false">IF(A2147="","",DATE(YEAR(A2147),MONTH(A2147),1))</f>
        <v/>
      </c>
    </row>
    <row r="2148" customFormat="false" ht="15" hidden="false" customHeight="false" outlineLevel="0" collapsed="false">
      <c r="A2148" s="21"/>
      <c r="B2148" s="4"/>
      <c r="C2148" s="22"/>
      <c r="D2148" s="5" t="str">
        <f aca="false">IF(B2148="","",IFERROR(INDEX(DE_PARA!$B$6:$B$205,MATCH(B2148,DE_PARA!$A$6:$A$205,0)),"SEM DE-PARA"))</f>
        <v/>
      </c>
      <c r="E2148" s="23" t="str">
        <f aca="false">IF(A2148="","",DATE(YEAR(A2148),MONTH(A2148),1))</f>
        <v/>
      </c>
    </row>
    <row r="2149" customFormat="false" ht="15" hidden="false" customHeight="false" outlineLevel="0" collapsed="false">
      <c r="A2149" s="21"/>
      <c r="B2149" s="4"/>
      <c r="C2149" s="22"/>
      <c r="D2149" s="5" t="str">
        <f aca="false">IF(B2149="","",IFERROR(INDEX(DE_PARA!$B$6:$B$205,MATCH(B2149,DE_PARA!$A$6:$A$205,0)),"SEM DE-PARA"))</f>
        <v/>
      </c>
      <c r="E2149" s="23" t="str">
        <f aca="false">IF(A2149="","",DATE(YEAR(A2149),MONTH(A2149),1))</f>
        <v/>
      </c>
    </row>
    <row r="2150" customFormat="false" ht="15" hidden="false" customHeight="false" outlineLevel="0" collapsed="false">
      <c r="A2150" s="21"/>
      <c r="B2150" s="4"/>
      <c r="C2150" s="22"/>
      <c r="D2150" s="5" t="str">
        <f aca="false">IF(B2150="","",IFERROR(INDEX(DE_PARA!$B$6:$B$205,MATCH(B2150,DE_PARA!$A$6:$A$205,0)),"SEM DE-PARA"))</f>
        <v/>
      </c>
      <c r="E2150" s="23" t="str">
        <f aca="false">IF(A2150="","",DATE(YEAR(A2150),MONTH(A2150),1))</f>
        <v/>
      </c>
    </row>
    <row r="2151" customFormat="false" ht="15" hidden="false" customHeight="false" outlineLevel="0" collapsed="false">
      <c r="A2151" s="21"/>
      <c r="B2151" s="4"/>
      <c r="C2151" s="22"/>
      <c r="D2151" s="5" t="str">
        <f aca="false">IF(B2151="","",IFERROR(INDEX(DE_PARA!$B$6:$B$205,MATCH(B2151,DE_PARA!$A$6:$A$205,0)),"SEM DE-PARA"))</f>
        <v/>
      </c>
      <c r="E2151" s="23" t="str">
        <f aca="false">IF(A2151="","",DATE(YEAR(A2151),MONTH(A2151),1))</f>
        <v/>
      </c>
    </row>
    <row r="2152" customFormat="false" ht="15" hidden="false" customHeight="false" outlineLevel="0" collapsed="false">
      <c r="A2152" s="21"/>
      <c r="B2152" s="4"/>
      <c r="C2152" s="22"/>
      <c r="D2152" s="5" t="str">
        <f aca="false">IF(B2152="","",IFERROR(INDEX(DE_PARA!$B$6:$B$205,MATCH(B2152,DE_PARA!$A$6:$A$205,0)),"SEM DE-PARA"))</f>
        <v/>
      </c>
      <c r="E2152" s="23" t="str">
        <f aca="false">IF(A2152="","",DATE(YEAR(A2152),MONTH(A2152),1))</f>
        <v/>
      </c>
    </row>
    <row r="2153" customFormat="false" ht="15" hidden="false" customHeight="false" outlineLevel="0" collapsed="false">
      <c r="A2153" s="21"/>
      <c r="B2153" s="4"/>
      <c r="C2153" s="22"/>
      <c r="D2153" s="5" t="str">
        <f aca="false">IF(B2153="","",IFERROR(INDEX(DE_PARA!$B$6:$B$205,MATCH(B2153,DE_PARA!$A$6:$A$205,0)),"SEM DE-PARA"))</f>
        <v/>
      </c>
      <c r="E2153" s="23" t="str">
        <f aca="false">IF(A2153="","",DATE(YEAR(A2153),MONTH(A2153),1))</f>
        <v/>
      </c>
    </row>
    <row r="2154" customFormat="false" ht="15" hidden="false" customHeight="false" outlineLevel="0" collapsed="false">
      <c r="A2154" s="21"/>
      <c r="B2154" s="4"/>
      <c r="C2154" s="22"/>
      <c r="D2154" s="5" t="str">
        <f aca="false">IF(B2154="","",IFERROR(INDEX(DE_PARA!$B$6:$B$205,MATCH(B2154,DE_PARA!$A$6:$A$205,0)),"SEM DE-PARA"))</f>
        <v/>
      </c>
      <c r="E2154" s="23" t="str">
        <f aca="false">IF(A2154="","",DATE(YEAR(A2154),MONTH(A2154),1))</f>
        <v/>
      </c>
    </row>
    <row r="2155" customFormat="false" ht="15" hidden="false" customHeight="false" outlineLevel="0" collapsed="false">
      <c r="A2155" s="21"/>
      <c r="B2155" s="4"/>
      <c r="C2155" s="22"/>
      <c r="D2155" s="5" t="str">
        <f aca="false">IF(B2155="","",IFERROR(INDEX(DE_PARA!$B$6:$B$205,MATCH(B2155,DE_PARA!$A$6:$A$205,0)),"SEM DE-PARA"))</f>
        <v/>
      </c>
      <c r="E2155" s="23" t="str">
        <f aca="false">IF(A2155="","",DATE(YEAR(A2155),MONTH(A2155),1))</f>
        <v/>
      </c>
    </row>
    <row r="2156" customFormat="false" ht="15" hidden="false" customHeight="false" outlineLevel="0" collapsed="false">
      <c r="A2156" s="21"/>
      <c r="B2156" s="4"/>
      <c r="C2156" s="22"/>
      <c r="D2156" s="5" t="str">
        <f aca="false">IF(B2156="","",IFERROR(INDEX(DE_PARA!$B$6:$B$205,MATCH(B2156,DE_PARA!$A$6:$A$205,0)),"SEM DE-PARA"))</f>
        <v/>
      </c>
      <c r="E2156" s="23" t="str">
        <f aca="false">IF(A2156="","",DATE(YEAR(A2156),MONTH(A2156),1))</f>
        <v/>
      </c>
    </row>
    <row r="2157" customFormat="false" ht="15" hidden="false" customHeight="false" outlineLevel="0" collapsed="false">
      <c r="A2157" s="21"/>
      <c r="B2157" s="4"/>
      <c r="C2157" s="22"/>
      <c r="D2157" s="5" t="str">
        <f aca="false">IF(B2157="","",IFERROR(INDEX(DE_PARA!$B$6:$B$205,MATCH(B2157,DE_PARA!$A$6:$A$205,0)),"SEM DE-PARA"))</f>
        <v/>
      </c>
      <c r="E2157" s="23" t="str">
        <f aca="false">IF(A2157="","",DATE(YEAR(A2157),MONTH(A2157),1))</f>
        <v/>
      </c>
    </row>
    <row r="2158" customFormat="false" ht="15" hidden="false" customHeight="false" outlineLevel="0" collapsed="false">
      <c r="A2158" s="21"/>
      <c r="B2158" s="4"/>
      <c r="C2158" s="22"/>
      <c r="D2158" s="5" t="str">
        <f aca="false">IF(B2158="","",IFERROR(INDEX(DE_PARA!$B$6:$B$205,MATCH(B2158,DE_PARA!$A$6:$A$205,0)),"SEM DE-PARA"))</f>
        <v/>
      </c>
      <c r="E2158" s="23" t="str">
        <f aca="false">IF(A2158="","",DATE(YEAR(A2158),MONTH(A2158),1))</f>
        <v/>
      </c>
    </row>
    <row r="2159" customFormat="false" ht="15" hidden="false" customHeight="false" outlineLevel="0" collapsed="false">
      <c r="A2159" s="21"/>
      <c r="B2159" s="4"/>
      <c r="C2159" s="22"/>
      <c r="D2159" s="5" t="str">
        <f aca="false">IF(B2159="","",IFERROR(INDEX(DE_PARA!$B$6:$B$205,MATCH(B2159,DE_PARA!$A$6:$A$205,0)),"SEM DE-PARA"))</f>
        <v/>
      </c>
      <c r="E2159" s="23" t="str">
        <f aca="false">IF(A2159="","",DATE(YEAR(A2159),MONTH(A2159),1))</f>
        <v/>
      </c>
    </row>
    <row r="2160" customFormat="false" ht="15" hidden="false" customHeight="false" outlineLevel="0" collapsed="false">
      <c r="A2160" s="21"/>
      <c r="B2160" s="4"/>
      <c r="C2160" s="22"/>
      <c r="D2160" s="5" t="str">
        <f aca="false">IF(B2160="","",IFERROR(INDEX(DE_PARA!$B$6:$B$205,MATCH(B2160,DE_PARA!$A$6:$A$205,0)),"SEM DE-PARA"))</f>
        <v/>
      </c>
      <c r="E2160" s="23" t="str">
        <f aca="false">IF(A2160="","",DATE(YEAR(A2160),MONTH(A2160),1))</f>
        <v/>
      </c>
    </row>
    <row r="2161" customFormat="false" ht="15" hidden="false" customHeight="false" outlineLevel="0" collapsed="false">
      <c r="A2161" s="21"/>
      <c r="B2161" s="4"/>
      <c r="C2161" s="22"/>
      <c r="D2161" s="5" t="str">
        <f aca="false">IF(B2161="","",IFERROR(INDEX(DE_PARA!$B$6:$B$205,MATCH(B2161,DE_PARA!$A$6:$A$205,0)),"SEM DE-PARA"))</f>
        <v/>
      </c>
      <c r="E2161" s="23" t="str">
        <f aca="false">IF(A2161="","",DATE(YEAR(A2161),MONTH(A2161),1))</f>
        <v/>
      </c>
    </row>
    <row r="2162" customFormat="false" ht="15" hidden="false" customHeight="false" outlineLevel="0" collapsed="false">
      <c r="A2162" s="21"/>
      <c r="B2162" s="4"/>
      <c r="C2162" s="22"/>
      <c r="D2162" s="5" t="str">
        <f aca="false">IF(B2162="","",IFERROR(INDEX(DE_PARA!$B$6:$B$205,MATCH(B2162,DE_PARA!$A$6:$A$205,0)),"SEM DE-PARA"))</f>
        <v/>
      </c>
      <c r="E2162" s="23" t="str">
        <f aca="false">IF(A2162="","",DATE(YEAR(A2162),MONTH(A2162),1))</f>
        <v/>
      </c>
    </row>
    <row r="2163" customFormat="false" ht="15" hidden="false" customHeight="false" outlineLevel="0" collapsed="false">
      <c r="A2163" s="21"/>
      <c r="B2163" s="4"/>
      <c r="C2163" s="22"/>
      <c r="D2163" s="5" t="str">
        <f aca="false">IF(B2163="","",IFERROR(INDEX(DE_PARA!$B$6:$B$205,MATCH(B2163,DE_PARA!$A$6:$A$205,0)),"SEM DE-PARA"))</f>
        <v/>
      </c>
      <c r="E2163" s="23" t="str">
        <f aca="false">IF(A2163="","",DATE(YEAR(A2163),MONTH(A2163),1))</f>
        <v/>
      </c>
    </row>
    <row r="2164" customFormat="false" ht="15" hidden="false" customHeight="false" outlineLevel="0" collapsed="false">
      <c r="A2164" s="21"/>
      <c r="B2164" s="4"/>
      <c r="C2164" s="22"/>
      <c r="D2164" s="5" t="str">
        <f aca="false">IF(B2164="","",IFERROR(INDEX(DE_PARA!$B$6:$B$205,MATCH(B2164,DE_PARA!$A$6:$A$205,0)),"SEM DE-PARA"))</f>
        <v/>
      </c>
      <c r="E2164" s="23" t="str">
        <f aca="false">IF(A2164="","",DATE(YEAR(A2164),MONTH(A2164),1))</f>
        <v/>
      </c>
    </row>
    <row r="2165" customFormat="false" ht="15" hidden="false" customHeight="false" outlineLevel="0" collapsed="false">
      <c r="A2165" s="21"/>
      <c r="B2165" s="4"/>
      <c r="C2165" s="22"/>
      <c r="D2165" s="5" t="str">
        <f aca="false">IF(B2165="","",IFERROR(INDEX(DE_PARA!$B$6:$B$205,MATCH(B2165,DE_PARA!$A$6:$A$205,0)),"SEM DE-PARA"))</f>
        <v/>
      </c>
      <c r="E2165" s="23" t="str">
        <f aca="false">IF(A2165="","",DATE(YEAR(A2165),MONTH(A2165),1))</f>
        <v/>
      </c>
    </row>
    <row r="2166" customFormat="false" ht="15" hidden="false" customHeight="false" outlineLevel="0" collapsed="false">
      <c r="A2166" s="21"/>
      <c r="B2166" s="4"/>
      <c r="C2166" s="22"/>
      <c r="D2166" s="5" t="str">
        <f aca="false">IF(B2166="","",IFERROR(INDEX(DE_PARA!$B$6:$B$205,MATCH(B2166,DE_PARA!$A$6:$A$205,0)),"SEM DE-PARA"))</f>
        <v/>
      </c>
      <c r="E2166" s="23" t="str">
        <f aca="false">IF(A2166="","",DATE(YEAR(A2166),MONTH(A2166),1))</f>
        <v/>
      </c>
    </row>
    <row r="2167" customFormat="false" ht="15" hidden="false" customHeight="false" outlineLevel="0" collapsed="false">
      <c r="A2167" s="21"/>
      <c r="B2167" s="4"/>
      <c r="C2167" s="22"/>
      <c r="D2167" s="5" t="str">
        <f aca="false">IF(B2167="","",IFERROR(INDEX(DE_PARA!$B$6:$B$205,MATCH(B2167,DE_PARA!$A$6:$A$205,0)),"SEM DE-PARA"))</f>
        <v/>
      </c>
      <c r="E2167" s="23" t="str">
        <f aca="false">IF(A2167="","",DATE(YEAR(A2167),MONTH(A2167),1))</f>
        <v/>
      </c>
    </row>
    <row r="2168" customFormat="false" ht="15" hidden="false" customHeight="false" outlineLevel="0" collapsed="false">
      <c r="A2168" s="21"/>
      <c r="B2168" s="4"/>
      <c r="C2168" s="22"/>
      <c r="D2168" s="5" t="str">
        <f aca="false">IF(B2168="","",IFERROR(INDEX(DE_PARA!$B$6:$B$205,MATCH(B2168,DE_PARA!$A$6:$A$205,0)),"SEM DE-PARA"))</f>
        <v/>
      </c>
      <c r="E2168" s="23" t="str">
        <f aca="false">IF(A2168="","",DATE(YEAR(A2168),MONTH(A2168),1))</f>
        <v/>
      </c>
    </row>
    <row r="2169" customFormat="false" ht="15" hidden="false" customHeight="false" outlineLevel="0" collapsed="false">
      <c r="A2169" s="21"/>
      <c r="B2169" s="4"/>
      <c r="C2169" s="22"/>
      <c r="D2169" s="5" t="str">
        <f aca="false">IF(B2169="","",IFERROR(INDEX(DE_PARA!$B$6:$B$205,MATCH(B2169,DE_PARA!$A$6:$A$205,0)),"SEM DE-PARA"))</f>
        <v/>
      </c>
      <c r="E2169" s="23" t="str">
        <f aca="false">IF(A2169="","",DATE(YEAR(A2169),MONTH(A2169),1))</f>
        <v/>
      </c>
    </row>
    <row r="2170" customFormat="false" ht="15" hidden="false" customHeight="false" outlineLevel="0" collapsed="false">
      <c r="A2170" s="21"/>
      <c r="B2170" s="4"/>
      <c r="C2170" s="22"/>
      <c r="D2170" s="5" t="str">
        <f aca="false">IF(B2170="","",IFERROR(INDEX(DE_PARA!$B$6:$B$205,MATCH(B2170,DE_PARA!$A$6:$A$205,0)),"SEM DE-PARA"))</f>
        <v/>
      </c>
      <c r="E2170" s="23" t="str">
        <f aca="false">IF(A2170="","",DATE(YEAR(A2170),MONTH(A2170),1))</f>
        <v/>
      </c>
    </row>
    <row r="2171" customFormat="false" ht="15" hidden="false" customHeight="false" outlineLevel="0" collapsed="false">
      <c r="A2171" s="21"/>
      <c r="B2171" s="4"/>
      <c r="C2171" s="22"/>
      <c r="D2171" s="5" t="str">
        <f aca="false">IF(B2171="","",IFERROR(INDEX(DE_PARA!$B$6:$B$205,MATCH(B2171,DE_PARA!$A$6:$A$205,0)),"SEM DE-PARA"))</f>
        <v/>
      </c>
      <c r="E2171" s="23" t="str">
        <f aca="false">IF(A2171="","",DATE(YEAR(A2171),MONTH(A2171),1))</f>
        <v/>
      </c>
    </row>
    <row r="2172" customFormat="false" ht="15" hidden="false" customHeight="false" outlineLevel="0" collapsed="false">
      <c r="A2172" s="21"/>
      <c r="B2172" s="4"/>
      <c r="C2172" s="22"/>
      <c r="D2172" s="5" t="str">
        <f aca="false">IF(B2172="","",IFERROR(INDEX(DE_PARA!$B$6:$B$205,MATCH(B2172,DE_PARA!$A$6:$A$205,0)),"SEM DE-PARA"))</f>
        <v/>
      </c>
      <c r="E2172" s="23" t="str">
        <f aca="false">IF(A2172="","",DATE(YEAR(A2172),MONTH(A2172),1))</f>
        <v/>
      </c>
    </row>
    <row r="2173" customFormat="false" ht="15" hidden="false" customHeight="false" outlineLevel="0" collapsed="false">
      <c r="A2173" s="21"/>
      <c r="B2173" s="4"/>
      <c r="C2173" s="22"/>
      <c r="D2173" s="5" t="str">
        <f aca="false">IF(B2173="","",IFERROR(INDEX(DE_PARA!$B$6:$B$205,MATCH(B2173,DE_PARA!$A$6:$A$205,0)),"SEM DE-PARA"))</f>
        <v/>
      </c>
      <c r="E2173" s="23" t="str">
        <f aca="false">IF(A2173="","",DATE(YEAR(A2173),MONTH(A2173),1))</f>
        <v/>
      </c>
    </row>
    <row r="2174" customFormat="false" ht="15" hidden="false" customHeight="false" outlineLevel="0" collapsed="false">
      <c r="A2174" s="21"/>
      <c r="B2174" s="4"/>
      <c r="C2174" s="22"/>
      <c r="D2174" s="5" t="str">
        <f aca="false">IF(B2174="","",IFERROR(INDEX(DE_PARA!$B$6:$B$205,MATCH(B2174,DE_PARA!$A$6:$A$205,0)),"SEM DE-PARA"))</f>
        <v/>
      </c>
      <c r="E2174" s="23" t="str">
        <f aca="false">IF(A2174="","",DATE(YEAR(A2174),MONTH(A2174),1))</f>
        <v/>
      </c>
    </row>
    <row r="2175" customFormat="false" ht="15" hidden="false" customHeight="false" outlineLevel="0" collapsed="false">
      <c r="A2175" s="21"/>
      <c r="B2175" s="4"/>
      <c r="C2175" s="22"/>
      <c r="D2175" s="5" t="str">
        <f aca="false">IF(B2175="","",IFERROR(INDEX(DE_PARA!$B$6:$B$205,MATCH(B2175,DE_PARA!$A$6:$A$205,0)),"SEM DE-PARA"))</f>
        <v/>
      </c>
      <c r="E2175" s="23" t="str">
        <f aca="false">IF(A2175="","",DATE(YEAR(A2175),MONTH(A2175),1))</f>
        <v/>
      </c>
    </row>
    <row r="2176" customFormat="false" ht="15" hidden="false" customHeight="false" outlineLevel="0" collapsed="false">
      <c r="A2176" s="21"/>
      <c r="B2176" s="4"/>
      <c r="C2176" s="22"/>
      <c r="D2176" s="5" t="str">
        <f aca="false">IF(B2176="","",IFERROR(INDEX(DE_PARA!$B$6:$B$205,MATCH(B2176,DE_PARA!$A$6:$A$205,0)),"SEM DE-PARA"))</f>
        <v/>
      </c>
      <c r="E2176" s="23" t="str">
        <f aca="false">IF(A2176="","",DATE(YEAR(A2176),MONTH(A2176),1))</f>
        <v/>
      </c>
    </row>
    <row r="2177" customFormat="false" ht="15" hidden="false" customHeight="false" outlineLevel="0" collapsed="false">
      <c r="A2177" s="21"/>
      <c r="B2177" s="4"/>
      <c r="C2177" s="22"/>
      <c r="D2177" s="5" t="str">
        <f aca="false">IF(B2177="","",IFERROR(INDEX(DE_PARA!$B$6:$B$205,MATCH(B2177,DE_PARA!$A$6:$A$205,0)),"SEM DE-PARA"))</f>
        <v/>
      </c>
      <c r="E2177" s="23" t="str">
        <f aca="false">IF(A2177="","",DATE(YEAR(A2177),MONTH(A2177),1))</f>
        <v/>
      </c>
    </row>
    <row r="2178" customFormat="false" ht="15" hidden="false" customHeight="false" outlineLevel="0" collapsed="false">
      <c r="A2178" s="21"/>
      <c r="B2178" s="4"/>
      <c r="C2178" s="22"/>
      <c r="D2178" s="5" t="str">
        <f aca="false">IF(B2178="","",IFERROR(INDEX(DE_PARA!$B$6:$B$205,MATCH(B2178,DE_PARA!$A$6:$A$205,0)),"SEM DE-PARA"))</f>
        <v/>
      </c>
      <c r="E2178" s="23" t="str">
        <f aca="false">IF(A2178="","",DATE(YEAR(A2178),MONTH(A2178),1))</f>
        <v/>
      </c>
    </row>
    <row r="2179" customFormat="false" ht="15" hidden="false" customHeight="false" outlineLevel="0" collapsed="false">
      <c r="A2179" s="21"/>
      <c r="B2179" s="4"/>
      <c r="C2179" s="22"/>
      <c r="D2179" s="5" t="str">
        <f aca="false">IF(B2179="","",IFERROR(INDEX(DE_PARA!$B$6:$B$205,MATCH(B2179,DE_PARA!$A$6:$A$205,0)),"SEM DE-PARA"))</f>
        <v/>
      </c>
      <c r="E2179" s="23" t="str">
        <f aca="false">IF(A2179="","",DATE(YEAR(A2179),MONTH(A2179),1))</f>
        <v/>
      </c>
    </row>
    <row r="2180" customFormat="false" ht="15" hidden="false" customHeight="false" outlineLevel="0" collapsed="false">
      <c r="A2180" s="21"/>
      <c r="B2180" s="4"/>
      <c r="C2180" s="22"/>
      <c r="D2180" s="5" t="str">
        <f aca="false">IF(B2180="","",IFERROR(INDEX(DE_PARA!$B$6:$B$205,MATCH(B2180,DE_PARA!$A$6:$A$205,0)),"SEM DE-PARA"))</f>
        <v/>
      </c>
      <c r="E2180" s="23" t="str">
        <f aca="false">IF(A2180="","",DATE(YEAR(A2180),MONTH(A2180),1))</f>
        <v/>
      </c>
    </row>
    <row r="2181" customFormat="false" ht="15" hidden="false" customHeight="false" outlineLevel="0" collapsed="false">
      <c r="A2181" s="21"/>
      <c r="B2181" s="4"/>
      <c r="C2181" s="22"/>
      <c r="D2181" s="5" t="str">
        <f aca="false">IF(B2181="","",IFERROR(INDEX(DE_PARA!$B$6:$B$205,MATCH(B2181,DE_PARA!$A$6:$A$205,0)),"SEM DE-PARA"))</f>
        <v/>
      </c>
      <c r="E2181" s="23" t="str">
        <f aca="false">IF(A2181="","",DATE(YEAR(A2181),MONTH(A2181),1))</f>
        <v/>
      </c>
    </row>
    <row r="2182" customFormat="false" ht="15" hidden="false" customHeight="false" outlineLevel="0" collapsed="false">
      <c r="A2182" s="21"/>
      <c r="B2182" s="4"/>
      <c r="C2182" s="22"/>
      <c r="D2182" s="5" t="str">
        <f aca="false">IF(B2182="","",IFERROR(INDEX(DE_PARA!$B$6:$B$205,MATCH(B2182,DE_PARA!$A$6:$A$205,0)),"SEM DE-PARA"))</f>
        <v/>
      </c>
      <c r="E2182" s="23" t="str">
        <f aca="false">IF(A2182="","",DATE(YEAR(A2182),MONTH(A2182),1))</f>
        <v/>
      </c>
    </row>
    <row r="2183" customFormat="false" ht="15" hidden="false" customHeight="false" outlineLevel="0" collapsed="false">
      <c r="A2183" s="21"/>
      <c r="B2183" s="4"/>
      <c r="C2183" s="22"/>
      <c r="D2183" s="5" t="str">
        <f aca="false">IF(B2183="","",IFERROR(INDEX(DE_PARA!$B$6:$B$205,MATCH(B2183,DE_PARA!$A$6:$A$205,0)),"SEM DE-PARA"))</f>
        <v/>
      </c>
      <c r="E2183" s="23" t="str">
        <f aca="false">IF(A2183="","",DATE(YEAR(A2183),MONTH(A2183),1))</f>
        <v/>
      </c>
    </row>
    <row r="2184" customFormat="false" ht="15" hidden="false" customHeight="false" outlineLevel="0" collapsed="false">
      <c r="A2184" s="21"/>
      <c r="B2184" s="4"/>
      <c r="C2184" s="22"/>
      <c r="D2184" s="5" t="str">
        <f aca="false">IF(B2184="","",IFERROR(INDEX(DE_PARA!$B$6:$B$205,MATCH(B2184,DE_PARA!$A$6:$A$205,0)),"SEM DE-PARA"))</f>
        <v/>
      </c>
      <c r="E2184" s="23" t="str">
        <f aca="false">IF(A2184="","",DATE(YEAR(A2184),MONTH(A2184),1))</f>
        <v/>
      </c>
    </row>
    <row r="2185" customFormat="false" ht="15" hidden="false" customHeight="false" outlineLevel="0" collapsed="false">
      <c r="A2185" s="21"/>
      <c r="B2185" s="4"/>
      <c r="C2185" s="22"/>
      <c r="D2185" s="5" t="str">
        <f aca="false">IF(B2185="","",IFERROR(INDEX(DE_PARA!$B$6:$B$205,MATCH(B2185,DE_PARA!$A$6:$A$205,0)),"SEM DE-PARA"))</f>
        <v/>
      </c>
      <c r="E2185" s="23" t="str">
        <f aca="false">IF(A2185="","",DATE(YEAR(A2185),MONTH(A2185),1))</f>
        <v/>
      </c>
    </row>
    <row r="2186" customFormat="false" ht="15" hidden="false" customHeight="false" outlineLevel="0" collapsed="false">
      <c r="A2186" s="21"/>
      <c r="B2186" s="4"/>
      <c r="C2186" s="22"/>
      <c r="D2186" s="5" t="str">
        <f aca="false">IF(B2186="","",IFERROR(INDEX(DE_PARA!$B$6:$B$205,MATCH(B2186,DE_PARA!$A$6:$A$205,0)),"SEM DE-PARA"))</f>
        <v/>
      </c>
      <c r="E2186" s="23" t="str">
        <f aca="false">IF(A2186="","",DATE(YEAR(A2186),MONTH(A2186),1))</f>
        <v/>
      </c>
    </row>
    <row r="2187" customFormat="false" ht="15" hidden="false" customHeight="false" outlineLevel="0" collapsed="false">
      <c r="A2187" s="21"/>
      <c r="B2187" s="4"/>
      <c r="C2187" s="22"/>
      <c r="D2187" s="5" t="str">
        <f aca="false">IF(B2187="","",IFERROR(INDEX(DE_PARA!$B$6:$B$205,MATCH(B2187,DE_PARA!$A$6:$A$205,0)),"SEM DE-PARA"))</f>
        <v/>
      </c>
      <c r="E2187" s="23" t="str">
        <f aca="false">IF(A2187="","",DATE(YEAR(A2187),MONTH(A2187),1))</f>
        <v/>
      </c>
    </row>
    <row r="2188" customFormat="false" ht="15" hidden="false" customHeight="false" outlineLevel="0" collapsed="false">
      <c r="A2188" s="21"/>
      <c r="B2188" s="4"/>
      <c r="C2188" s="22"/>
      <c r="D2188" s="5" t="str">
        <f aca="false">IF(B2188="","",IFERROR(INDEX(DE_PARA!$B$6:$B$205,MATCH(B2188,DE_PARA!$A$6:$A$205,0)),"SEM DE-PARA"))</f>
        <v/>
      </c>
      <c r="E2188" s="23" t="str">
        <f aca="false">IF(A2188="","",DATE(YEAR(A2188),MONTH(A2188),1))</f>
        <v/>
      </c>
    </row>
    <row r="2189" customFormat="false" ht="15" hidden="false" customHeight="false" outlineLevel="0" collapsed="false">
      <c r="A2189" s="21"/>
      <c r="B2189" s="4"/>
      <c r="C2189" s="22"/>
      <c r="D2189" s="5" t="str">
        <f aca="false">IF(B2189="","",IFERROR(INDEX(DE_PARA!$B$6:$B$205,MATCH(B2189,DE_PARA!$A$6:$A$205,0)),"SEM DE-PARA"))</f>
        <v/>
      </c>
      <c r="E2189" s="23" t="str">
        <f aca="false">IF(A2189="","",DATE(YEAR(A2189),MONTH(A2189),1))</f>
        <v/>
      </c>
    </row>
    <row r="2190" customFormat="false" ht="15" hidden="false" customHeight="false" outlineLevel="0" collapsed="false">
      <c r="A2190" s="21"/>
      <c r="B2190" s="4"/>
      <c r="C2190" s="22"/>
      <c r="D2190" s="5" t="str">
        <f aca="false">IF(B2190="","",IFERROR(INDEX(DE_PARA!$B$6:$B$205,MATCH(B2190,DE_PARA!$A$6:$A$205,0)),"SEM DE-PARA"))</f>
        <v/>
      </c>
      <c r="E2190" s="23" t="str">
        <f aca="false">IF(A2190="","",DATE(YEAR(A2190),MONTH(A2190),1))</f>
        <v/>
      </c>
    </row>
    <row r="2191" customFormat="false" ht="15" hidden="false" customHeight="false" outlineLevel="0" collapsed="false">
      <c r="A2191" s="21"/>
      <c r="B2191" s="4"/>
      <c r="C2191" s="22"/>
      <c r="D2191" s="5" t="str">
        <f aca="false">IF(B2191="","",IFERROR(INDEX(DE_PARA!$B$6:$B$205,MATCH(B2191,DE_PARA!$A$6:$A$205,0)),"SEM DE-PARA"))</f>
        <v/>
      </c>
      <c r="E2191" s="23" t="str">
        <f aca="false">IF(A2191="","",DATE(YEAR(A2191),MONTH(A2191),1))</f>
        <v/>
      </c>
    </row>
    <row r="2192" customFormat="false" ht="15" hidden="false" customHeight="false" outlineLevel="0" collapsed="false">
      <c r="A2192" s="21"/>
      <c r="B2192" s="4"/>
      <c r="C2192" s="22"/>
      <c r="D2192" s="5" t="str">
        <f aca="false">IF(B2192="","",IFERROR(INDEX(DE_PARA!$B$6:$B$205,MATCH(B2192,DE_PARA!$A$6:$A$205,0)),"SEM DE-PARA"))</f>
        <v/>
      </c>
      <c r="E2192" s="23" t="str">
        <f aca="false">IF(A2192="","",DATE(YEAR(A2192),MONTH(A2192),1))</f>
        <v/>
      </c>
    </row>
    <row r="2193" customFormat="false" ht="15" hidden="false" customHeight="false" outlineLevel="0" collapsed="false">
      <c r="A2193" s="21"/>
      <c r="B2193" s="4"/>
      <c r="C2193" s="22"/>
      <c r="D2193" s="5" t="str">
        <f aca="false">IF(B2193="","",IFERROR(INDEX(DE_PARA!$B$6:$B$205,MATCH(B2193,DE_PARA!$A$6:$A$205,0)),"SEM DE-PARA"))</f>
        <v/>
      </c>
      <c r="E2193" s="23" t="str">
        <f aca="false">IF(A2193="","",DATE(YEAR(A2193),MONTH(A2193),1))</f>
        <v/>
      </c>
    </row>
    <row r="2194" customFormat="false" ht="15" hidden="false" customHeight="false" outlineLevel="0" collapsed="false">
      <c r="A2194" s="21"/>
      <c r="B2194" s="4"/>
      <c r="C2194" s="22"/>
      <c r="D2194" s="5" t="str">
        <f aca="false">IF(B2194="","",IFERROR(INDEX(DE_PARA!$B$6:$B$205,MATCH(B2194,DE_PARA!$A$6:$A$205,0)),"SEM DE-PARA"))</f>
        <v/>
      </c>
      <c r="E2194" s="23" t="str">
        <f aca="false">IF(A2194="","",DATE(YEAR(A2194),MONTH(A2194),1))</f>
        <v/>
      </c>
    </row>
    <row r="2195" customFormat="false" ht="15" hidden="false" customHeight="false" outlineLevel="0" collapsed="false">
      <c r="A2195" s="21"/>
      <c r="B2195" s="4"/>
      <c r="C2195" s="22"/>
      <c r="D2195" s="5" t="str">
        <f aca="false">IF(B2195="","",IFERROR(INDEX(DE_PARA!$B$6:$B$205,MATCH(B2195,DE_PARA!$A$6:$A$205,0)),"SEM DE-PARA"))</f>
        <v/>
      </c>
      <c r="E2195" s="23" t="str">
        <f aca="false">IF(A2195="","",DATE(YEAR(A2195),MONTH(A2195),1))</f>
        <v/>
      </c>
    </row>
    <row r="2196" customFormat="false" ht="15" hidden="false" customHeight="false" outlineLevel="0" collapsed="false">
      <c r="A2196" s="21"/>
      <c r="B2196" s="4"/>
      <c r="C2196" s="22"/>
      <c r="D2196" s="5" t="str">
        <f aca="false">IF(B2196="","",IFERROR(INDEX(DE_PARA!$B$6:$B$205,MATCH(B2196,DE_PARA!$A$6:$A$205,0)),"SEM DE-PARA"))</f>
        <v/>
      </c>
      <c r="E2196" s="23" t="str">
        <f aca="false">IF(A2196="","",DATE(YEAR(A2196),MONTH(A2196),1))</f>
        <v/>
      </c>
    </row>
    <row r="2197" customFormat="false" ht="15" hidden="false" customHeight="false" outlineLevel="0" collapsed="false">
      <c r="A2197" s="21"/>
      <c r="B2197" s="4"/>
      <c r="C2197" s="22"/>
      <c r="D2197" s="5" t="str">
        <f aca="false">IF(B2197="","",IFERROR(INDEX(DE_PARA!$B$6:$B$205,MATCH(B2197,DE_PARA!$A$6:$A$205,0)),"SEM DE-PARA"))</f>
        <v/>
      </c>
      <c r="E2197" s="23" t="str">
        <f aca="false">IF(A2197="","",DATE(YEAR(A2197),MONTH(A2197),1))</f>
        <v/>
      </c>
    </row>
    <row r="2198" customFormat="false" ht="15" hidden="false" customHeight="false" outlineLevel="0" collapsed="false">
      <c r="A2198" s="21"/>
      <c r="B2198" s="4"/>
      <c r="C2198" s="22"/>
      <c r="D2198" s="5" t="str">
        <f aca="false">IF(B2198="","",IFERROR(INDEX(DE_PARA!$B$6:$B$205,MATCH(B2198,DE_PARA!$A$6:$A$205,0)),"SEM DE-PARA"))</f>
        <v/>
      </c>
      <c r="E2198" s="23" t="str">
        <f aca="false">IF(A2198="","",DATE(YEAR(A2198),MONTH(A2198),1))</f>
        <v/>
      </c>
    </row>
    <row r="2199" customFormat="false" ht="15" hidden="false" customHeight="false" outlineLevel="0" collapsed="false">
      <c r="A2199" s="21"/>
      <c r="B2199" s="4"/>
      <c r="C2199" s="22"/>
      <c r="D2199" s="5" t="str">
        <f aca="false">IF(B2199="","",IFERROR(INDEX(DE_PARA!$B$6:$B$205,MATCH(B2199,DE_PARA!$A$6:$A$205,0)),"SEM DE-PARA"))</f>
        <v/>
      </c>
      <c r="E2199" s="23" t="str">
        <f aca="false">IF(A2199="","",DATE(YEAR(A2199),MONTH(A2199),1))</f>
        <v/>
      </c>
    </row>
    <row r="2200" customFormat="false" ht="15" hidden="false" customHeight="false" outlineLevel="0" collapsed="false">
      <c r="A2200" s="21"/>
      <c r="B2200" s="4"/>
      <c r="C2200" s="22"/>
      <c r="D2200" s="5" t="str">
        <f aca="false">IF(B2200="","",IFERROR(INDEX(DE_PARA!$B$6:$B$205,MATCH(B2200,DE_PARA!$A$6:$A$205,0)),"SEM DE-PARA"))</f>
        <v/>
      </c>
      <c r="E2200" s="23" t="str">
        <f aca="false">IF(A2200="","",DATE(YEAR(A2200),MONTH(A2200),1))</f>
        <v/>
      </c>
    </row>
    <row r="2201" customFormat="false" ht="15" hidden="false" customHeight="false" outlineLevel="0" collapsed="false">
      <c r="A2201" s="21"/>
      <c r="B2201" s="4"/>
      <c r="C2201" s="22"/>
      <c r="D2201" s="5" t="str">
        <f aca="false">IF(B2201="","",IFERROR(INDEX(DE_PARA!$B$6:$B$205,MATCH(B2201,DE_PARA!$A$6:$A$205,0)),"SEM DE-PARA"))</f>
        <v/>
      </c>
      <c r="E2201" s="23" t="str">
        <f aca="false">IF(A2201="","",DATE(YEAR(A2201),MONTH(A2201),1))</f>
        <v/>
      </c>
    </row>
    <row r="2202" customFormat="false" ht="15" hidden="false" customHeight="false" outlineLevel="0" collapsed="false">
      <c r="A2202" s="21"/>
      <c r="B2202" s="4"/>
      <c r="C2202" s="22"/>
      <c r="D2202" s="5" t="str">
        <f aca="false">IF(B2202="","",IFERROR(INDEX(DE_PARA!$B$6:$B$205,MATCH(B2202,DE_PARA!$A$6:$A$205,0)),"SEM DE-PARA"))</f>
        <v/>
      </c>
      <c r="E2202" s="23" t="str">
        <f aca="false">IF(A2202="","",DATE(YEAR(A2202),MONTH(A2202),1))</f>
        <v/>
      </c>
    </row>
    <row r="2203" customFormat="false" ht="15" hidden="false" customHeight="false" outlineLevel="0" collapsed="false">
      <c r="A2203" s="21"/>
      <c r="B2203" s="4"/>
      <c r="C2203" s="22"/>
      <c r="D2203" s="5" t="str">
        <f aca="false">IF(B2203="","",IFERROR(INDEX(DE_PARA!$B$6:$B$205,MATCH(B2203,DE_PARA!$A$6:$A$205,0)),"SEM DE-PARA"))</f>
        <v/>
      </c>
      <c r="E2203" s="23" t="str">
        <f aca="false">IF(A2203="","",DATE(YEAR(A2203),MONTH(A2203),1))</f>
        <v/>
      </c>
    </row>
    <row r="2204" customFormat="false" ht="15" hidden="false" customHeight="false" outlineLevel="0" collapsed="false">
      <c r="A2204" s="21"/>
      <c r="B2204" s="4"/>
      <c r="C2204" s="22"/>
      <c r="D2204" s="5" t="str">
        <f aca="false">IF(B2204="","",IFERROR(INDEX(DE_PARA!$B$6:$B$205,MATCH(B2204,DE_PARA!$A$6:$A$205,0)),"SEM DE-PARA"))</f>
        <v/>
      </c>
      <c r="E2204" s="23" t="str">
        <f aca="false">IF(A2204="","",DATE(YEAR(A2204),MONTH(A2204),1))</f>
        <v/>
      </c>
    </row>
    <row r="2205" customFormat="false" ht="15" hidden="false" customHeight="false" outlineLevel="0" collapsed="false">
      <c r="A2205" s="21"/>
      <c r="B2205" s="4"/>
      <c r="C2205" s="22"/>
      <c r="D2205" s="5" t="str">
        <f aca="false">IF(B2205="","",IFERROR(INDEX(DE_PARA!$B$6:$B$205,MATCH(B2205,DE_PARA!$A$6:$A$205,0)),"SEM DE-PARA"))</f>
        <v/>
      </c>
      <c r="E2205" s="23" t="str">
        <f aca="false">IF(A2205="","",DATE(YEAR(A2205),MONTH(A2205),1))</f>
        <v/>
      </c>
    </row>
    <row r="2206" customFormat="false" ht="15" hidden="false" customHeight="false" outlineLevel="0" collapsed="false">
      <c r="A2206" s="21"/>
      <c r="B2206" s="4"/>
      <c r="C2206" s="22"/>
      <c r="D2206" s="5" t="str">
        <f aca="false">IF(B2206="","",IFERROR(INDEX(DE_PARA!$B$6:$B$205,MATCH(B2206,DE_PARA!$A$6:$A$205,0)),"SEM DE-PARA"))</f>
        <v/>
      </c>
      <c r="E2206" s="23" t="str">
        <f aca="false">IF(A2206="","",DATE(YEAR(A2206),MONTH(A2206),1))</f>
        <v/>
      </c>
    </row>
    <row r="2207" customFormat="false" ht="15" hidden="false" customHeight="false" outlineLevel="0" collapsed="false">
      <c r="A2207" s="21"/>
      <c r="B2207" s="4"/>
      <c r="C2207" s="22"/>
      <c r="D2207" s="5" t="str">
        <f aca="false">IF(B2207="","",IFERROR(INDEX(DE_PARA!$B$6:$B$205,MATCH(B2207,DE_PARA!$A$6:$A$205,0)),"SEM DE-PARA"))</f>
        <v/>
      </c>
      <c r="E2207" s="23" t="str">
        <f aca="false">IF(A2207="","",DATE(YEAR(A2207),MONTH(A2207),1))</f>
        <v/>
      </c>
    </row>
    <row r="2208" customFormat="false" ht="15" hidden="false" customHeight="false" outlineLevel="0" collapsed="false">
      <c r="A2208" s="21"/>
      <c r="B2208" s="4"/>
      <c r="C2208" s="22"/>
      <c r="D2208" s="5" t="str">
        <f aca="false">IF(B2208="","",IFERROR(INDEX(DE_PARA!$B$6:$B$205,MATCH(B2208,DE_PARA!$A$6:$A$205,0)),"SEM DE-PARA"))</f>
        <v/>
      </c>
      <c r="E2208" s="23" t="str">
        <f aca="false">IF(A2208="","",DATE(YEAR(A2208),MONTH(A2208),1))</f>
        <v/>
      </c>
    </row>
    <row r="2209" customFormat="false" ht="15" hidden="false" customHeight="false" outlineLevel="0" collapsed="false">
      <c r="A2209" s="21"/>
      <c r="B2209" s="4"/>
      <c r="C2209" s="22"/>
      <c r="D2209" s="5" t="str">
        <f aca="false">IF(B2209="","",IFERROR(INDEX(DE_PARA!$B$6:$B$205,MATCH(B2209,DE_PARA!$A$6:$A$205,0)),"SEM DE-PARA"))</f>
        <v/>
      </c>
      <c r="E2209" s="23" t="str">
        <f aca="false">IF(A2209="","",DATE(YEAR(A2209),MONTH(A2209),1))</f>
        <v/>
      </c>
    </row>
    <row r="2210" customFormat="false" ht="15" hidden="false" customHeight="false" outlineLevel="0" collapsed="false">
      <c r="A2210" s="21"/>
      <c r="B2210" s="4"/>
      <c r="C2210" s="22"/>
      <c r="D2210" s="5" t="str">
        <f aca="false">IF(B2210="","",IFERROR(INDEX(DE_PARA!$B$6:$B$205,MATCH(B2210,DE_PARA!$A$6:$A$205,0)),"SEM DE-PARA"))</f>
        <v/>
      </c>
      <c r="E2210" s="23" t="str">
        <f aca="false">IF(A2210="","",DATE(YEAR(A2210),MONTH(A2210),1))</f>
        <v/>
      </c>
    </row>
    <row r="2211" customFormat="false" ht="15" hidden="false" customHeight="false" outlineLevel="0" collapsed="false">
      <c r="A2211" s="21"/>
      <c r="B2211" s="4"/>
      <c r="C2211" s="22"/>
      <c r="D2211" s="5" t="str">
        <f aca="false">IF(B2211="","",IFERROR(INDEX(DE_PARA!$B$6:$B$205,MATCH(B2211,DE_PARA!$A$6:$A$205,0)),"SEM DE-PARA"))</f>
        <v/>
      </c>
      <c r="E2211" s="23" t="str">
        <f aca="false">IF(A2211="","",DATE(YEAR(A2211),MONTH(A2211),1))</f>
        <v/>
      </c>
    </row>
    <row r="2212" customFormat="false" ht="15" hidden="false" customHeight="false" outlineLevel="0" collapsed="false">
      <c r="A2212" s="21"/>
      <c r="B2212" s="4"/>
      <c r="C2212" s="22"/>
      <c r="D2212" s="5" t="str">
        <f aca="false">IF(B2212="","",IFERROR(INDEX(DE_PARA!$B$6:$B$205,MATCH(B2212,DE_PARA!$A$6:$A$205,0)),"SEM DE-PARA"))</f>
        <v/>
      </c>
      <c r="E2212" s="23" t="str">
        <f aca="false">IF(A2212="","",DATE(YEAR(A2212),MONTH(A2212),1))</f>
        <v/>
      </c>
    </row>
    <row r="2213" customFormat="false" ht="15" hidden="false" customHeight="false" outlineLevel="0" collapsed="false">
      <c r="A2213" s="21"/>
      <c r="B2213" s="4"/>
      <c r="C2213" s="22"/>
      <c r="D2213" s="5" t="str">
        <f aca="false">IF(B2213="","",IFERROR(INDEX(DE_PARA!$B$6:$B$205,MATCH(B2213,DE_PARA!$A$6:$A$205,0)),"SEM DE-PARA"))</f>
        <v/>
      </c>
      <c r="E2213" s="23" t="str">
        <f aca="false">IF(A2213="","",DATE(YEAR(A2213),MONTH(A2213),1))</f>
        <v/>
      </c>
    </row>
    <row r="2214" customFormat="false" ht="15" hidden="false" customHeight="false" outlineLevel="0" collapsed="false">
      <c r="A2214" s="21"/>
      <c r="B2214" s="4"/>
      <c r="C2214" s="22"/>
      <c r="D2214" s="5" t="str">
        <f aca="false">IF(B2214="","",IFERROR(INDEX(DE_PARA!$B$6:$B$205,MATCH(B2214,DE_PARA!$A$6:$A$205,0)),"SEM DE-PARA"))</f>
        <v/>
      </c>
      <c r="E2214" s="23" t="str">
        <f aca="false">IF(A2214="","",DATE(YEAR(A2214),MONTH(A2214),1))</f>
        <v/>
      </c>
    </row>
    <row r="2215" customFormat="false" ht="15" hidden="false" customHeight="false" outlineLevel="0" collapsed="false">
      <c r="A2215" s="21"/>
      <c r="B2215" s="4"/>
      <c r="C2215" s="22"/>
      <c r="D2215" s="5" t="str">
        <f aca="false">IF(B2215="","",IFERROR(INDEX(DE_PARA!$B$6:$B$205,MATCH(B2215,DE_PARA!$A$6:$A$205,0)),"SEM DE-PARA"))</f>
        <v/>
      </c>
      <c r="E2215" s="23" t="str">
        <f aca="false">IF(A2215="","",DATE(YEAR(A2215),MONTH(A2215),1))</f>
        <v/>
      </c>
    </row>
    <row r="2216" customFormat="false" ht="15" hidden="false" customHeight="false" outlineLevel="0" collapsed="false">
      <c r="A2216" s="21"/>
      <c r="B2216" s="4"/>
      <c r="C2216" s="22"/>
      <c r="D2216" s="5" t="str">
        <f aca="false">IF(B2216="","",IFERROR(INDEX(DE_PARA!$B$6:$B$205,MATCH(B2216,DE_PARA!$A$6:$A$205,0)),"SEM DE-PARA"))</f>
        <v/>
      </c>
      <c r="E2216" s="23" t="str">
        <f aca="false">IF(A2216="","",DATE(YEAR(A2216),MONTH(A2216),1))</f>
        <v/>
      </c>
    </row>
    <row r="2217" customFormat="false" ht="15" hidden="false" customHeight="false" outlineLevel="0" collapsed="false">
      <c r="A2217" s="21"/>
      <c r="B2217" s="4"/>
      <c r="C2217" s="22"/>
      <c r="D2217" s="5" t="str">
        <f aca="false">IF(B2217="","",IFERROR(INDEX(DE_PARA!$B$6:$B$205,MATCH(B2217,DE_PARA!$A$6:$A$205,0)),"SEM DE-PARA"))</f>
        <v/>
      </c>
      <c r="E2217" s="23" t="str">
        <f aca="false">IF(A2217="","",DATE(YEAR(A2217),MONTH(A2217),1))</f>
        <v/>
      </c>
    </row>
    <row r="2218" customFormat="false" ht="15" hidden="false" customHeight="false" outlineLevel="0" collapsed="false">
      <c r="A2218" s="21"/>
      <c r="B2218" s="4"/>
      <c r="C2218" s="22"/>
      <c r="D2218" s="5" t="str">
        <f aca="false">IF(B2218="","",IFERROR(INDEX(DE_PARA!$B$6:$B$205,MATCH(B2218,DE_PARA!$A$6:$A$205,0)),"SEM DE-PARA"))</f>
        <v/>
      </c>
      <c r="E2218" s="23" t="str">
        <f aca="false">IF(A2218="","",DATE(YEAR(A2218),MONTH(A2218),1))</f>
        <v/>
      </c>
    </row>
    <row r="2219" customFormat="false" ht="15" hidden="false" customHeight="false" outlineLevel="0" collapsed="false">
      <c r="A2219" s="21"/>
      <c r="B2219" s="4"/>
      <c r="C2219" s="22"/>
      <c r="D2219" s="5" t="str">
        <f aca="false">IF(B2219="","",IFERROR(INDEX(DE_PARA!$B$6:$B$205,MATCH(B2219,DE_PARA!$A$6:$A$205,0)),"SEM DE-PARA"))</f>
        <v/>
      </c>
      <c r="E2219" s="23" t="str">
        <f aca="false">IF(A2219="","",DATE(YEAR(A2219),MONTH(A2219),1))</f>
        <v/>
      </c>
    </row>
    <row r="2220" customFormat="false" ht="15" hidden="false" customHeight="false" outlineLevel="0" collapsed="false">
      <c r="A2220" s="21"/>
      <c r="B2220" s="4"/>
      <c r="C2220" s="22"/>
      <c r="D2220" s="5" t="str">
        <f aca="false">IF(B2220="","",IFERROR(INDEX(DE_PARA!$B$6:$B$205,MATCH(B2220,DE_PARA!$A$6:$A$205,0)),"SEM DE-PARA"))</f>
        <v/>
      </c>
      <c r="E2220" s="23" t="str">
        <f aca="false">IF(A2220="","",DATE(YEAR(A2220),MONTH(A2220),1))</f>
        <v/>
      </c>
    </row>
    <row r="2221" customFormat="false" ht="15" hidden="false" customHeight="false" outlineLevel="0" collapsed="false">
      <c r="A2221" s="21"/>
      <c r="B2221" s="4"/>
      <c r="C2221" s="22"/>
      <c r="D2221" s="5" t="str">
        <f aca="false">IF(B2221="","",IFERROR(INDEX(DE_PARA!$B$6:$B$205,MATCH(B2221,DE_PARA!$A$6:$A$205,0)),"SEM DE-PARA"))</f>
        <v/>
      </c>
      <c r="E2221" s="23" t="str">
        <f aca="false">IF(A2221="","",DATE(YEAR(A2221),MONTH(A2221),1))</f>
        <v/>
      </c>
    </row>
    <row r="2222" customFormat="false" ht="15" hidden="false" customHeight="false" outlineLevel="0" collapsed="false">
      <c r="A2222" s="21"/>
      <c r="B2222" s="4"/>
      <c r="C2222" s="22"/>
      <c r="D2222" s="5" t="str">
        <f aca="false">IF(B2222="","",IFERROR(INDEX(DE_PARA!$B$6:$B$205,MATCH(B2222,DE_PARA!$A$6:$A$205,0)),"SEM DE-PARA"))</f>
        <v/>
      </c>
      <c r="E2222" s="23" t="str">
        <f aca="false">IF(A2222="","",DATE(YEAR(A2222),MONTH(A2222),1))</f>
        <v/>
      </c>
    </row>
    <row r="2223" customFormat="false" ht="15" hidden="false" customHeight="false" outlineLevel="0" collapsed="false">
      <c r="A2223" s="21"/>
      <c r="B2223" s="4"/>
      <c r="C2223" s="22"/>
      <c r="D2223" s="5" t="str">
        <f aca="false">IF(B2223="","",IFERROR(INDEX(DE_PARA!$B$6:$B$205,MATCH(B2223,DE_PARA!$A$6:$A$205,0)),"SEM DE-PARA"))</f>
        <v/>
      </c>
      <c r="E2223" s="23" t="str">
        <f aca="false">IF(A2223="","",DATE(YEAR(A2223),MONTH(A2223),1))</f>
        <v/>
      </c>
    </row>
    <row r="2224" customFormat="false" ht="15" hidden="false" customHeight="false" outlineLevel="0" collapsed="false">
      <c r="A2224" s="21"/>
      <c r="B2224" s="4"/>
      <c r="C2224" s="22"/>
      <c r="D2224" s="5" t="str">
        <f aca="false">IF(B2224="","",IFERROR(INDEX(DE_PARA!$B$6:$B$205,MATCH(B2224,DE_PARA!$A$6:$A$205,0)),"SEM DE-PARA"))</f>
        <v/>
      </c>
      <c r="E2224" s="23" t="str">
        <f aca="false">IF(A2224="","",DATE(YEAR(A2224),MONTH(A2224),1))</f>
        <v/>
      </c>
    </row>
    <row r="2225" customFormat="false" ht="15" hidden="false" customHeight="false" outlineLevel="0" collapsed="false">
      <c r="A2225" s="21"/>
      <c r="B2225" s="4"/>
      <c r="C2225" s="22"/>
      <c r="D2225" s="5" t="str">
        <f aca="false">IF(B2225="","",IFERROR(INDEX(DE_PARA!$B$6:$B$205,MATCH(B2225,DE_PARA!$A$6:$A$205,0)),"SEM DE-PARA"))</f>
        <v/>
      </c>
      <c r="E2225" s="23" t="str">
        <f aca="false">IF(A2225="","",DATE(YEAR(A2225),MONTH(A2225),1))</f>
        <v/>
      </c>
    </row>
    <row r="2226" customFormat="false" ht="15" hidden="false" customHeight="false" outlineLevel="0" collapsed="false">
      <c r="A2226" s="21"/>
      <c r="B2226" s="4"/>
      <c r="C2226" s="22"/>
      <c r="D2226" s="5" t="str">
        <f aca="false">IF(B2226="","",IFERROR(INDEX(DE_PARA!$B$6:$B$205,MATCH(B2226,DE_PARA!$A$6:$A$205,0)),"SEM DE-PARA"))</f>
        <v/>
      </c>
      <c r="E2226" s="23" t="str">
        <f aca="false">IF(A2226="","",DATE(YEAR(A2226),MONTH(A2226),1))</f>
        <v/>
      </c>
    </row>
    <row r="2227" customFormat="false" ht="15" hidden="false" customHeight="false" outlineLevel="0" collapsed="false">
      <c r="A2227" s="21"/>
      <c r="B2227" s="4"/>
      <c r="C2227" s="22"/>
      <c r="D2227" s="5" t="str">
        <f aca="false">IF(B2227="","",IFERROR(INDEX(DE_PARA!$B$6:$B$205,MATCH(B2227,DE_PARA!$A$6:$A$205,0)),"SEM DE-PARA"))</f>
        <v/>
      </c>
      <c r="E2227" s="23" t="str">
        <f aca="false">IF(A2227="","",DATE(YEAR(A2227),MONTH(A2227),1))</f>
        <v/>
      </c>
    </row>
    <row r="2228" customFormat="false" ht="15" hidden="false" customHeight="false" outlineLevel="0" collapsed="false">
      <c r="A2228" s="21"/>
      <c r="B2228" s="4"/>
      <c r="C2228" s="22"/>
      <c r="D2228" s="5" t="str">
        <f aca="false">IF(B2228="","",IFERROR(INDEX(DE_PARA!$B$6:$B$205,MATCH(B2228,DE_PARA!$A$6:$A$205,0)),"SEM DE-PARA"))</f>
        <v/>
      </c>
      <c r="E2228" s="23" t="str">
        <f aca="false">IF(A2228="","",DATE(YEAR(A2228),MONTH(A2228),1))</f>
        <v/>
      </c>
    </row>
    <row r="2229" customFormat="false" ht="15" hidden="false" customHeight="false" outlineLevel="0" collapsed="false">
      <c r="A2229" s="21"/>
      <c r="B2229" s="4"/>
      <c r="C2229" s="22"/>
      <c r="D2229" s="5" t="str">
        <f aca="false">IF(B2229="","",IFERROR(INDEX(DE_PARA!$B$6:$B$205,MATCH(B2229,DE_PARA!$A$6:$A$205,0)),"SEM DE-PARA"))</f>
        <v/>
      </c>
      <c r="E2229" s="23" t="str">
        <f aca="false">IF(A2229="","",DATE(YEAR(A2229),MONTH(A2229),1))</f>
        <v/>
      </c>
    </row>
    <row r="2230" customFormat="false" ht="15" hidden="false" customHeight="false" outlineLevel="0" collapsed="false">
      <c r="A2230" s="21"/>
      <c r="B2230" s="4"/>
      <c r="C2230" s="22"/>
      <c r="D2230" s="5" t="str">
        <f aca="false">IF(B2230="","",IFERROR(INDEX(DE_PARA!$B$6:$B$205,MATCH(B2230,DE_PARA!$A$6:$A$205,0)),"SEM DE-PARA"))</f>
        <v/>
      </c>
      <c r="E2230" s="23" t="str">
        <f aca="false">IF(A2230="","",DATE(YEAR(A2230),MONTH(A2230),1))</f>
        <v/>
      </c>
    </row>
    <row r="2231" customFormat="false" ht="15" hidden="false" customHeight="false" outlineLevel="0" collapsed="false">
      <c r="A2231" s="21"/>
      <c r="B2231" s="4"/>
      <c r="C2231" s="22"/>
      <c r="D2231" s="5" t="str">
        <f aca="false">IF(B2231="","",IFERROR(INDEX(DE_PARA!$B$6:$B$205,MATCH(B2231,DE_PARA!$A$6:$A$205,0)),"SEM DE-PARA"))</f>
        <v/>
      </c>
      <c r="E2231" s="23" t="str">
        <f aca="false">IF(A2231="","",DATE(YEAR(A2231),MONTH(A2231),1))</f>
        <v/>
      </c>
    </row>
    <row r="2232" customFormat="false" ht="15" hidden="false" customHeight="false" outlineLevel="0" collapsed="false">
      <c r="A2232" s="21"/>
      <c r="B2232" s="4"/>
      <c r="C2232" s="22"/>
      <c r="D2232" s="5" t="str">
        <f aca="false">IF(B2232="","",IFERROR(INDEX(DE_PARA!$B$6:$B$205,MATCH(B2232,DE_PARA!$A$6:$A$205,0)),"SEM DE-PARA"))</f>
        <v/>
      </c>
      <c r="E2232" s="23" t="str">
        <f aca="false">IF(A2232="","",DATE(YEAR(A2232),MONTH(A2232),1))</f>
        <v/>
      </c>
    </row>
    <row r="2233" customFormat="false" ht="15" hidden="false" customHeight="false" outlineLevel="0" collapsed="false">
      <c r="A2233" s="21"/>
      <c r="B2233" s="4"/>
      <c r="C2233" s="22"/>
      <c r="D2233" s="5" t="str">
        <f aca="false">IF(B2233="","",IFERROR(INDEX(DE_PARA!$B$6:$B$205,MATCH(B2233,DE_PARA!$A$6:$A$205,0)),"SEM DE-PARA"))</f>
        <v/>
      </c>
      <c r="E2233" s="23" t="str">
        <f aca="false">IF(A2233="","",DATE(YEAR(A2233),MONTH(A2233),1))</f>
        <v/>
      </c>
    </row>
    <row r="2234" customFormat="false" ht="15" hidden="false" customHeight="false" outlineLevel="0" collapsed="false">
      <c r="A2234" s="21"/>
      <c r="B2234" s="4"/>
      <c r="C2234" s="22"/>
      <c r="D2234" s="5" t="str">
        <f aca="false">IF(B2234="","",IFERROR(INDEX(DE_PARA!$B$6:$B$205,MATCH(B2234,DE_PARA!$A$6:$A$205,0)),"SEM DE-PARA"))</f>
        <v/>
      </c>
      <c r="E2234" s="23" t="str">
        <f aca="false">IF(A2234="","",DATE(YEAR(A2234),MONTH(A2234),1))</f>
        <v/>
      </c>
    </row>
    <row r="2235" customFormat="false" ht="15" hidden="false" customHeight="false" outlineLevel="0" collapsed="false">
      <c r="A2235" s="21"/>
      <c r="B2235" s="4"/>
      <c r="C2235" s="22"/>
      <c r="D2235" s="5" t="str">
        <f aca="false">IF(B2235="","",IFERROR(INDEX(DE_PARA!$B$6:$B$205,MATCH(B2235,DE_PARA!$A$6:$A$205,0)),"SEM DE-PARA"))</f>
        <v/>
      </c>
      <c r="E2235" s="23" t="str">
        <f aca="false">IF(A2235="","",DATE(YEAR(A2235),MONTH(A2235),1))</f>
        <v/>
      </c>
    </row>
    <row r="2236" customFormat="false" ht="15" hidden="false" customHeight="false" outlineLevel="0" collapsed="false">
      <c r="A2236" s="21"/>
      <c r="B2236" s="4"/>
      <c r="C2236" s="22"/>
      <c r="D2236" s="5" t="str">
        <f aca="false">IF(B2236="","",IFERROR(INDEX(DE_PARA!$B$6:$B$205,MATCH(B2236,DE_PARA!$A$6:$A$205,0)),"SEM DE-PARA"))</f>
        <v/>
      </c>
      <c r="E2236" s="23" t="str">
        <f aca="false">IF(A2236="","",DATE(YEAR(A2236),MONTH(A2236),1))</f>
        <v/>
      </c>
    </row>
    <row r="2237" customFormat="false" ht="15" hidden="false" customHeight="false" outlineLevel="0" collapsed="false">
      <c r="A2237" s="21"/>
      <c r="B2237" s="4"/>
      <c r="C2237" s="22"/>
      <c r="D2237" s="5" t="str">
        <f aca="false">IF(B2237="","",IFERROR(INDEX(DE_PARA!$B$6:$B$205,MATCH(B2237,DE_PARA!$A$6:$A$205,0)),"SEM DE-PARA"))</f>
        <v/>
      </c>
      <c r="E2237" s="23" t="str">
        <f aca="false">IF(A2237="","",DATE(YEAR(A2237),MONTH(A2237),1))</f>
        <v/>
      </c>
    </row>
    <row r="2238" customFormat="false" ht="15" hidden="false" customHeight="false" outlineLevel="0" collapsed="false">
      <c r="A2238" s="21"/>
      <c r="B2238" s="4"/>
      <c r="C2238" s="22"/>
      <c r="D2238" s="5" t="str">
        <f aca="false">IF(B2238="","",IFERROR(INDEX(DE_PARA!$B$6:$B$205,MATCH(B2238,DE_PARA!$A$6:$A$205,0)),"SEM DE-PARA"))</f>
        <v/>
      </c>
      <c r="E2238" s="23" t="str">
        <f aca="false">IF(A2238="","",DATE(YEAR(A2238),MONTH(A2238),1))</f>
        <v/>
      </c>
    </row>
    <row r="2239" customFormat="false" ht="15" hidden="false" customHeight="false" outlineLevel="0" collapsed="false">
      <c r="A2239" s="21"/>
      <c r="B2239" s="4"/>
      <c r="C2239" s="22"/>
      <c r="D2239" s="5" t="str">
        <f aca="false">IF(B2239="","",IFERROR(INDEX(DE_PARA!$B$6:$B$205,MATCH(B2239,DE_PARA!$A$6:$A$205,0)),"SEM DE-PARA"))</f>
        <v/>
      </c>
      <c r="E2239" s="23" t="str">
        <f aca="false">IF(A2239="","",DATE(YEAR(A2239),MONTH(A2239),1))</f>
        <v/>
      </c>
    </row>
    <row r="2240" customFormat="false" ht="15" hidden="false" customHeight="false" outlineLevel="0" collapsed="false">
      <c r="A2240" s="21"/>
      <c r="B2240" s="4"/>
      <c r="C2240" s="22"/>
      <c r="D2240" s="5" t="str">
        <f aca="false">IF(B2240="","",IFERROR(INDEX(DE_PARA!$B$6:$B$205,MATCH(B2240,DE_PARA!$A$6:$A$205,0)),"SEM DE-PARA"))</f>
        <v/>
      </c>
      <c r="E2240" s="23" t="str">
        <f aca="false">IF(A2240="","",DATE(YEAR(A2240),MONTH(A2240),1))</f>
        <v/>
      </c>
    </row>
    <row r="2241" customFormat="false" ht="15" hidden="false" customHeight="false" outlineLevel="0" collapsed="false">
      <c r="A2241" s="21"/>
      <c r="B2241" s="4"/>
      <c r="C2241" s="22"/>
      <c r="D2241" s="5" t="str">
        <f aca="false">IF(B2241="","",IFERROR(INDEX(DE_PARA!$B$6:$B$205,MATCH(B2241,DE_PARA!$A$6:$A$205,0)),"SEM DE-PARA"))</f>
        <v/>
      </c>
      <c r="E2241" s="23" t="str">
        <f aca="false">IF(A2241="","",DATE(YEAR(A2241),MONTH(A2241),1))</f>
        <v/>
      </c>
    </row>
    <row r="2242" customFormat="false" ht="15" hidden="false" customHeight="false" outlineLevel="0" collapsed="false">
      <c r="A2242" s="21"/>
      <c r="B2242" s="4"/>
      <c r="C2242" s="22"/>
      <c r="D2242" s="5" t="str">
        <f aca="false">IF(B2242="","",IFERROR(INDEX(DE_PARA!$B$6:$B$205,MATCH(B2242,DE_PARA!$A$6:$A$205,0)),"SEM DE-PARA"))</f>
        <v/>
      </c>
      <c r="E2242" s="23" t="str">
        <f aca="false">IF(A2242="","",DATE(YEAR(A2242),MONTH(A2242),1))</f>
        <v/>
      </c>
    </row>
    <row r="2243" customFormat="false" ht="15" hidden="false" customHeight="false" outlineLevel="0" collapsed="false">
      <c r="A2243" s="21"/>
      <c r="B2243" s="4"/>
      <c r="C2243" s="22"/>
      <c r="D2243" s="5" t="str">
        <f aca="false">IF(B2243="","",IFERROR(INDEX(DE_PARA!$B$6:$B$205,MATCH(B2243,DE_PARA!$A$6:$A$205,0)),"SEM DE-PARA"))</f>
        <v/>
      </c>
      <c r="E2243" s="23" t="str">
        <f aca="false">IF(A2243="","",DATE(YEAR(A2243),MONTH(A2243),1))</f>
        <v/>
      </c>
    </row>
    <row r="2244" customFormat="false" ht="15" hidden="false" customHeight="false" outlineLevel="0" collapsed="false">
      <c r="A2244" s="21"/>
      <c r="B2244" s="4"/>
      <c r="C2244" s="22"/>
      <c r="D2244" s="5" t="str">
        <f aca="false">IF(B2244="","",IFERROR(INDEX(DE_PARA!$B$6:$B$205,MATCH(B2244,DE_PARA!$A$6:$A$205,0)),"SEM DE-PARA"))</f>
        <v/>
      </c>
      <c r="E2244" s="23" t="str">
        <f aca="false">IF(A2244="","",DATE(YEAR(A2244),MONTH(A2244),1))</f>
        <v/>
      </c>
    </row>
    <row r="2245" customFormat="false" ht="15" hidden="false" customHeight="false" outlineLevel="0" collapsed="false">
      <c r="A2245" s="21"/>
      <c r="B2245" s="4"/>
      <c r="C2245" s="22"/>
      <c r="D2245" s="5" t="str">
        <f aca="false">IF(B2245="","",IFERROR(INDEX(DE_PARA!$B$6:$B$205,MATCH(B2245,DE_PARA!$A$6:$A$205,0)),"SEM DE-PARA"))</f>
        <v/>
      </c>
      <c r="E2245" s="23" t="str">
        <f aca="false">IF(A2245="","",DATE(YEAR(A2245),MONTH(A2245),1))</f>
        <v/>
      </c>
    </row>
    <row r="2246" customFormat="false" ht="15" hidden="false" customHeight="false" outlineLevel="0" collapsed="false">
      <c r="A2246" s="21"/>
      <c r="B2246" s="4"/>
      <c r="C2246" s="22"/>
      <c r="D2246" s="5" t="str">
        <f aca="false">IF(B2246="","",IFERROR(INDEX(DE_PARA!$B$6:$B$205,MATCH(B2246,DE_PARA!$A$6:$A$205,0)),"SEM DE-PARA"))</f>
        <v/>
      </c>
      <c r="E2246" s="23" t="str">
        <f aca="false">IF(A2246="","",DATE(YEAR(A2246),MONTH(A2246),1))</f>
        <v/>
      </c>
    </row>
    <row r="2247" customFormat="false" ht="15" hidden="false" customHeight="false" outlineLevel="0" collapsed="false">
      <c r="A2247" s="21"/>
      <c r="B2247" s="4"/>
      <c r="C2247" s="22"/>
      <c r="D2247" s="5" t="str">
        <f aca="false">IF(B2247="","",IFERROR(INDEX(DE_PARA!$B$6:$B$205,MATCH(B2247,DE_PARA!$A$6:$A$205,0)),"SEM DE-PARA"))</f>
        <v/>
      </c>
      <c r="E2247" s="23" t="str">
        <f aca="false">IF(A2247="","",DATE(YEAR(A2247),MONTH(A2247),1))</f>
        <v/>
      </c>
    </row>
    <row r="2248" customFormat="false" ht="15" hidden="false" customHeight="false" outlineLevel="0" collapsed="false">
      <c r="A2248" s="21"/>
      <c r="B2248" s="4"/>
      <c r="C2248" s="22"/>
      <c r="D2248" s="5" t="str">
        <f aca="false">IF(B2248="","",IFERROR(INDEX(DE_PARA!$B$6:$B$205,MATCH(B2248,DE_PARA!$A$6:$A$205,0)),"SEM DE-PARA"))</f>
        <v/>
      </c>
      <c r="E2248" s="23" t="str">
        <f aca="false">IF(A2248="","",DATE(YEAR(A2248),MONTH(A2248),1))</f>
        <v/>
      </c>
    </row>
    <row r="2249" customFormat="false" ht="15" hidden="false" customHeight="false" outlineLevel="0" collapsed="false">
      <c r="A2249" s="21"/>
      <c r="B2249" s="4"/>
      <c r="C2249" s="22"/>
      <c r="D2249" s="5" t="str">
        <f aca="false">IF(B2249="","",IFERROR(INDEX(DE_PARA!$B$6:$B$205,MATCH(B2249,DE_PARA!$A$6:$A$205,0)),"SEM DE-PARA"))</f>
        <v/>
      </c>
      <c r="E2249" s="23" t="str">
        <f aca="false">IF(A2249="","",DATE(YEAR(A2249),MONTH(A2249),1))</f>
        <v/>
      </c>
    </row>
    <row r="2250" customFormat="false" ht="15" hidden="false" customHeight="false" outlineLevel="0" collapsed="false">
      <c r="A2250" s="21"/>
      <c r="B2250" s="4"/>
      <c r="C2250" s="22"/>
      <c r="D2250" s="5" t="str">
        <f aca="false">IF(B2250="","",IFERROR(INDEX(DE_PARA!$B$6:$B$205,MATCH(B2250,DE_PARA!$A$6:$A$205,0)),"SEM DE-PARA"))</f>
        <v/>
      </c>
      <c r="E2250" s="23" t="str">
        <f aca="false">IF(A2250="","",DATE(YEAR(A2250),MONTH(A2250),1))</f>
        <v/>
      </c>
    </row>
    <row r="2251" customFormat="false" ht="15" hidden="false" customHeight="false" outlineLevel="0" collapsed="false">
      <c r="A2251" s="21"/>
      <c r="B2251" s="4"/>
      <c r="C2251" s="22"/>
      <c r="D2251" s="5" t="str">
        <f aca="false">IF(B2251="","",IFERROR(INDEX(DE_PARA!$B$6:$B$205,MATCH(B2251,DE_PARA!$A$6:$A$205,0)),"SEM DE-PARA"))</f>
        <v/>
      </c>
      <c r="E2251" s="23" t="str">
        <f aca="false">IF(A2251="","",DATE(YEAR(A2251),MONTH(A2251),1))</f>
        <v/>
      </c>
    </row>
    <row r="2252" customFormat="false" ht="15" hidden="false" customHeight="false" outlineLevel="0" collapsed="false">
      <c r="A2252" s="21"/>
      <c r="B2252" s="4"/>
      <c r="C2252" s="22"/>
      <c r="D2252" s="5" t="str">
        <f aca="false">IF(B2252="","",IFERROR(INDEX(DE_PARA!$B$6:$B$205,MATCH(B2252,DE_PARA!$A$6:$A$205,0)),"SEM DE-PARA"))</f>
        <v/>
      </c>
      <c r="E2252" s="23" t="str">
        <f aca="false">IF(A2252="","",DATE(YEAR(A2252),MONTH(A2252),1))</f>
        <v/>
      </c>
    </row>
    <row r="2253" customFormat="false" ht="15" hidden="false" customHeight="false" outlineLevel="0" collapsed="false">
      <c r="A2253" s="21"/>
      <c r="B2253" s="4"/>
      <c r="C2253" s="22"/>
      <c r="D2253" s="5" t="str">
        <f aca="false">IF(B2253="","",IFERROR(INDEX(DE_PARA!$B$6:$B$205,MATCH(B2253,DE_PARA!$A$6:$A$205,0)),"SEM DE-PARA"))</f>
        <v/>
      </c>
      <c r="E2253" s="23" t="str">
        <f aca="false">IF(A2253="","",DATE(YEAR(A2253),MONTH(A2253),1))</f>
        <v/>
      </c>
    </row>
    <row r="2254" customFormat="false" ht="15" hidden="false" customHeight="false" outlineLevel="0" collapsed="false">
      <c r="A2254" s="21"/>
      <c r="B2254" s="4"/>
      <c r="C2254" s="22"/>
      <c r="D2254" s="5" t="str">
        <f aca="false">IF(B2254="","",IFERROR(INDEX(DE_PARA!$B$6:$B$205,MATCH(B2254,DE_PARA!$A$6:$A$205,0)),"SEM DE-PARA"))</f>
        <v/>
      </c>
      <c r="E2254" s="23" t="str">
        <f aca="false">IF(A2254="","",DATE(YEAR(A2254),MONTH(A2254),1))</f>
        <v/>
      </c>
    </row>
    <row r="2255" customFormat="false" ht="15" hidden="false" customHeight="false" outlineLevel="0" collapsed="false">
      <c r="A2255" s="21"/>
      <c r="B2255" s="4"/>
      <c r="C2255" s="22"/>
      <c r="D2255" s="5" t="str">
        <f aca="false">IF(B2255="","",IFERROR(INDEX(DE_PARA!$B$6:$B$205,MATCH(B2255,DE_PARA!$A$6:$A$205,0)),"SEM DE-PARA"))</f>
        <v/>
      </c>
      <c r="E2255" s="23" t="str">
        <f aca="false">IF(A2255="","",DATE(YEAR(A2255),MONTH(A2255),1))</f>
        <v/>
      </c>
    </row>
    <row r="2256" customFormat="false" ht="15" hidden="false" customHeight="false" outlineLevel="0" collapsed="false">
      <c r="A2256" s="21"/>
      <c r="B2256" s="4"/>
      <c r="C2256" s="22"/>
      <c r="D2256" s="5" t="str">
        <f aca="false">IF(B2256="","",IFERROR(INDEX(DE_PARA!$B$6:$B$205,MATCH(B2256,DE_PARA!$A$6:$A$205,0)),"SEM DE-PARA"))</f>
        <v/>
      </c>
      <c r="E2256" s="23" t="str">
        <f aca="false">IF(A2256="","",DATE(YEAR(A2256),MONTH(A2256),1))</f>
        <v/>
      </c>
    </row>
    <row r="2257" customFormat="false" ht="15" hidden="false" customHeight="false" outlineLevel="0" collapsed="false">
      <c r="A2257" s="21"/>
      <c r="B2257" s="4"/>
      <c r="C2257" s="22"/>
      <c r="D2257" s="5" t="str">
        <f aca="false">IF(B2257="","",IFERROR(INDEX(DE_PARA!$B$6:$B$205,MATCH(B2257,DE_PARA!$A$6:$A$205,0)),"SEM DE-PARA"))</f>
        <v/>
      </c>
      <c r="E2257" s="23" t="str">
        <f aca="false">IF(A2257="","",DATE(YEAR(A2257),MONTH(A2257),1))</f>
        <v/>
      </c>
    </row>
    <row r="2258" customFormat="false" ht="15" hidden="false" customHeight="false" outlineLevel="0" collapsed="false">
      <c r="A2258" s="21"/>
      <c r="B2258" s="4"/>
      <c r="C2258" s="22"/>
      <c r="D2258" s="5" t="str">
        <f aca="false">IF(B2258="","",IFERROR(INDEX(DE_PARA!$B$6:$B$205,MATCH(B2258,DE_PARA!$A$6:$A$205,0)),"SEM DE-PARA"))</f>
        <v/>
      </c>
      <c r="E2258" s="23" t="str">
        <f aca="false">IF(A2258="","",DATE(YEAR(A2258),MONTH(A2258),1))</f>
        <v/>
      </c>
    </row>
    <row r="2259" customFormat="false" ht="15" hidden="false" customHeight="false" outlineLevel="0" collapsed="false">
      <c r="A2259" s="21"/>
      <c r="B2259" s="4"/>
      <c r="C2259" s="22"/>
      <c r="D2259" s="5" t="str">
        <f aca="false">IF(B2259="","",IFERROR(INDEX(DE_PARA!$B$6:$B$205,MATCH(B2259,DE_PARA!$A$6:$A$205,0)),"SEM DE-PARA"))</f>
        <v/>
      </c>
      <c r="E2259" s="23" t="str">
        <f aca="false">IF(A2259="","",DATE(YEAR(A2259),MONTH(A2259),1))</f>
        <v/>
      </c>
    </row>
    <row r="2260" customFormat="false" ht="15" hidden="false" customHeight="false" outlineLevel="0" collapsed="false">
      <c r="A2260" s="21"/>
      <c r="B2260" s="4"/>
      <c r="C2260" s="22"/>
      <c r="D2260" s="5" t="str">
        <f aca="false">IF(B2260="","",IFERROR(INDEX(DE_PARA!$B$6:$B$205,MATCH(B2260,DE_PARA!$A$6:$A$205,0)),"SEM DE-PARA"))</f>
        <v/>
      </c>
      <c r="E2260" s="23" t="str">
        <f aca="false">IF(A2260="","",DATE(YEAR(A2260),MONTH(A2260),1))</f>
        <v/>
      </c>
    </row>
    <row r="2261" customFormat="false" ht="15" hidden="false" customHeight="false" outlineLevel="0" collapsed="false">
      <c r="A2261" s="21"/>
      <c r="B2261" s="4"/>
      <c r="C2261" s="22"/>
      <c r="D2261" s="5" t="str">
        <f aca="false">IF(B2261="","",IFERROR(INDEX(DE_PARA!$B$6:$B$205,MATCH(B2261,DE_PARA!$A$6:$A$205,0)),"SEM DE-PARA"))</f>
        <v/>
      </c>
      <c r="E2261" s="23" t="str">
        <f aca="false">IF(A2261="","",DATE(YEAR(A2261),MONTH(A2261),1))</f>
        <v/>
      </c>
    </row>
    <row r="2262" customFormat="false" ht="15" hidden="false" customHeight="false" outlineLevel="0" collapsed="false">
      <c r="A2262" s="21"/>
      <c r="B2262" s="4"/>
      <c r="C2262" s="22"/>
      <c r="D2262" s="5" t="str">
        <f aca="false">IF(B2262="","",IFERROR(INDEX(DE_PARA!$B$6:$B$205,MATCH(B2262,DE_PARA!$A$6:$A$205,0)),"SEM DE-PARA"))</f>
        <v/>
      </c>
      <c r="E2262" s="23" t="str">
        <f aca="false">IF(A2262="","",DATE(YEAR(A2262),MONTH(A2262),1))</f>
        <v/>
      </c>
    </row>
    <row r="2263" customFormat="false" ht="15" hidden="false" customHeight="false" outlineLevel="0" collapsed="false">
      <c r="A2263" s="21"/>
      <c r="B2263" s="4"/>
      <c r="C2263" s="22"/>
      <c r="D2263" s="5" t="str">
        <f aca="false">IF(B2263="","",IFERROR(INDEX(DE_PARA!$B$6:$B$205,MATCH(B2263,DE_PARA!$A$6:$A$205,0)),"SEM DE-PARA"))</f>
        <v/>
      </c>
      <c r="E2263" s="23" t="str">
        <f aca="false">IF(A2263="","",DATE(YEAR(A2263),MONTH(A2263),1))</f>
        <v/>
      </c>
    </row>
    <row r="2264" customFormat="false" ht="15" hidden="false" customHeight="false" outlineLevel="0" collapsed="false">
      <c r="A2264" s="21"/>
      <c r="B2264" s="4"/>
      <c r="C2264" s="22"/>
      <c r="D2264" s="5" t="str">
        <f aca="false">IF(B2264="","",IFERROR(INDEX(DE_PARA!$B$6:$B$205,MATCH(B2264,DE_PARA!$A$6:$A$205,0)),"SEM DE-PARA"))</f>
        <v/>
      </c>
      <c r="E2264" s="23" t="str">
        <f aca="false">IF(A2264="","",DATE(YEAR(A2264),MONTH(A2264),1))</f>
        <v/>
      </c>
    </row>
    <row r="2265" customFormat="false" ht="15" hidden="false" customHeight="false" outlineLevel="0" collapsed="false">
      <c r="A2265" s="21"/>
      <c r="B2265" s="4"/>
      <c r="C2265" s="22"/>
      <c r="D2265" s="5" t="str">
        <f aca="false">IF(B2265="","",IFERROR(INDEX(DE_PARA!$B$6:$B$205,MATCH(B2265,DE_PARA!$A$6:$A$205,0)),"SEM DE-PARA"))</f>
        <v/>
      </c>
      <c r="E2265" s="23" t="str">
        <f aca="false">IF(A2265="","",DATE(YEAR(A2265),MONTH(A2265),1))</f>
        <v/>
      </c>
    </row>
    <row r="2266" customFormat="false" ht="15" hidden="false" customHeight="false" outlineLevel="0" collapsed="false">
      <c r="A2266" s="21"/>
      <c r="B2266" s="4"/>
      <c r="C2266" s="22"/>
      <c r="D2266" s="5" t="str">
        <f aca="false">IF(B2266="","",IFERROR(INDEX(DE_PARA!$B$6:$B$205,MATCH(B2266,DE_PARA!$A$6:$A$205,0)),"SEM DE-PARA"))</f>
        <v/>
      </c>
      <c r="E2266" s="23" t="str">
        <f aca="false">IF(A2266="","",DATE(YEAR(A2266),MONTH(A2266),1))</f>
        <v/>
      </c>
    </row>
    <row r="2267" customFormat="false" ht="15" hidden="false" customHeight="false" outlineLevel="0" collapsed="false">
      <c r="A2267" s="21"/>
      <c r="B2267" s="4"/>
      <c r="C2267" s="22"/>
      <c r="D2267" s="5" t="str">
        <f aca="false">IF(B2267="","",IFERROR(INDEX(DE_PARA!$B$6:$B$205,MATCH(B2267,DE_PARA!$A$6:$A$205,0)),"SEM DE-PARA"))</f>
        <v/>
      </c>
      <c r="E2267" s="23" t="str">
        <f aca="false">IF(A2267="","",DATE(YEAR(A2267),MONTH(A2267),1))</f>
        <v/>
      </c>
    </row>
    <row r="2268" customFormat="false" ht="15" hidden="false" customHeight="false" outlineLevel="0" collapsed="false">
      <c r="A2268" s="21"/>
      <c r="B2268" s="4"/>
      <c r="C2268" s="22"/>
      <c r="D2268" s="5" t="str">
        <f aca="false">IF(B2268="","",IFERROR(INDEX(DE_PARA!$B$6:$B$205,MATCH(B2268,DE_PARA!$A$6:$A$205,0)),"SEM DE-PARA"))</f>
        <v/>
      </c>
      <c r="E2268" s="23" t="str">
        <f aca="false">IF(A2268="","",DATE(YEAR(A2268),MONTH(A2268),1))</f>
        <v/>
      </c>
    </row>
    <row r="2269" customFormat="false" ht="15" hidden="false" customHeight="false" outlineLevel="0" collapsed="false">
      <c r="A2269" s="21"/>
      <c r="B2269" s="4"/>
      <c r="C2269" s="22"/>
      <c r="D2269" s="5" t="str">
        <f aca="false">IF(B2269="","",IFERROR(INDEX(DE_PARA!$B$6:$B$205,MATCH(B2269,DE_PARA!$A$6:$A$205,0)),"SEM DE-PARA"))</f>
        <v/>
      </c>
      <c r="E2269" s="23" t="str">
        <f aca="false">IF(A2269="","",DATE(YEAR(A2269),MONTH(A2269),1))</f>
        <v/>
      </c>
    </row>
    <row r="2270" customFormat="false" ht="15" hidden="false" customHeight="false" outlineLevel="0" collapsed="false">
      <c r="A2270" s="21"/>
      <c r="B2270" s="4"/>
      <c r="C2270" s="22"/>
      <c r="D2270" s="5" t="str">
        <f aca="false">IF(B2270="","",IFERROR(INDEX(DE_PARA!$B$6:$B$205,MATCH(B2270,DE_PARA!$A$6:$A$205,0)),"SEM DE-PARA"))</f>
        <v/>
      </c>
      <c r="E2270" s="23" t="str">
        <f aca="false">IF(A2270="","",DATE(YEAR(A2270),MONTH(A2270),1))</f>
        <v/>
      </c>
    </row>
    <row r="2271" customFormat="false" ht="15" hidden="false" customHeight="false" outlineLevel="0" collapsed="false">
      <c r="A2271" s="21"/>
      <c r="B2271" s="4"/>
      <c r="C2271" s="22"/>
      <c r="D2271" s="5" t="str">
        <f aca="false">IF(B2271="","",IFERROR(INDEX(DE_PARA!$B$6:$B$205,MATCH(B2271,DE_PARA!$A$6:$A$205,0)),"SEM DE-PARA"))</f>
        <v/>
      </c>
      <c r="E2271" s="23" t="str">
        <f aca="false">IF(A2271="","",DATE(YEAR(A2271),MONTH(A2271),1))</f>
        <v/>
      </c>
    </row>
    <row r="2272" customFormat="false" ht="15" hidden="false" customHeight="false" outlineLevel="0" collapsed="false">
      <c r="A2272" s="21"/>
      <c r="B2272" s="4"/>
      <c r="C2272" s="22"/>
      <c r="D2272" s="5" t="str">
        <f aca="false">IF(B2272="","",IFERROR(INDEX(DE_PARA!$B$6:$B$205,MATCH(B2272,DE_PARA!$A$6:$A$205,0)),"SEM DE-PARA"))</f>
        <v/>
      </c>
      <c r="E2272" s="23" t="str">
        <f aca="false">IF(A2272="","",DATE(YEAR(A2272),MONTH(A2272),1))</f>
        <v/>
      </c>
    </row>
    <row r="2273" customFormat="false" ht="15" hidden="false" customHeight="false" outlineLevel="0" collapsed="false">
      <c r="A2273" s="21"/>
      <c r="B2273" s="4"/>
      <c r="C2273" s="22"/>
      <c r="D2273" s="5" t="str">
        <f aca="false">IF(B2273="","",IFERROR(INDEX(DE_PARA!$B$6:$B$205,MATCH(B2273,DE_PARA!$A$6:$A$205,0)),"SEM DE-PARA"))</f>
        <v/>
      </c>
      <c r="E2273" s="23" t="str">
        <f aca="false">IF(A2273="","",DATE(YEAR(A2273),MONTH(A2273),1))</f>
        <v/>
      </c>
    </row>
    <row r="2274" customFormat="false" ht="15" hidden="false" customHeight="false" outlineLevel="0" collapsed="false">
      <c r="A2274" s="21"/>
      <c r="B2274" s="4"/>
      <c r="C2274" s="22"/>
      <c r="D2274" s="5" t="str">
        <f aca="false">IF(B2274="","",IFERROR(INDEX(DE_PARA!$B$6:$B$205,MATCH(B2274,DE_PARA!$A$6:$A$205,0)),"SEM DE-PARA"))</f>
        <v/>
      </c>
      <c r="E2274" s="23" t="str">
        <f aca="false">IF(A2274="","",DATE(YEAR(A2274),MONTH(A2274),1))</f>
        <v/>
      </c>
    </row>
    <row r="2275" customFormat="false" ht="15" hidden="false" customHeight="false" outlineLevel="0" collapsed="false">
      <c r="A2275" s="21"/>
      <c r="B2275" s="4"/>
      <c r="C2275" s="22"/>
      <c r="D2275" s="5" t="str">
        <f aca="false">IF(B2275="","",IFERROR(INDEX(DE_PARA!$B$6:$B$205,MATCH(B2275,DE_PARA!$A$6:$A$205,0)),"SEM DE-PARA"))</f>
        <v/>
      </c>
      <c r="E2275" s="23" t="str">
        <f aca="false">IF(A2275="","",DATE(YEAR(A2275),MONTH(A2275),1))</f>
        <v/>
      </c>
    </row>
    <row r="2276" customFormat="false" ht="15" hidden="false" customHeight="false" outlineLevel="0" collapsed="false">
      <c r="A2276" s="21"/>
      <c r="B2276" s="4"/>
      <c r="C2276" s="22"/>
      <c r="D2276" s="5" t="str">
        <f aca="false">IF(B2276="","",IFERROR(INDEX(DE_PARA!$B$6:$B$205,MATCH(B2276,DE_PARA!$A$6:$A$205,0)),"SEM DE-PARA"))</f>
        <v/>
      </c>
      <c r="E2276" s="23" t="str">
        <f aca="false">IF(A2276="","",DATE(YEAR(A2276),MONTH(A2276),1))</f>
        <v/>
      </c>
    </row>
    <row r="2277" customFormat="false" ht="15" hidden="false" customHeight="false" outlineLevel="0" collapsed="false">
      <c r="A2277" s="21"/>
      <c r="B2277" s="4"/>
      <c r="C2277" s="22"/>
      <c r="D2277" s="5" t="str">
        <f aca="false">IF(B2277="","",IFERROR(INDEX(DE_PARA!$B$6:$B$205,MATCH(B2277,DE_PARA!$A$6:$A$205,0)),"SEM DE-PARA"))</f>
        <v/>
      </c>
      <c r="E2277" s="23" t="str">
        <f aca="false">IF(A2277="","",DATE(YEAR(A2277),MONTH(A2277),1))</f>
        <v/>
      </c>
    </row>
    <row r="2278" customFormat="false" ht="15" hidden="false" customHeight="false" outlineLevel="0" collapsed="false">
      <c r="A2278" s="21"/>
      <c r="B2278" s="4"/>
      <c r="C2278" s="22"/>
      <c r="D2278" s="5" t="str">
        <f aca="false">IF(B2278="","",IFERROR(INDEX(DE_PARA!$B$6:$B$205,MATCH(B2278,DE_PARA!$A$6:$A$205,0)),"SEM DE-PARA"))</f>
        <v/>
      </c>
      <c r="E2278" s="23" t="str">
        <f aca="false">IF(A2278="","",DATE(YEAR(A2278),MONTH(A2278),1))</f>
        <v/>
      </c>
    </row>
    <row r="2279" customFormat="false" ht="15" hidden="false" customHeight="false" outlineLevel="0" collapsed="false">
      <c r="A2279" s="21"/>
      <c r="B2279" s="4"/>
      <c r="C2279" s="22"/>
      <c r="D2279" s="5" t="str">
        <f aca="false">IF(B2279="","",IFERROR(INDEX(DE_PARA!$B$6:$B$205,MATCH(B2279,DE_PARA!$A$6:$A$205,0)),"SEM DE-PARA"))</f>
        <v/>
      </c>
      <c r="E2279" s="23" t="str">
        <f aca="false">IF(A2279="","",DATE(YEAR(A2279),MONTH(A2279),1))</f>
        <v/>
      </c>
    </row>
    <row r="2280" customFormat="false" ht="15" hidden="false" customHeight="false" outlineLevel="0" collapsed="false">
      <c r="A2280" s="21"/>
      <c r="B2280" s="4"/>
      <c r="C2280" s="22"/>
      <c r="D2280" s="5" t="str">
        <f aca="false">IF(B2280="","",IFERROR(INDEX(DE_PARA!$B$6:$B$205,MATCH(B2280,DE_PARA!$A$6:$A$205,0)),"SEM DE-PARA"))</f>
        <v/>
      </c>
      <c r="E2280" s="23" t="str">
        <f aca="false">IF(A2280="","",DATE(YEAR(A2280),MONTH(A2280),1))</f>
        <v/>
      </c>
    </row>
    <row r="2281" customFormat="false" ht="15" hidden="false" customHeight="false" outlineLevel="0" collapsed="false">
      <c r="A2281" s="21"/>
      <c r="B2281" s="4"/>
      <c r="C2281" s="22"/>
      <c r="D2281" s="5" t="str">
        <f aca="false">IF(B2281="","",IFERROR(INDEX(DE_PARA!$B$6:$B$205,MATCH(B2281,DE_PARA!$A$6:$A$205,0)),"SEM DE-PARA"))</f>
        <v/>
      </c>
      <c r="E2281" s="23" t="str">
        <f aca="false">IF(A2281="","",DATE(YEAR(A2281),MONTH(A2281),1))</f>
        <v/>
      </c>
    </row>
    <row r="2282" customFormat="false" ht="15" hidden="false" customHeight="false" outlineLevel="0" collapsed="false">
      <c r="A2282" s="21"/>
      <c r="B2282" s="4"/>
      <c r="C2282" s="22"/>
      <c r="D2282" s="5" t="str">
        <f aca="false">IF(B2282="","",IFERROR(INDEX(DE_PARA!$B$6:$B$205,MATCH(B2282,DE_PARA!$A$6:$A$205,0)),"SEM DE-PARA"))</f>
        <v/>
      </c>
      <c r="E2282" s="23" t="str">
        <f aca="false">IF(A2282="","",DATE(YEAR(A2282),MONTH(A2282),1))</f>
        <v/>
      </c>
    </row>
    <row r="2283" customFormat="false" ht="15" hidden="false" customHeight="false" outlineLevel="0" collapsed="false">
      <c r="A2283" s="21"/>
      <c r="B2283" s="4"/>
      <c r="C2283" s="22"/>
      <c r="D2283" s="5" t="str">
        <f aca="false">IF(B2283="","",IFERROR(INDEX(DE_PARA!$B$6:$B$205,MATCH(B2283,DE_PARA!$A$6:$A$205,0)),"SEM DE-PARA"))</f>
        <v/>
      </c>
      <c r="E2283" s="23" t="str">
        <f aca="false">IF(A2283="","",DATE(YEAR(A2283),MONTH(A2283),1))</f>
        <v/>
      </c>
    </row>
    <row r="2284" customFormat="false" ht="15" hidden="false" customHeight="false" outlineLevel="0" collapsed="false">
      <c r="A2284" s="21"/>
      <c r="B2284" s="4"/>
      <c r="C2284" s="22"/>
      <c r="D2284" s="5" t="str">
        <f aca="false">IF(B2284="","",IFERROR(INDEX(DE_PARA!$B$6:$B$205,MATCH(B2284,DE_PARA!$A$6:$A$205,0)),"SEM DE-PARA"))</f>
        <v/>
      </c>
      <c r="E2284" s="23" t="str">
        <f aca="false">IF(A2284="","",DATE(YEAR(A2284),MONTH(A2284),1))</f>
        <v/>
      </c>
    </row>
    <row r="2285" customFormat="false" ht="15" hidden="false" customHeight="false" outlineLevel="0" collapsed="false">
      <c r="A2285" s="21"/>
      <c r="B2285" s="4"/>
      <c r="C2285" s="22"/>
      <c r="D2285" s="5" t="str">
        <f aca="false">IF(B2285="","",IFERROR(INDEX(DE_PARA!$B$6:$B$205,MATCH(B2285,DE_PARA!$A$6:$A$205,0)),"SEM DE-PARA"))</f>
        <v/>
      </c>
      <c r="E2285" s="23" t="str">
        <f aca="false">IF(A2285="","",DATE(YEAR(A2285),MONTH(A2285),1))</f>
        <v/>
      </c>
    </row>
    <row r="2286" customFormat="false" ht="15" hidden="false" customHeight="false" outlineLevel="0" collapsed="false">
      <c r="A2286" s="21"/>
      <c r="B2286" s="4"/>
      <c r="C2286" s="22"/>
      <c r="D2286" s="5" t="str">
        <f aca="false">IF(B2286="","",IFERROR(INDEX(DE_PARA!$B$6:$B$205,MATCH(B2286,DE_PARA!$A$6:$A$205,0)),"SEM DE-PARA"))</f>
        <v/>
      </c>
      <c r="E2286" s="23" t="str">
        <f aca="false">IF(A2286="","",DATE(YEAR(A2286),MONTH(A2286),1))</f>
        <v/>
      </c>
    </row>
    <row r="2287" customFormat="false" ht="15" hidden="false" customHeight="false" outlineLevel="0" collapsed="false">
      <c r="A2287" s="21"/>
      <c r="B2287" s="4"/>
      <c r="C2287" s="22"/>
      <c r="D2287" s="5" t="str">
        <f aca="false">IF(B2287="","",IFERROR(INDEX(DE_PARA!$B$6:$B$205,MATCH(B2287,DE_PARA!$A$6:$A$205,0)),"SEM DE-PARA"))</f>
        <v/>
      </c>
      <c r="E2287" s="23" t="str">
        <f aca="false">IF(A2287="","",DATE(YEAR(A2287),MONTH(A2287),1))</f>
        <v/>
      </c>
    </row>
    <row r="2288" customFormat="false" ht="15" hidden="false" customHeight="false" outlineLevel="0" collapsed="false">
      <c r="A2288" s="21"/>
      <c r="B2288" s="4"/>
      <c r="C2288" s="22"/>
      <c r="D2288" s="5" t="str">
        <f aca="false">IF(B2288="","",IFERROR(INDEX(DE_PARA!$B$6:$B$205,MATCH(B2288,DE_PARA!$A$6:$A$205,0)),"SEM DE-PARA"))</f>
        <v/>
      </c>
      <c r="E2288" s="23" t="str">
        <f aca="false">IF(A2288="","",DATE(YEAR(A2288),MONTH(A2288),1))</f>
        <v/>
      </c>
    </row>
    <row r="2289" customFormat="false" ht="15" hidden="false" customHeight="false" outlineLevel="0" collapsed="false">
      <c r="A2289" s="21"/>
      <c r="B2289" s="4"/>
      <c r="C2289" s="22"/>
      <c r="D2289" s="5" t="str">
        <f aca="false">IF(B2289="","",IFERROR(INDEX(DE_PARA!$B$6:$B$205,MATCH(B2289,DE_PARA!$A$6:$A$205,0)),"SEM DE-PARA"))</f>
        <v/>
      </c>
      <c r="E2289" s="23" t="str">
        <f aca="false">IF(A2289="","",DATE(YEAR(A2289),MONTH(A2289),1))</f>
        <v/>
      </c>
    </row>
    <row r="2290" customFormat="false" ht="15" hidden="false" customHeight="false" outlineLevel="0" collapsed="false">
      <c r="A2290" s="21"/>
      <c r="B2290" s="4"/>
      <c r="C2290" s="22"/>
      <c r="D2290" s="5" t="str">
        <f aca="false">IF(B2290="","",IFERROR(INDEX(DE_PARA!$B$6:$B$205,MATCH(B2290,DE_PARA!$A$6:$A$205,0)),"SEM DE-PARA"))</f>
        <v/>
      </c>
      <c r="E2290" s="23" t="str">
        <f aca="false">IF(A2290="","",DATE(YEAR(A2290),MONTH(A2290),1))</f>
        <v/>
      </c>
    </row>
    <row r="2291" customFormat="false" ht="15" hidden="false" customHeight="false" outlineLevel="0" collapsed="false">
      <c r="A2291" s="21"/>
      <c r="B2291" s="4"/>
      <c r="C2291" s="22"/>
      <c r="D2291" s="5" t="str">
        <f aca="false">IF(B2291="","",IFERROR(INDEX(DE_PARA!$B$6:$B$205,MATCH(B2291,DE_PARA!$A$6:$A$205,0)),"SEM DE-PARA"))</f>
        <v/>
      </c>
      <c r="E2291" s="23" t="str">
        <f aca="false">IF(A2291="","",DATE(YEAR(A2291),MONTH(A2291),1))</f>
        <v/>
      </c>
    </row>
    <row r="2292" customFormat="false" ht="15" hidden="false" customHeight="false" outlineLevel="0" collapsed="false">
      <c r="A2292" s="21"/>
      <c r="B2292" s="4"/>
      <c r="C2292" s="22"/>
      <c r="D2292" s="5" t="str">
        <f aca="false">IF(B2292="","",IFERROR(INDEX(DE_PARA!$B$6:$B$205,MATCH(B2292,DE_PARA!$A$6:$A$205,0)),"SEM DE-PARA"))</f>
        <v/>
      </c>
      <c r="E2292" s="23" t="str">
        <f aca="false">IF(A2292="","",DATE(YEAR(A2292),MONTH(A2292),1))</f>
        <v/>
      </c>
    </row>
    <row r="2293" customFormat="false" ht="15" hidden="false" customHeight="false" outlineLevel="0" collapsed="false">
      <c r="A2293" s="21"/>
      <c r="B2293" s="4"/>
      <c r="C2293" s="22"/>
      <c r="D2293" s="5" t="str">
        <f aca="false">IF(B2293="","",IFERROR(INDEX(DE_PARA!$B$6:$B$205,MATCH(B2293,DE_PARA!$A$6:$A$205,0)),"SEM DE-PARA"))</f>
        <v/>
      </c>
      <c r="E2293" s="23" t="str">
        <f aca="false">IF(A2293="","",DATE(YEAR(A2293),MONTH(A2293),1))</f>
        <v/>
      </c>
    </row>
    <row r="2294" customFormat="false" ht="15" hidden="false" customHeight="false" outlineLevel="0" collapsed="false">
      <c r="A2294" s="21"/>
      <c r="B2294" s="4"/>
      <c r="C2294" s="22"/>
      <c r="D2294" s="5" t="str">
        <f aca="false">IF(B2294="","",IFERROR(INDEX(DE_PARA!$B$6:$B$205,MATCH(B2294,DE_PARA!$A$6:$A$205,0)),"SEM DE-PARA"))</f>
        <v/>
      </c>
      <c r="E2294" s="23" t="str">
        <f aca="false">IF(A2294="","",DATE(YEAR(A2294),MONTH(A2294),1))</f>
        <v/>
      </c>
    </row>
    <row r="2295" customFormat="false" ht="15" hidden="false" customHeight="false" outlineLevel="0" collapsed="false">
      <c r="A2295" s="21"/>
      <c r="B2295" s="4"/>
      <c r="C2295" s="22"/>
      <c r="D2295" s="5" t="str">
        <f aca="false">IF(B2295="","",IFERROR(INDEX(DE_PARA!$B$6:$B$205,MATCH(B2295,DE_PARA!$A$6:$A$205,0)),"SEM DE-PARA"))</f>
        <v/>
      </c>
      <c r="E2295" s="23" t="str">
        <f aca="false">IF(A2295="","",DATE(YEAR(A2295),MONTH(A2295),1))</f>
        <v/>
      </c>
    </row>
    <row r="2296" customFormat="false" ht="15" hidden="false" customHeight="false" outlineLevel="0" collapsed="false">
      <c r="A2296" s="21"/>
      <c r="B2296" s="4"/>
      <c r="C2296" s="22"/>
      <c r="D2296" s="5" t="str">
        <f aca="false">IF(B2296="","",IFERROR(INDEX(DE_PARA!$B$6:$B$205,MATCH(B2296,DE_PARA!$A$6:$A$205,0)),"SEM DE-PARA"))</f>
        <v/>
      </c>
      <c r="E2296" s="23" t="str">
        <f aca="false">IF(A2296="","",DATE(YEAR(A2296),MONTH(A2296),1))</f>
        <v/>
      </c>
    </row>
    <row r="2297" customFormat="false" ht="15" hidden="false" customHeight="false" outlineLevel="0" collapsed="false">
      <c r="A2297" s="21"/>
      <c r="B2297" s="4"/>
      <c r="C2297" s="22"/>
      <c r="D2297" s="5" t="str">
        <f aca="false">IF(B2297="","",IFERROR(INDEX(DE_PARA!$B$6:$B$205,MATCH(B2297,DE_PARA!$A$6:$A$205,0)),"SEM DE-PARA"))</f>
        <v/>
      </c>
      <c r="E2297" s="23" t="str">
        <f aca="false">IF(A2297="","",DATE(YEAR(A2297),MONTH(A2297),1))</f>
        <v/>
      </c>
    </row>
    <row r="2298" customFormat="false" ht="15" hidden="false" customHeight="false" outlineLevel="0" collapsed="false">
      <c r="A2298" s="21"/>
      <c r="B2298" s="4"/>
      <c r="C2298" s="22"/>
      <c r="D2298" s="5" t="str">
        <f aca="false">IF(B2298="","",IFERROR(INDEX(DE_PARA!$B$6:$B$205,MATCH(B2298,DE_PARA!$A$6:$A$205,0)),"SEM DE-PARA"))</f>
        <v/>
      </c>
      <c r="E2298" s="23" t="str">
        <f aca="false">IF(A2298="","",DATE(YEAR(A2298),MONTH(A2298),1))</f>
        <v/>
      </c>
    </row>
    <row r="2299" customFormat="false" ht="15" hidden="false" customHeight="false" outlineLevel="0" collapsed="false">
      <c r="A2299" s="21"/>
      <c r="B2299" s="4"/>
      <c r="C2299" s="22"/>
      <c r="D2299" s="5" t="str">
        <f aca="false">IF(B2299="","",IFERROR(INDEX(DE_PARA!$B$6:$B$205,MATCH(B2299,DE_PARA!$A$6:$A$205,0)),"SEM DE-PARA"))</f>
        <v/>
      </c>
      <c r="E2299" s="23" t="str">
        <f aca="false">IF(A2299="","",DATE(YEAR(A2299),MONTH(A2299),1))</f>
        <v/>
      </c>
    </row>
    <row r="2300" customFormat="false" ht="15" hidden="false" customHeight="false" outlineLevel="0" collapsed="false">
      <c r="A2300" s="21"/>
      <c r="B2300" s="4"/>
      <c r="C2300" s="22"/>
      <c r="D2300" s="5" t="str">
        <f aca="false">IF(B2300="","",IFERROR(INDEX(DE_PARA!$B$6:$B$205,MATCH(B2300,DE_PARA!$A$6:$A$205,0)),"SEM DE-PARA"))</f>
        <v/>
      </c>
      <c r="E2300" s="23" t="str">
        <f aca="false">IF(A2300="","",DATE(YEAR(A2300),MONTH(A2300),1))</f>
        <v/>
      </c>
    </row>
    <row r="2301" customFormat="false" ht="15" hidden="false" customHeight="false" outlineLevel="0" collapsed="false">
      <c r="A2301" s="21"/>
      <c r="B2301" s="4"/>
      <c r="C2301" s="22"/>
      <c r="D2301" s="5" t="str">
        <f aca="false">IF(B2301="","",IFERROR(INDEX(DE_PARA!$B$6:$B$205,MATCH(B2301,DE_PARA!$A$6:$A$205,0)),"SEM DE-PARA"))</f>
        <v/>
      </c>
      <c r="E2301" s="23" t="str">
        <f aca="false">IF(A2301="","",DATE(YEAR(A2301),MONTH(A2301),1))</f>
        <v/>
      </c>
    </row>
    <row r="2302" customFormat="false" ht="15" hidden="false" customHeight="false" outlineLevel="0" collapsed="false">
      <c r="A2302" s="21"/>
      <c r="B2302" s="4"/>
      <c r="C2302" s="22"/>
      <c r="D2302" s="5" t="str">
        <f aca="false">IF(B2302="","",IFERROR(INDEX(DE_PARA!$B$6:$B$205,MATCH(B2302,DE_PARA!$A$6:$A$205,0)),"SEM DE-PARA"))</f>
        <v/>
      </c>
      <c r="E2302" s="23" t="str">
        <f aca="false">IF(A2302="","",DATE(YEAR(A2302),MONTH(A2302),1))</f>
        <v/>
      </c>
    </row>
    <row r="2303" customFormat="false" ht="15" hidden="false" customHeight="false" outlineLevel="0" collapsed="false">
      <c r="A2303" s="21"/>
      <c r="B2303" s="4"/>
      <c r="C2303" s="22"/>
      <c r="D2303" s="5" t="str">
        <f aca="false">IF(B2303="","",IFERROR(INDEX(DE_PARA!$B$6:$B$205,MATCH(B2303,DE_PARA!$A$6:$A$205,0)),"SEM DE-PARA"))</f>
        <v/>
      </c>
      <c r="E2303" s="23" t="str">
        <f aca="false">IF(A2303="","",DATE(YEAR(A2303),MONTH(A2303),1))</f>
        <v/>
      </c>
    </row>
    <row r="2304" customFormat="false" ht="15" hidden="false" customHeight="false" outlineLevel="0" collapsed="false">
      <c r="A2304" s="21"/>
      <c r="B2304" s="4"/>
      <c r="C2304" s="22"/>
      <c r="D2304" s="5" t="str">
        <f aca="false">IF(B2304="","",IFERROR(INDEX(DE_PARA!$B$6:$B$205,MATCH(B2304,DE_PARA!$A$6:$A$205,0)),"SEM DE-PARA"))</f>
        <v/>
      </c>
      <c r="E2304" s="23" t="str">
        <f aca="false">IF(A2304="","",DATE(YEAR(A2304),MONTH(A2304),1))</f>
        <v/>
      </c>
    </row>
    <row r="2305" customFormat="false" ht="15" hidden="false" customHeight="false" outlineLevel="0" collapsed="false">
      <c r="A2305" s="21"/>
      <c r="B2305" s="4"/>
      <c r="C2305" s="22"/>
      <c r="D2305" s="5" t="str">
        <f aca="false">IF(B2305="","",IFERROR(INDEX(DE_PARA!$B$6:$B$205,MATCH(B2305,DE_PARA!$A$6:$A$205,0)),"SEM DE-PARA"))</f>
        <v/>
      </c>
      <c r="E2305" s="23" t="str">
        <f aca="false">IF(A2305="","",DATE(YEAR(A2305),MONTH(A2305),1))</f>
        <v/>
      </c>
    </row>
    <row r="2306" customFormat="false" ht="15" hidden="false" customHeight="false" outlineLevel="0" collapsed="false">
      <c r="A2306" s="21"/>
      <c r="B2306" s="4"/>
      <c r="C2306" s="22"/>
      <c r="D2306" s="5" t="str">
        <f aca="false">IF(B2306="","",IFERROR(INDEX(DE_PARA!$B$6:$B$205,MATCH(B2306,DE_PARA!$A$6:$A$205,0)),"SEM DE-PARA"))</f>
        <v/>
      </c>
      <c r="E2306" s="23" t="str">
        <f aca="false">IF(A2306="","",DATE(YEAR(A2306),MONTH(A2306),1))</f>
        <v/>
      </c>
    </row>
    <row r="2307" customFormat="false" ht="15" hidden="false" customHeight="false" outlineLevel="0" collapsed="false">
      <c r="A2307" s="21"/>
      <c r="B2307" s="4"/>
      <c r="C2307" s="22"/>
      <c r="D2307" s="5" t="str">
        <f aca="false">IF(B2307="","",IFERROR(INDEX(DE_PARA!$B$6:$B$205,MATCH(B2307,DE_PARA!$A$6:$A$205,0)),"SEM DE-PARA"))</f>
        <v/>
      </c>
      <c r="E2307" s="23" t="str">
        <f aca="false">IF(A2307="","",DATE(YEAR(A2307),MONTH(A2307),1))</f>
        <v/>
      </c>
    </row>
    <row r="2308" customFormat="false" ht="15" hidden="false" customHeight="false" outlineLevel="0" collapsed="false">
      <c r="A2308" s="21"/>
      <c r="B2308" s="4"/>
      <c r="C2308" s="22"/>
      <c r="D2308" s="5" t="str">
        <f aca="false">IF(B2308="","",IFERROR(INDEX(DE_PARA!$B$6:$B$205,MATCH(B2308,DE_PARA!$A$6:$A$205,0)),"SEM DE-PARA"))</f>
        <v/>
      </c>
      <c r="E2308" s="23" t="str">
        <f aca="false">IF(A2308="","",DATE(YEAR(A2308),MONTH(A2308),1))</f>
        <v/>
      </c>
    </row>
    <row r="2309" customFormat="false" ht="15" hidden="false" customHeight="false" outlineLevel="0" collapsed="false">
      <c r="A2309" s="21"/>
      <c r="B2309" s="4"/>
      <c r="C2309" s="22"/>
      <c r="D2309" s="5" t="str">
        <f aca="false">IF(B2309="","",IFERROR(INDEX(DE_PARA!$B$6:$B$205,MATCH(B2309,DE_PARA!$A$6:$A$205,0)),"SEM DE-PARA"))</f>
        <v/>
      </c>
      <c r="E2309" s="23" t="str">
        <f aca="false">IF(A2309="","",DATE(YEAR(A2309),MONTH(A2309),1))</f>
        <v/>
      </c>
    </row>
    <row r="2310" customFormat="false" ht="15" hidden="false" customHeight="false" outlineLevel="0" collapsed="false">
      <c r="A2310" s="21"/>
      <c r="B2310" s="4"/>
      <c r="C2310" s="22"/>
      <c r="D2310" s="5" t="str">
        <f aca="false">IF(B2310="","",IFERROR(INDEX(DE_PARA!$B$6:$B$205,MATCH(B2310,DE_PARA!$A$6:$A$205,0)),"SEM DE-PARA"))</f>
        <v/>
      </c>
      <c r="E2310" s="23" t="str">
        <f aca="false">IF(A2310="","",DATE(YEAR(A2310),MONTH(A2310),1))</f>
        <v/>
      </c>
    </row>
    <row r="2311" customFormat="false" ht="15" hidden="false" customHeight="false" outlineLevel="0" collapsed="false">
      <c r="A2311" s="21"/>
      <c r="B2311" s="4"/>
      <c r="C2311" s="22"/>
      <c r="D2311" s="5" t="str">
        <f aca="false">IF(B2311="","",IFERROR(INDEX(DE_PARA!$B$6:$B$205,MATCH(B2311,DE_PARA!$A$6:$A$205,0)),"SEM DE-PARA"))</f>
        <v/>
      </c>
      <c r="E2311" s="23" t="str">
        <f aca="false">IF(A2311="","",DATE(YEAR(A2311),MONTH(A2311),1))</f>
        <v/>
      </c>
    </row>
    <row r="2312" customFormat="false" ht="15" hidden="false" customHeight="false" outlineLevel="0" collapsed="false">
      <c r="A2312" s="21"/>
      <c r="B2312" s="4"/>
      <c r="C2312" s="22"/>
      <c r="D2312" s="5" t="str">
        <f aca="false">IF(B2312="","",IFERROR(INDEX(DE_PARA!$B$6:$B$205,MATCH(B2312,DE_PARA!$A$6:$A$205,0)),"SEM DE-PARA"))</f>
        <v/>
      </c>
      <c r="E2312" s="23" t="str">
        <f aca="false">IF(A2312="","",DATE(YEAR(A2312),MONTH(A2312),1))</f>
        <v/>
      </c>
    </row>
    <row r="2313" customFormat="false" ht="15" hidden="false" customHeight="false" outlineLevel="0" collapsed="false">
      <c r="A2313" s="21"/>
      <c r="B2313" s="4"/>
      <c r="C2313" s="22"/>
      <c r="D2313" s="5" t="str">
        <f aca="false">IF(B2313="","",IFERROR(INDEX(DE_PARA!$B$6:$B$205,MATCH(B2313,DE_PARA!$A$6:$A$205,0)),"SEM DE-PARA"))</f>
        <v/>
      </c>
      <c r="E2313" s="23" t="str">
        <f aca="false">IF(A2313="","",DATE(YEAR(A2313),MONTH(A2313),1))</f>
        <v/>
      </c>
    </row>
    <row r="2314" customFormat="false" ht="15" hidden="false" customHeight="false" outlineLevel="0" collapsed="false">
      <c r="A2314" s="21"/>
      <c r="B2314" s="4"/>
      <c r="C2314" s="22"/>
      <c r="D2314" s="5" t="str">
        <f aca="false">IF(B2314="","",IFERROR(INDEX(DE_PARA!$B$6:$B$205,MATCH(B2314,DE_PARA!$A$6:$A$205,0)),"SEM DE-PARA"))</f>
        <v/>
      </c>
      <c r="E2314" s="23" t="str">
        <f aca="false">IF(A2314="","",DATE(YEAR(A2314),MONTH(A2314),1))</f>
        <v/>
      </c>
    </row>
    <row r="2315" customFormat="false" ht="15" hidden="false" customHeight="false" outlineLevel="0" collapsed="false">
      <c r="A2315" s="21"/>
      <c r="B2315" s="4"/>
      <c r="C2315" s="22"/>
      <c r="D2315" s="5" t="str">
        <f aca="false">IF(B2315="","",IFERROR(INDEX(DE_PARA!$B$6:$B$205,MATCH(B2315,DE_PARA!$A$6:$A$205,0)),"SEM DE-PARA"))</f>
        <v/>
      </c>
      <c r="E2315" s="23" t="str">
        <f aca="false">IF(A2315="","",DATE(YEAR(A2315),MONTH(A2315),1))</f>
        <v/>
      </c>
    </row>
    <row r="2316" customFormat="false" ht="15" hidden="false" customHeight="false" outlineLevel="0" collapsed="false">
      <c r="A2316" s="21"/>
      <c r="B2316" s="4"/>
      <c r="C2316" s="22"/>
      <c r="D2316" s="5" t="str">
        <f aca="false">IF(B2316="","",IFERROR(INDEX(DE_PARA!$B$6:$B$205,MATCH(B2316,DE_PARA!$A$6:$A$205,0)),"SEM DE-PARA"))</f>
        <v/>
      </c>
      <c r="E2316" s="23" t="str">
        <f aca="false">IF(A2316="","",DATE(YEAR(A2316),MONTH(A2316),1))</f>
        <v/>
      </c>
    </row>
    <row r="2317" customFormat="false" ht="15" hidden="false" customHeight="false" outlineLevel="0" collapsed="false">
      <c r="A2317" s="21"/>
      <c r="B2317" s="4"/>
      <c r="C2317" s="22"/>
      <c r="D2317" s="5" t="str">
        <f aca="false">IF(B2317="","",IFERROR(INDEX(DE_PARA!$B$6:$B$205,MATCH(B2317,DE_PARA!$A$6:$A$205,0)),"SEM DE-PARA"))</f>
        <v/>
      </c>
      <c r="E2317" s="23" t="str">
        <f aca="false">IF(A2317="","",DATE(YEAR(A2317),MONTH(A2317),1))</f>
        <v/>
      </c>
    </row>
    <row r="2318" customFormat="false" ht="15" hidden="false" customHeight="false" outlineLevel="0" collapsed="false">
      <c r="A2318" s="21"/>
      <c r="B2318" s="4"/>
      <c r="C2318" s="22"/>
      <c r="D2318" s="5" t="str">
        <f aca="false">IF(B2318="","",IFERROR(INDEX(DE_PARA!$B$6:$B$205,MATCH(B2318,DE_PARA!$A$6:$A$205,0)),"SEM DE-PARA"))</f>
        <v/>
      </c>
      <c r="E2318" s="23" t="str">
        <f aca="false">IF(A2318="","",DATE(YEAR(A2318),MONTH(A2318),1))</f>
        <v/>
      </c>
    </row>
    <row r="2319" customFormat="false" ht="15" hidden="false" customHeight="false" outlineLevel="0" collapsed="false">
      <c r="A2319" s="21"/>
      <c r="B2319" s="4"/>
      <c r="C2319" s="22"/>
      <c r="D2319" s="5" t="str">
        <f aca="false">IF(B2319="","",IFERROR(INDEX(DE_PARA!$B$6:$B$205,MATCH(B2319,DE_PARA!$A$6:$A$205,0)),"SEM DE-PARA"))</f>
        <v/>
      </c>
      <c r="E2319" s="23" t="str">
        <f aca="false">IF(A2319="","",DATE(YEAR(A2319),MONTH(A2319),1))</f>
        <v/>
      </c>
    </row>
    <row r="2320" customFormat="false" ht="15" hidden="false" customHeight="false" outlineLevel="0" collapsed="false">
      <c r="A2320" s="21"/>
      <c r="B2320" s="4"/>
      <c r="C2320" s="22"/>
      <c r="D2320" s="5" t="str">
        <f aca="false">IF(B2320="","",IFERROR(INDEX(DE_PARA!$B$6:$B$205,MATCH(B2320,DE_PARA!$A$6:$A$205,0)),"SEM DE-PARA"))</f>
        <v/>
      </c>
      <c r="E2320" s="23" t="str">
        <f aca="false">IF(A2320="","",DATE(YEAR(A2320),MONTH(A2320),1))</f>
        <v/>
      </c>
    </row>
    <row r="2321" customFormat="false" ht="15" hidden="false" customHeight="false" outlineLevel="0" collapsed="false">
      <c r="A2321" s="21"/>
      <c r="B2321" s="4"/>
      <c r="C2321" s="22"/>
      <c r="D2321" s="5" t="str">
        <f aca="false">IF(B2321="","",IFERROR(INDEX(DE_PARA!$B$6:$B$205,MATCH(B2321,DE_PARA!$A$6:$A$205,0)),"SEM DE-PARA"))</f>
        <v/>
      </c>
      <c r="E2321" s="23" t="str">
        <f aca="false">IF(A2321="","",DATE(YEAR(A2321),MONTH(A2321),1))</f>
        <v/>
      </c>
    </row>
    <row r="2322" customFormat="false" ht="15" hidden="false" customHeight="false" outlineLevel="0" collapsed="false">
      <c r="A2322" s="21"/>
      <c r="B2322" s="4"/>
      <c r="C2322" s="22"/>
      <c r="D2322" s="5" t="str">
        <f aca="false">IF(B2322="","",IFERROR(INDEX(DE_PARA!$B$6:$B$205,MATCH(B2322,DE_PARA!$A$6:$A$205,0)),"SEM DE-PARA"))</f>
        <v/>
      </c>
      <c r="E2322" s="23" t="str">
        <f aca="false">IF(A2322="","",DATE(YEAR(A2322),MONTH(A2322),1))</f>
        <v/>
      </c>
    </row>
    <row r="2323" customFormat="false" ht="15" hidden="false" customHeight="false" outlineLevel="0" collapsed="false">
      <c r="A2323" s="21"/>
      <c r="B2323" s="4"/>
      <c r="C2323" s="22"/>
      <c r="D2323" s="5" t="str">
        <f aca="false">IF(B2323="","",IFERROR(INDEX(DE_PARA!$B$6:$B$205,MATCH(B2323,DE_PARA!$A$6:$A$205,0)),"SEM DE-PARA"))</f>
        <v/>
      </c>
      <c r="E2323" s="23" t="str">
        <f aca="false">IF(A2323="","",DATE(YEAR(A2323),MONTH(A2323),1))</f>
        <v/>
      </c>
    </row>
    <row r="2324" customFormat="false" ht="15" hidden="false" customHeight="false" outlineLevel="0" collapsed="false">
      <c r="A2324" s="21"/>
      <c r="B2324" s="4"/>
      <c r="C2324" s="22"/>
      <c r="D2324" s="5" t="str">
        <f aca="false">IF(B2324="","",IFERROR(INDEX(DE_PARA!$B$6:$B$205,MATCH(B2324,DE_PARA!$A$6:$A$205,0)),"SEM DE-PARA"))</f>
        <v/>
      </c>
      <c r="E2324" s="23" t="str">
        <f aca="false">IF(A2324="","",DATE(YEAR(A2324),MONTH(A2324),1))</f>
        <v/>
      </c>
    </row>
    <row r="2325" customFormat="false" ht="15" hidden="false" customHeight="false" outlineLevel="0" collapsed="false">
      <c r="A2325" s="21"/>
      <c r="B2325" s="4"/>
      <c r="C2325" s="22"/>
      <c r="D2325" s="5" t="str">
        <f aca="false">IF(B2325="","",IFERROR(INDEX(DE_PARA!$B$6:$B$205,MATCH(B2325,DE_PARA!$A$6:$A$205,0)),"SEM DE-PARA"))</f>
        <v/>
      </c>
      <c r="E2325" s="23" t="str">
        <f aca="false">IF(A2325="","",DATE(YEAR(A2325),MONTH(A2325),1))</f>
        <v/>
      </c>
    </row>
    <row r="2326" customFormat="false" ht="15" hidden="false" customHeight="false" outlineLevel="0" collapsed="false">
      <c r="A2326" s="21"/>
      <c r="B2326" s="4"/>
      <c r="C2326" s="22"/>
      <c r="D2326" s="5" t="str">
        <f aca="false">IF(B2326="","",IFERROR(INDEX(DE_PARA!$B$6:$B$205,MATCH(B2326,DE_PARA!$A$6:$A$205,0)),"SEM DE-PARA"))</f>
        <v/>
      </c>
      <c r="E2326" s="23" t="str">
        <f aca="false">IF(A2326="","",DATE(YEAR(A2326),MONTH(A2326),1))</f>
        <v/>
      </c>
    </row>
    <row r="2327" customFormat="false" ht="15" hidden="false" customHeight="false" outlineLevel="0" collapsed="false">
      <c r="A2327" s="21"/>
      <c r="B2327" s="4"/>
      <c r="C2327" s="22"/>
      <c r="D2327" s="5" t="str">
        <f aca="false">IF(B2327="","",IFERROR(INDEX(DE_PARA!$B$6:$B$205,MATCH(B2327,DE_PARA!$A$6:$A$205,0)),"SEM DE-PARA"))</f>
        <v/>
      </c>
      <c r="E2327" s="23" t="str">
        <f aca="false">IF(A2327="","",DATE(YEAR(A2327),MONTH(A2327),1))</f>
        <v/>
      </c>
    </row>
    <row r="2328" customFormat="false" ht="15" hidden="false" customHeight="false" outlineLevel="0" collapsed="false">
      <c r="A2328" s="21"/>
      <c r="B2328" s="4"/>
      <c r="C2328" s="22"/>
      <c r="D2328" s="5" t="str">
        <f aca="false">IF(B2328="","",IFERROR(INDEX(DE_PARA!$B$6:$B$205,MATCH(B2328,DE_PARA!$A$6:$A$205,0)),"SEM DE-PARA"))</f>
        <v/>
      </c>
      <c r="E2328" s="23" t="str">
        <f aca="false">IF(A2328="","",DATE(YEAR(A2328),MONTH(A2328),1))</f>
        <v/>
      </c>
    </row>
    <row r="2329" customFormat="false" ht="15" hidden="false" customHeight="false" outlineLevel="0" collapsed="false">
      <c r="A2329" s="21"/>
      <c r="B2329" s="4"/>
      <c r="C2329" s="22"/>
      <c r="D2329" s="5" t="str">
        <f aca="false">IF(B2329="","",IFERROR(INDEX(DE_PARA!$B$6:$B$205,MATCH(B2329,DE_PARA!$A$6:$A$205,0)),"SEM DE-PARA"))</f>
        <v/>
      </c>
      <c r="E2329" s="23" t="str">
        <f aca="false">IF(A2329="","",DATE(YEAR(A2329),MONTH(A2329),1))</f>
        <v/>
      </c>
    </row>
    <row r="2330" customFormat="false" ht="15" hidden="false" customHeight="false" outlineLevel="0" collapsed="false">
      <c r="A2330" s="21"/>
      <c r="B2330" s="4"/>
      <c r="C2330" s="22"/>
      <c r="D2330" s="5" t="str">
        <f aca="false">IF(B2330="","",IFERROR(INDEX(DE_PARA!$B$6:$B$205,MATCH(B2330,DE_PARA!$A$6:$A$205,0)),"SEM DE-PARA"))</f>
        <v/>
      </c>
      <c r="E2330" s="23" t="str">
        <f aca="false">IF(A2330="","",DATE(YEAR(A2330),MONTH(A2330),1))</f>
        <v/>
      </c>
    </row>
    <row r="2331" customFormat="false" ht="15" hidden="false" customHeight="false" outlineLevel="0" collapsed="false">
      <c r="A2331" s="21"/>
      <c r="B2331" s="4"/>
      <c r="C2331" s="22"/>
      <c r="D2331" s="5" t="str">
        <f aca="false">IF(B2331="","",IFERROR(INDEX(DE_PARA!$B$6:$B$205,MATCH(B2331,DE_PARA!$A$6:$A$205,0)),"SEM DE-PARA"))</f>
        <v/>
      </c>
      <c r="E2331" s="23" t="str">
        <f aca="false">IF(A2331="","",DATE(YEAR(A2331),MONTH(A2331),1))</f>
        <v/>
      </c>
    </row>
    <row r="2332" customFormat="false" ht="15" hidden="false" customHeight="false" outlineLevel="0" collapsed="false">
      <c r="A2332" s="21"/>
      <c r="B2332" s="4"/>
      <c r="C2332" s="22"/>
      <c r="D2332" s="5" t="str">
        <f aca="false">IF(B2332="","",IFERROR(INDEX(DE_PARA!$B$6:$B$205,MATCH(B2332,DE_PARA!$A$6:$A$205,0)),"SEM DE-PARA"))</f>
        <v/>
      </c>
      <c r="E2332" s="23" t="str">
        <f aca="false">IF(A2332="","",DATE(YEAR(A2332),MONTH(A2332),1))</f>
        <v/>
      </c>
    </row>
    <row r="2333" customFormat="false" ht="15" hidden="false" customHeight="false" outlineLevel="0" collapsed="false">
      <c r="A2333" s="21"/>
      <c r="B2333" s="4"/>
      <c r="C2333" s="22"/>
      <c r="D2333" s="5" t="str">
        <f aca="false">IF(B2333="","",IFERROR(INDEX(DE_PARA!$B$6:$B$205,MATCH(B2333,DE_PARA!$A$6:$A$205,0)),"SEM DE-PARA"))</f>
        <v/>
      </c>
      <c r="E2333" s="23" t="str">
        <f aca="false">IF(A2333="","",DATE(YEAR(A2333),MONTH(A2333),1))</f>
        <v/>
      </c>
    </row>
    <row r="2334" customFormat="false" ht="15" hidden="false" customHeight="false" outlineLevel="0" collapsed="false">
      <c r="A2334" s="21"/>
      <c r="B2334" s="4"/>
      <c r="C2334" s="22"/>
      <c r="D2334" s="5" t="str">
        <f aca="false">IF(B2334="","",IFERROR(INDEX(DE_PARA!$B$6:$B$205,MATCH(B2334,DE_PARA!$A$6:$A$205,0)),"SEM DE-PARA"))</f>
        <v/>
      </c>
      <c r="E2334" s="23" t="str">
        <f aca="false">IF(A2334="","",DATE(YEAR(A2334),MONTH(A2334),1))</f>
        <v/>
      </c>
    </row>
    <row r="2335" customFormat="false" ht="15" hidden="false" customHeight="false" outlineLevel="0" collapsed="false">
      <c r="A2335" s="21"/>
      <c r="B2335" s="4"/>
      <c r="C2335" s="22"/>
      <c r="D2335" s="5" t="str">
        <f aca="false">IF(B2335="","",IFERROR(INDEX(DE_PARA!$B$6:$B$205,MATCH(B2335,DE_PARA!$A$6:$A$205,0)),"SEM DE-PARA"))</f>
        <v/>
      </c>
      <c r="E2335" s="23" t="str">
        <f aca="false">IF(A2335="","",DATE(YEAR(A2335),MONTH(A2335),1))</f>
        <v/>
      </c>
    </row>
    <row r="2336" customFormat="false" ht="15" hidden="false" customHeight="false" outlineLevel="0" collapsed="false">
      <c r="A2336" s="21"/>
      <c r="B2336" s="4"/>
      <c r="C2336" s="22"/>
      <c r="D2336" s="5" t="str">
        <f aca="false">IF(B2336="","",IFERROR(INDEX(DE_PARA!$B$6:$B$205,MATCH(B2336,DE_PARA!$A$6:$A$205,0)),"SEM DE-PARA"))</f>
        <v/>
      </c>
      <c r="E2336" s="23" t="str">
        <f aca="false">IF(A2336="","",DATE(YEAR(A2336),MONTH(A2336),1))</f>
        <v/>
      </c>
    </row>
    <row r="2337" customFormat="false" ht="15" hidden="false" customHeight="false" outlineLevel="0" collapsed="false">
      <c r="A2337" s="21"/>
      <c r="B2337" s="4"/>
      <c r="C2337" s="22"/>
      <c r="D2337" s="5" t="str">
        <f aca="false">IF(B2337="","",IFERROR(INDEX(DE_PARA!$B$6:$B$205,MATCH(B2337,DE_PARA!$A$6:$A$205,0)),"SEM DE-PARA"))</f>
        <v/>
      </c>
      <c r="E2337" s="23" t="str">
        <f aca="false">IF(A2337="","",DATE(YEAR(A2337),MONTH(A2337),1))</f>
        <v/>
      </c>
    </row>
    <row r="2338" customFormat="false" ht="15" hidden="false" customHeight="false" outlineLevel="0" collapsed="false">
      <c r="A2338" s="21"/>
      <c r="B2338" s="4"/>
      <c r="C2338" s="22"/>
      <c r="D2338" s="5" t="str">
        <f aca="false">IF(B2338="","",IFERROR(INDEX(DE_PARA!$B$6:$B$205,MATCH(B2338,DE_PARA!$A$6:$A$205,0)),"SEM DE-PARA"))</f>
        <v/>
      </c>
      <c r="E2338" s="23" t="str">
        <f aca="false">IF(A2338="","",DATE(YEAR(A2338),MONTH(A2338),1))</f>
        <v/>
      </c>
    </row>
    <row r="2339" customFormat="false" ht="15" hidden="false" customHeight="false" outlineLevel="0" collapsed="false">
      <c r="A2339" s="21"/>
      <c r="B2339" s="4"/>
      <c r="C2339" s="22"/>
      <c r="D2339" s="5" t="str">
        <f aca="false">IF(B2339="","",IFERROR(INDEX(DE_PARA!$B$6:$B$205,MATCH(B2339,DE_PARA!$A$6:$A$205,0)),"SEM DE-PARA"))</f>
        <v/>
      </c>
      <c r="E2339" s="23" t="str">
        <f aca="false">IF(A2339="","",DATE(YEAR(A2339),MONTH(A2339),1))</f>
        <v/>
      </c>
    </row>
    <row r="2340" customFormat="false" ht="15" hidden="false" customHeight="false" outlineLevel="0" collapsed="false">
      <c r="A2340" s="21"/>
      <c r="B2340" s="4"/>
      <c r="C2340" s="22"/>
      <c r="D2340" s="5" t="str">
        <f aca="false">IF(B2340="","",IFERROR(INDEX(DE_PARA!$B$6:$B$205,MATCH(B2340,DE_PARA!$A$6:$A$205,0)),"SEM DE-PARA"))</f>
        <v/>
      </c>
      <c r="E2340" s="23" t="str">
        <f aca="false">IF(A2340="","",DATE(YEAR(A2340),MONTH(A2340),1))</f>
        <v/>
      </c>
    </row>
    <row r="2341" customFormat="false" ht="15" hidden="false" customHeight="false" outlineLevel="0" collapsed="false">
      <c r="A2341" s="21"/>
      <c r="B2341" s="4"/>
      <c r="C2341" s="22"/>
      <c r="D2341" s="5" t="str">
        <f aca="false">IF(B2341="","",IFERROR(INDEX(DE_PARA!$B$6:$B$205,MATCH(B2341,DE_PARA!$A$6:$A$205,0)),"SEM DE-PARA"))</f>
        <v/>
      </c>
      <c r="E2341" s="23" t="str">
        <f aca="false">IF(A2341="","",DATE(YEAR(A2341),MONTH(A2341),1))</f>
        <v/>
      </c>
    </row>
    <row r="2342" customFormat="false" ht="15" hidden="false" customHeight="false" outlineLevel="0" collapsed="false">
      <c r="A2342" s="21"/>
      <c r="B2342" s="4"/>
      <c r="C2342" s="22"/>
      <c r="D2342" s="5" t="str">
        <f aca="false">IF(B2342="","",IFERROR(INDEX(DE_PARA!$B$6:$B$205,MATCH(B2342,DE_PARA!$A$6:$A$205,0)),"SEM DE-PARA"))</f>
        <v/>
      </c>
      <c r="E2342" s="23" t="str">
        <f aca="false">IF(A2342="","",DATE(YEAR(A2342),MONTH(A2342),1))</f>
        <v/>
      </c>
    </row>
    <row r="2343" customFormat="false" ht="15" hidden="false" customHeight="false" outlineLevel="0" collapsed="false">
      <c r="A2343" s="21"/>
      <c r="B2343" s="4"/>
      <c r="C2343" s="22"/>
      <c r="D2343" s="5" t="str">
        <f aca="false">IF(B2343="","",IFERROR(INDEX(DE_PARA!$B$6:$B$205,MATCH(B2343,DE_PARA!$A$6:$A$205,0)),"SEM DE-PARA"))</f>
        <v/>
      </c>
      <c r="E2343" s="23" t="str">
        <f aca="false">IF(A2343="","",DATE(YEAR(A2343),MONTH(A2343),1))</f>
        <v/>
      </c>
    </row>
    <row r="2344" customFormat="false" ht="15" hidden="false" customHeight="false" outlineLevel="0" collapsed="false">
      <c r="A2344" s="21"/>
      <c r="B2344" s="4"/>
      <c r="C2344" s="22"/>
      <c r="D2344" s="5" t="str">
        <f aca="false">IF(B2344="","",IFERROR(INDEX(DE_PARA!$B$6:$B$205,MATCH(B2344,DE_PARA!$A$6:$A$205,0)),"SEM DE-PARA"))</f>
        <v/>
      </c>
      <c r="E2344" s="23" t="str">
        <f aca="false">IF(A2344="","",DATE(YEAR(A2344),MONTH(A2344),1))</f>
        <v/>
      </c>
    </row>
    <row r="2345" customFormat="false" ht="15" hidden="false" customHeight="false" outlineLevel="0" collapsed="false">
      <c r="A2345" s="21"/>
      <c r="B2345" s="4"/>
      <c r="C2345" s="22"/>
      <c r="D2345" s="5" t="str">
        <f aca="false">IF(B2345="","",IFERROR(INDEX(DE_PARA!$B$6:$B$205,MATCH(B2345,DE_PARA!$A$6:$A$205,0)),"SEM DE-PARA"))</f>
        <v/>
      </c>
      <c r="E2345" s="23" t="str">
        <f aca="false">IF(A2345="","",DATE(YEAR(A2345),MONTH(A2345),1))</f>
        <v/>
      </c>
    </row>
    <row r="2346" customFormat="false" ht="15" hidden="false" customHeight="false" outlineLevel="0" collapsed="false">
      <c r="A2346" s="21"/>
      <c r="B2346" s="4"/>
      <c r="C2346" s="22"/>
      <c r="D2346" s="5" t="str">
        <f aca="false">IF(B2346="","",IFERROR(INDEX(DE_PARA!$B$6:$B$205,MATCH(B2346,DE_PARA!$A$6:$A$205,0)),"SEM DE-PARA"))</f>
        <v/>
      </c>
      <c r="E2346" s="23" t="str">
        <f aca="false">IF(A2346="","",DATE(YEAR(A2346),MONTH(A2346),1))</f>
        <v/>
      </c>
    </row>
    <row r="2347" customFormat="false" ht="15" hidden="false" customHeight="false" outlineLevel="0" collapsed="false">
      <c r="A2347" s="21"/>
      <c r="B2347" s="4"/>
      <c r="C2347" s="22"/>
      <c r="D2347" s="5" t="str">
        <f aca="false">IF(B2347="","",IFERROR(INDEX(DE_PARA!$B$6:$B$205,MATCH(B2347,DE_PARA!$A$6:$A$205,0)),"SEM DE-PARA"))</f>
        <v/>
      </c>
      <c r="E2347" s="23" t="str">
        <f aca="false">IF(A2347="","",DATE(YEAR(A2347),MONTH(A2347),1))</f>
        <v/>
      </c>
    </row>
    <row r="2348" customFormat="false" ht="15" hidden="false" customHeight="false" outlineLevel="0" collapsed="false">
      <c r="A2348" s="21"/>
      <c r="B2348" s="4"/>
      <c r="C2348" s="22"/>
      <c r="D2348" s="5" t="str">
        <f aca="false">IF(B2348="","",IFERROR(INDEX(DE_PARA!$B$6:$B$205,MATCH(B2348,DE_PARA!$A$6:$A$205,0)),"SEM DE-PARA"))</f>
        <v/>
      </c>
      <c r="E2348" s="23" t="str">
        <f aca="false">IF(A2348="","",DATE(YEAR(A2348),MONTH(A2348),1))</f>
        <v/>
      </c>
    </row>
    <row r="2349" customFormat="false" ht="15" hidden="false" customHeight="false" outlineLevel="0" collapsed="false">
      <c r="A2349" s="21"/>
      <c r="B2349" s="4"/>
      <c r="C2349" s="22"/>
      <c r="D2349" s="5" t="str">
        <f aca="false">IF(B2349="","",IFERROR(INDEX(DE_PARA!$B$6:$B$205,MATCH(B2349,DE_PARA!$A$6:$A$205,0)),"SEM DE-PARA"))</f>
        <v/>
      </c>
      <c r="E2349" s="23" t="str">
        <f aca="false">IF(A2349="","",DATE(YEAR(A2349),MONTH(A2349),1))</f>
        <v/>
      </c>
    </row>
    <row r="2350" customFormat="false" ht="15" hidden="false" customHeight="false" outlineLevel="0" collapsed="false">
      <c r="A2350" s="21"/>
      <c r="B2350" s="4"/>
      <c r="C2350" s="22"/>
      <c r="D2350" s="5" t="str">
        <f aca="false">IF(B2350="","",IFERROR(INDEX(DE_PARA!$B$6:$B$205,MATCH(B2350,DE_PARA!$A$6:$A$205,0)),"SEM DE-PARA"))</f>
        <v/>
      </c>
      <c r="E2350" s="23" t="str">
        <f aca="false">IF(A2350="","",DATE(YEAR(A2350),MONTH(A2350),1))</f>
        <v/>
      </c>
    </row>
    <row r="2351" customFormat="false" ht="15" hidden="false" customHeight="false" outlineLevel="0" collapsed="false">
      <c r="A2351" s="21"/>
      <c r="B2351" s="4"/>
      <c r="C2351" s="22"/>
      <c r="D2351" s="5" t="str">
        <f aca="false">IF(B2351="","",IFERROR(INDEX(DE_PARA!$B$6:$B$205,MATCH(B2351,DE_PARA!$A$6:$A$205,0)),"SEM DE-PARA"))</f>
        <v/>
      </c>
      <c r="E2351" s="23" t="str">
        <f aca="false">IF(A2351="","",DATE(YEAR(A2351),MONTH(A2351),1))</f>
        <v/>
      </c>
    </row>
    <row r="2352" customFormat="false" ht="15" hidden="false" customHeight="false" outlineLevel="0" collapsed="false">
      <c r="A2352" s="21"/>
      <c r="B2352" s="4"/>
      <c r="C2352" s="22"/>
      <c r="D2352" s="5" t="str">
        <f aca="false">IF(B2352="","",IFERROR(INDEX(DE_PARA!$B$6:$B$205,MATCH(B2352,DE_PARA!$A$6:$A$205,0)),"SEM DE-PARA"))</f>
        <v/>
      </c>
      <c r="E2352" s="23" t="str">
        <f aca="false">IF(A2352="","",DATE(YEAR(A2352),MONTH(A2352),1))</f>
        <v/>
      </c>
    </row>
    <row r="2353" customFormat="false" ht="15" hidden="false" customHeight="false" outlineLevel="0" collapsed="false">
      <c r="A2353" s="21"/>
      <c r="B2353" s="4"/>
      <c r="C2353" s="22"/>
      <c r="D2353" s="5" t="str">
        <f aca="false">IF(B2353="","",IFERROR(INDEX(DE_PARA!$B$6:$B$205,MATCH(B2353,DE_PARA!$A$6:$A$205,0)),"SEM DE-PARA"))</f>
        <v/>
      </c>
      <c r="E2353" s="23" t="str">
        <f aca="false">IF(A2353="","",DATE(YEAR(A2353),MONTH(A2353),1))</f>
        <v/>
      </c>
    </row>
    <row r="2354" customFormat="false" ht="15" hidden="false" customHeight="false" outlineLevel="0" collapsed="false">
      <c r="A2354" s="21"/>
      <c r="B2354" s="4"/>
      <c r="C2354" s="22"/>
      <c r="D2354" s="5" t="str">
        <f aca="false">IF(B2354="","",IFERROR(INDEX(DE_PARA!$B$6:$B$205,MATCH(B2354,DE_PARA!$A$6:$A$205,0)),"SEM DE-PARA"))</f>
        <v/>
      </c>
      <c r="E2354" s="23" t="str">
        <f aca="false">IF(A2354="","",DATE(YEAR(A2354),MONTH(A2354),1))</f>
        <v/>
      </c>
    </row>
    <row r="2355" customFormat="false" ht="15" hidden="false" customHeight="false" outlineLevel="0" collapsed="false">
      <c r="A2355" s="21"/>
      <c r="B2355" s="4"/>
      <c r="C2355" s="22"/>
      <c r="D2355" s="5" t="str">
        <f aca="false">IF(B2355="","",IFERROR(INDEX(DE_PARA!$B$6:$B$205,MATCH(B2355,DE_PARA!$A$6:$A$205,0)),"SEM DE-PARA"))</f>
        <v/>
      </c>
      <c r="E2355" s="23" t="str">
        <f aca="false">IF(A2355="","",DATE(YEAR(A2355),MONTH(A2355),1))</f>
        <v/>
      </c>
    </row>
    <row r="2356" customFormat="false" ht="15" hidden="false" customHeight="false" outlineLevel="0" collapsed="false">
      <c r="A2356" s="21"/>
      <c r="B2356" s="4"/>
      <c r="C2356" s="22"/>
      <c r="D2356" s="5" t="str">
        <f aca="false">IF(B2356="","",IFERROR(INDEX(DE_PARA!$B$6:$B$205,MATCH(B2356,DE_PARA!$A$6:$A$205,0)),"SEM DE-PARA"))</f>
        <v/>
      </c>
      <c r="E2356" s="23" t="str">
        <f aca="false">IF(A2356="","",DATE(YEAR(A2356),MONTH(A2356),1))</f>
        <v/>
      </c>
    </row>
    <row r="2357" customFormat="false" ht="15" hidden="false" customHeight="false" outlineLevel="0" collapsed="false">
      <c r="A2357" s="21"/>
      <c r="B2357" s="4"/>
      <c r="C2357" s="22"/>
      <c r="D2357" s="5" t="str">
        <f aca="false">IF(B2357="","",IFERROR(INDEX(DE_PARA!$B$6:$B$205,MATCH(B2357,DE_PARA!$A$6:$A$205,0)),"SEM DE-PARA"))</f>
        <v/>
      </c>
      <c r="E2357" s="23" t="str">
        <f aca="false">IF(A2357="","",DATE(YEAR(A2357),MONTH(A2357),1))</f>
        <v/>
      </c>
    </row>
    <row r="2358" customFormat="false" ht="15" hidden="false" customHeight="false" outlineLevel="0" collapsed="false">
      <c r="A2358" s="21"/>
      <c r="B2358" s="4"/>
      <c r="C2358" s="22"/>
      <c r="D2358" s="5" t="str">
        <f aca="false">IF(B2358="","",IFERROR(INDEX(DE_PARA!$B$6:$B$205,MATCH(B2358,DE_PARA!$A$6:$A$205,0)),"SEM DE-PARA"))</f>
        <v/>
      </c>
      <c r="E2358" s="23" t="str">
        <f aca="false">IF(A2358="","",DATE(YEAR(A2358),MONTH(A2358),1))</f>
        <v/>
      </c>
    </row>
    <row r="2359" customFormat="false" ht="15" hidden="false" customHeight="false" outlineLevel="0" collapsed="false">
      <c r="A2359" s="21"/>
      <c r="B2359" s="4"/>
      <c r="C2359" s="22"/>
      <c r="D2359" s="5" t="str">
        <f aca="false">IF(B2359="","",IFERROR(INDEX(DE_PARA!$B$6:$B$205,MATCH(B2359,DE_PARA!$A$6:$A$205,0)),"SEM DE-PARA"))</f>
        <v/>
      </c>
      <c r="E2359" s="23" t="str">
        <f aca="false">IF(A2359="","",DATE(YEAR(A2359),MONTH(A2359),1))</f>
        <v/>
      </c>
    </row>
    <row r="2360" customFormat="false" ht="15" hidden="false" customHeight="false" outlineLevel="0" collapsed="false">
      <c r="A2360" s="21"/>
      <c r="B2360" s="4"/>
      <c r="C2360" s="22"/>
      <c r="D2360" s="5" t="str">
        <f aca="false">IF(B2360="","",IFERROR(INDEX(DE_PARA!$B$6:$B$205,MATCH(B2360,DE_PARA!$A$6:$A$205,0)),"SEM DE-PARA"))</f>
        <v/>
      </c>
      <c r="E2360" s="23" t="str">
        <f aca="false">IF(A2360="","",DATE(YEAR(A2360),MONTH(A2360),1))</f>
        <v/>
      </c>
    </row>
    <row r="2361" customFormat="false" ht="15" hidden="false" customHeight="false" outlineLevel="0" collapsed="false">
      <c r="A2361" s="21"/>
      <c r="B2361" s="4"/>
      <c r="C2361" s="22"/>
      <c r="D2361" s="5" t="str">
        <f aca="false">IF(B2361="","",IFERROR(INDEX(DE_PARA!$B$6:$B$205,MATCH(B2361,DE_PARA!$A$6:$A$205,0)),"SEM DE-PARA"))</f>
        <v/>
      </c>
      <c r="E2361" s="23" t="str">
        <f aca="false">IF(A2361="","",DATE(YEAR(A2361),MONTH(A2361),1))</f>
        <v/>
      </c>
    </row>
    <row r="2362" customFormat="false" ht="15" hidden="false" customHeight="false" outlineLevel="0" collapsed="false">
      <c r="A2362" s="21"/>
      <c r="B2362" s="4"/>
      <c r="C2362" s="22"/>
      <c r="D2362" s="5" t="str">
        <f aca="false">IF(B2362="","",IFERROR(INDEX(DE_PARA!$B$6:$B$205,MATCH(B2362,DE_PARA!$A$6:$A$205,0)),"SEM DE-PARA"))</f>
        <v/>
      </c>
      <c r="E2362" s="23" t="str">
        <f aca="false">IF(A2362="","",DATE(YEAR(A2362),MONTH(A2362),1))</f>
        <v/>
      </c>
    </row>
    <row r="2363" customFormat="false" ht="15" hidden="false" customHeight="false" outlineLevel="0" collapsed="false">
      <c r="A2363" s="21"/>
      <c r="B2363" s="4"/>
      <c r="C2363" s="22"/>
      <c r="D2363" s="5" t="str">
        <f aca="false">IF(B2363="","",IFERROR(INDEX(DE_PARA!$B$6:$B$205,MATCH(B2363,DE_PARA!$A$6:$A$205,0)),"SEM DE-PARA"))</f>
        <v/>
      </c>
      <c r="E2363" s="23" t="str">
        <f aca="false">IF(A2363="","",DATE(YEAR(A2363),MONTH(A2363),1))</f>
        <v/>
      </c>
    </row>
    <row r="2364" customFormat="false" ht="15" hidden="false" customHeight="false" outlineLevel="0" collapsed="false">
      <c r="A2364" s="21"/>
      <c r="B2364" s="4"/>
      <c r="C2364" s="22"/>
      <c r="D2364" s="5" t="str">
        <f aca="false">IF(B2364="","",IFERROR(INDEX(DE_PARA!$B$6:$B$205,MATCH(B2364,DE_PARA!$A$6:$A$205,0)),"SEM DE-PARA"))</f>
        <v/>
      </c>
      <c r="E2364" s="23" t="str">
        <f aca="false">IF(A2364="","",DATE(YEAR(A2364),MONTH(A2364),1))</f>
        <v/>
      </c>
    </row>
    <row r="2365" customFormat="false" ht="15" hidden="false" customHeight="false" outlineLevel="0" collapsed="false">
      <c r="A2365" s="21"/>
      <c r="B2365" s="4"/>
      <c r="C2365" s="22"/>
      <c r="D2365" s="5" t="str">
        <f aca="false">IF(B2365="","",IFERROR(INDEX(DE_PARA!$B$6:$B$205,MATCH(B2365,DE_PARA!$A$6:$A$205,0)),"SEM DE-PARA"))</f>
        <v/>
      </c>
      <c r="E2365" s="23" t="str">
        <f aca="false">IF(A2365="","",DATE(YEAR(A2365),MONTH(A2365),1))</f>
        <v/>
      </c>
    </row>
    <row r="2366" customFormat="false" ht="15" hidden="false" customHeight="false" outlineLevel="0" collapsed="false">
      <c r="A2366" s="21"/>
      <c r="B2366" s="4"/>
      <c r="C2366" s="22"/>
      <c r="D2366" s="5" t="str">
        <f aca="false">IF(B2366="","",IFERROR(INDEX(DE_PARA!$B$6:$B$205,MATCH(B2366,DE_PARA!$A$6:$A$205,0)),"SEM DE-PARA"))</f>
        <v/>
      </c>
      <c r="E2366" s="23" t="str">
        <f aca="false">IF(A2366="","",DATE(YEAR(A2366),MONTH(A2366),1))</f>
        <v/>
      </c>
    </row>
    <row r="2367" customFormat="false" ht="15" hidden="false" customHeight="false" outlineLevel="0" collapsed="false">
      <c r="A2367" s="21"/>
      <c r="B2367" s="4"/>
      <c r="C2367" s="22"/>
      <c r="D2367" s="5" t="str">
        <f aca="false">IF(B2367="","",IFERROR(INDEX(DE_PARA!$B$6:$B$205,MATCH(B2367,DE_PARA!$A$6:$A$205,0)),"SEM DE-PARA"))</f>
        <v/>
      </c>
      <c r="E2367" s="23" t="str">
        <f aca="false">IF(A2367="","",DATE(YEAR(A2367),MONTH(A2367),1))</f>
        <v/>
      </c>
    </row>
    <row r="2368" customFormat="false" ht="15" hidden="false" customHeight="false" outlineLevel="0" collapsed="false">
      <c r="A2368" s="21"/>
      <c r="B2368" s="4"/>
      <c r="C2368" s="22"/>
      <c r="D2368" s="5" t="str">
        <f aca="false">IF(B2368="","",IFERROR(INDEX(DE_PARA!$B$6:$B$205,MATCH(B2368,DE_PARA!$A$6:$A$205,0)),"SEM DE-PARA"))</f>
        <v/>
      </c>
      <c r="E2368" s="23" t="str">
        <f aca="false">IF(A2368="","",DATE(YEAR(A2368),MONTH(A2368),1))</f>
        <v/>
      </c>
    </row>
    <row r="2369" customFormat="false" ht="15" hidden="false" customHeight="false" outlineLevel="0" collapsed="false">
      <c r="A2369" s="21"/>
      <c r="B2369" s="4"/>
      <c r="C2369" s="22"/>
      <c r="D2369" s="5" t="str">
        <f aca="false">IF(B2369="","",IFERROR(INDEX(DE_PARA!$B$6:$B$205,MATCH(B2369,DE_PARA!$A$6:$A$205,0)),"SEM DE-PARA"))</f>
        <v/>
      </c>
      <c r="E2369" s="23" t="str">
        <f aca="false">IF(A2369="","",DATE(YEAR(A2369),MONTH(A2369),1))</f>
        <v/>
      </c>
    </row>
    <row r="2370" customFormat="false" ht="15" hidden="false" customHeight="false" outlineLevel="0" collapsed="false">
      <c r="A2370" s="21"/>
      <c r="B2370" s="4"/>
      <c r="C2370" s="22"/>
      <c r="D2370" s="5" t="str">
        <f aca="false">IF(B2370="","",IFERROR(INDEX(DE_PARA!$B$6:$B$205,MATCH(B2370,DE_PARA!$A$6:$A$205,0)),"SEM DE-PARA"))</f>
        <v/>
      </c>
      <c r="E2370" s="23" t="str">
        <f aca="false">IF(A2370="","",DATE(YEAR(A2370),MONTH(A2370),1))</f>
        <v/>
      </c>
    </row>
    <row r="2371" customFormat="false" ht="15" hidden="false" customHeight="false" outlineLevel="0" collapsed="false">
      <c r="A2371" s="21"/>
      <c r="B2371" s="4"/>
      <c r="C2371" s="22"/>
      <c r="D2371" s="5" t="str">
        <f aca="false">IF(B2371="","",IFERROR(INDEX(DE_PARA!$B$6:$B$205,MATCH(B2371,DE_PARA!$A$6:$A$205,0)),"SEM DE-PARA"))</f>
        <v/>
      </c>
      <c r="E2371" s="23" t="str">
        <f aca="false">IF(A2371="","",DATE(YEAR(A2371),MONTH(A2371),1))</f>
        <v/>
      </c>
    </row>
    <row r="2372" customFormat="false" ht="15" hidden="false" customHeight="false" outlineLevel="0" collapsed="false">
      <c r="A2372" s="21"/>
      <c r="B2372" s="4"/>
      <c r="C2372" s="22"/>
      <c r="D2372" s="5" t="str">
        <f aca="false">IF(B2372="","",IFERROR(INDEX(DE_PARA!$B$6:$B$205,MATCH(B2372,DE_PARA!$A$6:$A$205,0)),"SEM DE-PARA"))</f>
        <v/>
      </c>
      <c r="E2372" s="23" t="str">
        <f aca="false">IF(A2372="","",DATE(YEAR(A2372),MONTH(A2372),1))</f>
        <v/>
      </c>
    </row>
    <row r="2373" customFormat="false" ht="15" hidden="false" customHeight="false" outlineLevel="0" collapsed="false">
      <c r="A2373" s="21"/>
      <c r="B2373" s="4"/>
      <c r="C2373" s="22"/>
      <c r="D2373" s="5" t="str">
        <f aca="false">IF(B2373="","",IFERROR(INDEX(DE_PARA!$B$6:$B$205,MATCH(B2373,DE_PARA!$A$6:$A$205,0)),"SEM DE-PARA"))</f>
        <v/>
      </c>
      <c r="E2373" s="23" t="str">
        <f aca="false">IF(A2373="","",DATE(YEAR(A2373),MONTH(A2373),1))</f>
        <v/>
      </c>
    </row>
    <row r="2374" customFormat="false" ht="15" hidden="false" customHeight="false" outlineLevel="0" collapsed="false">
      <c r="A2374" s="21"/>
      <c r="B2374" s="4"/>
      <c r="C2374" s="22"/>
      <c r="D2374" s="5" t="str">
        <f aca="false">IF(B2374="","",IFERROR(INDEX(DE_PARA!$B$6:$B$205,MATCH(B2374,DE_PARA!$A$6:$A$205,0)),"SEM DE-PARA"))</f>
        <v/>
      </c>
      <c r="E2374" s="23" t="str">
        <f aca="false">IF(A2374="","",DATE(YEAR(A2374),MONTH(A2374),1))</f>
        <v/>
      </c>
    </row>
    <row r="2375" customFormat="false" ht="15" hidden="false" customHeight="false" outlineLevel="0" collapsed="false">
      <c r="A2375" s="21"/>
      <c r="B2375" s="4"/>
      <c r="C2375" s="22"/>
      <c r="D2375" s="5" t="str">
        <f aca="false">IF(B2375="","",IFERROR(INDEX(DE_PARA!$B$6:$B$205,MATCH(B2375,DE_PARA!$A$6:$A$205,0)),"SEM DE-PARA"))</f>
        <v/>
      </c>
      <c r="E2375" s="23" t="str">
        <f aca="false">IF(A2375="","",DATE(YEAR(A2375),MONTH(A2375),1))</f>
        <v/>
      </c>
    </row>
    <row r="2376" customFormat="false" ht="15" hidden="false" customHeight="false" outlineLevel="0" collapsed="false">
      <c r="A2376" s="21"/>
      <c r="B2376" s="4"/>
      <c r="C2376" s="22"/>
      <c r="D2376" s="5" t="str">
        <f aca="false">IF(B2376="","",IFERROR(INDEX(DE_PARA!$B$6:$B$205,MATCH(B2376,DE_PARA!$A$6:$A$205,0)),"SEM DE-PARA"))</f>
        <v/>
      </c>
      <c r="E2376" s="23" t="str">
        <f aca="false">IF(A2376="","",DATE(YEAR(A2376),MONTH(A2376),1))</f>
        <v/>
      </c>
    </row>
    <row r="2377" customFormat="false" ht="15" hidden="false" customHeight="false" outlineLevel="0" collapsed="false">
      <c r="A2377" s="21"/>
      <c r="B2377" s="4"/>
      <c r="C2377" s="22"/>
      <c r="D2377" s="5" t="str">
        <f aca="false">IF(B2377="","",IFERROR(INDEX(DE_PARA!$B$6:$B$205,MATCH(B2377,DE_PARA!$A$6:$A$205,0)),"SEM DE-PARA"))</f>
        <v/>
      </c>
      <c r="E2377" s="23" t="str">
        <f aca="false">IF(A2377="","",DATE(YEAR(A2377),MONTH(A2377),1))</f>
        <v/>
      </c>
    </row>
    <row r="2378" customFormat="false" ht="15" hidden="false" customHeight="false" outlineLevel="0" collapsed="false">
      <c r="A2378" s="21"/>
      <c r="B2378" s="4"/>
      <c r="C2378" s="22"/>
      <c r="D2378" s="5" t="str">
        <f aca="false">IF(B2378="","",IFERROR(INDEX(DE_PARA!$B$6:$B$205,MATCH(B2378,DE_PARA!$A$6:$A$205,0)),"SEM DE-PARA"))</f>
        <v/>
      </c>
      <c r="E2378" s="23" t="str">
        <f aca="false">IF(A2378="","",DATE(YEAR(A2378),MONTH(A2378),1))</f>
        <v/>
      </c>
    </row>
    <row r="2379" customFormat="false" ht="15" hidden="false" customHeight="false" outlineLevel="0" collapsed="false">
      <c r="A2379" s="21"/>
      <c r="B2379" s="4"/>
      <c r="C2379" s="22"/>
      <c r="D2379" s="5" t="str">
        <f aca="false">IF(B2379="","",IFERROR(INDEX(DE_PARA!$B$6:$B$205,MATCH(B2379,DE_PARA!$A$6:$A$205,0)),"SEM DE-PARA"))</f>
        <v/>
      </c>
      <c r="E2379" s="23" t="str">
        <f aca="false">IF(A2379="","",DATE(YEAR(A2379),MONTH(A2379),1))</f>
        <v/>
      </c>
    </row>
    <row r="2380" customFormat="false" ht="15" hidden="false" customHeight="false" outlineLevel="0" collapsed="false">
      <c r="A2380" s="21"/>
      <c r="B2380" s="4"/>
      <c r="C2380" s="22"/>
      <c r="D2380" s="5" t="str">
        <f aca="false">IF(B2380="","",IFERROR(INDEX(DE_PARA!$B$6:$B$205,MATCH(B2380,DE_PARA!$A$6:$A$205,0)),"SEM DE-PARA"))</f>
        <v/>
      </c>
      <c r="E2380" s="23" t="str">
        <f aca="false">IF(A2380="","",DATE(YEAR(A2380),MONTH(A2380),1))</f>
        <v/>
      </c>
    </row>
    <row r="2381" customFormat="false" ht="15" hidden="false" customHeight="false" outlineLevel="0" collapsed="false">
      <c r="A2381" s="21"/>
      <c r="B2381" s="4"/>
      <c r="C2381" s="22"/>
      <c r="D2381" s="5" t="str">
        <f aca="false">IF(B2381="","",IFERROR(INDEX(DE_PARA!$B$6:$B$205,MATCH(B2381,DE_PARA!$A$6:$A$205,0)),"SEM DE-PARA"))</f>
        <v/>
      </c>
      <c r="E2381" s="23" t="str">
        <f aca="false">IF(A2381="","",DATE(YEAR(A2381),MONTH(A2381),1))</f>
        <v/>
      </c>
    </row>
    <row r="2382" customFormat="false" ht="15" hidden="false" customHeight="false" outlineLevel="0" collapsed="false">
      <c r="A2382" s="21"/>
      <c r="B2382" s="4"/>
      <c r="C2382" s="22"/>
      <c r="D2382" s="5" t="str">
        <f aca="false">IF(B2382="","",IFERROR(INDEX(DE_PARA!$B$6:$B$205,MATCH(B2382,DE_PARA!$A$6:$A$205,0)),"SEM DE-PARA"))</f>
        <v/>
      </c>
      <c r="E2382" s="23" t="str">
        <f aca="false">IF(A2382="","",DATE(YEAR(A2382),MONTH(A2382),1))</f>
        <v/>
      </c>
    </row>
    <row r="2383" customFormat="false" ht="15" hidden="false" customHeight="false" outlineLevel="0" collapsed="false">
      <c r="A2383" s="21"/>
      <c r="B2383" s="4"/>
      <c r="C2383" s="22"/>
      <c r="D2383" s="5" t="str">
        <f aca="false">IF(B2383="","",IFERROR(INDEX(DE_PARA!$B$6:$B$205,MATCH(B2383,DE_PARA!$A$6:$A$205,0)),"SEM DE-PARA"))</f>
        <v/>
      </c>
      <c r="E2383" s="23" t="str">
        <f aca="false">IF(A2383="","",DATE(YEAR(A2383),MONTH(A2383),1))</f>
        <v/>
      </c>
    </row>
    <row r="2384" customFormat="false" ht="15" hidden="false" customHeight="false" outlineLevel="0" collapsed="false">
      <c r="A2384" s="21"/>
      <c r="B2384" s="4"/>
      <c r="C2384" s="22"/>
      <c r="D2384" s="5" t="str">
        <f aca="false">IF(B2384="","",IFERROR(INDEX(DE_PARA!$B$6:$B$205,MATCH(B2384,DE_PARA!$A$6:$A$205,0)),"SEM DE-PARA"))</f>
        <v/>
      </c>
      <c r="E2384" s="23" t="str">
        <f aca="false">IF(A2384="","",DATE(YEAR(A2384),MONTH(A2384),1))</f>
        <v/>
      </c>
    </row>
    <row r="2385" customFormat="false" ht="15" hidden="false" customHeight="false" outlineLevel="0" collapsed="false">
      <c r="A2385" s="21"/>
      <c r="B2385" s="4"/>
      <c r="C2385" s="22"/>
      <c r="D2385" s="5" t="str">
        <f aca="false">IF(B2385="","",IFERROR(INDEX(DE_PARA!$B$6:$B$205,MATCH(B2385,DE_PARA!$A$6:$A$205,0)),"SEM DE-PARA"))</f>
        <v/>
      </c>
      <c r="E2385" s="23" t="str">
        <f aca="false">IF(A2385="","",DATE(YEAR(A2385),MONTH(A2385),1))</f>
        <v/>
      </c>
    </row>
    <row r="2386" customFormat="false" ht="15" hidden="false" customHeight="false" outlineLevel="0" collapsed="false">
      <c r="A2386" s="21"/>
      <c r="B2386" s="4"/>
      <c r="C2386" s="22"/>
      <c r="D2386" s="5" t="str">
        <f aca="false">IF(B2386="","",IFERROR(INDEX(DE_PARA!$B$6:$B$205,MATCH(B2386,DE_PARA!$A$6:$A$205,0)),"SEM DE-PARA"))</f>
        <v/>
      </c>
      <c r="E2386" s="23" t="str">
        <f aca="false">IF(A2386="","",DATE(YEAR(A2386),MONTH(A2386),1))</f>
        <v/>
      </c>
    </row>
    <row r="2387" customFormat="false" ht="15" hidden="false" customHeight="false" outlineLevel="0" collapsed="false">
      <c r="A2387" s="21"/>
      <c r="B2387" s="4"/>
      <c r="C2387" s="22"/>
      <c r="D2387" s="5" t="str">
        <f aca="false">IF(B2387="","",IFERROR(INDEX(DE_PARA!$B$6:$B$205,MATCH(B2387,DE_PARA!$A$6:$A$205,0)),"SEM DE-PARA"))</f>
        <v/>
      </c>
      <c r="E2387" s="23" t="str">
        <f aca="false">IF(A2387="","",DATE(YEAR(A2387),MONTH(A2387),1))</f>
        <v/>
      </c>
    </row>
    <row r="2388" customFormat="false" ht="15" hidden="false" customHeight="false" outlineLevel="0" collapsed="false">
      <c r="A2388" s="21"/>
      <c r="B2388" s="4"/>
      <c r="C2388" s="22"/>
      <c r="D2388" s="5" t="str">
        <f aca="false">IF(B2388="","",IFERROR(INDEX(DE_PARA!$B$6:$B$205,MATCH(B2388,DE_PARA!$A$6:$A$205,0)),"SEM DE-PARA"))</f>
        <v/>
      </c>
      <c r="E2388" s="23" t="str">
        <f aca="false">IF(A2388="","",DATE(YEAR(A2388),MONTH(A2388),1))</f>
        <v/>
      </c>
    </row>
    <row r="2389" customFormat="false" ht="15" hidden="false" customHeight="false" outlineLevel="0" collapsed="false">
      <c r="A2389" s="21"/>
      <c r="B2389" s="4"/>
      <c r="C2389" s="22"/>
      <c r="D2389" s="5" t="str">
        <f aca="false">IF(B2389="","",IFERROR(INDEX(DE_PARA!$B$6:$B$205,MATCH(B2389,DE_PARA!$A$6:$A$205,0)),"SEM DE-PARA"))</f>
        <v/>
      </c>
      <c r="E2389" s="23" t="str">
        <f aca="false">IF(A2389="","",DATE(YEAR(A2389),MONTH(A2389),1))</f>
        <v/>
      </c>
    </row>
    <row r="2390" customFormat="false" ht="15" hidden="false" customHeight="false" outlineLevel="0" collapsed="false">
      <c r="A2390" s="21"/>
      <c r="B2390" s="4"/>
      <c r="C2390" s="22"/>
      <c r="D2390" s="5" t="str">
        <f aca="false">IF(B2390="","",IFERROR(INDEX(DE_PARA!$B$6:$B$205,MATCH(B2390,DE_PARA!$A$6:$A$205,0)),"SEM DE-PARA"))</f>
        <v/>
      </c>
      <c r="E2390" s="23" t="str">
        <f aca="false">IF(A2390="","",DATE(YEAR(A2390),MONTH(A2390),1))</f>
        <v/>
      </c>
    </row>
    <row r="2391" customFormat="false" ht="15" hidden="false" customHeight="false" outlineLevel="0" collapsed="false">
      <c r="A2391" s="21"/>
      <c r="B2391" s="4"/>
      <c r="C2391" s="22"/>
      <c r="D2391" s="5" t="str">
        <f aca="false">IF(B2391="","",IFERROR(INDEX(DE_PARA!$B$6:$B$205,MATCH(B2391,DE_PARA!$A$6:$A$205,0)),"SEM DE-PARA"))</f>
        <v/>
      </c>
      <c r="E2391" s="23" t="str">
        <f aca="false">IF(A2391="","",DATE(YEAR(A2391),MONTH(A2391),1))</f>
        <v/>
      </c>
    </row>
    <row r="2392" customFormat="false" ht="15" hidden="false" customHeight="false" outlineLevel="0" collapsed="false">
      <c r="A2392" s="21"/>
      <c r="B2392" s="4"/>
      <c r="C2392" s="22"/>
      <c r="D2392" s="5" t="str">
        <f aca="false">IF(B2392="","",IFERROR(INDEX(DE_PARA!$B$6:$B$205,MATCH(B2392,DE_PARA!$A$6:$A$205,0)),"SEM DE-PARA"))</f>
        <v/>
      </c>
      <c r="E2392" s="23" t="str">
        <f aca="false">IF(A2392="","",DATE(YEAR(A2392),MONTH(A2392),1))</f>
        <v/>
      </c>
    </row>
    <row r="2393" customFormat="false" ht="15" hidden="false" customHeight="false" outlineLevel="0" collapsed="false">
      <c r="A2393" s="21"/>
      <c r="B2393" s="4"/>
      <c r="C2393" s="22"/>
      <c r="D2393" s="5" t="str">
        <f aca="false">IF(B2393="","",IFERROR(INDEX(DE_PARA!$B$6:$B$205,MATCH(B2393,DE_PARA!$A$6:$A$205,0)),"SEM DE-PARA"))</f>
        <v/>
      </c>
      <c r="E2393" s="23" t="str">
        <f aca="false">IF(A2393="","",DATE(YEAR(A2393),MONTH(A2393),1))</f>
        <v/>
      </c>
    </row>
    <row r="2394" customFormat="false" ht="15" hidden="false" customHeight="false" outlineLevel="0" collapsed="false">
      <c r="A2394" s="21"/>
      <c r="B2394" s="4"/>
      <c r="C2394" s="22"/>
      <c r="D2394" s="5" t="str">
        <f aca="false">IF(B2394="","",IFERROR(INDEX(DE_PARA!$B$6:$B$205,MATCH(B2394,DE_PARA!$A$6:$A$205,0)),"SEM DE-PARA"))</f>
        <v/>
      </c>
      <c r="E2394" s="23" t="str">
        <f aca="false">IF(A2394="","",DATE(YEAR(A2394),MONTH(A2394),1))</f>
        <v/>
      </c>
    </row>
    <row r="2395" customFormat="false" ht="15" hidden="false" customHeight="false" outlineLevel="0" collapsed="false">
      <c r="A2395" s="21"/>
      <c r="B2395" s="4"/>
      <c r="C2395" s="22"/>
      <c r="D2395" s="5" t="str">
        <f aca="false">IF(B2395="","",IFERROR(INDEX(DE_PARA!$B$6:$B$205,MATCH(B2395,DE_PARA!$A$6:$A$205,0)),"SEM DE-PARA"))</f>
        <v/>
      </c>
      <c r="E2395" s="23" t="str">
        <f aca="false">IF(A2395="","",DATE(YEAR(A2395),MONTH(A2395),1))</f>
        <v/>
      </c>
    </row>
    <row r="2396" customFormat="false" ht="15" hidden="false" customHeight="false" outlineLevel="0" collapsed="false">
      <c r="A2396" s="21"/>
      <c r="B2396" s="4"/>
      <c r="C2396" s="22"/>
      <c r="D2396" s="5" t="str">
        <f aca="false">IF(B2396="","",IFERROR(INDEX(DE_PARA!$B$6:$B$205,MATCH(B2396,DE_PARA!$A$6:$A$205,0)),"SEM DE-PARA"))</f>
        <v/>
      </c>
      <c r="E2396" s="23" t="str">
        <f aca="false">IF(A2396="","",DATE(YEAR(A2396),MONTH(A2396),1))</f>
        <v/>
      </c>
    </row>
    <row r="2397" customFormat="false" ht="15" hidden="false" customHeight="false" outlineLevel="0" collapsed="false">
      <c r="A2397" s="21"/>
      <c r="B2397" s="4"/>
      <c r="C2397" s="22"/>
      <c r="D2397" s="5" t="str">
        <f aca="false">IF(B2397="","",IFERROR(INDEX(DE_PARA!$B$6:$B$205,MATCH(B2397,DE_PARA!$A$6:$A$205,0)),"SEM DE-PARA"))</f>
        <v/>
      </c>
      <c r="E2397" s="23" t="str">
        <f aca="false">IF(A2397="","",DATE(YEAR(A2397),MONTH(A2397),1))</f>
        <v/>
      </c>
    </row>
    <row r="2398" customFormat="false" ht="15" hidden="false" customHeight="false" outlineLevel="0" collapsed="false">
      <c r="A2398" s="21"/>
      <c r="B2398" s="4"/>
      <c r="C2398" s="22"/>
      <c r="D2398" s="5" t="str">
        <f aca="false">IF(B2398="","",IFERROR(INDEX(DE_PARA!$B$6:$B$205,MATCH(B2398,DE_PARA!$A$6:$A$205,0)),"SEM DE-PARA"))</f>
        <v/>
      </c>
      <c r="E2398" s="23" t="str">
        <f aca="false">IF(A2398="","",DATE(YEAR(A2398),MONTH(A2398),1))</f>
        <v/>
      </c>
    </row>
    <row r="2399" customFormat="false" ht="15" hidden="false" customHeight="false" outlineLevel="0" collapsed="false">
      <c r="A2399" s="21"/>
      <c r="B2399" s="4"/>
      <c r="C2399" s="22"/>
      <c r="D2399" s="5" t="str">
        <f aca="false">IF(B2399="","",IFERROR(INDEX(DE_PARA!$B$6:$B$205,MATCH(B2399,DE_PARA!$A$6:$A$205,0)),"SEM DE-PARA"))</f>
        <v/>
      </c>
      <c r="E2399" s="23" t="str">
        <f aca="false">IF(A2399="","",DATE(YEAR(A2399),MONTH(A2399),1))</f>
        <v/>
      </c>
    </row>
    <row r="2400" customFormat="false" ht="15" hidden="false" customHeight="false" outlineLevel="0" collapsed="false">
      <c r="A2400" s="21"/>
      <c r="B2400" s="4"/>
      <c r="C2400" s="22"/>
      <c r="D2400" s="5" t="str">
        <f aca="false">IF(B2400="","",IFERROR(INDEX(DE_PARA!$B$6:$B$205,MATCH(B2400,DE_PARA!$A$6:$A$205,0)),"SEM DE-PARA"))</f>
        <v/>
      </c>
      <c r="E2400" s="23" t="str">
        <f aca="false">IF(A2400="","",DATE(YEAR(A2400),MONTH(A2400),1))</f>
        <v/>
      </c>
    </row>
    <row r="2401" customFormat="false" ht="15" hidden="false" customHeight="false" outlineLevel="0" collapsed="false">
      <c r="A2401" s="21"/>
      <c r="B2401" s="4"/>
      <c r="C2401" s="22"/>
      <c r="D2401" s="5" t="str">
        <f aca="false">IF(B2401="","",IFERROR(INDEX(DE_PARA!$B$6:$B$205,MATCH(B2401,DE_PARA!$A$6:$A$205,0)),"SEM DE-PARA"))</f>
        <v/>
      </c>
      <c r="E2401" s="23" t="str">
        <f aca="false">IF(A2401="","",DATE(YEAR(A2401),MONTH(A2401),1))</f>
        <v/>
      </c>
    </row>
    <row r="2402" customFormat="false" ht="15" hidden="false" customHeight="false" outlineLevel="0" collapsed="false">
      <c r="A2402" s="21"/>
      <c r="B2402" s="4"/>
      <c r="C2402" s="22"/>
      <c r="D2402" s="5" t="str">
        <f aca="false">IF(B2402="","",IFERROR(INDEX(DE_PARA!$B$6:$B$205,MATCH(B2402,DE_PARA!$A$6:$A$205,0)),"SEM DE-PARA"))</f>
        <v/>
      </c>
      <c r="E2402" s="23" t="str">
        <f aca="false">IF(A2402="","",DATE(YEAR(A2402),MONTH(A2402),1))</f>
        <v/>
      </c>
    </row>
    <row r="2403" customFormat="false" ht="15" hidden="false" customHeight="false" outlineLevel="0" collapsed="false">
      <c r="A2403" s="21"/>
      <c r="B2403" s="4"/>
      <c r="C2403" s="22"/>
      <c r="D2403" s="5" t="str">
        <f aca="false">IF(B2403="","",IFERROR(INDEX(DE_PARA!$B$6:$B$205,MATCH(B2403,DE_PARA!$A$6:$A$205,0)),"SEM DE-PARA"))</f>
        <v/>
      </c>
      <c r="E2403" s="23" t="str">
        <f aca="false">IF(A2403="","",DATE(YEAR(A2403),MONTH(A2403),1))</f>
        <v/>
      </c>
    </row>
    <row r="2404" customFormat="false" ht="15" hidden="false" customHeight="false" outlineLevel="0" collapsed="false">
      <c r="A2404" s="21"/>
      <c r="B2404" s="4"/>
      <c r="C2404" s="22"/>
      <c r="D2404" s="5" t="str">
        <f aca="false">IF(B2404="","",IFERROR(INDEX(DE_PARA!$B$6:$B$205,MATCH(B2404,DE_PARA!$A$6:$A$205,0)),"SEM DE-PARA"))</f>
        <v/>
      </c>
      <c r="E2404" s="23" t="str">
        <f aca="false">IF(A2404="","",DATE(YEAR(A2404),MONTH(A2404),1))</f>
        <v/>
      </c>
    </row>
    <row r="2405" customFormat="false" ht="15" hidden="false" customHeight="false" outlineLevel="0" collapsed="false">
      <c r="A2405" s="21"/>
      <c r="B2405" s="4"/>
      <c r="C2405" s="22"/>
      <c r="D2405" s="5" t="str">
        <f aca="false">IF(B2405="","",IFERROR(INDEX(DE_PARA!$B$6:$B$205,MATCH(B2405,DE_PARA!$A$6:$A$205,0)),"SEM DE-PARA"))</f>
        <v/>
      </c>
      <c r="E2405" s="23" t="str">
        <f aca="false">IF(A2405="","",DATE(YEAR(A2405),MONTH(A2405),1))</f>
        <v/>
      </c>
    </row>
    <row r="2406" customFormat="false" ht="15" hidden="false" customHeight="false" outlineLevel="0" collapsed="false">
      <c r="A2406" s="21"/>
      <c r="B2406" s="4"/>
      <c r="C2406" s="22"/>
      <c r="D2406" s="5" t="str">
        <f aca="false">IF(B2406="","",IFERROR(INDEX(DE_PARA!$B$6:$B$205,MATCH(B2406,DE_PARA!$A$6:$A$205,0)),"SEM DE-PARA"))</f>
        <v/>
      </c>
      <c r="E2406" s="23" t="str">
        <f aca="false">IF(A2406="","",DATE(YEAR(A2406),MONTH(A2406),1))</f>
        <v/>
      </c>
    </row>
    <row r="2407" customFormat="false" ht="15" hidden="false" customHeight="false" outlineLevel="0" collapsed="false">
      <c r="A2407" s="21"/>
      <c r="B2407" s="4"/>
      <c r="C2407" s="22"/>
      <c r="D2407" s="5" t="str">
        <f aca="false">IF(B2407="","",IFERROR(INDEX(DE_PARA!$B$6:$B$205,MATCH(B2407,DE_PARA!$A$6:$A$205,0)),"SEM DE-PARA"))</f>
        <v/>
      </c>
      <c r="E2407" s="23" t="str">
        <f aca="false">IF(A2407="","",DATE(YEAR(A2407),MONTH(A2407),1))</f>
        <v/>
      </c>
    </row>
    <row r="2408" customFormat="false" ht="15" hidden="false" customHeight="false" outlineLevel="0" collapsed="false">
      <c r="A2408" s="21"/>
      <c r="B2408" s="4"/>
      <c r="C2408" s="22"/>
      <c r="D2408" s="5" t="str">
        <f aca="false">IF(B2408="","",IFERROR(INDEX(DE_PARA!$B$6:$B$205,MATCH(B2408,DE_PARA!$A$6:$A$205,0)),"SEM DE-PARA"))</f>
        <v/>
      </c>
      <c r="E2408" s="23" t="str">
        <f aca="false">IF(A2408="","",DATE(YEAR(A2408),MONTH(A2408),1))</f>
        <v/>
      </c>
    </row>
    <row r="2409" customFormat="false" ht="15" hidden="false" customHeight="false" outlineLevel="0" collapsed="false">
      <c r="A2409" s="21"/>
      <c r="B2409" s="4"/>
      <c r="C2409" s="22"/>
      <c r="D2409" s="5" t="str">
        <f aca="false">IF(B2409="","",IFERROR(INDEX(DE_PARA!$B$6:$B$205,MATCH(B2409,DE_PARA!$A$6:$A$205,0)),"SEM DE-PARA"))</f>
        <v/>
      </c>
      <c r="E2409" s="23" t="str">
        <f aca="false">IF(A2409="","",DATE(YEAR(A2409),MONTH(A2409),1))</f>
        <v/>
      </c>
    </row>
    <row r="2410" customFormat="false" ht="15" hidden="false" customHeight="false" outlineLevel="0" collapsed="false">
      <c r="A2410" s="21"/>
      <c r="B2410" s="4"/>
      <c r="C2410" s="22"/>
      <c r="D2410" s="5" t="str">
        <f aca="false">IF(B2410="","",IFERROR(INDEX(DE_PARA!$B$6:$B$205,MATCH(B2410,DE_PARA!$A$6:$A$205,0)),"SEM DE-PARA"))</f>
        <v/>
      </c>
      <c r="E2410" s="23" t="str">
        <f aca="false">IF(A2410="","",DATE(YEAR(A2410),MONTH(A2410),1))</f>
        <v/>
      </c>
    </row>
    <row r="2411" customFormat="false" ht="15" hidden="false" customHeight="false" outlineLevel="0" collapsed="false">
      <c r="A2411" s="21"/>
      <c r="B2411" s="4"/>
      <c r="C2411" s="22"/>
      <c r="D2411" s="5" t="str">
        <f aca="false">IF(B2411="","",IFERROR(INDEX(DE_PARA!$B$6:$B$205,MATCH(B2411,DE_PARA!$A$6:$A$205,0)),"SEM DE-PARA"))</f>
        <v/>
      </c>
      <c r="E2411" s="23" t="str">
        <f aca="false">IF(A2411="","",DATE(YEAR(A2411),MONTH(A2411),1))</f>
        <v/>
      </c>
    </row>
    <row r="2412" customFormat="false" ht="15" hidden="false" customHeight="false" outlineLevel="0" collapsed="false">
      <c r="A2412" s="21"/>
      <c r="B2412" s="4"/>
      <c r="C2412" s="22"/>
      <c r="D2412" s="5" t="str">
        <f aca="false">IF(B2412="","",IFERROR(INDEX(DE_PARA!$B$6:$B$205,MATCH(B2412,DE_PARA!$A$6:$A$205,0)),"SEM DE-PARA"))</f>
        <v/>
      </c>
      <c r="E2412" s="23" t="str">
        <f aca="false">IF(A2412="","",DATE(YEAR(A2412),MONTH(A2412),1))</f>
        <v/>
      </c>
    </row>
    <row r="2413" customFormat="false" ht="15" hidden="false" customHeight="false" outlineLevel="0" collapsed="false">
      <c r="A2413" s="21"/>
      <c r="B2413" s="4"/>
      <c r="C2413" s="22"/>
      <c r="D2413" s="5" t="str">
        <f aca="false">IF(B2413="","",IFERROR(INDEX(DE_PARA!$B$6:$B$205,MATCH(B2413,DE_PARA!$A$6:$A$205,0)),"SEM DE-PARA"))</f>
        <v/>
      </c>
      <c r="E2413" s="23" t="str">
        <f aca="false">IF(A2413="","",DATE(YEAR(A2413),MONTH(A2413),1))</f>
        <v/>
      </c>
    </row>
    <row r="2414" customFormat="false" ht="15" hidden="false" customHeight="false" outlineLevel="0" collapsed="false">
      <c r="A2414" s="21"/>
      <c r="B2414" s="4"/>
      <c r="C2414" s="22"/>
      <c r="D2414" s="5" t="str">
        <f aca="false">IF(B2414="","",IFERROR(INDEX(DE_PARA!$B$6:$B$205,MATCH(B2414,DE_PARA!$A$6:$A$205,0)),"SEM DE-PARA"))</f>
        <v/>
      </c>
      <c r="E2414" s="23" t="str">
        <f aca="false">IF(A2414="","",DATE(YEAR(A2414),MONTH(A2414),1))</f>
        <v/>
      </c>
    </row>
    <row r="2415" customFormat="false" ht="15" hidden="false" customHeight="false" outlineLevel="0" collapsed="false">
      <c r="A2415" s="21"/>
      <c r="B2415" s="4"/>
      <c r="C2415" s="22"/>
      <c r="D2415" s="5" t="str">
        <f aca="false">IF(B2415="","",IFERROR(INDEX(DE_PARA!$B$6:$B$205,MATCH(B2415,DE_PARA!$A$6:$A$205,0)),"SEM DE-PARA"))</f>
        <v/>
      </c>
      <c r="E2415" s="23" t="str">
        <f aca="false">IF(A2415="","",DATE(YEAR(A2415),MONTH(A2415),1))</f>
        <v/>
      </c>
    </row>
    <row r="2416" customFormat="false" ht="15" hidden="false" customHeight="false" outlineLevel="0" collapsed="false">
      <c r="A2416" s="21"/>
      <c r="B2416" s="4"/>
      <c r="C2416" s="22"/>
      <c r="D2416" s="5" t="str">
        <f aca="false">IF(B2416="","",IFERROR(INDEX(DE_PARA!$B$6:$B$205,MATCH(B2416,DE_PARA!$A$6:$A$205,0)),"SEM DE-PARA"))</f>
        <v/>
      </c>
      <c r="E2416" s="23" t="str">
        <f aca="false">IF(A2416="","",DATE(YEAR(A2416),MONTH(A2416),1))</f>
        <v/>
      </c>
    </row>
    <row r="2417" customFormat="false" ht="15" hidden="false" customHeight="false" outlineLevel="0" collapsed="false">
      <c r="A2417" s="21"/>
      <c r="B2417" s="4"/>
      <c r="C2417" s="22"/>
      <c r="D2417" s="5" t="str">
        <f aca="false">IF(B2417="","",IFERROR(INDEX(DE_PARA!$B$6:$B$205,MATCH(B2417,DE_PARA!$A$6:$A$205,0)),"SEM DE-PARA"))</f>
        <v/>
      </c>
      <c r="E2417" s="23" t="str">
        <f aca="false">IF(A2417="","",DATE(YEAR(A2417),MONTH(A2417),1))</f>
        <v/>
      </c>
    </row>
    <row r="2418" customFormat="false" ht="15" hidden="false" customHeight="false" outlineLevel="0" collapsed="false">
      <c r="A2418" s="21"/>
      <c r="B2418" s="4"/>
      <c r="C2418" s="22"/>
      <c r="D2418" s="5" t="str">
        <f aca="false">IF(B2418="","",IFERROR(INDEX(DE_PARA!$B$6:$B$205,MATCH(B2418,DE_PARA!$A$6:$A$205,0)),"SEM DE-PARA"))</f>
        <v/>
      </c>
      <c r="E2418" s="23" t="str">
        <f aca="false">IF(A2418="","",DATE(YEAR(A2418),MONTH(A2418),1))</f>
        <v/>
      </c>
    </row>
    <row r="2419" customFormat="false" ht="15" hidden="false" customHeight="false" outlineLevel="0" collapsed="false">
      <c r="A2419" s="21"/>
      <c r="B2419" s="4"/>
      <c r="C2419" s="22"/>
      <c r="D2419" s="5" t="str">
        <f aca="false">IF(B2419="","",IFERROR(INDEX(DE_PARA!$B$6:$B$205,MATCH(B2419,DE_PARA!$A$6:$A$205,0)),"SEM DE-PARA"))</f>
        <v/>
      </c>
      <c r="E2419" s="23" t="str">
        <f aca="false">IF(A2419="","",DATE(YEAR(A2419),MONTH(A2419),1))</f>
        <v/>
      </c>
    </row>
    <row r="2420" customFormat="false" ht="15" hidden="false" customHeight="false" outlineLevel="0" collapsed="false">
      <c r="A2420" s="21"/>
      <c r="B2420" s="4"/>
      <c r="C2420" s="22"/>
      <c r="D2420" s="5" t="str">
        <f aca="false">IF(B2420="","",IFERROR(INDEX(DE_PARA!$B$6:$B$205,MATCH(B2420,DE_PARA!$A$6:$A$205,0)),"SEM DE-PARA"))</f>
        <v/>
      </c>
      <c r="E2420" s="23" t="str">
        <f aca="false">IF(A2420="","",DATE(YEAR(A2420),MONTH(A2420),1))</f>
        <v/>
      </c>
    </row>
    <row r="2421" customFormat="false" ht="15" hidden="false" customHeight="false" outlineLevel="0" collapsed="false">
      <c r="A2421" s="21"/>
      <c r="B2421" s="4"/>
      <c r="C2421" s="22"/>
      <c r="D2421" s="5" t="str">
        <f aca="false">IF(B2421="","",IFERROR(INDEX(DE_PARA!$B$6:$B$205,MATCH(B2421,DE_PARA!$A$6:$A$205,0)),"SEM DE-PARA"))</f>
        <v/>
      </c>
      <c r="E2421" s="23" t="str">
        <f aca="false">IF(A2421="","",DATE(YEAR(A2421),MONTH(A2421),1))</f>
        <v/>
      </c>
    </row>
    <row r="2422" customFormat="false" ht="15" hidden="false" customHeight="false" outlineLevel="0" collapsed="false">
      <c r="A2422" s="21"/>
      <c r="B2422" s="4"/>
      <c r="C2422" s="22"/>
      <c r="D2422" s="5" t="str">
        <f aca="false">IF(B2422="","",IFERROR(INDEX(DE_PARA!$B$6:$B$205,MATCH(B2422,DE_PARA!$A$6:$A$205,0)),"SEM DE-PARA"))</f>
        <v/>
      </c>
      <c r="E2422" s="23" t="str">
        <f aca="false">IF(A2422="","",DATE(YEAR(A2422),MONTH(A2422),1))</f>
        <v/>
      </c>
    </row>
    <row r="2423" customFormat="false" ht="15" hidden="false" customHeight="false" outlineLevel="0" collapsed="false">
      <c r="A2423" s="21"/>
      <c r="B2423" s="4"/>
      <c r="C2423" s="22"/>
      <c r="D2423" s="5" t="str">
        <f aca="false">IF(B2423="","",IFERROR(INDEX(DE_PARA!$B$6:$B$205,MATCH(B2423,DE_PARA!$A$6:$A$205,0)),"SEM DE-PARA"))</f>
        <v/>
      </c>
      <c r="E2423" s="23" t="str">
        <f aca="false">IF(A2423="","",DATE(YEAR(A2423),MONTH(A2423),1))</f>
        <v/>
      </c>
    </row>
    <row r="2424" customFormat="false" ht="15" hidden="false" customHeight="false" outlineLevel="0" collapsed="false">
      <c r="A2424" s="21"/>
      <c r="B2424" s="4"/>
      <c r="C2424" s="22"/>
      <c r="D2424" s="5" t="str">
        <f aca="false">IF(B2424="","",IFERROR(INDEX(DE_PARA!$B$6:$B$205,MATCH(B2424,DE_PARA!$A$6:$A$205,0)),"SEM DE-PARA"))</f>
        <v/>
      </c>
      <c r="E2424" s="23" t="str">
        <f aca="false">IF(A2424="","",DATE(YEAR(A2424),MONTH(A2424),1))</f>
        <v/>
      </c>
    </row>
    <row r="2425" customFormat="false" ht="15" hidden="false" customHeight="false" outlineLevel="0" collapsed="false">
      <c r="A2425" s="21"/>
      <c r="B2425" s="4"/>
      <c r="C2425" s="22"/>
      <c r="D2425" s="5" t="str">
        <f aca="false">IF(B2425="","",IFERROR(INDEX(DE_PARA!$B$6:$B$205,MATCH(B2425,DE_PARA!$A$6:$A$205,0)),"SEM DE-PARA"))</f>
        <v/>
      </c>
      <c r="E2425" s="23" t="str">
        <f aca="false">IF(A2425="","",DATE(YEAR(A2425),MONTH(A2425),1))</f>
        <v/>
      </c>
    </row>
    <row r="2426" customFormat="false" ht="15" hidden="false" customHeight="false" outlineLevel="0" collapsed="false">
      <c r="A2426" s="21"/>
      <c r="B2426" s="4"/>
      <c r="C2426" s="22"/>
      <c r="D2426" s="5" t="str">
        <f aca="false">IF(B2426="","",IFERROR(INDEX(DE_PARA!$B$6:$B$205,MATCH(B2426,DE_PARA!$A$6:$A$205,0)),"SEM DE-PARA"))</f>
        <v/>
      </c>
      <c r="E2426" s="23" t="str">
        <f aca="false">IF(A2426="","",DATE(YEAR(A2426),MONTH(A2426),1))</f>
        <v/>
      </c>
    </row>
    <row r="2427" customFormat="false" ht="15" hidden="false" customHeight="false" outlineLevel="0" collapsed="false">
      <c r="A2427" s="21"/>
      <c r="B2427" s="4"/>
      <c r="C2427" s="22"/>
      <c r="D2427" s="5" t="str">
        <f aca="false">IF(B2427="","",IFERROR(INDEX(DE_PARA!$B$6:$B$205,MATCH(B2427,DE_PARA!$A$6:$A$205,0)),"SEM DE-PARA"))</f>
        <v/>
      </c>
      <c r="E2427" s="23" t="str">
        <f aca="false">IF(A2427="","",DATE(YEAR(A2427),MONTH(A2427),1))</f>
        <v/>
      </c>
    </row>
    <row r="2428" customFormat="false" ht="15" hidden="false" customHeight="false" outlineLevel="0" collapsed="false">
      <c r="A2428" s="21"/>
      <c r="B2428" s="4"/>
      <c r="C2428" s="22"/>
      <c r="D2428" s="5" t="str">
        <f aca="false">IF(B2428="","",IFERROR(INDEX(DE_PARA!$B$6:$B$205,MATCH(B2428,DE_PARA!$A$6:$A$205,0)),"SEM DE-PARA"))</f>
        <v/>
      </c>
      <c r="E2428" s="23" t="str">
        <f aca="false">IF(A2428="","",DATE(YEAR(A2428),MONTH(A2428),1))</f>
        <v/>
      </c>
    </row>
    <row r="2429" customFormat="false" ht="15" hidden="false" customHeight="false" outlineLevel="0" collapsed="false">
      <c r="A2429" s="21"/>
      <c r="B2429" s="4"/>
      <c r="C2429" s="22"/>
      <c r="D2429" s="5" t="str">
        <f aca="false">IF(B2429="","",IFERROR(INDEX(DE_PARA!$B$6:$B$205,MATCH(B2429,DE_PARA!$A$6:$A$205,0)),"SEM DE-PARA"))</f>
        <v/>
      </c>
      <c r="E2429" s="23" t="str">
        <f aca="false">IF(A2429="","",DATE(YEAR(A2429),MONTH(A2429),1))</f>
        <v/>
      </c>
    </row>
    <row r="2430" customFormat="false" ht="15" hidden="false" customHeight="false" outlineLevel="0" collapsed="false">
      <c r="A2430" s="21"/>
      <c r="B2430" s="4"/>
      <c r="C2430" s="22"/>
      <c r="D2430" s="5" t="str">
        <f aca="false">IF(B2430="","",IFERROR(INDEX(DE_PARA!$B$6:$B$205,MATCH(B2430,DE_PARA!$A$6:$A$205,0)),"SEM DE-PARA"))</f>
        <v/>
      </c>
      <c r="E2430" s="23" t="str">
        <f aca="false">IF(A2430="","",DATE(YEAR(A2430),MONTH(A2430),1))</f>
        <v/>
      </c>
    </row>
    <row r="2431" customFormat="false" ht="15" hidden="false" customHeight="false" outlineLevel="0" collapsed="false">
      <c r="A2431" s="21"/>
      <c r="B2431" s="4"/>
      <c r="C2431" s="22"/>
      <c r="D2431" s="5" t="str">
        <f aca="false">IF(B2431="","",IFERROR(INDEX(DE_PARA!$B$6:$B$205,MATCH(B2431,DE_PARA!$A$6:$A$205,0)),"SEM DE-PARA"))</f>
        <v/>
      </c>
      <c r="E2431" s="23" t="str">
        <f aca="false">IF(A2431="","",DATE(YEAR(A2431),MONTH(A2431),1))</f>
        <v/>
      </c>
    </row>
    <row r="2432" customFormat="false" ht="15" hidden="false" customHeight="false" outlineLevel="0" collapsed="false">
      <c r="A2432" s="21"/>
      <c r="B2432" s="4"/>
      <c r="C2432" s="22"/>
      <c r="D2432" s="5" t="str">
        <f aca="false">IF(B2432="","",IFERROR(INDEX(DE_PARA!$B$6:$B$205,MATCH(B2432,DE_PARA!$A$6:$A$205,0)),"SEM DE-PARA"))</f>
        <v/>
      </c>
      <c r="E2432" s="23" t="str">
        <f aca="false">IF(A2432="","",DATE(YEAR(A2432),MONTH(A2432),1))</f>
        <v/>
      </c>
    </row>
    <row r="2433" customFormat="false" ht="15" hidden="false" customHeight="false" outlineLevel="0" collapsed="false">
      <c r="A2433" s="21"/>
      <c r="B2433" s="4"/>
      <c r="C2433" s="22"/>
      <c r="D2433" s="5" t="str">
        <f aca="false">IF(B2433="","",IFERROR(INDEX(DE_PARA!$B$6:$B$205,MATCH(B2433,DE_PARA!$A$6:$A$205,0)),"SEM DE-PARA"))</f>
        <v/>
      </c>
      <c r="E2433" s="23" t="str">
        <f aca="false">IF(A2433="","",DATE(YEAR(A2433),MONTH(A2433),1))</f>
        <v/>
      </c>
    </row>
    <row r="2434" customFormat="false" ht="15" hidden="false" customHeight="false" outlineLevel="0" collapsed="false">
      <c r="A2434" s="21"/>
      <c r="B2434" s="4"/>
      <c r="C2434" s="22"/>
      <c r="D2434" s="5" t="str">
        <f aca="false">IF(B2434="","",IFERROR(INDEX(DE_PARA!$B$6:$B$205,MATCH(B2434,DE_PARA!$A$6:$A$205,0)),"SEM DE-PARA"))</f>
        <v/>
      </c>
      <c r="E2434" s="23" t="str">
        <f aca="false">IF(A2434="","",DATE(YEAR(A2434),MONTH(A2434),1))</f>
        <v/>
      </c>
    </row>
    <row r="2435" customFormat="false" ht="15" hidden="false" customHeight="false" outlineLevel="0" collapsed="false">
      <c r="A2435" s="21"/>
      <c r="B2435" s="4"/>
      <c r="C2435" s="22"/>
      <c r="D2435" s="5" t="str">
        <f aca="false">IF(B2435="","",IFERROR(INDEX(DE_PARA!$B$6:$B$205,MATCH(B2435,DE_PARA!$A$6:$A$205,0)),"SEM DE-PARA"))</f>
        <v/>
      </c>
      <c r="E2435" s="23" t="str">
        <f aca="false">IF(A2435="","",DATE(YEAR(A2435),MONTH(A2435),1))</f>
        <v/>
      </c>
    </row>
    <row r="2436" customFormat="false" ht="15" hidden="false" customHeight="false" outlineLevel="0" collapsed="false">
      <c r="A2436" s="21"/>
      <c r="B2436" s="4"/>
      <c r="C2436" s="22"/>
      <c r="D2436" s="5" t="str">
        <f aca="false">IF(B2436="","",IFERROR(INDEX(DE_PARA!$B$6:$B$205,MATCH(B2436,DE_PARA!$A$6:$A$205,0)),"SEM DE-PARA"))</f>
        <v/>
      </c>
      <c r="E2436" s="23" t="str">
        <f aca="false">IF(A2436="","",DATE(YEAR(A2436),MONTH(A2436),1))</f>
        <v/>
      </c>
    </row>
    <row r="2437" customFormat="false" ht="15" hidden="false" customHeight="false" outlineLevel="0" collapsed="false">
      <c r="A2437" s="21"/>
      <c r="B2437" s="4"/>
      <c r="C2437" s="22"/>
      <c r="D2437" s="5" t="str">
        <f aca="false">IF(B2437="","",IFERROR(INDEX(DE_PARA!$B$6:$B$205,MATCH(B2437,DE_PARA!$A$6:$A$205,0)),"SEM DE-PARA"))</f>
        <v/>
      </c>
      <c r="E2437" s="23" t="str">
        <f aca="false">IF(A2437="","",DATE(YEAR(A2437),MONTH(A2437),1))</f>
        <v/>
      </c>
    </row>
    <row r="2438" customFormat="false" ht="15" hidden="false" customHeight="false" outlineLevel="0" collapsed="false">
      <c r="A2438" s="21"/>
      <c r="B2438" s="4"/>
      <c r="C2438" s="22"/>
      <c r="D2438" s="5" t="str">
        <f aca="false">IF(B2438="","",IFERROR(INDEX(DE_PARA!$B$6:$B$205,MATCH(B2438,DE_PARA!$A$6:$A$205,0)),"SEM DE-PARA"))</f>
        <v/>
      </c>
      <c r="E2438" s="23" t="str">
        <f aca="false">IF(A2438="","",DATE(YEAR(A2438),MONTH(A2438),1))</f>
        <v/>
      </c>
    </row>
    <row r="2439" customFormat="false" ht="15" hidden="false" customHeight="false" outlineLevel="0" collapsed="false">
      <c r="A2439" s="21"/>
      <c r="B2439" s="4"/>
      <c r="C2439" s="22"/>
      <c r="D2439" s="5" t="str">
        <f aca="false">IF(B2439="","",IFERROR(INDEX(DE_PARA!$B$6:$B$205,MATCH(B2439,DE_PARA!$A$6:$A$205,0)),"SEM DE-PARA"))</f>
        <v/>
      </c>
      <c r="E2439" s="23" t="str">
        <f aca="false">IF(A2439="","",DATE(YEAR(A2439),MONTH(A2439),1))</f>
        <v/>
      </c>
    </row>
    <row r="2440" customFormat="false" ht="15" hidden="false" customHeight="false" outlineLevel="0" collapsed="false">
      <c r="A2440" s="21"/>
      <c r="B2440" s="4"/>
      <c r="C2440" s="22"/>
      <c r="D2440" s="5" t="str">
        <f aca="false">IF(B2440="","",IFERROR(INDEX(DE_PARA!$B$6:$B$205,MATCH(B2440,DE_PARA!$A$6:$A$205,0)),"SEM DE-PARA"))</f>
        <v/>
      </c>
      <c r="E2440" s="23" t="str">
        <f aca="false">IF(A2440="","",DATE(YEAR(A2440),MONTH(A2440),1))</f>
        <v/>
      </c>
    </row>
    <row r="2441" customFormat="false" ht="15" hidden="false" customHeight="false" outlineLevel="0" collapsed="false">
      <c r="A2441" s="21"/>
      <c r="B2441" s="4"/>
      <c r="C2441" s="22"/>
      <c r="D2441" s="5" t="str">
        <f aca="false">IF(B2441="","",IFERROR(INDEX(DE_PARA!$B$6:$B$205,MATCH(B2441,DE_PARA!$A$6:$A$205,0)),"SEM DE-PARA"))</f>
        <v/>
      </c>
      <c r="E2441" s="23" t="str">
        <f aca="false">IF(A2441="","",DATE(YEAR(A2441),MONTH(A2441),1))</f>
        <v/>
      </c>
    </row>
    <row r="2442" customFormat="false" ht="15" hidden="false" customHeight="false" outlineLevel="0" collapsed="false">
      <c r="A2442" s="21"/>
      <c r="B2442" s="4"/>
      <c r="C2442" s="22"/>
      <c r="D2442" s="5" t="str">
        <f aca="false">IF(B2442="","",IFERROR(INDEX(DE_PARA!$B$6:$B$205,MATCH(B2442,DE_PARA!$A$6:$A$205,0)),"SEM DE-PARA"))</f>
        <v/>
      </c>
      <c r="E2442" s="23" t="str">
        <f aca="false">IF(A2442="","",DATE(YEAR(A2442),MONTH(A2442),1))</f>
        <v/>
      </c>
    </row>
    <row r="2443" customFormat="false" ht="15" hidden="false" customHeight="false" outlineLevel="0" collapsed="false">
      <c r="A2443" s="21"/>
      <c r="B2443" s="4"/>
      <c r="C2443" s="22"/>
      <c r="D2443" s="5" t="str">
        <f aca="false">IF(B2443="","",IFERROR(INDEX(DE_PARA!$B$6:$B$205,MATCH(B2443,DE_PARA!$A$6:$A$205,0)),"SEM DE-PARA"))</f>
        <v/>
      </c>
      <c r="E2443" s="23" t="str">
        <f aca="false">IF(A2443="","",DATE(YEAR(A2443),MONTH(A2443),1))</f>
        <v/>
      </c>
    </row>
    <row r="2444" customFormat="false" ht="15" hidden="false" customHeight="false" outlineLevel="0" collapsed="false">
      <c r="A2444" s="21"/>
      <c r="B2444" s="4"/>
      <c r="C2444" s="22"/>
      <c r="D2444" s="5" t="str">
        <f aca="false">IF(B2444="","",IFERROR(INDEX(DE_PARA!$B$6:$B$205,MATCH(B2444,DE_PARA!$A$6:$A$205,0)),"SEM DE-PARA"))</f>
        <v/>
      </c>
      <c r="E2444" s="23" t="str">
        <f aca="false">IF(A2444="","",DATE(YEAR(A2444),MONTH(A2444),1))</f>
        <v/>
      </c>
    </row>
    <row r="2445" customFormat="false" ht="15" hidden="false" customHeight="false" outlineLevel="0" collapsed="false">
      <c r="A2445" s="21"/>
      <c r="B2445" s="4"/>
      <c r="C2445" s="22"/>
      <c r="D2445" s="5" t="str">
        <f aca="false">IF(B2445="","",IFERROR(INDEX(DE_PARA!$B$6:$B$205,MATCH(B2445,DE_PARA!$A$6:$A$205,0)),"SEM DE-PARA"))</f>
        <v/>
      </c>
      <c r="E2445" s="23" t="str">
        <f aca="false">IF(A2445="","",DATE(YEAR(A2445),MONTH(A2445),1))</f>
        <v/>
      </c>
    </row>
    <row r="2446" customFormat="false" ht="15" hidden="false" customHeight="false" outlineLevel="0" collapsed="false">
      <c r="A2446" s="21"/>
      <c r="B2446" s="4"/>
      <c r="C2446" s="22"/>
      <c r="D2446" s="5" t="str">
        <f aca="false">IF(B2446="","",IFERROR(INDEX(DE_PARA!$B$6:$B$205,MATCH(B2446,DE_PARA!$A$6:$A$205,0)),"SEM DE-PARA"))</f>
        <v/>
      </c>
      <c r="E2446" s="23" t="str">
        <f aca="false">IF(A2446="","",DATE(YEAR(A2446),MONTH(A2446),1))</f>
        <v/>
      </c>
    </row>
    <row r="2447" customFormat="false" ht="15" hidden="false" customHeight="false" outlineLevel="0" collapsed="false">
      <c r="A2447" s="21"/>
      <c r="B2447" s="4"/>
      <c r="C2447" s="22"/>
      <c r="D2447" s="5" t="str">
        <f aca="false">IF(B2447="","",IFERROR(INDEX(DE_PARA!$B$6:$B$205,MATCH(B2447,DE_PARA!$A$6:$A$205,0)),"SEM DE-PARA"))</f>
        <v/>
      </c>
      <c r="E2447" s="23" t="str">
        <f aca="false">IF(A2447="","",DATE(YEAR(A2447),MONTH(A2447),1))</f>
        <v/>
      </c>
    </row>
    <row r="2448" customFormat="false" ht="15" hidden="false" customHeight="false" outlineLevel="0" collapsed="false">
      <c r="A2448" s="21"/>
      <c r="B2448" s="4"/>
      <c r="C2448" s="22"/>
      <c r="D2448" s="5" t="str">
        <f aca="false">IF(B2448="","",IFERROR(INDEX(DE_PARA!$B$6:$B$205,MATCH(B2448,DE_PARA!$A$6:$A$205,0)),"SEM DE-PARA"))</f>
        <v/>
      </c>
      <c r="E2448" s="23" t="str">
        <f aca="false">IF(A2448="","",DATE(YEAR(A2448),MONTH(A2448),1))</f>
        <v/>
      </c>
    </row>
    <row r="2449" customFormat="false" ht="15" hidden="false" customHeight="false" outlineLevel="0" collapsed="false">
      <c r="A2449" s="21"/>
      <c r="B2449" s="4"/>
      <c r="C2449" s="22"/>
      <c r="D2449" s="5" t="str">
        <f aca="false">IF(B2449="","",IFERROR(INDEX(DE_PARA!$B$6:$B$205,MATCH(B2449,DE_PARA!$A$6:$A$205,0)),"SEM DE-PARA"))</f>
        <v/>
      </c>
      <c r="E2449" s="23" t="str">
        <f aca="false">IF(A2449="","",DATE(YEAR(A2449),MONTH(A2449),1))</f>
        <v/>
      </c>
    </row>
    <row r="2450" customFormat="false" ht="15" hidden="false" customHeight="false" outlineLevel="0" collapsed="false">
      <c r="A2450" s="21"/>
      <c r="B2450" s="4"/>
      <c r="C2450" s="22"/>
      <c r="D2450" s="5" t="str">
        <f aca="false">IF(B2450="","",IFERROR(INDEX(DE_PARA!$B$6:$B$205,MATCH(B2450,DE_PARA!$A$6:$A$205,0)),"SEM DE-PARA"))</f>
        <v/>
      </c>
      <c r="E2450" s="23" t="str">
        <f aca="false">IF(A2450="","",DATE(YEAR(A2450),MONTH(A2450),1))</f>
        <v/>
      </c>
    </row>
    <row r="2451" customFormat="false" ht="15" hidden="false" customHeight="false" outlineLevel="0" collapsed="false">
      <c r="A2451" s="21"/>
      <c r="B2451" s="4"/>
      <c r="C2451" s="22"/>
      <c r="D2451" s="5" t="str">
        <f aca="false">IF(B2451="","",IFERROR(INDEX(DE_PARA!$B$6:$B$205,MATCH(B2451,DE_PARA!$A$6:$A$205,0)),"SEM DE-PARA"))</f>
        <v/>
      </c>
      <c r="E2451" s="23" t="str">
        <f aca="false">IF(A2451="","",DATE(YEAR(A2451),MONTH(A2451),1))</f>
        <v/>
      </c>
    </row>
    <row r="2452" customFormat="false" ht="15" hidden="false" customHeight="false" outlineLevel="0" collapsed="false">
      <c r="A2452" s="21"/>
      <c r="B2452" s="4"/>
      <c r="C2452" s="22"/>
      <c r="D2452" s="5" t="str">
        <f aca="false">IF(B2452="","",IFERROR(INDEX(DE_PARA!$B$6:$B$205,MATCH(B2452,DE_PARA!$A$6:$A$205,0)),"SEM DE-PARA"))</f>
        <v/>
      </c>
      <c r="E2452" s="23" t="str">
        <f aca="false">IF(A2452="","",DATE(YEAR(A2452),MONTH(A2452),1))</f>
        <v/>
      </c>
    </row>
    <row r="2453" customFormat="false" ht="15" hidden="false" customHeight="false" outlineLevel="0" collapsed="false">
      <c r="A2453" s="21"/>
      <c r="B2453" s="4"/>
      <c r="C2453" s="22"/>
      <c r="D2453" s="5" t="str">
        <f aca="false">IF(B2453="","",IFERROR(INDEX(DE_PARA!$B$6:$B$205,MATCH(B2453,DE_PARA!$A$6:$A$205,0)),"SEM DE-PARA"))</f>
        <v/>
      </c>
      <c r="E2453" s="23" t="str">
        <f aca="false">IF(A2453="","",DATE(YEAR(A2453),MONTH(A2453),1))</f>
        <v/>
      </c>
    </row>
    <row r="2454" customFormat="false" ht="15" hidden="false" customHeight="false" outlineLevel="0" collapsed="false">
      <c r="A2454" s="21"/>
      <c r="B2454" s="4"/>
      <c r="C2454" s="22"/>
      <c r="D2454" s="5" t="str">
        <f aca="false">IF(B2454="","",IFERROR(INDEX(DE_PARA!$B$6:$B$205,MATCH(B2454,DE_PARA!$A$6:$A$205,0)),"SEM DE-PARA"))</f>
        <v/>
      </c>
      <c r="E2454" s="23" t="str">
        <f aca="false">IF(A2454="","",DATE(YEAR(A2454),MONTH(A2454),1))</f>
        <v/>
      </c>
    </row>
    <row r="2455" customFormat="false" ht="15" hidden="false" customHeight="false" outlineLevel="0" collapsed="false">
      <c r="A2455" s="21"/>
      <c r="B2455" s="4"/>
      <c r="C2455" s="22"/>
      <c r="D2455" s="5" t="str">
        <f aca="false">IF(B2455="","",IFERROR(INDEX(DE_PARA!$B$6:$B$205,MATCH(B2455,DE_PARA!$A$6:$A$205,0)),"SEM DE-PARA"))</f>
        <v/>
      </c>
      <c r="E2455" s="23" t="str">
        <f aca="false">IF(A2455="","",DATE(YEAR(A2455),MONTH(A2455),1))</f>
        <v/>
      </c>
    </row>
    <row r="2456" customFormat="false" ht="15" hidden="false" customHeight="false" outlineLevel="0" collapsed="false">
      <c r="A2456" s="21"/>
      <c r="B2456" s="4"/>
      <c r="C2456" s="22"/>
      <c r="D2456" s="5" t="str">
        <f aca="false">IF(B2456="","",IFERROR(INDEX(DE_PARA!$B$6:$B$205,MATCH(B2456,DE_PARA!$A$6:$A$205,0)),"SEM DE-PARA"))</f>
        <v/>
      </c>
      <c r="E2456" s="23" t="str">
        <f aca="false">IF(A2456="","",DATE(YEAR(A2456),MONTH(A2456),1))</f>
        <v/>
      </c>
    </row>
    <row r="2457" customFormat="false" ht="15" hidden="false" customHeight="false" outlineLevel="0" collapsed="false">
      <c r="A2457" s="21"/>
      <c r="B2457" s="4"/>
      <c r="C2457" s="22"/>
      <c r="D2457" s="5" t="str">
        <f aca="false">IF(B2457="","",IFERROR(INDEX(DE_PARA!$B$6:$B$205,MATCH(B2457,DE_PARA!$A$6:$A$205,0)),"SEM DE-PARA"))</f>
        <v/>
      </c>
      <c r="E2457" s="23" t="str">
        <f aca="false">IF(A2457="","",DATE(YEAR(A2457),MONTH(A2457),1))</f>
        <v/>
      </c>
    </row>
    <row r="2458" customFormat="false" ht="15" hidden="false" customHeight="false" outlineLevel="0" collapsed="false">
      <c r="A2458" s="21"/>
      <c r="B2458" s="4"/>
      <c r="C2458" s="22"/>
      <c r="D2458" s="5" t="str">
        <f aca="false">IF(B2458="","",IFERROR(INDEX(DE_PARA!$B$6:$B$205,MATCH(B2458,DE_PARA!$A$6:$A$205,0)),"SEM DE-PARA"))</f>
        <v/>
      </c>
      <c r="E2458" s="23" t="str">
        <f aca="false">IF(A2458="","",DATE(YEAR(A2458),MONTH(A2458),1))</f>
        <v/>
      </c>
    </row>
    <row r="2459" customFormat="false" ht="15" hidden="false" customHeight="false" outlineLevel="0" collapsed="false">
      <c r="A2459" s="21"/>
      <c r="B2459" s="4"/>
      <c r="C2459" s="22"/>
      <c r="D2459" s="5" t="str">
        <f aca="false">IF(B2459="","",IFERROR(INDEX(DE_PARA!$B$6:$B$205,MATCH(B2459,DE_PARA!$A$6:$A$205,0)),"SEM DE-PARA"))</f>
        <v/>
      </c>
      <c r="E2459" s="23" t="str">
        <f aca="false">IF(A2459="","",DATE(YEAR(A2459),MONTH(A2459),1))</f>
        <v/>
      </c>
    </row>
    <row r="2460" customFormat="false" ht="15" hidden="false" customHeight="false" outlineLevel="0" collapsed="false">
      <c r="A2460" s="21"/>
      <c r="B2460" s="4"/>
      <c r="C2460" s="22"/>
      <c r="D2460" s="5" t="str">
        <f aca="false">IF(B2460="","",IFERROR(INDEX(DE_PARA!$B$6:$B$205,MATCH(B2460,DE_PARA!$A$6:$A$205,0)),"SEM DE-PARA"))</f>
        <v/>
      </c>
      <c r="E2460" s="23" t="str">
        <f aca="false">IF(A2460="","",DATE(YEAR(A2460),MONTH(A2460),1))</f>
        <v/>
      </c>
    </row>
    <row r="2461" customFormat="false" ht="15" hidden="false" customHeight="false" outlineLevel="0" collapsed="false">
      <c r="A2461" s="21"/>
      <c r="B2461" s="4"/>
      <c r="C2461" s="22"/>
      <c r="D2461" s="5" t="str">
        <f aca="false">IF(B2461="","",IFERROR(INDEX(DE_PARA!$B$6:$B$205,MATCH(B2461,DE_PARA!$A$6:$A$205,0)),"SEM DE-PARA"))</f>
        <v/>
      </c>
      <c r="E2461" s="23" t="str">
        <f aca="false">IF(A2461="","",DATE(YEAR(A2461),MONTH(A2461),1))</f>
        <v/>
      </c>
    </row>
    <row r="2462" customFormat="false" ht="15" hidden="false" customHeight="false" outlineLevel="0" collapsed="false">
      <c r="A2462" s="21"/>
      <c r="B2462" s="4"/>
      <c r="C2462" s="22"/>
      <c r="D2462" s="5" t="str">
        <f aca="false">IF(B2462="","",IFERROR(INDEX(DE_PARA!$B$6:$B$205,MATCH(B2462,DE_PARA!$A$6:$A$205,0)),"SEM DE-PARA"))</f>
        <v/>
      </c>
      <c r="E2462" s="23" t="str">
        <f aca="false">IF(A2462="","",DATE(YEAR(A2462),MONTH(A2462),1))</f>
        <v/>
      </c>
    </row>
    <row r="2463" customFormat="false" ht="15" hidden="false" customHeight="false" outlineLevel="0" collapsed="false">
      <c r="A2463" s="21"/>
      <c r="B2463" s="4"/>
      <c r="C2463" s="22"/>
      <c r="D2463" s="5" t="str">
        <f aca="false">IF(B2463="","",IFERROR(INDEX(DE_PARA!$B$6:$B$205,MATCH(B2463,DE_PARA!$A$6:$A$205,0)),"SEM DE-PARA"))</f>
        <v/>
      </c>
      <c r="E2463" s="23" t="str">
        <f aca="false">IF(A2463="","",DATE(YEAR(A2463),MONTH(A2463),1))</f>
        <v/>
      </c>
    </row>
    <row r="2464" customFormat="false" ht="15" hidden="false" customHeight="false" outlineLevel="0" collapsed="false">
      <c r="A2464" s="21"/>
      <c r="B2464" s="4"/>
      <c r="C2464" s="22"/>
      <c r="D2464" s="5" t="str">
        <f aca="false">IF(B2464="","",IFERROR(INDEX(DE_PARA!$B$6:$B$205,MATCH(B2464,DE_PARA!$A$6:$A$205,0)),"SEM DE-PARA"))</f>
        <v/>
      </c>
      <c r="E2464" s="23" t="str">
        <f aca="false">IF(A2464="","",DATE(YEAR(A2464),MONTH(A2464),1))</f>
        <v/>
      </c>
    </row>
    <row r="2465" customFormat="false" ht="15" hidden="false" customHeight="false" outlineLevel="0" collapsed="false">
      <c r="A2465" s="21"/>
      <c r="B2465" s="4"/>
      <c r="C2465" s="22"/>
      <c r="D2465" s="5" t="str">
        <f aca="false">IF(B2465="","",IFERROR(INDEX(DE_PARA!$B$6:$B$205,MATCH(B2465,DE_PARA!$A$6:$A$205,0)),"SEM DE-PARA"))</f>
        <v/>
      </c>
      <c r="E2465" s="23" t="str">
        <f aca="false">IF(A2465="","",DATE(YEAR(A2465),MONTH(A2465),1))</f>
        <v/>
      </c>
    </row>
    <row r="2466" customFormat="false" ht="15" hidden="false" customHeight="false" outlineLevel="0" collapsed="false">
      <c r="A2466" s="21"/>
      <c r="B2466" s="4"/>
      <c r="C2466" s="22"/>
      <c r="D2466" s="5" t="str">
        <f aca="false">IF(B2466="","",IFERROR(INDEX(DE_PARA!$B$6:$B$205,MATCH(B2466,DE_PARA!$A$6:$A$205,0)),"SEM DE-PARA"))</f>
        <v/>
      </c>
      <c r="E2466" s="23" t="str">
        <f aca="false">IF(A2466="","",DATE(YEAR(A2466),MONTH(A2466),1))</f>
        <v/>
      </c>
    </row>
    <row r="2467" customFormat="false" ht="15" hidden="false" customHeight="false" outlineLevel="0" collapsed="false">
      <c r="A2467" s="21"/>
      <c r="B2467" s="4"/>
      <c r="C2467" s="22"/>
      <c r="D2467" s="5" t="str">
        <f aca="false">IF(B2467="","",IFERROR(INDEX(DE_PARA!$B$6:$B$205,MATCH(B2467,DE_PARA!$A$6:$A$205,0)),"SEM DE-PARA"))</f>
        <v/>
      </c>
      <c r="E2467" s="23" t="str">
        <f aca="false">IF(A2467="","",DATE(YEAR(A2467),MONTH(A2467),1))</f>
        <v/>
      </c>
    </row>
    <row r="2468" customFormat="false" ht="15" hidden="false" customHeight="false" outlineLevel="0" collapsed="false">
      <c r="A2468" s="21"/>
      <c r="B2468" s="4"/>
      <c r="C2468" s="22"/>
      <c r="D2468" s="5" t="str">
        <f aca="false">IF(B2468="","",IFERROR(INDEX(DE_PARA!$B$6:$B$205,MATCH(B2468,DE_PARA!$A$6:$A$205,0)),"SEM DE-PARA"))</f>
        <v/>
      </c>
      <c r="E2468" s="23" t="str">
        <f aca="false">IF(A2468="","",DATE(YEAR(A2468),MONTH(A2468),1))</f>
        <v/>
      </c>
    </row>
    <row r="2469" customFormat="false" ht="15" hidden="false" customHeight="false" outlineLevel="0" collapsed="false">
      <c r="A2469" s="21"/>
      <c r="B2469" s="4"/>
      <c r="C2469" s="22"/>
      <c r="D2469" s="5" t="str">
        <f aca="false">IF(B2469="","",IFERROR(INDEX(DE_PARA!$B$6:$B$205,MATCH(B2469,DE_PARA!$A$6:$A$205,0)),"SEM DE-PARA"))</f>
        <v/>
      </c>
      <c r="E2469" s="23" t="str">
        <f aca="false">IF(A2469="","",DATE(YEAR(A2469),MONTH(A2469),1))</f>
        <v/>
      </c>
    </row>
    <row r="2470" customFormat="false" ht="15" hidden="false" customHeight="false" outlineLevel="0" collapsed="false">
      <c r="A2470" s="21"/>
      <c r="B2470" s="4"/>
      <c r="C2470" s="22"/>
      <c r="D2470" s="5" t="str">
        <f aca="false">IF(B2470="","",IFERROR(INDEX(DE_PARA!$B$6:$B$205,MATCH(B2470,DE_PARA!$A$6:$A$205,0)),"SEM DE-PARA"))</f>
        <v/>
      </c>
      <c r="E2470" s="23" t="str">
        <f aca="false">IF(A2470="","",DATE(YEAR(A2470),MONTH(A2470),1))</f>
        <v/>
      </c>
    </row>
    <row r="2471" customFormat="false" ht="15" hidden="false" customHeight="false" outlineLevel="0" collapsed="false">
      <c r="A2471" s="21"/>
      <c r="B2471" s="4"/>
      <c r="C2471" s="22"/>
      <c r="D2471" s="5" t="str">
        <f aca="false">IF(B2471="","",IFERROR(INDEX(DE_PARA!$B$6:$B$205,MATCH(B2471,DE_PARA!$A$6:$A$205,0)),"SEM DE-PARA"))</f>
        <v/>
      </c>
      <c r="E2471" s="23" t="str">
        <f aca="false">IF(A2471="","",DATE(YEAR(A2471),MONTH(A2471),1))</f>
        <v/>
      </c>
    </row>
    <row r="2472" customFormat="false" ht="15" hidden="false" customHeight="false" outlineLevel="0" collapsed="false">
      <c r="A2472" s="21"/>
      <c r="B2472" s="4"/>
      <c r="C2472" s="22"/>
      <c r="D2472" s="5" t="str">
        <f aca="false">IF(B2472="","",IFERROR(INDEX(DE_PARA!$B$6:$B$205,MATCH(B2472,DE_PARA!$A$6:$A$205,0)),"SEM DE-PARA"))</f>
        <v/>
      </c>
      <c r="E2472" s="23" t="str">
        <f aca="false">IF(A2472="","",DATE(YEAR(A2472),MONTH(A2472),1))</f>
        <v/>
      </c>
    </row>
    <row r="2473" customFormat="false" ht="15" hidden="false" customHeight="false" outlineLevel="0" collapsed="false">
      <c r="A2473" s="21"/>
      <c r="B2473" s="4"/>
      <c r="C2473" s="22"/>
      <c r="D2473" s="5" t="str">
        <f aca="false">IF(B2473="","",IFERROR(INDEX(DE_PARA!$B$6:$B$205,MATCH(B2473,DE_PARA!$A$6:$A$205,0)),"SEM DE-PARA"))</f>
        <v/>
      </c>
      <c r="E2473" s="23" t="str">
        <f aca="false">IF(A2473="","",DATE(YEAR(A2473),MONTH(A2473),1))</f>
        <v/>
      </c>
    </row>
    <row r="2474" customFormat="false" ht="15" hidden="false" customHeight="false" outlineLevel="0" collapsed="false">
      <c r="A2474" s="21"/>
      <c r="B2474" s="4"/>
      <c r="C2474" s="22"/>
      <c r="D2474" s="5" t="str">
        <f aca="false">IF(B2474="","",IFERROR(INDEX(DE_PARA!$B$6:$B$205,MATCH(B2474,DE_PARA!$A$6:$A$205,0)),"SEM DE-PARA"))</f>
        <v/>
      </c>
      <c r="E2474" s="23" t="str">
        <f aca="false">IF(A2474="","",DATE(YEAR(A2474),MONTH(A2474),1))</f>
        <v/>
      </c>
    </row>
    <row r="2475" customFormat="false" ht="15" hidden="false" customHeight="false" outlineLevel="0" collapsed="false">
      <c r="A2475" s="21"/>
      <c r="B2475" s="4"/>
      <c r="C2475" s="22"/>
      <c r="D2475" s="5" t="str">
        <f aca="false">IF(B2475="","",IFERROR(INDEX(DE_PARA!$B$6:$B$205,MATCH(B2475,DE_PARA!$A$6:$A$205,0)),"SEM DE-PARA"))</f>
        <v/>
      </c>
      <c r="E2475" s="23" t="str">
        <f aca="false">IF(A2475="","",DATE(YEAR(A2475),MONTH(A2475),1))</f>
        <v/>
      </c>
    </row>
    <row r="2476" customFormat="false" ht="15" hidden="false" customHeight="false" outlineLevel="0" collapsed="false">
      <c r="A2476" s="21"/>
      <c r="B2476" s="4"/>
      <c r="C2476" s="22"/>
      <c r="D2476" s="5" t="str">
        <f aca="false">IF(B2476="","",IFERROR(INDEX(DE_PARA!$B$6:$B$205,MATCH(B2476,DE_PARA!$A$6:$A$205,0)),"SEM DE-PARA"))</f>
        <v/>
      </c>
      <c r="E2476" s="23" t="str">
        <f aca="false">IF(A2476="","",DATE(YEAR(A2476),MONTH(A2476),1))</f>
        <v/>
      </c>
    </row>
    <row r="2477" customFormat="false" ht="15" hidden="false" customHeight="false" outlineLevel="0" collapsed="false">
      <c r="A2477" s="21"/>
      <c r="B2477" s="4"/>
      <c r="C2477" s="22"/>
      <c r="D2477" s="5" t="str">
        <f aca="false">IF(B2477="","",IFERROR(INDEX(DE_PARA!$B$6:$B$205,MATCH(B2477,DE_PARA!$A$6:$A$205,0)),"SEM DE-PARA"))</f>
        <v/>
      </c>
      <c r="E2477" s="23" t="str">
        <f aca="false">IF(A2477="","",DATE(YEAR(A2477),MONTH(A2477),1))</f>
        <v/>
      </c>
    </row>
    <row r="2478" customFormat="false" ht="15" hidden="false" customHeight="false" outlineLevel="0" collapsed="false">
      <c r="A2478" s="21"/>
      <c r="B2478" s="4"/>
      <c r="C2478" s="22"/>
      <c r="D2478" s="5" t="str">
        <f aca="false">IF(B2478="","",IFERROR(INDEX(DE_PARA!$B$6:$B$205,MATCH(B2478,DE_PARA!$A$6:$A$205,0)),"SEM DE-PARA"))</f>
        <v/>
      </c>
      <c r="E2478" s="23" t="str">
        <f aca="false">IF(A2478="","",DATE(YEAR(A2478),MONTH(A2478),1))</f>
        <v/>
      </c>
    </row>
    <row r="2479" customFormat="false" ht="15" hidden="false" customHeight="false" outlineLevel="0" collapsed="false">
      <c r="A2479" s="21"/>
      <c r="B2479" s="4"/>
      <c r="C2479" s="22"/>
      <c r="D2479" s="5" t="str">
        <f aca="false">IF(B2479="","",IFERROR(INDEX(DE_PARA!$B$6:$B$205,MATCH(B2479,DE_PARA!$A$6:$A$205,0)),"SEM DE-PARA"))</f>
        <v/>
      </c>
      <c r="E2479" s="23" t="str">
        <f aca="false">IF(A2479="","",DATE(YEAR(A2479),MONTH(A2479),1))</f>
        <v/>
      </c>
    </row>
    <row r="2480" customFormat="false" ht="15" hidden="false" customHeight="false" outlineLevel="0" collapsed="false">
      <c r="A2480" s="21"/>
      <c r="B2480" s="4"/>
      <c r="C2480" s="22"/>
      <c r="D2480" s="5" t="str">
        <f aca="false">IF(B2480="","",IFERROR(INDEX(DE_PARA!$B$6:$B$205,MATCH(B2480,DE_PARA!$A$6:$A$205,0)),"SEM DE-PARA"))</f>
        <v/>
      </c>
      <c r="E2480" s="23" t="str">
        <f aca="false">IF(A2480="","",DATE(YEAR(A2480),MONTH(A2480),1))</f>
        <v/>
      </c>
    </row>
    <row r="2481" customFormat="false" ht="15" hidden="false" customHeight="false" outlineLevel="0" collapsed="false">
      <c r="A2481" s="21"/>
      <c r="B2481" s="4"/>
      <c r="C2481" s="22"/>
      <c r="D2481" s="5" t="str">
        <f aca="false">IF(B2481="","",IFERROR(INDEX(DE_PARA!$B$6:$B$205,MATCH(B2481,DE_PARA!$A$6:$A$205,0)),"SEM DE-PARA"))</f>
        <v/>
      </c>
      <c r="E2481" s="23" t="str">
        <f aca="false">IF(A2481="","",DATE(YEAR(A2481),MONTH(A2481),1))</f>
        <v/>
      </c>
    </row>
    <row r="2482" customFormat="false" ht="15" hidden="false" customHeight="false" outlineLevel="0" collapsed="false">
      <c r="A2482" s="21"/>
      <c r="B2482" s="4"/>
      <c r="C2482" s="22"/>
      <c r="D2482" s="5" t="str">
        <f aca="false">IF(B2482="","",IFERROR(INDEX(DE_PARA!$B$6:$B$205,MATCH(B2482,DE_PARA!$A$6:$A$205,0)),"SEM DE-PARA"))</f>
        <v/>
      </c>
      <c r="E2482" s="23" t="str">
        <f aca="false">IF(A2482="","",DATE(YEAR(A2482),MONTH(A2482),1))</f>
        <v/>
      </c>
    </row>
    <row r="2483" customFormat="false" ht="15" hidden="false" customHeight="false" outlineLevel="0" collapsed="false">
      <c r="A2483" s="21"/>
      <c r="B2483" s="4"/>
      <c r="C2483" s="22"/>
      <c r="D2483" s="5" t="str">
        <f aca="false">IF(B2483="","",IFERROR(INDEX(DE_PARA!$B$6:$B$205,MATCH(B2483,DE_PARA!$A$6:$A$205,0)),"SEM DE-PARA"))</f>
        <v/>
      </c>
      <c r="E2483" s="23" t="str">
        <f aca="false">IF(A2483="","",DATE(YEAR(A2483),MONTH(A2483),1))</f>
        <v/>
      </c>
    </row>
    <row r="2484" customFormat="false" ht="15" hidden="false" customHeight="false" outlineLevel="0" collapsed="false">
      <c r="A2484" s="21"/>
      <c r="B2484" s="4"/>
      <c r="C2484" s="22"/>
      <c r="D2484" s="5" t="str">
        <f aca="false">IF(B2484="","",IFERROR(INDEX(DE_PARA!$B$6:$B$205,MATCH(B2484,DE_PARA!$A$6:$A$205,0)),"SEM DE-PARA"))</f>
        <v/>
      </c>
      <c r="E2484" s="23" t="str">
        <f aca="false">IF(A2484="","",DATE(YEAR(A2484),MONTH(A2484),1))</f>
        <v/>
      </c>
    </row>
    <row r="2485" customFormat="false" ht="15" hidden="false" customHeight="false" outlineLevel="0" collapsed="false">
      <c r="A2485" s="21"/>
      <c r="B2485" s="4"/>
      <c r="C2485" s="22"/>
      <c r="D2485" s="5" t="str">
        <f aca="false">IF(B2485="","",IFERROR(INDEX(DE_PARA!$B$6:$B$205,MATCH(B2485,DE_PARA!$A$6:$A$205,0)),"SEM DE-PARA"))</f>
        <v/>
      </c>
      <c r="E2485" s="23" t="str">
        <f aca="false">IF(A2485="","",DATE(YEAR(A2485),MONTH(A2485),1))</f>
        <v/>
      </c>
    </row>
    <row r="2486" customFormat="false" ht="15" hidden="false" customHeight="false" outlineLevel="0" collapsed="false">
      <c r="A2486" s="21"/>
      <c r="B2486" s="4"/>
      <c r="C2486" s="22"/>
      <c r="D2486" s="5" t="str">
        <f aca="false">IF(B2486="","",IFERROR(INDEX(DE_PARA!$B$6:$B$205,MATCH(B2486,DE_PARA!$A$6:$A$205,0)),"SEM DE-PARA"))</f>
        <v/>
      </c>
      <c r="E2486" s="23" t="str">
        <f aca="false">IF(A2486="","",DATE(YEAR(A2486),MONTH(A2486),1))</f>
        <v/>
      </c>
    </row>
    <row r="2487" customFormat="false" ht="15" hidden="false" customHeight="false" outlineLevel="0" collapsed="false">
      <c r="A2487" s="21"/>
      <c r="B2487" s="4"/>
      <c r="C2487" s="22"/>
      <c r="D2487" s="5" t="str">
        <f aca="false">IF(B2487="","",IFERROR(INDEX(DE_PARA!$B$6:$B$205,MATCH(B2487,DE_PARA!$A$6:$A$205,0)),"SEM DE-PARA"))</f>
        <v/>
      </c>
      <c r="E2487" s="23" t="str">
        <f aca="false">IF(A2487="","",DATE(YEAR(A2487),MONTH(A2487),1))</f>
        <v/>
      </c>
    </row>
    <row r="2488" customFormat="false" ht="15" hidden="false" customHeight="false" outlineLevel="0" collapsed="false">
      <c r="A2488" s="21"/>
      <c r="B2488" s="4"/>
      <c r="C2488" s="22"/>
      <c r="D2488" s="5" t="str">
        <f aca="false">IF(B2488="","",IFERROR(INDEX(DE_PARA!$B$6:$B$205,MATCH(B2488,DE_PARA!$A$6:$A$205,0)),"SEM DE-PARA"))</f>
        <v/>
      </c>
      <c r="E2488" s="23" t="str">
        <f aca="false">IF(A2488="","",DATE(YEAR(A2488),MONTH(A2488),1))</f>
        <v/>
      </c>
    </row>
    <row r="2489" customFormat="false" ht="15" hidden="false" customHeight="false" outlineLevel="0" collapsed="false">
      <c r="A2489" s="21"/>
      <c r="B2489" s="4"/>
      <c r="C2489" s="22"/>
      <c r="D2489" s="5" t="str">
        <f aca="false">IF(B2489="","",IFERROR(INDEX(DE_PARA!$B$6:$B$205,MATCH(B2489,DE_PARA!$A$6:$A$205,0)),"SEM DE-PARA"))</f>
        <v/>
      </c>
      <c r="E2489" s="23" t="str">
        <f aca="false">IF(A2489="","",DATE(YEAR(A2489),MONTH(A2489),1))</f>
        <v/>
      </c>
    </row>
    <row r="2490" customFormat="false" ht="15" hidden="false" customHeight="false" outlineLevel="0" collapsed="false">
      <c r="A2490" s="21"/>
      <c r="B2490" s="4"/>
      <c r="C2490" s="22"/>
      <c r="D2490" s="5" t="str">
        <f aca="false">IF(B2490="","",IFERROR(INDEX(DE_PARA!$B$6:$B$205,MATCH(B2490,DE_PARA!$A$6:$A$205,0)),"SEM DE-PARA"))</f>
        <v/>
      </c>
      <c r="E2490" s="23" t="str">
        <f aca="false">IF(A2490="","",DATE(YEAR(A2490),MONTH(A2490),1))</f>
        <v/>
      </c>
    </row>
    <row r="2491" customFormat="false" ht="15" hidden="false" customHeight="false" outlineLevel="0" collapsed="false">
      <c r="A2491" s="21"/>
      <c r="B2491" s="4"/>
      <c r="C2491" s="22"/>
      <c r="D2491" s="5" t="str">
        <f aca="false">IF(B2491="","",IFERROR(INDEX(DE_PARA!$B$6:$B$205,MATCH(B2491,DE_PARA!$A$6:$A$205,0)),"SEM DE-PARA"))</f>
        <v/>
      </c>
      <c r="E2491" s="23" t="str">
        <f aca="false">IF(A2491="","",DATE(YEAR(A2491),MONTH(A2491),1))</f>
        <v/>
      </c>
    </row>
    <row r="2492" customFormat="false" ht="15" hidden="false" customHeight="false" outlineLevel="0" collapsed="false">
      <c r="A2492" s="21"/>
      <c r="B2492" s="4"/>
      <c r="C2492" s="22"/>
      <c r="D2492" s="5" t="str">
        <f aca="false">IF(B2492="","",IFERROR(INDEX(DE_PARA!$B$6:$B$205,MATCH(B2492,DE_PARA!$A$6:$A$205,0)),"SEM DE-PARA"))</f>
        <v/>
      </c>
      <c r="E2492" s="23" t="str">
        <f aca="false">IF(A2492="","",DATE(YEAR(A2492),MONTH(A2492),1))</f>
        <v/>
      </c>
    </row>
    <row r="2493" customFormat="false" ht="15" hidden="false" customHeight="false" outlineLevel="0" collapsed="false">
      <c r="A2493" s="21"/>
      <c r="B2493" s="4"/>
      <c r="C2493" s="22"/>
      <c r="D2493" s="5" t="str">
        <f aca="false">IF(B2493="","",IFERROR(INDEX(DE_PARA!$B$6:$B$205,MATCH(B2493,DE_PARA!$A$6:$A$205,0)),"SEM DE-PARA"))</f>
        <v/>
      </c>
      <c r="E2493" s="23" t="str">
        <f aca="false">IF(A2493="","",DATE(YEAR(A2493),MONTH(A2493),1))</f>
        <v/>
      </c>
    </row>
    <row r="2494" customFormat="false" ht="15" hidden="false" customHeight="false" outlineLevel="0" collapsed="false">
      <c r="A2494" s="21"/>
      <c r="B2494" s="4"/>
      <c r="C2494" s="22"/>
      <c r="D2494" s="5" t="str">
        <f aca="false">IF(B2494="","",IFERROR(INDEX(DE_PARA!$B$6:$B$205,MATCH(B2494,DE_PARA!$A$6:$A$205,0)),"SEM DE-PARA"))</f>
        <v/>
      </c>
      <c r="E2494" s="23" t="str">
        <f aca="false">IF(A2494="","",DATE(YEAR(A2494),MONTH(A2494),1))</f>
        <v/>
      </c>
    </row>
    <row r="2495" customFormat="false" ht="15" hidden="false" customHeight="false" outlineLevel="0" collapsed="false">
      <c r="A2495" s="21"/>
      <c r="B2495" s="4"/>
      <c r="C2495" s="22"/>
      <c r="D2495" s="5" t="str">
        <f aca="false">IF(B2495="","",IFERROR(INDEX(DE_PARA!$B$6:$B$205,MATCH(B2495,DE_PARA!$A$6:$A$205,0)),"SEM DE-PARA"))</f>
        <v/>
      </c>
      <c r="E2495" s="23" t="str">
        <f aca="false">IF(A2495="","",DATE(YEAR(A2495),MONTH(A2495),1))</f>
        <v/>
      </c>
    </row>
    <row r="2496" customFormat="false" ht="15" hidden="false" customHeight="false" outlineLevel="0" collapsed="false">
      <c r="A2496" s="21"/>
      <c r="B2496" s="4"/>
      <c r="C2496" s="22"/>
      <c r="D2496" s="5" t="str">
        <f aca="false">IF(B2496="","",IFERROR(INDEX(DE_PARA!$B$6:$B$205,MATCH(B2496,DE_PARA!$A$6:$A$205,0)),"SEM DE-PARA"))</f>
        <v/>
      </c>
      <c r="E2496" s="23" t="str">
        <f aca="false">IF(A2496="","",DATE(YEAR(A2496),MONTH(A2496),1))</f>
        <v/>
      </c>
    </row>
    <row r="2497" customFormat="false" ht="15" hidden="false" customHeight="false" outlineLevel="0" collapsed="false">
      <c r="A2497" s="21"/>
      <c r="B2497" s="4"/>
      <c r="C2497" s="22"/>
      <c r="D2497" s="5" t="str">
        <f aca="false">IF(B2497="","",IFERROR(INDEX(DE_PARA!$B$6:$B$205,MATCH(B2497,DE_PARA!$A$6:$A$205,0)),"SEM DE-PARA"))</f>
        <v/>
      </c>
      <c r="E2497" s="23" t="str">
        <f aca="false">IF(A2497="","",DATE(YEAR(A2497),MONTH(A2497),1))</f>
        <v/>
      </c>
    </row>
    <row r="2498" customFormat="false" ht="15" hidden="false" customHeight="false" outlineLevel="0" collapsed="false">
      <c r="A2498" s="21"/>
      <c r="B2498" s="4"/>
      <c r="C2498" s="22"/>
      <c r="D2498" s="5" t="str">
        <f aca="false">IF(B2498="","",IFERROR(INDEX(DE_PARA!$B$6:$B$205,MATCH(B2498,DE_PARA!$A$6:$A$205,0)),"SEM DE-PARA"))</f>
        <v/>
      </c>
      <c r="E2498" s="23" t="str">
        <f aca="false">IF(A2498="","",DATE(YEAR(A2498),MONTH(A2498),1))</f>
        <v/>
      </c>
    </row>
    <row r="2499" customFormat="false" ht="15" hidden="false" customHeight="false" outlineLevel="0" collapsed="false">
      <c r="A2499" s="21"/>
      <c r="B2499" s="4"/>
      <c r="C2499" s="22"/>
      <c r="D2499" s="5" t="str">
        <f aca="false">IF(B2499="","",IFERROR(INDEX(DE_PARA!$B$6:$B$205,MATCH(B2499,DE_PARA!$A$6:$A$205,0)),"SEM DE-PARA"))</f>
        <v/>
      </c>
      <c r="E2499" s="23" t="str">
        <f aca="false">IF(A2499="","",DATE(YEAR(A2499),MONTH(A2499),1))</f>
        <v/>
      </c>
    </row>
    <row r="2500" customFormat="false" ht="15" hidden="false" customHeight="false" outlineLevel="0" collapsed="false">
      <c r="A2500" s="21"/>
      <c r="B2500" s="4"/>
      <c r="C2500" s="22"/>
      <c r="D2500" s="5" t="str">
        <f aca="false">IF(B2500="","",IFERROR(INDEX(DE_PARA!$B$6:$B$205,MATCH(B2500,DE_PARA!$A$6:$A$205,0)),"SEM DE-PARA"))</f>
        <v/>
      </c>
      <c r="E2500" s="23" t="str">
        <f aca="false">IF(A2500="","",DATE(YEAR(A2500),MONTH(A2500),1))</f>
        <v/>
      </c>
    </row>
    <row r="2501" customFormat="false" ht="15" hidden="false" customHeight="false" outlineLevel="0" collapsed="false">
      <c r="A2501" s="21"/>
      <c r="B2501" s="4"/>
      <c r="C2501" s="22"/>
      <c r="D2501" s="5" t="str">
        <f aca="false">IF(B2501="","",IFERROR(INDEX(DE_PARA!$B$6:$B$205,MATCH(B2501,DE_PARA!$A$6:$A$205,0)),"SEM DE-PARA"))</f>
        <v/>
      </c>
      <c r="E2501" s="23" t="str">
        <f aca="false">IF(A2501="","",DATE(YEAR(A2501),MONTH(A2501),1))</f>
        <v/>
      </c>
    </row>
    <row r="2502" customFormat="false" ht="15" hidden="false" customHeight="false" outlineLevel="0" collapsed="false">
      <c r="A2502" s="21"/>
      <c r="B2502" s="4"/>
      <c r="C2502" s="22"/>
      <c r="D2502" s="5" t="str">
        <f aca="false">IF(B2502="","",IFERROR(INDEX(DE_PARA!$B$6:$B$205,MATCH(B2502,DE_PARA!$A$6:$A$205,0)),"SEM DE-PARA"))</f>
        <v/>
      </c>
      <c r="E2502" s="23" t="str">
        <f aca="false">IF(A2502="","",DATE(YEAR(A2502),MONTH(A2502),1))</f>
        <v/>
      </c>
    </row>
    <row r="2503" customFormat="false" ht="15" hidden="false" customHeight="false" outlineLevel="0" collapsed="false">
      <c r="A2503" s="21"/>
      <c r="B2503" s="4"/>
      <c r="C2503" s="22"/>
      <c r="D2503" s="5" t="str">
        <f aca="false">IF(B2503="","",IFERROR(INDEX(DE_PARA!$B$6:$B$205,MATCH(B2503,DE_PARA!$A$6:$A$205,0)),"SEM DE-PARA"))</f>
        <v/>
      </c>
      <c r="E2503" s="23" t="str">
        <f aca="false">IF(A2503="","",DATE(YEAR(A2503),MONTH(A2503),1))</f>
        <v/>
      </c>
    </row>
    <row r="2504" customFormat="false" ht="15" hidden="false" customHeight="false" outlineLevel="0" collapsed="false">
      <c r="A2504" s="21"/>
      <c r="B2504" s="4"/>
      <c r="C2504" s="22"/>
      <c r="D2504" s="5" t="str">
        <f aca="false">IF(B2504="","",IFERROR(INDEX(DE_PARA!$B$6:$B$205,MATCH(B2504,DE_PARA!$A$6:$A$205,0)),"SEM DE-PARA"))</f>
        <v/>
      </c>
      <c r="E2504" s="23" t="str">
        <f aca="false">IF(A2504="","",DATE(YEAR(A2504),MONTH(A2504),1))</f>
        <v/>
      </c>
    </row>
    <row r="2505" customFormat="false" ht="15" hidden="false" customHeight="false" outlineLevel="0" collapsed="false">
      <c r="A2505" s="21"/>
      <c r="B2505" s="4"/>
      <c r="C2505" s="22"/>
      <c r="D2505" s="5" t="str">
        <f aca="false">IF(B2505="","",IFERROR(INDEX(DE_PARA!$B$6:$B$205,MATCH(B2505,DE_PARA!$A$6:$A$205,0)),"SEM DE-PARA"))</f>
        <v/>
      </c>
      <c r="E2505" s="23" t="str">
        <f aca="false">IF(A2505="","",DATE(YEAR(A2505),MONTH(A2505),1))</f>
        <v/>
      </c>
    </row>
    <row r="2506" customFormat="false" ht="15" hidden="false" customHeight="false" outlineLevel="0" collapsed="false">
      <c r="A2506" s="21"/>
      <c r="B2506" s="4"/>
      <c r="C2506" s="22"/>
      <c r="D2506" s="5" t="str">
        <f aca="false">IF(B2506="","",IFERROR(INDEX(DE_PARA!$B$6:$B$205,MATCH(B2506,DE_PARA!$A$6:$A$205,0)),"SEM DE-PARA"))</f>
        <v/>
      </c>
      <c r="E2506" s="23" t="str">
        <f aca="false">IF(A2506="","",DATE(YEAR(A2506),MONTH(A2506),1))</f>
        <v/>
      </c>
    </row>
    <row r="2507" customFormat="false" ht="15" hidden="false" customHeight="false" outlineLevel="0" collapsed="false">
      <c r="A2507" s="21"/>
      <c r="B2507" s="4"/>
      <c r="C2507" s="22"/>
      <c r="D2507" s="5" t="str">
        <f aca="false">IF(B2507="","",IFERROR(INDEX(DE_PARA!$B$6:$B$205,MATCH(B2507,DE_PARA!$A$6:$A$205,0)),"SEM DE-PARA"))</f>
        <v/>
      </c>
      <c r="E2507" s="23" t="str">
        <f aca="false">IF(A2507="","",DATE(YEAR(A2507),MONTH(A2507),1))</f>
        <v/>
      </c>
    </row>
    <row r="2508" customFormat="false" ht="15" hidden="false" customHeight="false" outlineLevel="0" collapsed="false">
      <c r="A2508" s="21"/>
      <c r="B2508" s="4"/>
      <c r="C2508" s="22"/>
      <c r="D2508" s="5" t="str">
        <f aca="false">IF(B2508="","",IFERROR(INDEX(DE_PARA!$B$6:$B$205,MATCH(B2508,DE_PARA!$A$6:$A$205,0)),"SEM DE-PARA"))</f>
        <v/>
      </c>
      <c r="E2508" s="23" t="str">
        <f aca="false">IF(A2508="","",DATE(YEAR(A2508),MONTH(A2508),1))</f>
        <v/>
      </c>
    </row>
    <row r="2509" customFormat="false" ht="15" hidden="false" customHeight="false" outlineLevel="0" collapsed="false">
      <c r="A2509" s="21"/>
      <c r="B2509" s="4"/>
      <c r="C2509" s="22"/>
      <c r="D2509" s="5" t="str">
        <f aca="false">IF(B2509="","",IFERROR(INDEX(DE_PARA!$B$6:$B$205,MATCH(B2509,DE_PARA!$A$6:$A$205,0)),"SEM DE-PARA"))</f>
        <v/>
      </c>
      <c r="E2509" s="23" t="str">
        <f aca="false">IF(A2509="","",DATE(YEAR(A2509),MONTH(A2509),1))</f>
        <v/>
      </c>
    </row>
    <row r="2510" customFormat="false" ht="15" hidden="false" customHeight="false" outlineLevel="0" collapsed="false">
      <c r="A2510" s="21"/>
      <c r="B2510" s="4"/>
      <c r="C2510" s="22"/>
      <c r="D2510" s="5" t="str">
        <f aca="false">IF(B2510="","",IFERROR(INDEX(DE_PARA!$B$6:$B$205,MATCH(B2510,DE_PARA!$A$6:$A$205,0)),"SEM DE-PARA"))</f>
        <v/>
      </c>
      <c r="E2510" s="23" t="str">
        <f aca="false">IF(A2510="","",DATE(YEAR(A2510),MONTH(A2510),1))</f>
        <v/>
      </c>
    </row>
    <row r="2511" customFormat="false" ht="15" hidden="false" customHeight="false" outlineLevel="0" collapsed="false">
      <c r="A2511" s="21"/>
      <c r="B2511" s="4"/>
      <c r="C2511" s="22"/>
      <c r="D2511" s="5" t="str">
        <f aca="false">IF(B2511="","",IFERROR(INDEX(DE_PARA!$B$6:$B$205,MATCH(B2511,DE_PARA!$A$6:$A$205,0)),"SEM DE-PARA"))</f>
        <v/>
      </c>
      <c r="E2511" s="23" t="str">
        <f aca="false">IF(A2511="","",DATE(YEAR(A2511),MONTH(A2511),1))</f>
        <v/>
      </c>
    </row>
    <row r="2512" customFormat="false" ht="15" hidden="false" customHeight="false" outlineLevel="0" collapsed="false">
      <c r="A2512" s="21"/>
      <c r="B2512" s="4"/>
      <c r="C2512" s="22"/>
      <c r="D2512" s="5" t="str">
        <f aca="false">IF(B2512="","",IFERROR(INDEX(DE_PARA!$B$6:$B$205,MATCH(B2512,DE_PARA!$A$6:$A$205,0)),"SEM DE-PARA"))</f>
        <v/>
      </c>
      <c r="E2512" s="23" t="str">
        <f aca="false">IF(A2512="","",DATE(YEAR(A2512),MONTH(A2512),1))</f>
        <v/>
      </c>
    </row>
    <row r="2513" customFormat="false" ht="15" hidden="false" customHeight="false" outlineLevel="0" collapsed="false">
      <c r="A2513" s="21"/>
      <c r="B2513" s="4"/>
      <c r="C2513" s="22"/>
      <c r="D2513" s="5" t="str">
        <f aca="false">IF(B2513="","",IFERROR(INDEX(DE_PARA!$B$6:$B$205,MATCH(B2513,DE_PARA!$A$6:$A$205,0)),"SEM DE-PARA"))</f>
        <v/>
      </c>
      <c r="E2513" s="23" t="str">
        <f aca="false">IF(A2513="","",DATE(YEAR(A2513),MONTH(A2513),1))</f>
        <v/>
      </c>
    </row>
    <row r="2514" customFormat="false" ht="15" hidden="false" customHeight="false" outlineLevel="0" collapsed="false">
      <c r="A2514" s="21"/>
      <c r="B2514" s="4"/>
      <c r="C2514" s="22"/>
      <c r="D2514" s="5" t="str">
        <f aca="false">IF(B2514="","",IFERROR(INDEX(DE_PARA!$B$6:$B$205,MATCH(B2514,DE_PARA!$A$6:$A$205,0)),"SEM DE-PARA"))</f>
        <v/>
      </c>
      <c r="E2514" s="23" t="str">
        <f aca="false">IF(A2514="","",DATE(YEAR(A2514),MONTH(A2514),1))</f>
        <v/>
      </c>
    </row>
    <row r="2515" customFormat="false" ht="15" hidden="false" customHeight="false" outlineLevel="0" collapsed="false">
      <c r="A2515" s="21"/>
      <c r="B2515" s="4"/>
      <c r="C2515" s="22"/>
      <c r="D2515" s="5" t="str">
        <f aca="false">IF(B2515="","",IFERROR(INDEX(DE_PARA!$B$6:$B$205,MATCH(B2515,DE_PARA!$A$6:$A$205,0)),"SEM DE-PARA"))</f>
        <v/>
      </c>
      <c r="E2515" s="23" t="str">
        <f aca="false">IF(A2515="","",DATE(YEAR(A2515),MONTH(A2515),1))</f>
        <v/>
      </c>
    </row>
    <row r="2516" customFormat="false" ht="15" hidden="false" customHeight="false" outlineLevel="0" collapsed="false">
      <c r="A2516" s="21"/>
      <c r="B2516" s="4"/>
      <c r="C2516" s="22"/>
      <c r="D2516" s="5" t="str">
        <f aca="false">IF(B2516="","",IFERROR(INDEX(DE_PARA!$B$6:$B$205,MATCH(B2516,DE_PARA!$A$6:$A$205,0)),"SEM DE-PARA"))</f>
        <v/>
      </c>
      <c r="E2516" s="23" t="str">
        <f aca="false">IF(A2516="","",DATE(YEAR(A2516),MONTH(A2516),1))</f>
        <v/>
      </c>
    </row>
    <row r="2517" customFormat="false" ht="15" hidden="false" customHeight="false" outlineLevel="0" collapsed="false">
      <c r="A2517" s="21"/>
      <c r="B2517" s="4"/>
      <c r="C2517" s="22"/>
      <c r="D2517" s="5" t="str">
        <f aca="false">IF(B2517="","",IFERROR(INDEX(DE_PARA!$B$6:$B$205,MATCH(B2517,DE_PARA!$A$6:$A$205,0)),"SEM DE-PARA"))</f>
        <v/>
      </c>
      <c r="E2517" s="23" t="str">
        <f aca="false">IF(A2517="","",DATE(YEAR(A2517),MONTH(A2517),1))</f>
        <v/>
      </c>
    </row>
    <row r="2518" customFormat="false" ht="15" hidden="false" customHeight="false" outlineLevel="0" collapsed="false">
      <c r="A2518" s="21"/>
      <c r="B2518" s="4"/>
      <c r="C2518" s="22"/>
      <c r="D2518" s="5" t="str">
        <f aca="false">IF(B2518="","",IFERROR(INDEX(DE_PARA!$B$6:$B$205,MATCH(B2518,DE_PARA!$A$6:$A$205,0)),"SEM DE-PARA"))</f>
        <v/>
      </c>
      <c r="E2518" s="23" t="str">
        <f aca="false">IF(A2518="","",DATE(YEAR(A2518),MONTH(A2518),1))</f>
        <v/>
      </c>
    </row>
    <row r="2519" customFormat="false" ht="15" hidden="false" customHeight="false" outlineLevel="0" collapsed="false">
      <c r="A2519" s="21"/>
      <c r="B2519" s="4"/>
      <c r="C2519" s="22"/>
      <c r="D2519" s="5" t="str">
        <f aca="false">IF(B2519="","",IFERROR(INDEX(DE_PARA!$B$6:$B$205,MATCH(B2519,DE_PARA!$A$6:$A$205,0)),"SEM DE-PARA"))</f>
        <v/>
      </c>
      <c r="E2519" s="23" t="str">
        <f aca="false">IF(A2519="","",DATE(YEAR(A2519),MONTH(A2519),1))</f>
        <v/>
      </c>
    </row>
    <row r="2520" customFormat="false" ht="15" hidden="false" customHeight="false" outlineLevel="0" collapsed="false">
      <c r="A2520" s="21"/>
      <c r="B2520" s="4"/>
      <c r="C2520" s="22"/>
      <c r="D2520" s="5" t="str">
        <f aca="false">IF(B2520="","",IFERROR(INDEX(DE_PARA!$B$6:$B$205,MATCH(B2520,DE_PARA!$A$6:$A$205,0)),"SEM DE-PARA"))</f>
        <v/>
      </c>
      <c r="E2520" s="23" t="str">
        <f aca="false">IF(A2520="","",DATE(YEAR(A2520),MONTH(A2520),1))</f>
        <v/>
      </c>
    </row>
    <row r="2521" customFormat="false" ht="15" hidden="false" customHeight="false" outlineLevel="0" collapsed="false">
      <c r="A2521" s="21"/>
      <c r="B2521" s="4"/>
      <c r="C2521" s="22"/>
      <c r="D2521" s="5" t="str">
        <f aca="false">IF(B2521="","",IFERROR(INDEX(DE_PARA!$B$6:$B$205,MATCH(B2521,DE_PARA!$A$6:$A$205,0)),"SEM DE-PARA"))</f>
        <v/>
      </c>
      <c r="E2521" s="23" t="str">
        <f aca="false">IF(A2521="","",DATE(YEAR(A2521),MONTH(A2521),1))</f>
        <v/>
      </c>
    </row>
    <row r="2522" customFormat="false" ht="15" hidden="false" customHeight="false" outlineLevel="0" collapsed="false">
      <c r="A2522" s="21"/>
      <c r="B2522" s="4"/>
      <c r="C2522" s="22"/>
      <c r="D2522" s="5" t="str">
        <f aca="false">IF(B2522="","",IFERROR(INDEX(DE_PARA!$B$6:$B$205,MATCH(B2522,DE_PARA!$A$6:$A$205,0)),"SEM DE-PARA"))</f>
        <v/>
      </c>
      <c r="E2522" s="23" t="str">
        <f aca="false">IF(A2522="","",DATE(YEAR(A2522),MONTH(A2522),1))</f>
        <v/>
      </c>
    </row>
    <row r="2523" customFormat="false" ht="15" hidden="false" customHeight="false" outlineLevel="0" collapsed="false">
      <c r="A2523" s="21"/>
      <c r="B2523" s="4"/>
      <c r="C2523" s="22"/>
      <c r="D2523" s="5" t="str">
        <f aca="false">IF(B2523="","",IFERROR(INDEX(DE_PARA!$B$6:$B$205,MATCH(B2523,DE_PARA!$A$6:$A$205,0)),"SEM DE-PARA"))</f>
        <v/>
      </c>
      <c r="E2523" s="23" t="str">
        <f aca="false">IF(A2523="","",DATE(YEAR(A2523),MONTH(A2523),1))</f>
        <v/>
      </c>
    </row>
    <row r="2524" customFormat="false" ht="15" hidden="false" customHeight="false" outlineLevel="0" collapsed="false">
      <c r="A2524" s="21"/>
      <c r="B2524" s="4"/>
      <c r="C2524" s="22"/>
      <c r="D2524" s="5" t="str">
        <f aca="false">IF(B2524="","",IFERROR(INDEX(DE_PARA!$B$6:$B$205,MATCH(B2524,DE_PARA!$A$6:$A$205,0)),"SEM DE-PARA"))</f>
        <v/>
      </c>
      <c r="E2524" s="23" t="str">
        <f aca="false">IF(A2524="","",DATE(YEAR(A2524),MONTH(A2524),1))</f>
        <v/>
      </c>
    </row>
    <row r="2525" customFormat="false" ht="15" hidden="false" customHeight="false" outlineLevel="0" collapsed="false">
      <c r="A2525" s="21"/>
      <c r="B2525" s="4"/>
      <c r="C2525" s="22"/>
      <c r="D2525" s="5" t="str">
        <f aca="false">IF(B2525="","",IFERROR(INDEX(DE_PARA!$B$6:$B$205,MATCH(B2525,DE_PARA!$A$6:$A$205,0)),"SEM DE-PARA"))</f>
        <v/>
      </c>
      <c r="E2525" s="23" t="str">
        <f aca="false">IF(A2525="","",DATE(YEAR(A2525),MONTH(A2525),1))</f>
        <v/>
      </c>
    </row>
    <row r="2526" customFormat="false" ht="15" hidden="false" customHeight="false" outlineLevel="0" collapsed="false">
      <c r="A2526" s="21"/>
      <c r="B2526" s="4"/>
      <c r="C2526" s="22"/>
      <c r="D2526" s="5" t="str">
        <f aca="false">IF(B2526="","",IFERROR(INDEX(DE_PARA!$B$6:$B$205,MATCH(B2526,DE_PARA!$A$6:$A$205,0)),"SEM DE-PARA"))</f>
        <v/>
      </c>
      <c r="E2526" s="23" t="str">
        <f aca="false">IF(A2526="","",DATE(YEAR(A2526),MONTH(A2526),1))</f>
        <v/>
      </c>
    </row>
    <row r="2527" customFormat="false" ht="15" hidden="false" customHeight="false" outlineLevel="0" collapsed="false">
      <c r="A2527" s="21"/>
      <c r="B2527" s="4"/>
      <c r="C2527" s="22"/>
      <c r="D2527" s="5" t="str">
        <f aca="false">IF(B2527="","",IFERROR(INDEX(DE_PARA!$B$6:$B$205,MATCH(B2527,DE_PARA!$A$6:$A$205,0)),"SEM DE-PARA"))</f>
        <v/>
      </c>
      <c r="E2527" s="23" t="str">
        <f aca="false">IF(A2527="","",DATE(YEAR(A2527),MONTH(A2527),1))</f>
        <v/>
      </c>
    </row>
    <row r="2528" customFormat="false" ht="15" hidden="false" customHeight="false" outlineLevel="0" collapsed="false">
      <c r="A2528" s="21"/>
      <c r="B2528" s="4"/>
      <c r="C2528" s="22"/>
      <c r="D2528" s="5" t="str">
        <f aca="false">IF(B2528="","",IFERROR(INDEX(DE_PARA!$B$6:$B$205,MATCH(B2528,DE_PARA!$A$6:$A$205,0)),"SEM DE-PARA"))</f>
        <v/>
      </c>
      <c r="E2528" s="23" t="str">
        <f aca="false">IF(A2528="","",DATE(YEAR(A2528),MONTH(A2528),1))</f>
        <v/>
      </c>
    </row>
    <row r="2529" customFormat="false" ht="15" hidden="false" customHeight="false" outlineLevel="0" collapsed="false">
      <c r="A2529" s="21"/>
      <c r="B2529" s="4"/>
      <c r="C2529" s="22"/>
      <c r="D2529" s="5" t="str">
        <f aca="false">IF(B2529="","",IFERROR(INDEX(DE_PARA!$B$6:$B$205,MATCH(B2529,DE_PARA!$A$6:$A$205,0)),"SEM DE-PARA"))</f>
        <v/>
      </c>
      <c r="E2529" s="23" t="str">
        <f aca="false">IF(A2529="","",DATE(YEAR(A2529),MONTH(A2529),1))</f>
        <v/>
      </c>
    </row>
    <row r="2530" customFormat="false" ht="15" hidden="false" customHeight="false" outlineLevel="0" collapsed="false">
      <c r="A2530" s="21"/>
      <c r="B2530" s="4"/>
      <c r="C2530" s="22"/>
      <c r="D2530" s="5" t="str">
        <f aca="false">IF(B2530="","",IFERROR(INDEX(DE_PARA!$B$6:$B$205,MATCH(B2530,DE_PARA!$A$6:$A$205,0)),"SEM DE-PARA"))</f>
        <v/>
      </c>
      <c r="E2530" s="23" t="str">
        <f aca="false">IF(A2530="","",DATE(YEAR(A2530),MONTH(A2530),1))</f>
        <v/>
      </c>
    </row>
    <row r="2531" customFormat="false" ht="15" hidden="false" customHeight="false" outlineLevel="0" collapsed="false">
      <c r="A2531" s="21"/>
      <c r="B2531" s="4"/>
      <c r="C2531" s="22"/>
      <c r="D2531" s="5" t="str">
        <f aca="false">IF(B2531="","",IFERROR(INDEX(DE_PARA!$B$6:$B$205,MATCH(B2531,DE_PARA!$A$6:$A$205,0)),"SEM DE-PARA"))</f>
        <v/>
      </c>
      <c r="E2531" s="23" t="str">
        <f aca="false">IF(A2531="","",DATE(YEAR(A2531),MONTH(A2531),1))</f>
        <v/>
      </c>
    </row>
    <row r="2532" customFormat="false" ht="15" hidden="false" customHeight="false" outlineLevel="0" collapsed="false">
      <c r="A2532" s="21"/>
      <c r="B2532" s="4"/>
      <c r="C2532" s="22"/>
      <c r="D2532" s="5" t="str">
        <f aca="false">IF(B2532="","",IFERROR(INDEX(DE_PARA!$B$6:$B$205,MATCH(B2532,DE_PARA!$A$6:$A$205,0)),"SEM DE-PARA"))</f>
        <v/>
      </c>
      <c r="E2532" s="23" t="str">
        <f aca="false">IF(A2532="","",DATE(YEAR(A2532),MONTH(A2532),1))</f>
        <v/>
      </c>
    </row>
    <row r="2533" customFormat="false" ht="15" hidden="false" customHeight="false" outlineLevel="0" collapsed="false">
      <c r="A2533" s="21"/>
      <c r="B2533" s="4"/>
      <c r="C2533" s="22"/>
      <c r="D2533" s="5" t="str">
        <f aca="false">IF(B2533="","",IFERROR(INDEX(DE_PARA!$B$6:$B$205,MATCH(B2533,DE_PARA!$A$6:$A$205,0)),"SEM DE-PARA"))</f>
        <v/>
      </c>
      <c r="E2533" s="23" t="str">
        <f aca="false">IF(A2533="","",DATE(YEAR(A2533),MONTH(A2533),1))</f>
        <v/>
      </c>
    </row>
    <row r="2534" customFormat="false" ht="15" hidden="false" customHeight="false" outlineLevel="0" collapsed="false">
      <c r="A2534" s="21"/>
      <c r="B2534" s="4"/>
      <c r="C2534" s="22"/>
      <c r="D2534" s="5" t="str">
        <f aca="false">IF(B2534="","",IFERROR(INDEX(DE_PARA!$B$6:$B$205,MATCH(B2534,DE_PARA!$A$6:$A$205,0)),"SEM DE-PARA"))</f>
        <v/>
      </c>
      <c r="E2534" s="23" t="str">
        <f aca="false">IF(A2534="","",DATE(YEAR(A2534),MONTH(A2534),1))</f>
        <v/>
      </c>
    </row>
    <row r="2535" customFormat="false" ht="15" hidden="false" customHeight="false" outlineLevel="0" collapsed="false">
      <c r="A2535" s="21"/>
      <c r="B2535" s="4"/>
      <c r="C2535" s="22"/>
      <c r="D2535" s="5" t="str">
        <f aca="false">IF(B2535="","",IFERROR(INDEX(DE_PARA!$B$6:$B$205,MATCH(B2535,DE_PARA!$A$6:$A$205,0)),"SEM DE-PARA"))</f>
        <v/>
      </c>
      <c r="E2535" s="23" t="str">
        <f aca="false">IF(A2535="","",DATE(YEAR(A2535),MONTH(A2535),1))</f>
        <v/>
      </c>
    </row>
    <row r="2536" customFormat="false" ht="15" hidden="false" customHeight="false" outlineLevel="0" collapsed="false">
      <c r="A2536" s="21"/>
      <c r="B2536" s="4"/>
      <c r="C2536" s="22"/>
      <c r="D2536" s="5" t="str">
        <f aca="false">IF(B2536="","",IFERROR(INDEX(DE_PARA!$B$6:$B$205,MATCH(B2536,DE_PARA!$A$6:$A$205,0)),"SEM DE-PARA"))</f>
        <v/>
      </c>
      <c r="E2536" s="23" t="str">
        <f aca="false">IF(A2536="","",DATE(YEAR(A2536),MONTH(A2536),1))</f>
        <v/>
      </c>
    </row>
    <row r="2537" customFormat="false" ht="15" hidden="false" customHeight="false" outlineLevel="0" collapsed="false">
      <c r="A2537" s="21"/>
      <c r="B2537" s="4"/>
      <c r="C2537" s="22"/>
      <c r="D2537" s="5" t="str">
        <f aca="false">IF(B2537="","",IFERROR(INDEX(DE_PARA!$B$6:$B$205,MATCH(B2537,DE_PARA!$A$6:$A$205,0)),"SEM DE-PARA"))</f>
        <v/>
      </c>
      <c r="E2537" s="23" t="str">
        <f aca="false">IF(A2537="","",DATE(YEAR(A2537),MONTH(A2537),1))</f>
        <v/>
      </c>
    </row>
    <row r="2538" customFormat="false" ht="15" hidden="false" customHeight="false" outlineLevel="0" collapsed="false">
      <c r="A2538" s="21"/>
      <c r="B2538" s="4"/>
      <c r="C2538" s="22"/>
      <c r="D2538" s="5" t="str">
        <f aca="false">IF(B2538="","",IFERROR(INDEX(DE_PARA!$B$6:$B$205,MATCH(B2538,DE_PARA!$A$6:$A$205,0)),"SEM DE-PARA"))</f>
        <v/>
      </c>
      <c r="E2538" s="23" t="str">
        <f aca="false">IF(A2538="","",DATE(YEAR(A2538),MONTH(A2538),1))</f>
        <v/>
      </c>
    </row>
    <row r="2539" customFormat="false" ht="15" hidden="false" customHeight="false" outlineLevel="0" collapsed="false">
      <c r="A2539" s="21"/>
      <c r="B2539" s="4"/>
      <c r="C2539" s="22"/>
      <c r="D2539" s="5" t="str">
        <f aca="false">IF(B2539="","",IFERROR(INDEX(DE_PARA!$B$6:$B$205,MATCH(B2539,DE_PARA!$A$6:$A$205,0)),"SEM DE-PARA"))</f>
        <v/>
      </c>
      <c r="E2539" s="23" t="str">
        <f aca="false">IF(A2539="","",DATE(YEAR(A2539),MONTH(A2539),1))</f>
        <v/>
      </c>
    </row>
    <row r="2540" customFormat="false" ht="15" hidden="false" customHeight="false" outlineLevel="0" collapsed="false">
      <c r="A2540" s="21"/>
      <c r="B2540" s="4"/>
      <c r="C2540" s="22"/>
      <c r="D2540" s="5" t="str">
        <f aca="false">IF(B2540="","",IFERROR(INDEX(DE_PARA!$B$6:$B$205,MATCH(B2540,DE_PARA!$A$6:$A$205,0)),"SEM DE-PARA"))</f>
        <v/>
      </c>
      <c r="E2540" s="23" t="str">
        <f aca="false">IF(A2540="","",DATE(YEAR(A2540),MONTH(A2540),1))</f>
        <v/>
      </c>
    </row>
    <row r="2541" customFormat="false" ht="15" hidden="false" customHeight="false" outlineLevel="0" collapsed="false">
      <c r="A2541" s="21"/>
      <c r="B2541" s="4"/>
      <c r="C2541" s="22"/>
      <c r="D2541" s="5" t="str">
        <f aca="false">IF(B2541="","",IFERROR(INDEX(DE_PARA!$B$6:$B$205,MATCH(B2541,DE_PARA!$A$6:$A$205,0)),"SEM DE-PARA"))</f>
        <v/>
      </c>
      <c r="E2541" s="23" t="str">
        <f aca="false">IF(A2541="","",DATE(YEAR(A2541),MONTH(A2541),1))</f>
        <v/>
      </c>
    </row>
    <row r="2542" customFormat="false" ht="15" hidden="false" customHeight="false" outlineLevel="0" collapsed="false">
      <c r="A2542" s="21"/>
      <c r="B2542" s="4"/>
      <c r="C2542" s="22"/>
      <c r="D2542" s="5" t="str">
        <f aca="false">IF(B2542="","",IFERROR(INDEX(DE_PARA!$B$6:$B$205,MATCH(B2542,DE_PARA!$A$6:$A$205,0)),"SEM DE-PARA"))</f>
        <v/>
      </c>
      <c r="E2542" s="23" t="str">
        <f aca="false">IF(A2542="","",DATE(YEAR(A2542),MONTH(A2542),1))</f>
        <v/>
      </c>
    </row>
    <row r="2543" customFormat="false" ht="15" hidden="false" customHeight="false" outlineLevel="0" collapsed="false">
      <c r="A2543" s="21"/>
      <c r="B2543" s="4"/>
      <c r="C2543" s="22"/>
      <c r="D2543" s="5" t="str">
        <f aca="false">IF(B2543="","",IFERROR(INDEX(DE_PARA!$B$6:$B$205,MATCH(B2543,DE_PARA!$A$6:$A$205,0)),"SEM DE-PARA"))</f>
        <v/>
      </c>
      <c r="E2543" s="23" t="str">
        <f aca="false">IF(A2543="","",DATE(YEAR(A2543),MONTH(A2543),1))</f>
        <v/>
      </c>
    </row>
    <row r="2544" customFormat="false" ht="15" hidden="false" customHeight="false" outlineLevel="0" collapsed="false">
      <c r="A2544" s="21"/>
      <c r="B2544" s="4"/>
      <c r="C2544" s="22"/>
      <c r="D2544" s="5" t="str">
        <f aca="false">IF(B2544="","",IFERROR(INDEX(DE_PARA!$B$6:$B$205,MATCH(B2544,DE_PARA!$A$6:$A$205,0)),"SEM DE-PARA"))</f>
        <v/>
      </c>
      <c r="E2544" s="23" t="str">
        <f aca="false">IF(A2544="","",DATE(YEAR(A2544),MONTH(A2544),1))</f>
        <v/>
      </c>
    </row>
    <row r="2545" customFormat="false" ht="15" hidden="false" customHeight="false" outlineLevel="0" collapsed="false">
      <c r="A2545" s="21"/>
      <c r="B2545" s="4"/>
      <c r="C2545" s="22"/>
      <c r="D2545" s="5" t="str">
        <f aca="false">IF(B2545="","",IFERROR(INDEX(DE_PARA!$B$6:$B$205,MATCH(B2545,DE_PARA!$A$6:$A$205,0)),"SEM DE-PARA"))</f>
        <v/>
      </c>
      <c r="E2545" s="23" t="str">
        <f aca="false">IF(A2545="","",DATE(YEAR(A2545),MONTH(A2545),1))</f>
        <v/>
      </c>
    </row>
    <row r="2546" customFormat="false" ht="15" hidden="false" customHeight="false" outlineLevel="0" collapsed="false">
      <c r="A2546" s="21"/>
      <c r="B2546" s="4"/>
      <c r="C2546" s="22"/>
      <c r="D2546" s="5" t="str">
        <f aca="false">IF(B2546="","",IFERROR(INDEX(DE_PARA!$B$6:$B$205,MATCH(B2546,DE_PARA!$A$6:$A$205,0)),"SEM DE-PARA"))</f>
        <v/>
      </c>
      <c r="E2546" s="23" t="str">
        <f aca="false">IF(A2546="","",DATE(YEAR(A2546),MONTH(A2546),1))</f>
        <v/>
      </c>
    </row>
    <row r="2547" customFormat="false" ht="15" hidden="false" customHeight="false" outlineLevel="0" collapsed="false">
      <c r="A2547" s="21"/>
      <c r="B2547" s="4"/>
      <c r="C2547" s="22"/>
      <c r="D2547" s="5" t="str">
        <f aca="false">IF(B2547="","",IFERROR(INDEX(DE_PARA!$B$6:$B$205,MATCH(B2547,DE_PARA!$A$6:$A$205,0)),"SEM DE-PARA"))</f>
        <v/>
      </c>
      <c r="E2547" s="23" t="str">
        <f aca="false">IF(A2547="","",DATE(YEAR(A2547),MONTH(A2547),1))</f>
        <v/>
      </c>
    </row>
    <row r="2548" customFormat="false" ht="15" hidden="false" customHeight="false" outlineLevel="0" collapsed="false">
      <c r="A2548" s="21"/>
      <c r="B2548" s="4"/>
      <c r="C2548" s="22"/>
      <c r="D2548" s="5" t="str">
        <f aca="false">IF(B2548="","",IFERROR(INDEX(DE_PARA!$B$6:$B$205,MATCH(B2548,DE_PARA!$A$6:$A$205,0)),"SEM DE-PARA"))</f>
        <v/>
      </c>
      <c r="E2548" s="23" t="str">
        <f aca="false">IF(A2548="","",DATE(YEAR(A2548),MONTH(A2548),1))</f>
        <v/>
      </c>
    </row>
    <row r="2549" customFormat="false" ht="15" hidden="false" customHeight="false" outlineLevel="0" collapsed="false">
      <c r="A2549" s="21"/>
      <c r="B2549" s="4"/>
      <c r="C2549" s="22"/>
      <c r="D2549" s="5" t="str">
        <f aca="false">IF(B2549="","",IFERROR(INDEX(DE_PARA!$B$6:$B$205,MATCH(B2549,DE_PARA!$A$6:$A$205,0)),"SEM DE-PARA"))</f>
        <v/>
      </c>
      <c r="E2549" s="23" t="str">
        <f aca="false">IF(A2549="","",DATE(YEAR(A2549),MONTH(A2549),1))</f>
        <v/>
      </c>
    </row>
    <row r="2550" customFormat="false" ht="15" hidden="false" customHeight="false" outlineLevel="0" collapsed="false">
      <c r="A2550" s="21"/>
      <c r="B2550" s="4"/>
      <c r="C2550" s="22"/>
      <c r="D2550" s="5" t="str">
        <f aca="false">IF(B2550="","",IFERROR(INDEX(DE_PARA!$B$6:$B$205,MATCH(B2550,DE_PARA!$A$6:$A$205,0)),"SEM DE-PARA"))</f>
        <v/>
      </c>
      <c r="E2550" s="23" t="str">
        <f aca="false">IF(A2550="","",DATE(YEAR(A2550),MONTH(A2550),1))</f>
        <v/>
      </c>
    </row>
    <row r="2551" customFormat="false" ht="15" hidden="false" customHeight="false" outlineLevel="0" collapsed="false">
      <c r="A2551" s="21"/>
      <c r="B2551" s="4"/>
      <c r="C2551" s="22"/>
      <c r="D2551" s="5" t="str">
        <f aca="false">IF(B2551="","",IFERROR(INDEX(DE_PARA!$B$6:$B$205,MATCH(B2551,DE_PARA!$A$6:$A$205,0)),"SEM DE-PARA"))</f>
        <v/>
      </c>
      <c r="E2551" s="23" t="str">
        <f aca="false">IF(A2551="","",DATE(YEAR(A2551),MONTH(A2551),1))</f>
        <v/>
      </c>
    </row>
    <row r="2552" customFormat="false" ht="15" hidden="false" customHeight="false" outlineLevel="0" collapsed="false">
      <c r="A2552" s="21"/>
      <c r="B2552" s="4"/>
      <c r="C2552" s="22"/>
      <c r="D2552" s="5" t="str">
        <f aca="false">IF(B2552="","",IFERROR(INDEX(DE_PARA!$B$6:$B$205,MATCH(B2552,DE_PARA!$A$6:$A$205,0)),"SEM DE-PARA"))</f>
        <v/>
      </c>
      <c r="E2552" s="23" t="str">
        <f aca="false">IF(A2552="","",DATE(YEAR(A2552),MONTH(A2552),1))</f>
        <v/>
      </c>
    </row>
    <row r="2553" customFormat="false" ht="15" hidden="false" customHeight="false" outlineLevel="0" collapsed="false">
      <c r="A2553" s="21"/>
      <c r="B2553" s="4"/>
      <c r="C2553" s="22"/>
      <c r="D2553" s="5" t="str">
        <f aca="false">IF(B2553="","",IFERROR(INDEX(DE_PARA!$B$6:$B$205,MATCH(B2553,DE_PARA!$A$6:$A$205,0)),"SEM DE-PARA"))</f>
        <v/>
      </c>
      <c r="E2553" s="23" t="str">
        <f aca="false">IF(A2553="","",DATE(YEAR(A2553),MONTH(A2553),1))</f>
        <v/>
      </c>
    </row>
    <row r="2554" customFormat="false" ht="15" hidden="false" customHeight="false" outlineLevel="0" collapsed="false">
      <c r="A2554" s="21"/>
      <c r="B2554" s="4"/>
      <c r="C2554" s="22"/>
      <c r="D2554" s="5" t="str">
        <f aca="false">IF(B2554="","",IFERROR(INDEX(DE_PARA!$B$6:$B$205,MATCH(B2554,DE_PARA!$A$6:$A$205,0)),"SEM DE-PARA"))</f>
        <v/>
      </c>
      <c r="E2554" s="23" t="str">
        <f aca="false">IF(A2554="","",DATE(YEAR(A2554),MONTH(A2554),1))</f>
        <v/>
      </c>
    </row>
    <row r="2555" customFormat="false" ht="15" hidden="false" customHeight="false" outlineLevel="0" collapsed="false">
      <c r="A2555" s="21"/>
      <c r="B2555" s="4"/>
      <c r="C2555" s="22"/>
      <c r="D2555" s="5" t="str">
        <f aca="false">IF(B2555="","",IFERROR(INDEX(DE_PARA!$B$6:$B$205,MATCH(B2555,DE_PARA!$A$6:$A$205,0)),"SEM DE-PARA"))</f>
        <v/>
      </c>
      <c r="E2555" s="23" t="str">
        <f aca="false">IF(A2555="","",DATE(YEAR(A2555),MONTH(A2555),1))</f>
        <v/>
      </c>
    </row>
    <row r="2556" customFormat="false" ht="15" hidden="false" customHeight="false" outlineLevel="0" collapsed="false">
      <c r="A2556" s="21"/>
      <c r="B2556" s="4"/>
      <c r="C2556" s="22"/>
      <c r="D2556" s="5" t="str">
        <f aca="false">IF(B2556="","",IFERROR(INDEX(DE_PARA!$B$6:$B$205,MATCH(B2556,DE_PARA!$A$6:$A$205,0)),"SEM DE-PARA"))</f>
        <v/>
      </c>
      <c r="E2556" s="23" t="str">
        <f aca="false">IF(A2556="","",DATE(YEAR(A2556),MONTH(A2556),1))</f>
        <v/>
      </c>
    </row>
    <row r="2557" customFormat="false" ht="15" hidden="false" customHeight="false" outlineLevel="0" collapsed="false">
      <c r="A2557" s="21"/>
      <c r="B2557" s="4"/>
      <c r="C2557" s="22"/>
      <c r="D2557" s="5" t="str">
        <f aca="false">IF(B2557="","",IFERROR(INDEX(DE_PARA!$B$6:$B$205,MATCH(B2557,DE_PARA!$A$6:$A$205,0)),"SEM DE-PARA"))</f>
        <v/>
      </c>
      <c r="E2557" s="23" t="str">
        <f aca="false">IF(A2557="","",DATE(YEAR(A2557),MONTH(A2557),1))</f>
        <v/>
      </c>
    </row>
    <row r="2558" customFormat="false" ht="15" hidden="false" customHeight="false" outlineLevel="0" collapsed="false">
      <c r="A2558" s="21"/>
      <c r="B2558" s="4"/>
      <c r="C2558" s="22"/>
      <c r="D2558" s="5" t="str">
        <f aca="false">IF(B2558="","",IFERROR(INDEX(DE_PARA!$B$6:$B$205,MATCH(B2558,DE_PARA!$A$6:$A$205,0)),"SEM DE-PARA"))</f>
        <v/>
      </c>
      <c r="E2558" s="23" t="str">
        <f aca="false">IF(A2558="","",DATE(YEAR(A2558),MONTH(A2558),1))</f>
        <v/>
      </c>
    </row>
    <row r="2559" customFormat="false" ht="15" hidden="false" customHeight="false" outlineLevel="0" collapsed="false">
      <c r="A2559" s="21"/>
      <c r="B2559" s="4"/>
      <c r="C2559" s="22"/>
      <c r="D2559" s="5" t="str">
        <f aca="false">IF(B2559="","",IFERROR(INDEX(DE_PARA!$B$6:$B$205,MATCH(B2559,DE_PARA!$A$6:$A$205,0)),"SEM DE-PARA"))</f>
        <v/>
      </c>
      <c r="E2559" s="23" t="str">
        <f aca="false">IF(A2559="","",DATE(YEAR(A2559),MONTH(A2559),1))</f>
        <v/>
      </c>
    </row>
    <row r="2560" customFormat="false" ht="15" hidden="false" customHeight="false" outlineLevel="0" collapsed="false">
      <c r="A2560" s="21"/>
      <c r="B2560" s="4"/>
      <c r="C2560" s="22"/>
      <c r="D2560" s="5" t="str">
        <f aca="false">IF(B2560="","",IFERROR(INDEX(DE_PARA!$B$6:$B$205,MATCH(B2560,DE_PARA!$A$6:$A$205,0)),"SEM DE-PARA"))</f>
        <v/>
      </c>
      <c r="E2560" s="23" t="str">
        <f aca="false">IF(A2560="","",DATE(YEAR(A2560),MONTH(A2560),1))</f>
        <v/>
      </c>
    </row>
    <row r="2561" customFormat="false" ht="15" hidden="false" customHeight="false" outlineLevel="0" collapsed="false">
      <c r="A2561" s="21"/>
      <c r="B2561" s="4"/>
      <c r="C2561" s="22"/>
      <c r="D2561" s="5" t="str">
        <f aca="false">IF(B2561="","",IFERROR(INDEX(DE_PARA!$B$6:$B$205,MATCH(B2561,DE_PARA!$A$6:$A$205,0)),"SEM DE-PARA"))</f>
        <v/>
      </c>
      <c r="E2561" s="23" t="str">
        <f aca="false">IF(A2561="","",DATE(YEAR(A2561),MONTH(A2561),1))</f>
        <v/>
      </c>
    </row>
    <row r="2562" customFormat="false" ht="15" hidden="false" customHeight="false" outlineLevel="0" collapsed="false">
      <c r="A2562" s="21"/>
      <c r="B2562" s="4"/>
      <c r="C2562" s="22"/>
      <c r="D2562" s="5" t="str">
        <f aca="false">IF(B2562="","",IFERROR(INDEX(DE_PARA!$B$6:$B$205,MATCH(B2562,DE_PARA!$A$6:$A$205,0)),"SEM DE-PARA"))</f>
        <v/>
      </c>
      <c r="E2562" s="23" t="str">
        <f aca="false">IF(A2562="","",DATE(YEAR(A2562),MONTH(A2562),1))</f>
        <v/>
      </c>
    </row>
    <row r="2563" customFormat="false" ht="15" hidden="false" customHeight="false" outlineLevel="0" collapsed="false">
      <c r="A2563" s="21"/>
      <c r="B2563" s="4"/>
      <c r="C2563" s="22"/>
      <c r="D2563" s="5" t="str">
        <f aca="false">IF(B2563="","",IFERROR(INDEX(DE_PARA!$B$6:$B$205,MATCH(B2563,DE_PARA!$A$6:$A$205,0)),"SEM DE-PARA"))</f>
        <v/>
      </c>
      <c r="E2563" s="23" t="str">
        <f aca="false">IF(A2563="","",DATE(YEAR(A2563),MONTH(A2563),1))</f>
        <v/>
      </c>
    </row>
    <row r="2564" customFormat="false" ht="15" hidden="false" customHeight="false" outlineLevel="0" collapsed="false">
      <c r="A2564" s="21"/>
      <c r="B2564" s="4"/>
      <c r="C2564" s="22"/>
      <c r="D2564" s="5" t="str">
        <f aca="false">IF(B2564="","",IFERROR(INDEX(DE_PARA!$B$6:$B$205,MATCH(B2564,DE_PARA!$A$6:$A$205,0)),"SEM DE-PARA"))</f>
        <v/>
      </c>
      <c r="E2564" s="23" t="str">
        <f aca="false">IF(A2564="","",DATE(YEAR(A2564),MONTH(A2564),1))</f>
        <v/>
      </c>
    </row>
    <row r="2565" customFormat="false" ht="15" hidden="false" customHeight="false" outlineLevel="0" collapsed="false">
      <c r="A2565" s="21"/>
      <c r="B2565" s="4"/>
      <c r="C2565" s="22"/>
      <c r="D2565" s="5" t="str">
        <f aca="false">IF(B2565="","",IFERROR(INDEX(DE_PARA!$B$6:$B$205,MATCH(B2565,DE_PARA!$A$6:$A$205,0)),"SEM DE-PARA"))</f>
        <v/>
      </c>
      <c r="E2565" s="23" t="str">
        <f aca="false">IF(A2565="","",DATE(YEAR(A2565),MONTH(A2565),1))</f>
        <v/>
      </c>
    </row>
    <row r="2566" customFormat="false" ht="15" hidden="false" customHeight="false" outlineLevel="0" collapsed="false">
      <c r="A2566" s="21"/>
      <c r="B2566" s="4"/>
      <c r="C2566" s="22"/>
      <c r="D2566" s="5" t="str">
        <f aca="false">IF(B2566="","",IFERROR(INDEX(DE_PARA!$B$6:$B$205,MATCH(B2566,DE_PARA!$A$6:$A$205,0)),"SEM DE-PARA"))</f>
        <v/>
      </c>
      <c r="E2566" s="23" t="str">
        <f aca="false">IF(A2566="","",DATE(YEAR(A2566),MONTH(A2566),1))</f>
        <v/>
      </c>
    </row>
    <row r="2567" customFormat="false" ht="15" hidden="false" customHeight="false" outlineLevel="0" collapsed="false">
      <c r="A2567" s="21"/>
      <c r="B2567" s="4"/>
      <c r="C2567" s="22"/>
      <c r="D2567" s="5" t="str">
        <f aca="false">IF(B2567="","",IFERROR(INDEX(DE_PARA!$B$6:$B$205,MATCH(B2567,DE_PARA!$A$6:$A$205,0)),"SEM DE-PARA"))</f>
        <v/>
      </c>
      <c r="E2567" s="23" t="str">
        <f aca="false">IF(A2567="","",DATE(YEAR(A2567),MONTH(A2567),1))</f>
        <v/>
      </c>
    </row>
    <row r="2568" customFormat="false" ht="15" hidden="false" customHeight="false" outlineLevel="0" collapsed="false">
      <c r="A2568" s="21"/>
      <c r="B2568" s="4"/>
      <c r="C2568" s="22"/>
      <c r="D2568" s="5" t="str">
        <f aca="false">IF(B2568="","",IFERROR(INDEX(DE_PARA!$B$6:$B$205,MATCH(B2568,DE_PARA!$A$6:$A$205,0)),"SEM DE-PARA"))</f>
        <v/>
      </c>
      <c r="E2568" s="23" t="str">
        <f aca="false">IF(A2568="","",DATE(YEAR(A2568),MONTH(A2568),1))</f>
        <v/>
      </c>
    </row>
    <row r="2569" customFormat="false" ht="15" hidden="false" customHeight="false" outlineLevel="0" collapsed="false">
      <c r="A2569" s="21"/>
      <c r="B2569" s="4"/>
      <c r="C2569" s="22"/>
      <c r="D2569" s="5" t="str">
        <f aca="false">IF(B2569="","",IFERROR(INDEX(DE_PARA!$B$6:$B$205,MATCH(B2569,DE_PARA!$A$6:$A$205,0)),"SEM DE-PARA"))</f>
        <v/>
      </c>
      <c r="E2569" s="23" t="str">
        <f aca="false">IF(A2569="","",DATE(YEAR(A2569),MONTH(A2569),1))</f>
        <v/>
      </c>
    </row>
    <row r="2570" customFormat="false" ht="15" hidden="false" customHeight="false" outlineLevel="0" collapsed="false">
      <c r="A2570" s="21"/>
      <c r="B2570" s="4"/>
      <c r="C2570" s="22"/>
      <c r="D2570" s="5" t="str">
        <f aca="false">IF(B2570="","",IFERROR(INDEX(DE_PARA!$B$6:$B$205,MATCH(B2570,DE_PARA!$A$6:$A$205,0)),"SEM DE-PARA"))</f>
        <v/>
      </c>
      <c r="E2570" s="23" t="str">
        <f aca="false">IF(A2570="","",DATE(YEAR(A2570),MONTH(A2570),1))</f>
        <v/>
      </c>
    </row>
    <row r="2571" customFormat="false" ht="15" hidden="false" customHeight="false" outlineLevel="0" collapsed="false">
      <c r="A2571" s="21"/>
      <c r="B2571" s="4"/>
      <c r="C2571" s="22"/>
      <c r="D2571" s="5" t="str">
        <f aca="false">IF(B2571="","",IFERROR(INDEX(DE_PARA!$B$6:$B$205,MATCH(B2571,DE_PARA!$A$6:$A$205,0)),"SEM DE-PARA"))</f>
        <v/>
      </c>
      <c r="E2571" s="23" t="str">
        <f aca="false">IF(A2571="","",DATE(YEAR(A2571),MONTH(A2571),1))</f>
        <v/>
      </c>
    </row>
    <row r="2572" customFormat="false" ht="15" hidden="false" customHeight="false" outlineLevel="0" collapsed="false">
      <c r="A2572" s="21"/>
      <c r="B2572" s="4"/>
      <c r="C2572" s="22"/>
      <c r="D2572" s="5" t="str">
        <f aca="false">IF(B2572="","",IFERROR(INDEX(DE_PARA!$B$6:$B$205,MATCH(B2572,DE_PARA!$A$6:$A$205,0)),"SEM DE-PARA"))</f>
        <v/>
      </c>
      <c r="E2572" s="23" t="str">
        <f aca="false">IF(A2572="","",DATE(YEAR(A2572),MONTH(A2572),1))</f>
        <v/>
      </c>
    </row>
    <row r="2573" customFormat="false" ht="15" hidden="false" customHeight="false" outlineLevel="0" collapsed="false">
      <c r="A2573" s="21"/>
      <c r="B2573" s="4"/>
      <c r="C2573" s="22"/>
      <c r="D2573" s="5" t="str">
        <f aca="false">IF(B2573="","",IFERROR(INDEX(DE_PARA!$B$6:$B$205,MATCH(B2573,DE_PARA!$A$6:$A$205,0)),"SEM DE-PARA"))</f>
        <v/>
      </c>
      <c r="E2573" s="23" t="str">
        <f aca="false">IF(A2573="","",DATE(YEAR(A2573),MONTH(A2573),1))</f>
        <v/>
      </c>
    </row>
    <row r="2574" customFormat="false" ht="15" hidden="false" customHeight="false" outlineLevel="0" collapsed="false">
      <c r="A2574" s="21"/>
      <c r="B2574" s="4"/>
      <c r="C2574" s="22"/>
      <c r="D2574" s="5" t="str">
        <f aca="false">IF(B2574="","",IFERROR(INDEX(DE_PARA!$B$6:$B$205,MATCH(B2574,DE_PARA!$A$6:$A$205,0)),"SEM DE-PARA"))</f>
        <v/>
      </c>
      <c r="E2574" s="23" t="str">
        <f aca="false">IF(A2574="","",DATE(YEAR(A2574),MONTH(A2574),1))</f>
        <v/>
      </c>
    </row>
    <row r="2575" customFormat="false" ht="15" hidden="false" customHeight="false" outlineLevel="0" collapsed="false">
      <c r="A2575" s="21"/>
      <c r="B2575" s="4"/>
      <c r="C2575" s="22"/>
      <c r="D2575" s="5" t="str">
        <f aca="false">IF(B2575="","",IFERROR(INDEX(DE_PARA!$B$6:$B$205,MATCH(B2575,DE_PARA!$A$6:$A$205,0)),"SEM DE-PARA"))</f>
        <v/>
      </c>
      <c r="E2575" s="23" t="str">
        <f aca="false">IF(A2575="","",DATE(YEAR(A2575),MONTH(A2575),1))</f>
        <v/>
      </c>
    </row>
    <row r="2576" customFormat="false" ht="15" hidden="false" customHeight="false" outlineLevel="0" collapsed="false">
      <c r="A2576" s="21"/>
      <c r="B2576" s="4"/>
      <c r="C2576" s="22"/>
      <c r="D2576" s="5" t="str">
        <f aca="false">IF(B2576="","",IFERROR(INDEX(DE_PARA!$B$6:$B$205,MATCH(B2576,DE_PARA!$A$6:$A$205,0)),"SEM DE-PARA"))</f>
        <v/>
      </c>
      <c r="E2576" s="23" t="str">
        <f aca="false">IF(A2576="","",DATE(YEAR(A2576),MONTH(A2576),1))</f>
        <v/>
      </c>
    </row>
    <row r="2577" customFormat="false" ht="15" hidden="false" customHeight="false" outlineLevel="0" collapsed="false">
      <c r="A2577" s="21"/>
      <c r="B2577" s="4"/>
      <c r="C2577" s="22"/>
      <c r="D2577" s="5" t="str">
        <f aca="false">IF(B2577="","",IFERROR(INDEX(DE_PARA!$B$6:$B$205,MATCH(B2577,DE_PARA!$A$6:$A$205,0)),"SEM DE-PARA"))</f>
        <v/>
      </c>
      <c r="E2577" s="23" t="str">
        <f aca="false">IF(A2577="","",DATE(YEAR(A2577),MONTH(A2577),1))</f>
        <v/>
      </c>
    </row>
    <row r="2578" customFormat="false" ht="15" hidden="false" customHeight="false" outlineLevel="0" collapsed="false">
      <c r="A2578" s="21"/>
      <c r="B2578" s="4"/>
      <c r="C2578" s="22"/>
      <c r="D2578" s="5" t="str">
        <f aca="false">IF(B2578="","",IFERROR(INDEX(DE_PARA!$B$6:$B$205,MATCH(B2578,DE_PARA!$A$6:$A$205,0)),"SEM DE-PARA"))</f>
        <v/>
      </c>
      <c r="E2578" s="23" t="str">
        <f aca="false">IF(A2578="","",DATE(YEAR(A2578),MONTH(A2578),1))</f>
        <v/>
      </c>
    </row>
    <row r="2579" customFormat="false" ht="15" hidden="false" customHeight="false" outlineLevel="0" collapsed="false">
      <c r="A2579" s="21"/>
      <c r="B2579" s="4"/>
      <c r="C2579" s="22"/>
      <c r="D2579" s="5" t="str">
        <f aca="false">IF(B2579="","",IFERROR(INDEX(DE_PARA!$B$6:$B$205,MATCH(B2579,DE_PARA!$A$6:$A$205,0)),"SEM DE-PARA"))</f>
        <v/>
      </c>
      <c r="E2579" s="23" t="str">
        <f aca="false">IF(A2579="","",DATE(YEAR(A2579),MONTH(A2579),1))</f>
        <v/>
      </c>
    </row>
    <row r="2580" customFormat="false" ht="15" hidden="false" customHeight="false" outlineLevel="0" collapsed="false">
      <c r="A2580" s="21"/>
      <c r="B2580" s="4"/>
      <c r="C2580" s="22"/>
      <c r="D2580" s="5" t="str">
        <f aca="false">IF(B2580="","",IFERROR(INDEX(DE_PARA!$B$6:$B$205,MATCH(B2580,DE_PARA!$A$6:$A$205,0)),"SEM DE-PARA"))</f>
        <v/>
      </c>
      <c r="E2580" s="23" t="str">
        <f aca="false">IF(A2580="","",DATE(YEAR(A2580),MONTH(A2580),1))</f>
        <v/>
      </c>
    </row>
    <row r="2581" customFormat="false" ht="15" hidden="false" customHeight="false" outlineLevel="0" collapsed="false">
      <c r="A2581" s="21"/>
      <c r="B2581" s="4"/>
      <c r="C2581" s="22"/>
      <c r="D2581" s="5" t="str">
        <f aca="false">IF(B2581="","",IFERROR(INDEX(DE_PARA!$B$6:$B$205,MATCH(B2581,DE_PARA!$A$6:$A$205,0)),"SEM DE-PARA"))</f>
        <v/>
      </c>
      <c r="E2581" s="23" t="str">
        <f aca="false">IF(A2581="","",DATE(YEAR(A2581),MONTH(A2581),1))</f>
        <v/>
      </c>
    </row>
    <row r="2582" customFormat="false" ht="15" hidden="false" customHeight="false" outlineLevel="0" collapsed="false">
      <c r="A2582" s="21"/>
      <c r="B2582" s="4"/>
      <c r="C2582" s="22"/>
      <c r="D2582" s="5" t="str">
        <f aca="false">IF(B2582="","",IFERROR(INDEX(DE_PARA!$B$6:$B$205,MATCH(B2582,DE_PARA!$A$6:$A$205,0)),"SEM DE-PARA"))</f>
        <v/>
      </c>
      <c r="E2582" s="23" t="str">
        <f aca="false">IF(A2582="","",DATE(YEAR(A2582),MONTH(A2582),1))</f>
        <v/>
      </c>
    </row>
    <row r="2583" customFormat="false" ht="15" hidden="false" customHeight="false" outlineLevel="0" collapsed="false">
      <c r="A2583" s="21"/>
      <c r="B2583" s="4"/>
      <c r="C2583" s="22"/>
      <c r="D2583" s="5" t="str">
        <f aca="false">IF(B2583="","",IFERROR(INDEX(DE_PARA!$B$6:$B$205,MATCH(B2583,DE_PARA!$A$6:$A$205,0)),"SEM DE-PARA"))</f>
        <v/>
      </c>
      <c r="E2583" s="23" t="str">
        <f aca="false">IF(A2583="","",DATE(YEAR(A2583),MONTH(A2583),1))</f>
        <v/>
      </c>
    </row>
    <row r="2584" customFormat="false" ht="15" hidden="false" customHeight="false" outlineLevel="0" collapsed="false">
      <c r="A2584" s="21"/>
      <c r="B2584" s="4"/>
      <c r="C2584" s="22"/>
      <c r="D2584" s="5" t="str">
        <f aca="false">IF(B2584="","",IFERROR(INDEX(DE_PARA!$B$6:$B$205,MATCH(B2584,DE_PARA!$A$6:$A$205,0)),"SEM DE-PARA"))</f>
        <v/>
      </c>
      <c r="E2584" s="23" t="str">
        <f aca="false">IF(A2584="","",DATE(YEAR(A2584),MONTH(A2584),1))</f>
        <v/>
      </c>
    </row>
    <row r="2585" customFormat="false" ht="15" hidden="false" customHeight="false" outlineLevel="0" collapsed="false">
      <c r="A2585" s="21"/>
      <c r="B2585" s="4"/>
      <c r="C2585" s="22"/>
      <c r="D2585" s="5" t="str">
        <f aca="false">IF(B2585="","",IFERROR(INDEX(DE_PARA!$B$6:$B$205,MATCH(B2585,DE_PARA!$A$6:$A$205,0)),"SEM DE-PARA"))</f>
        <v/>
      </c>
      <c r="E2585" s="23" t="str">
        <f aca="false">IF(A2585="","",DATE(YEAR(A2585),MONTH(A2585),1))</f>
        <v/>
      </c>
    </row>
    <row r="2586" customFormat="false" ht="15" hidden="false" customHeight="false" outlineLevel="0" collapsed="false">
      <c r="A2586" s="21"/>
      <c r="B2586" s="4"/>
      <c r="C2586" s="22"/>
      <c r="D2586" s="5" t="str">
        <f aca="false">IF(B2586="","",IFERROR(INDEX(DE_PARA!$B$6:$B$205,MATCH(B2586,DE_PARA!$A$6:$A$205,0)),"SEM DE-PARA"))</f>
        <v/>
      </c>
      <c r="E2586" s="23" t="str">
        <f aca="false">IF(A2586="","",DATE(YEAR(A2586),MONTH(A2586),1))</f>
        <v/>
      </c>
    </row>
    <row r="2587" customFormat="false" ht="15" hidden="false" customHeight="false" outlineLevel="0" collapsed="false">
      <c r="A2587" s="21"/>
      <c r="B2587" s="4"/>
      <c r="C2587" s="22"/>
      <c r="D2587" s="5" t="str">
        <f aca="false">IF(B2587="","",IFERROR(INDEX(DE_PARA!$B$6:$B$205,MATCH(B2587,DE_PARA!$A$6:$A$205,0)),"SEM DE-PARA"))</f>
        <v/>
      </c>
      <c r="E2587" s="23" t="str">
        <f aca="false">IF(A2587="","",DATE(YEAR(A2587),MONTH(A2587),1))</f>
        <v/>
      </c>
    </row>
    <row r="2588" customFormat="false" ht="15" hidden="false" customHeight="false" outlineLevel="0" collapsed="false">
      <c r="A2588" s="21"/>
      <c r="B2588" s="4"/>
      <c r="C2588" s="22"/>
      <c r="D2588" s="5" t="str">
        <f aca="false">IF(B2588="","",IFERROR(INDEX(DE_PARA!$B$6:$B$205,MATCH(B2588,DE_PARA!$A$6:$A$205,0)),"SEM DE-PARA"))</f>
        <v/>
      </c>
      <c r="E2588" s="23" t="str">
        <f aca="false">IF(A2588="","",DATE(YEAR(A2588),MONTH(A2588),1))</f>
        <v/>
      </c>
    </row>
    <row r="2589" customFormat="false" ht="15" hidden="false" customHeight="false" outlineLevel="0" collapsed="false">
      <c r="A2589" s="21"/>
      <c r="B2589" s="4"/>
      <c r="C2589" s="22"/>
      <c r="D2589" s="5" t="str">
        <f aca="false">IF(B2589="","",IFERROR(INDEX(DE_PARA!$B$6:$B$205,MATCH(B2589,DE_PARA!$A$6:$A$205,0)),"SEM DE-PARA"))</f>
        <v/>
      </c>
      <c r="E2589" s="23" t="str">
        <f aca="false">IF(A2589="","",DATE(YEAR(A2589),MONTH(A2589),1))</f>
        <v/>
      </c>
    </row>
    <row r="2590" customFormat="false" ht="15" hidden="false" customHeight="false" outlineLevel="0" collapsed="false">
      <c r="A2590" s="21"/>
      <c r="B2590" s="4"/>
      <c r="C2590" s="22"/>
      <c r="D2590" s="5" t="str">
        <f aca="false">IF(B2590="","",IFERROR(INDEX(DE_PARA!$B$6:$B$205,MATCH(B2590,DE_PARA!$A$6:$A$205,0)),"SEM DE-PARA"))</f>
        <v/>
      </c>
      <c r="E2590" s="23" t="str">
        <f aca="false">IF(A2590="","",DATE(YEAR(A2590),MONTH(A2590),1))</f>
        <v/>
      </c>
    </row>
    <row r="2591" customFormat="false" ht="15" hidden="false" customHeight="false" outlineLevel="0" collapsed="false">
      <c r="A2591" s="21"/>
      <c r="B2591" s="4"/>
      <c r="C2591" s="22"/>
      <c r="D2591" s="5" t="str">
        <f aca="false">IF(B2591="","",IFERROR(INDEX(DE_PARA!$B$6:$B$205,MATCH(B2591,DE_PARA!$A$6:$A$205,0)),"SEM DE-PARA"))</f>
        <v/>
      </c>
      <c r="E2591" s="23" t="str">
        <f aca="false">IF(A2591="","",DATE(YEAR(A2591),MONTH(A2591),1))</f>
        <v/>
      </c>
    </row>
    <row r="2592" customFormat="false" ht="15" hidden="false" customHeight="false" outlineLevel="0" collapsed="false">
      <c r="A2592" s="21"/>
      <c r="B2592" s="4"/>
      <c r="C2592" s="22"/>
      <c r="D2592" s="5" t="str">
        <f aca="false">IF(B2592="","",IFERROR(INDEX(DE_PARA!$B$6:$B$205,MATCH(B2592,DE_PARA!$A$6:$A$205,0)),"SEM DE-PARA"))</f>
        <v/>
      </c>
      <c r="E2592" s="23" t="str">
        <f aca="false">IF(A2592="","",DATE(YEAR(A2592),MONTH(A2592),1))</f>
        <v/>
      </c>
    </row>
    <row r="2593" customFormat="false" ht="15" hidden="false" customHeight="false" outlineLevel="0" collapsed="false">
      <c r="A2593" s="21"/>
      <c r="B2593" s="4"/>
      <c r="C2593" s="22"/>
      <c r="D2593" s="5" t="str">
        <f aca="false">IF(B2593="","",IFERROR(INDEX(DE_PARA!$B$6:$B$205,MATCH(B2593,DE_PARA!$A$6:$A$205,0)),"SEM DE-PARA"))</f>
        <v/>
      </c>
      <c r="E2593" s="23" t="str">
        <f aca="false">IF(A2593="","",DATE(YEAR(A2593),MONTH(A2593),1))</f>
        <v/>
      </c>
    </row>
    <row r="2594" customFormat="false" ht="15" hidden="false" customHeight="false" outlineLevel="0" collapsed="false">
      <c r="A2594" s="21"/>
      <c r="B2594" s="4"/>
      <c r="C2594" s="22"/>
      <c r="D2594" s="5" t="str">
        <f aca="false">IF(B2594="","",IFERROR(INDEX(DE_PARA!$B$6:$B$205,MATCH(B2594,DE_PARA!$A$6:$A$205,0)),"SEM DE-PARA"))</f>
        <v/>
      </c>
      <c r="E2594" s="23" t="str">
        <f aca="false">IF(A2594="","",DATE(YEAR(A2594),MONTH(A2594),1))</f>
        <v/>
      </c>
    </row>
    <row r="2595" customFormat="false" ht="15" hidden="false" customHeight="false" outlineLevel="0" collapsed="false">
      <c r="A2595" s="21"/>
      <c r="B2595" s="4"/>
      <c r="C2595" s="22"/>
      <c r="D2595" s="5" t="str">
        <f aca="false">IF(B2595="","",IFERROR(INDEX(DE_PARA!$B$6:$B$205,MATCH(B2595,DE_PARA!$A$6:$A$205,0)),"SEM DE-PARA"))</f>
        <v/>
      </c>
      <c r="E2595" s="23" t="str">
        <f aca="false">IF(A2595="","",DATE(YEAR(A2595),MONTH(A2595),1))</f>
        <v/>
      </c>
    </row>
    <row r="2596" customFormat="false" ht="15" hidden="false" customHeight="false" outlineLevel="0" collapsed="false">
      <c r="A2596" s="21"/>
      <c r="B2596" s="4"/>
      <c r="C2596" s="22"/>
      <c r="D2596" s="5" t="str">
        <f aca="false">IF(B2596="","",IFERROR(INDEX(DE_PARA!$B$6:$B$205,MATCH(B2596,DE_PARA!$A$6:$A$205,0)),"SEM DE-PARA"))</f>
        <v/>
      </c>
      <c r="E2596" s="23" t="str">
        <f aca="false">IF(A2596="","",DATE(YEAR(A2596),MONTH(A2596),1))</f>
        <v/>
      </c>
    </row>
    <row r="2597" customFormat="false" ht="15" hidden="false" customHeight="false" outlineLevel="0" collapsed="false">
      <c r="A2597" s="21"/>
      <c r="B2597" s="4"/>
      <c r="C2597" s="22"/>
      <c r="D2597" s="5" t="str">
        <f aca="false">IF(B2597="","",IFERROR(INDEX(DE_PARA!$B$6:$B$205,MATCH(B2597,DE_PARA!$A$6:$A$205,0)),"SEM DE-PARA"))</f>
        <v/>
      </c>
      <c r="E2597" s="23" t="str">
        <f aca="false">IF(A2597="","",DATE(YEAR(A2597),MONTH(A2597),1))</f>
        <v/>
      </c>
    </row>
    <row r="2598" customFormat="false" ht="15" hidden="false" customHeight="false" outlineLevel="0" collapsed="false">
      <c r="A2598" s="21"/>
      <c r="B2598" s="4"/>
      <c r="C2598" s="22"/>
      <c r="D2598" s="5" t="str">
        <f aca="false">IF(B2598="","",IFERROR(INDEX(DE_PARA!$B$6:$B$205,MATCH(B2598,DE_PARA!$A$6:$A$205,0)),"SEM DE-PARA"))</f>
        <v/>
      </c>
      <c r="E2598" s="23" t="str">
        <f aca="false">IF(A2598="","",DATE(YEAR(A2598),MONTH(A2598),1))</f>
        <v/>
      </c>
    </row>
    <row r="2599" customFormat="false" ht="15" hidden="false" customHeight="false" outlineLevel="0" collapsed="false">
      <c r="A2599" s="21"/>
      <c r="B2599" s="4"/>
      <c r="C2599" s="22"/>
      <c r="D2599" s="5" t="str">
        <f aca="false">IF(B2599="","",IFERROR(INDEX(DE_PARA!$B$6:$B$205,MATCH(B2599,DE_PARA!$A$6:$A$205,0)),"SEM DE-PARA"))</f>
        <v/>
      </c>
      <c r="E2599" s="23" t="str">
        <f aca="false">IF(A2599="","",DATE(YEAR(A2599),MONTH(A2599),1))</f>
        <v/>
      </c>
    </row>
    <row r="2600" customFormat="false" ht="15" hidden="false" customHeight="false" outlineLevel="0" collapsed="false">
      <c r="A2600" s="21"/>
      <c r="B2600" s="4"/>
      <c r="C2600" s="22"/>
      <c r="D2600" s="5" t="str">
        <f aca="false">IF(B2600="","",IFERROR(INDEX(DE_PARA!$B$6:$B$205,MATCH(B2600,DE_PARA!$A$6:$A$205,0)),"SEM DE-PARA"))</f>
        <v/>
      </c>
      <c r="E2600" s="23" t="str">
        <f aca="false">IF(A2600="","",DATE(YEAR(A2600),MONTH(A2600),1))</f>
        <v/>
      </c>
    </row>
    <row r="2601" customFormat="false" ht="15" hidden="false" customHeight="false" outlineLevel="0" collapsed="false">
      <c r="A2601" s="21"/>
      <c r="B2601" s="4"/>
      <c r="C2601" s="22"/>
      <c r="D2601" s="5" t="str">
        <f aca="false">IF(B2601="","",IFERROR(INDEX(DE_PARA!$B$6:$B$205,MATCH(B2601,DE_PARA!$A$6:$A$205,0)),"SEM DE-PARA"))</f>
        <v/>
      </c>
      <c r="E2601" s="23" t="str">
        <f aca="false">IF(A2601="","",DATE(YEAR(A2601),MONTH(A2601),1))</f>
        <v/>
      </c>
    </row>
    <row r="2602" customFormat="false" ht="15" hidden="false" customHeight="false" outlineLevel="0" collapsed="false">
      <c r="A2602" s="21"/>
      <c r="B2602" s="4"/>
      <c r="C2602" s="22"/>
      <c r="D2602" s="5" t="str">
        <f aca="false">IF(B2602="","",IFERROR(INDEX(DE_PARA!$B$6:$B$205,MATCH(B2602,DE_PARA!$A$6:$A$205,0)),"SEM DE-PARA"))</f>
        <v/>
      </c>
      <c r="E2602" s="23" t="str">
        <f aca="false">IF(A2602="","",DATE(YEAR(A2602),MONTH(A2602),1))</f>
        <v/>
      </c>
    </row>
    <row r="2603" customFormat="false" ht="15" hidden="false" customHeight="false" outlineLevel="0" collapsed="false">
      <c r="A2603" s="21"/>
      <c r="B2603" s="4"/>
      <c r="C2603" s="22"/>
      <c r="D2603" s="5" t="str">
        <f aca="false">IF(B2603="","",IFERROR(INDEX(DE_PARA!$B$6:$B$205,MATCH(B2603,DE_PARA!$A$6:$A$205,0)),"SEM DE-PARA"))</f>
        <v/>
      </c>
      <c r="E2603" s="23" t="str">
        <f aca="false">IF(A2603="","",DATE(YEAR(A2603),MONTH(A2603),1))</f>
        <v/>
      </c>
    </row>
    <row r="2604" customFormat="false" ht="15" hidden="false" customHeight="false" outlineLevel="0" collapsed="false">
      <c r="A2604" s="21"/>
      <c r="B2604" s="4"/>
      <c r="C2604" s="22"/>
      <c r="D2604" s="5" t="str">
        <f aca="false">IF(B2604="","",IFERROR(INDEX(DE_PARA!$B$6:$B$205,MATCH(B2604,DE_PARA!$A$6:$A$205,0)),"SEM DE-PARA"))</f>
        <v/>
      </c>
      <c r="E2604" s="23" t="str">
        <f aca="false">IF(A2604="","",DATE(YEAR(A2604),MONTH(A2604),1))</f>
        <v/>
      </c>
    </row>
    <row r="2605" customFormat="false" ht="15" hidden="false" customHeight="false" outlineLevel="0" collapsed="false">
      <c r="A2605" s="21"/>
      <c r="B2605" s="4"/>
      <c r="C2605" s="22"/>
      <c r="D2605" s="5" t="str">
        <f aca="false">IF(B2605="","",IFERROR(INDEX(DE_PARA!$B$6:$B$205,MATCH(B2605,DE_PARA!$A$6:$A$205,0)),"SEM DE-PARA"))</f>
        <v/>
      </c>
      <c r="E2605" s="23" t="str">
        <f aca="false">IF(A2605="","",DATE(YEAR(A2605),MONTH(A2605),1))</f>
        <v/>
      </c>
    </row>
    <row r="2606" customFormat="false" ht="15" hidden="false" customHeight="false" outlineLevel="0" collapsed="false">
      <c r="A2606" s="21"/>
      <c r="B2606" s="4"/>
      <c r="C2606" s="22"/>
      <c r="D2606" s="5" t="str">
        <f aca="false">IF(B2606="","",IFERROR(INDEX(DE_PARA!$B$6:$B$205,MATCH(B2606,DE_PARA!$A$6:$A$205,0)),"SEM DE-PARA"))</f>
        <v/>
      </c>
      <c r="E2606" s="23" t="str">
        <f aca="false">IF(A2606="","",DATE(YEAR(A2606),MONTH(A2606),1))</f>
        <v/>
      </c>
    </row>
    <row r="2607" customFormat="false" ht="15" hidden="false" customHeight="false" outlineLevel="0" collapsed="false">
      <c r="A2607" s="21"/>
      <c r="B2607" s="4"/>
      <c r="C2607" s="22"/>
      <c r="D2607" s="5" t="str">
        <f aca="false">IF(B2607="","",IFERROR(INDEX(DE_PARA!$B$6:$B$205,MATCH(B2607,DE_PARA!$A$6:$A$205,0)),"SEM DE-PARA"))</f>
        <v/>
      </c>
      <c r="E2607" s="23" t="str">
        <f aca="false">IF(A2607="","",DATE(YEAR(A2607),MONTH(A2607),1))</f>
        <v/>
      </c>
    </row>
    <row r="2608" customFormat="false" ht="15" hidden="false" customHeight="false" outlineLevel="0" collapsed="false">
      <c r="A2608" s="21"/>
      <c r="B2608" s="4"/>
      <c r="C2608" s="22"/>
      <c r="D2608" s="5" t="str">
        <f aca="false">IF(B2608="","",IFERROR(INDEX(DE_PARA!$B$6:$B$205,MATCH(B2608,DE_PARA!$A$6:$A$205,0)),"SEM DE-PARA"))</f>
        <v/>
      </c>
      <c r="E2608" s="23" t="str">
        <f aca="false">IF(A2608="","",DATE(YEAR(A2608),MONTH(A2608),1))</f>
        <v/>
      </c>
    </row>
    <row r="2609" customFormat="false" ht="15" hidden="false" customHeight="false" outlineLevel="0" collapsed="false">
      <c r="A2609" s="21"/>
      <c r="B2609" s="4"/>
      <c r="C2609" s="22"/>
      <c r="D2609" s="5" t="str">
        <f aca="false">IF(B2609="","",IFERROR(INDEX(DE_PARA!$B$6:$B$205,MATCH(B2609,DE_PARA!$A$6:$A$205,0)),"SEM DE-PARA"))</f>
        <v/>
      </c>
      <c r="E2609" s="23" t="str">
        <f aca="false">IF(A2609="","",DATE(YEAR(A2609),MONTH(A2609),1))</f>
        <v/>
      </c>
    </row>
    <row r="2610" customFormat="false" ht="15" hidden="false" customHeight="false" outlineLevel="0" collapsed="false">
      <c r="A2610" s="21"/>
      <c r="B2610" s="4"/>
      <c r="C2610" s="22"/>
      <c r="D2610" s="5" t="str">
        <f aca="false">IF(B2610="","",IFERROR(INDEX(DE_PARA!$B$6:$B$205,MATCH(B2610,DE_PARA!$A$6:$A$205,0)),"SEM DE-PARA"))</f>
        <v/>
      </c>
      <c r="E2610" s="23" t="str">
        <f aca="false">IF(A2610="","",DATE(YEAR(A2610),MONTH(A2610),1))</f>
        <v/>
      </c>
    </row>
    <row r="2611" customFormat="false" ht="15" hidden="false" customHeight="false" outlineLevel="0" collapsed="false">
      <c r="A2611" s="21"/>
      <c r="B2611" s="4"/>
      <c r="C2611" s="22"/>
      <c r="D2611" s="5" t="str">
        <f aca="false">IF(B2611="","",IFERROR(INDEX(DE_PARA!$B$6:$B$205,MATCH(B2611,DE_PARA!$A$6:$A$205,0)),"SEM DE-PARA"))</f>
        <v/>
      </c>
      <c r="E2611" s="23" t="str">
        <f aca="false">IF(A2611="","",DATE(YEAR(A2611),MONTH(A2611),1))</f>
        <v/>
      </c>
    </row>
    <row r="2612" customFormat="false" ht="15" hidden="false" customHeight="false" outlineLevel="0" collapsed="false">
      <c r="A2612" s="21"/>
      <c r="B2612" s="4"/>
      <c r="C2612" s="22"/>
      <c r="D2612" s="5" t="str">
        <f aca="false">IF(B2612="","",IFERROR(INDEX(DE_PARA!$B$6:$B$205,MATCH(B2612,DE_PARA!$A$6:$A$205,0)),"SEM DE-PARA"))</f>
        <v/>
      </c>
      <c r="E2612" s="23" t="str">
        <f aca="false">IF(A2612="","",DATE(YEAR(A2612),MONTH(A2612),1))</f>
        <v/>
      </c>
    </row>
    <row r="2613" customFormat="false" ht="15" hidden="false" customHeight="false" outlineLevel="0" collapsed="false">
      <c r="A2613" s="21"/>
      <c r="B2613" s="4"/>
      <c r="C2613" s="22"/>
      <c r="D2613" s="5" t="str">
        <f aca="false">IF(B2613="","",IFERROR(INDEX(DE_PARA!$B$6:$B$205,MATCH(B2613,DE_PARA!$A$6:$A$205,0)),"SEM DE-PARA"))</f>
        <v/>
      </c>
      <c r="E2613" s="23" t="str">
        <f aca="false">IF(A2613="","",DATE(YEAR(A2613),MONTH(A2613),1))</f>
        <v/>
      </c>
    </row>
    <row r="2614" customFormat="false" ht="15" hidden="false" customHeight="false" outlineLevel="0" collapsed="false">
      <c r="A2614" s="21"/>
      <c r="B2614" s="4"/>
      <c r="C2614" s="22"/>
      <c r="D2614" s="5" t="str">
        <f aca="false">IF(B2614="","",IFERROR(INDEX(DE_PARA!$B$6:$B$205,MATCH(B2614,DE_PARA!$A$6:$A$205,0)),"SEM DE-PARA"))</f>
        <v/>
      </c>
      <c r="E2614" s="23" t="str">
        <f aca="false">IF(A2614="","",DATE(YEAR(A2614),MONTH(A2614),1))</f>
        <v/>
      </c>
    </row>
    <row r="2615" customFormat="false" ht="15" hidden="false" customHeight="false" outlineLevel="0" collapsed="false">
      <c r="A2615" s="21"/>
      <c r="B2615" s="4"/>
      <c r="C2615" s="22"/>
      <c r="D2615" s="5" t="str">
        <f aca="false">IF(B2615="","",IFERROR(INDEX(DE_PARA!$B$6:$B$205,MATCH(B2615,DE_PARA!$A$6:$A$205,0)),"SEM DE-PARA"))</f>
        <v/>
      </c>
      <c r="E2615" s="23" t="str">
        <f aca="false">IF(A2615="","",DATE(YEAR(A2615),MONTH(A2615),1))</f>
        <v/>
      </c>
    </row>
    <row r="2616" customFormat="false" ht="15" hidden="false" customHeight="false" outlineLevel="0" collapsed="false">
      <c r="A2616" s="21"/>
      <c r="B2616" s="4"/>
      <c r="C2616" s="22"/>
      <c r="D2616" s="5" t="str">
        <f aca="false">IF(B2616="","",IFERROR(INDEX(DE_PARA!$B$6:$B$205,MATCH(B2616,DE_PARA!$A$6:$A$205,0)),"SEM DE-PARA"))</f>
        <v/>
      </c>
      <c r="E2616" s="23" t="str">
        <f aca="false">IF(A2616="","",DATE(YEAR(A2616),MONTH(A2616),1))</f>
        <v/>
      </c>
    </row>
    <row r="2617" customFormat="false" ht="15" hidden="false" customHeight="false" outlineLevel="0" collapsed="false">
      <c r="A2617" s="21"/>
      <c r="B2617" s="4"/>
      <c r="C2617" s="22"/>
      <c r="D2617" s="5" t="str">
        <f aca="false">IF(B2617="","",IFERROR(INDEX(DE_PARA!$B$6:$B$205,MATCH(B2617,DE_PARA!$A$6:$A$205,0)),"SEM DE-PARA"))</f>
        <v/>
      </c>
      <c r="E2617" s="23" t="str">
        <f aca="false">IF(A2617="","",DATE(YEAR(A2617),MONTH(A2617),1))</f>
        <v/>
      </c>
    </row>
    <row r="2618" customFormat="false" ht="15" hidden="false" customHeight="false" outlineLevel="0" collapsed="false">
      <c r="A2618" s="21"/>
      <c r="B2618" s="4"/>
      <c r="C2618" s="22"/>
      <c r="D2618" s="5" t="str">
        <f aca="false">IF(B2618="","",IFERROR(INDEX(DE_PARA!$B$6:$B$205,MATCH(B2618,DE_PARA!$A$6:$A$205,0)),"SEM DE-PARA"))</f>
        <v/>
      </c>
      <c r="E2618" s="23" t="str">
        <f aca="false">IF(A2618="","",DATE(YEAR(A2618),MONTH(A2618),1))</f>
        <v/>
      </c>
    </row>
    <row r="2619" customFormat="false" ht="15" hidden="false" customHeight="false" outlineLevel="0" collapsed="false">
      <c r="A2619" s="21"/>
      <c r="B2619" s="4"/>
      <c r="C2619" s="22"/>
      <c r="D2619" s="5" t="str">
        <f aca="false">IF(B2619="","",IFERROR(INDEX(DE_PARA!$B$6:$B$205,MATCH(B2619,DE_PARA!$A$6:$A$205,0)),"SEM DE-PARA"))</f>
        <v/>
      </c>
      <c r="E2619" s="23" t="str">
        <f aca="false">IF(A2619="","",DATE(YEAR(A2619),MONTH(A2619),1))</f>
        <v/>
      </c>
    </row>
    <row r="2620" customFormat="false" ht="15" hidden="false" customHeight="false" outlineLevel="0" collapsed="false">
      <c r="A2620" s="21"/>
      <c r="B2620" s="4"/>
      <c r="C2620" s="22"/>
      <c r="D2620" s="5" t="str">
        <f aca="false">IF(B2620="","",IFERROR(INDEX(DE_PARA!$B$6:$B$205,MATCH(B2620,DE_PARA!$A$6:$A$205,0)),"SEM DE-PARA"))</f>
        <v/>
      </c>
      <c r="E2620" s="23" t="str">
        <f aca="false">IF(A2620="","",DATE(YEAR(A2620),MONTH(A2620),1))</f>
        <v/>
      </c>
    </row>
    <row r="2621" customFormat="false" ht="15" hidden="false" customHeight="false" outlineLevel="0" collapsed="false">
      <c r="A2621" s="21"/>
      <c r="B2621" s="4"/>
      <c r="C2621" s="22"/>
      <c r="D2621" s="5" t="str">
        <f aca="false">IF(B2621="","",IFERROR(INDEX(DE_PARA!$B$6:$B$205,MATCH(B2621,DE_PARA!$A$6:$A$205,0)),"SEM DE-PARA"))</f>
        <v/>
      </c>
      <c r="E2621" s="23" t="str">
        <f aca="false">IF(A2621="","",DATE(YEAR(A2621),MONTH(A2621),1))</f>
        <v/>
      </c>
    </row>
    <row r="2622" customFormat="false" ht="15" hidden="false" customHeight="false" outlineLevel="0" collapsed="false">
      <c r="A2622" s="21"/>
      <c r="B2622" s="4"/>
      <c r="C2622" s="22"/>
      <c r="D2622" s="5" t="str">
        <f aca="false">IF(B2622="","",IFERROR(INDEX(DE_PARA!$B$6:$B$205,MATCH(B2622,DE_PARA!$A$6:$A$205,0)),"SEM DE-PARA"))</f>
        <v/>
      </c>
      <c r="E2622" s="23" t="str">
        <f aca="false">IF(A2622="","",DATE(YEAR(A2622),MONTH(A2622),1))</f>
        <v/>
      </c>
    </row>
    <row r="2623" customFormat="false" ht="15" hidden="false" customHeight="false" outlineLevel="0" collapsed="false">
      <c r="A2623" s="21"/>
      <c r="B2623" s="4"/>
      <c r="C2623" s="22"/>
      <c r="D2623" s="5" t="str">
        <f aca="false">IF(B2623="","",IFERROR(INDEX(DE_PARA!$B$6:$B$205,MATCH(B2623,DE_PARA!$A$6:$A$205,0)),"SEM DE-PARA"))</f>
        <v/>
      </c>
      <c r="E2623" s="23" t="str">
        <f aca="false">IF(A2623="","",DATE(YEAR(A2623),MONTH(A2623),1))</f>
        <v/>
      </c>
    </row>
    <row r="2624" customFormat="false" ht="15" hidden="false" customHeight="false" outlineLevel="0" collapsed="false">
      <c r="A2624" s="21"/>
      <c r="B2624" s="4"/>
      <c r="C2624" s="22"/>
      <c r="D2624" s="5" t="str">
        <f aca="false">IF(B2624="","",IFERROR(INDEX(DE_PARA!$B$6:$B$205,MATCH(B2624,DE_PARA!$A$6:$A$205,0)),"SEM DE-PARA"))</f>
        <v/>
      </c>
      <c r="E2624" s="23" t="str">
        <f aca="false">IF(A2624="","",DATE(YEAR(A2624),MONTH(A2624),1))</f>
        <v/>
      </c>
    </row>
    <row r="2625" customFormat="false" ht="15" hidden="false" customHeight="false" outlineLevel="0" collapsed="false">
      <c r="A2625" s="21"/>
      <c r="B2625" s="4"/>
      <c r="C2625" s="22"/>
      <c r="D2625" s="5" t="str">
        <f aca="false">IF(B2625="","",IFERROR(INDEX(DE_PARA!$B$6:$B$205,MATCH(B2625,DE_PARA!$A$6:$A$205,0)),"SEM DE-PARA"))</f>
        <v/>
      </c>
      <c r="E2625" s="23" t="str">
        <f aca="false">IF(A2625="","",DATE(YEAR(A2625),MONTH(A2625),1))</f>
        <v/>
      </c>
    </row>
    <row r="2626" customFormat="false" ht="15" hidden="false" customHeight="false" outlineLevel="0" collapsed="false">
      <c r="A2626" s="21"/>
      <c r="B2626" s="4"/>
      <c r="C2626" s="22"/>
      <c r="D2626" s="5" t="str">
        <f aca="false">IF(B2626="","",IFERROR(INDEX(DE_PARA!$B$6:$B$205,MATCH(B2626,DE_PARA!$A$6:$A$205,0)),"SEM DE-PARA"))</f>
        <v/>
      </c>
      <c r="E2626" s="23" t="str">
        <f aca="false">IF(A2626="","",DATE(YEAR(A2626),MONTH(A2626),1))</f>
        <v/>
      </c>
    </row>
    <row r="2627" customFormat="false" ht="15" hidden="false" customHeight="false" outlineLevel="0" collapsed="false">
      <c r="A2627" s="21"/>
      <c r="B2627" s="4"/>
      <c r="C2627" s="22"/>
      <c r="D2627" s="5" t="str">
        <f aca="false">IF(B2627="","",IFERROR(INDEX(DE_PARA!$B$6:$B$205,MATCH(B2627,DE_PARA!$A$6:$A$205,0)),"SEM DE-PARA"))</f>
        <v/>
      </c>
      <c r="E2627" s="23" t="str">
        <f aca="false">IF(A2627="","",DATE(YEAR(A2627),MONTH(A2627),1))</f>
        <v/>
      </c>
    </row>
    <row r="2628" customFormat="false" ht="15" hidden="false" customHeight="false" outlineLevel="0" collapsed="false">
      <c r="A2628" s="21"/>
      <c r="B2628" s="4"/>
      <c r="C2628" s="22"/>
      <c r="D2628" s="5" t="str">
        <f aca="false">IF(B2628="","",IFERROR(INDEX(DE_PARA!$B$6:$B$205,MATCH(B2628,DE_PARA!$A$6:$A$205,0)),"SEM DE-PARA"))</f>
        <v/>
      </c>
      <c r="E2628" s="23" t="str">
        <f aca="false">IF(A2628="","",DATE(YEAR(A2628),MONTH(A2628),1))</f>
        <v/>
      </c>
    </row>
    <row r="2629" customFormat="false" ht="15" hidden="false" customHeight="false" outlineLevel="0" collapsed="false">
      <c r="A2629" s="21"/>
      <c r="B2629" s="4"/>
      <c r="C2629" s="22"/>
      <c r="D2629" s="5" t="str">
        <f aca="false">IF(B2629="","",IFERROR(INDEX(DE_PARA!$B$6:$B$205,MATCH(B2629,DE_PARA!$A$6:$A$205,0)),"SEM DE-PARA"))</f>
        <v/>
      </c>
      <c r="E2629" s="23" t="str">
        <f aca="false">IF(A2629="","",DATE(YEAR(A2629),MONTH(A2629),1))</f>
        <v/>
      </c>
    </row>
    <row r="2630" customFormat="false" ht="15" hidden="false" customHeight="false" outlineLevel="0" collapsed="false">
      <c r="A2630" s="21"/>
      <c r="B2630" s="4"/>
      <c r="C2630" s="22"/>
      <c r="D2630" s="5" t="str">
        <f aca="false">IF(B2630="","",IFERROR(INDEX(DE_PARA!$B$6:$B$205,MATCH(B2630,DE_PARA!$A$6:$A$205,0)),"SEM DE-PARA"))</f>
        <v/>
      </c>
      <c r="E2630" s="23" t="str">
        <f aca="false">IF(A2630="","",DATE(YEAR(A2630),MONTH(A2630),1))</f>
        <v/>
      </c>
    </row>
    <row r="2631" customFormat="false" ht="15" hidden="false" customHeight="false" outlineLevel="0" collapsed="false">
      <c r="A2631" s="21"/>
      <c r="B2631" s="4"/>
      <c r="C2631" s="22"/>
      <c r="D2631" s="5" t="str">
        <f aca="false">IF(B2631="","",IFERROR(INDEX(DE_PARA!$B$6:$B$205,MATCH(B2631,DE_PARA!$A$6:$A$205,0)),"SEM DE-PARA"))</f>
        <v/>
      </c>
      <c r="E2631" s="23" t="str">
        <f aca="false">IF(A2631="","",DATE(YEAR(A2631),MONTH(A2631),1))</f>
        <v/>
      </c>
    </row>
    <row r="2632" customFormat="false" ht="15" hidden="false" customHeight="false" outlineLevel="0" collapsed="false">
      <c r="A2632" s="21"/>
      <c r="B2632" s="4"/>
      <c r="C2632" s="22"/>
      <c r="D2632" s="5" t="str">
        <f aca="false">IF(B2632="","",IFERROR(INDEX(DE_PARA!$B$6:$B$205,MATCH(B2632,DE_PARA!$A$6:$A$205,0)),"SEM DE-PARA"))</f>
        <v/>
      </c>
      <c r="E2632" s="23" t="str">
        <f aca="false">IF(A2632="","",DATE(YEAR(A2632),MONTH(A2632),1))</f>
        <v/>
      </c>
    </row>
    <row r="2633" customFormat="false" ht="15" hidden="false" customHeight="false" outlineLevel="0" collapsed="false">
      <c r="A2633" s="21"/>
      <c r="B2633" s="4"/>
      <c r="C2633" s="22"/>
      <c r="D2633" s="5" t="str">
        <f aca="false">IF(B2633="","",IFERROR(INDEX(DE_PARA!$B$6:$B$205,MATCH(B2633,DE_PARA!$A$6:$A$205,0)),"SEM DE-PARA"))</f>
        <v/>
      </c>
      <c r="E2633" s="23" t="str">
        <f aca="false">IF(A2633="","",DATE(YEAR(A2633),MONTH(A2633),1))</f>
        <v/>
      </c>
    </row>
    <row r="2634" customFormat="false" ht="15" hidden="false" customHeight="false" outlineLevel="0" collapsed="false">
      <c r="A2634" s="21"/>
      <c r="B2634" s="4"/>
      <c r="C2634" s="22"/>
      <c r="D2634" s="5" t="str">
        <f aca="false">IF(B2634="","",IFERROR(INDEX(DE_PARA!$B$6:$B$205,MATCH(B2634,DE_PARA!$A$6:$A$205,0)),"SEM DE-PARA"))</f>
        <v/>
      </c>
      <c r="E2634" s="23" t="str">
        <f aca="false">IF(A2634="","",DATE(YEAR(A2634),MONTH(A2634),1))</f>
        <v/>
      </c>
    </row>
    <row r="2635" customFormat="false" ht="15" hidden="false" customHeight="false" outlineLevel="0" collapsed="false">
      <c r="A2635" s="21"/>
      <c r="B2635" s="4"/>
      <c r="C2635" s="22"/>
      <c r="D2635" s="5" t="str">
        <f aca="false">IF(B2635="","",IFERROR(INDEX(DE_PARA!$B$6:$B$205,MATCH(B2635,DE_PARA!$A$6:$A$205,0)),"SEM DE-PARA"))</f>
        <v/>
      </c>
      <c r="E2635" s="23" t="str">
        <f aca="false">IF(A2635="","",DATE(YEAR(A2635),MONTH(A2635),1))</f>
        <v/>
      </c>
    </row>
    <row r="2636" customFormat="false" ht="15" hidden="false" customHeight="false" outlineLevel="0" collapsed="false">
      <c r="A2636" s="21"/>
      <c r="B2636" s="4"/>
      <c r="C2636" s="22"/>
      <c r="D2636" s="5" t="str">
        <f aca="false">IF(B2636="","",IFERROR(INDEX(DE_PARA!$B$6:$B$205,MATCH(B2636,DE_PARA!$A$6:$A$205,0)),"SEM DE-PARA"))</f>
        <v/>
      </c>
      <c r="E2636" s="23" t="str">
        <f aca="false">IF(A2636="","",DATE(YEAR(A2636),MONTH(A2636),1))</f>
        <v/>
      </c>
    </row>
    <row r="2637" customFormat="false" ht="15" hidden="false" customHeight="false" outlineLevel="0" collapsed="false">
      <c r="A2637" s="21"/>
      <c r="B2637" s="4"/>
      <c r="C2637" s="22"/>
      <c r="D2637" s="5" t="str">
        <f aca="false">IF(B2637="","",IFERROR(INDEX(DE_PARA!$B$6:$B$205,MATCH(B2637,DE_PARA!$A$6:$A$205,0)),"SEM DE-PARA"))</f>
        <v/>
      </c>
      <c r="E2637" s="23" t="str">
        <f aca="false">IF(A2637="","",DATE(YEAR(A2637),MONTH(A2637),1))</f>
        <v/>
      </c>
    </row>
    <row r="2638" customFormat="false" ht="15" hidden="false" customHeight="false" outlineLevel="0" collapsed="false">
      <c r="A2638" s="21"/>
      <c r="B2638" s="4"/>
      <c r="C2638" s="22"/>
      <c r="D2638" s="5" t="str">
        <f aca="false">IF(B2638="","",IFERROR(INDEX(DE_PARA!$B$6:$B$205,MATCH(B2638,DE_PARA!$A$6:$A$205,0)),"SEM DE-PARA"))</f>
        <v/>
      </c>
      <c r="E2638" s="23" t="str">
        <f aca="false">IF(A2638="","",DATE(YEAR(A2638),MONTH(A2638),1))</f>
        <v/>
      </c>
    </row>
    <row r="2639" customFormat="false" ht="15" hidden="false" customHeight="false" outlineLevel="0" collapsed="false">
      <c r="A2639" s="21"/>
      <c r="B2639" s="4"/>
      <c r="C2639" s="22"/>
      <c r="D2639" s="5" t="str">
        <f aca="false">IF(B2639="","",IFERROR(INDEX(DE_PARA!$B$6:$B$205,MATCH(B2639,DE_PARA!$A$6:$A$205,0)),"SEM DE-PARA"))</f>
        <v/>
      </c>
      <c r="E2639" s="23" t="str">
        <f aca="false">IF(A2639="","",DATE(YEAR(A2639),MONTH(A2639),1))</f>
        <v/>
      </c>
    </row>
    <row r="2640" customFormat="false" ht="15" hidden="false" customHeight="false" outlineLevel="0" collapsed="false">
      <c r="A2640" s="21"/>
      <c r="B2640" s="4"/>
      <c r="C2640" s="22"/>
      <c r="D2640" s="5" t="str">
        <f aca="false">IF(B2640="","",IFERROR(INDEX(DE_PARA!$B$6:$B$205,MATCH(B2640,DE_PARA!$A$6:$A$205,0)),"SEM DE-PARA"))</f>
        <v/>
      </c>
      <c r="E2640" s="23" t="str">
        <f aca="false">IF(A2640="","",DATE(YEAR(A2640),MONTH(A2640),1))</f>
        <v/>
      </c>
    </row>
    <row r="2641" customFormat="false" ht="15" hidden="false" customHeight="false" outlineLevel="0" collapsed="false">
      <c r="A2641" s="21"/>
      <c r="B2641" s="4"/>
      <c r="C2641" s="22"/>
      <c r="D2641" s="5" t="str">
        <f aca="false">IF(B2641="","",IFERROR(INDEX(DE_PARA!$B$6:$B$205,MATCH(B2641,DE_PARA!$A$6:$A$205,0)),"SEM DE-PARA"))</f>
        <v/>
      </c>
      <c r="E2641" s="23" t="str">
        <f aca="false">IF(A2641="","",DATE(YEAR(A2641),MONTH(A2641),1))</f>
        <v/>
      </c>
    </row>
    <row r="2642" customFormat="false" ht="15" hidden="false" customHeight="false" outlineLevel="0" collapsed="false">
      <c r="A2642" s="21"/>
      <c r="B2642" s="4"/>
      <c r="C2642" s="22"/>
      <c r="D2642" s="5" t="str">
        <f aca="false">IF(B2642="","",IFERROR(INDEX(DE_PARA!$B$6:$B$205,MATCH(B2642,DE_PARA!$A$6:$A$205,0)),"SEM DE-PARA"))</f>
        <v/>
      </c>
      <c r="E2642" s="23" t="str">
        <f aca="false">IF(A2642="","",DATE(YEAR(A2642),MONTH(A2642),1))</f>
        <v/>
      </c>
    </row>
    <row r="2643" customFormat="false" ht="15" hidden="false" customHeight="false" outlineLevel="0" collapsed="false">
      <c r="A2643" s="21"/>
      <c r="B2643" s="4"/>
      <c r="C2643" s="22"/>
      <c r="D2643" s="5" t="str">
        <f aca="false">IF(B2643="","",IFERROR(INDEX(DE_PARA!$B$6:$B$205,MATCH(B2643,DE_PARA!$A$6:$A$205,0)),"SEM DE-PARA"))</f>
        <v/>
      </c>
      <c r="E2643" s="23" t="str">
        <f aca="false">IF(A2643="","",DATE(YEAR(A2643),MONTH(A2643),1))</f>
        <v/>
      </c>
    </row>
    <row r="2644" customFormat="false" ht="15" hidden="false" customHeight="false" outlineLevel="0" collapsed="false">
      <c r="A2644" s="21"/>
      <c r="B2644" s="4"/>
      <c r="C2644" s="22"/>
      <c r="D2644" s="5" t="str">
        <f aca="false">IF(B2644="","",IFERROR(INDEX(DE_PARA!$B$6:$B$205,MATCH(B2644,DE_PARA!$A$6:$A$205,0)),"SEM DE-PARA"))</f>
        <v/>
      </c>
      <c r="E2644" s="23" t="str">
        <f aca="false">IF(A2644="","",DATE(YEAR(A2644),MONTH(A2644),1))</f>
        <v/>
      </c>
    </row>
    <row r="2645" customFormat="false" ht="15" hidden="false" customHeight="false" outlineLevel="0" collapsed="false">
      <c r="A2645" s="21"/>
      <c r="B2645" s="4"/>
      <c r="C2645" s="22"/>
      <c r="D2645" s="5" t="str">
        <f aca="false">IF(B2645="","",IFERROR(INDEX(DE_PARA!$B$6:$B$205,MATCH(B2645,DE_PARA!$A$6:$A$205,0)),"SEM DE-PARA"))</f>
        <v/>
      </c>
      <c r="E2645" s="23" t="str">
        <f aca="false">IF(A2645="","",DATE(YEAR(A2645),MONTH(A2645),1))</f>
        <v/>
      </c>
    </row>
    <row r="2646" customFormat="false" ht="15" hidden="false" customHeight="false" outlineLevel="0" collapsed="false">
      <c r="A2646" s="21"/>
      <c r="B2646" s="4"/>
      <c r="C2646" s="22"/>
      <c r="D2646" s="5" t="str">
        <f aca="false">IF(B2646="","",IFERROR(INDEX(DE_PARA!$B$6:$B$205,MATCH(B2646,DE_PARA!$A$6:$A$205,0)),"SEM DE-PARA"))</f>
        <v/>
      </c>
      <c r="E2646" s="23" t="str">
        <f aca="false">IF(A2646="","",DATE(YEAR(A2646),MONTH(A2646),1))</f>
        <v/>
      </c>
    </row>
    <row r="2647" customFormat="false" ht="15" hidden="false" customHeight="false" outlineLevel="0" collapsed="false">
      <c r="A2647" s="21"/>
      <c r="B2647" s="4"/>
      <c r="C2647" s="22"/>
      <c r="D2647" s="5" t="str">
        <f aca="false">IF(B2647="","",IFERROR(INDEX(DE_PARA!$B$6:$B$205,MATCH(B2647,DE_PARA!$A$6:$A$205,0)),"SEM DE-PARA"))</f>
        <v/>
      </c>
      <c r="E2647" s="23" t="str">
        <f aca="false">IF(A2647="","",DATE(YEAR(A2647),MONTH(A2647),1))</f>
        <v/>
      </c>
    </row>
    <row r="2648" customFormat="false" ht="15" hidden="false" customHeight="false" outlineLevel="0" collapsed="false">
      <c r="A2648" s="21"/>
      <c r="B2648" s="4"/>
      <c r="C2648" s="22"/>
      <c r="D2648" s="5" t="str">
        <f aca="false">IF(B2648="","",IFERROR(INDEX(DE_PARA!$B$6:$B$205,MATCH(B2648,DE_PARA!$A$6:$A$205,0)),"SEM DE-PARA"))</f>
        <v/>
      </c>
      <c r="E2648" s="23" t="str">
        <f aca="false">IF(A2648="","",DATE(YEAR(A2648),MONTH(A2648),1))</f>
        <v/>
      </c>
    </row>
    <row r="2649" customFormat="false" ht="15" hidden="false" customHeight="false" outlineLevel="0" collapsed="false">
      <c r="A2649" s="21"/>
      <c r="B2649" s="4"/>
      <c r="C2649" s="22"/>
      <c r="D2649" s="5" t="str">
        <f aca="false">IF(B2649="","",IFERROR(INDEX(DE_PARA!$B$6:$B$205,MATCH(B2649,DE_PARA!$A$6:$A$205,0)),"SEM DE-PARA"))</f>
        <v/>
      </c>
      <c r="E2649" s="23" t="str">
        <f aca="false">IF(A2649="","",DATE(YEAR(A2649),MONTH(A2649),1))</f>
        <v/>
      </c>
    </row>
    <row r="2650" customFormat="false" ht="15" hidden="false" customHeight="false" outlineLevel="0" collapsed="false">
      <c r="A2650" s="21"/>
      <c r="B2650" s="4"/>
      <c r="C2650" s="22"/>
      <c r="D2650" s="5" t="str">
        <f aca="false">IF(B2650="","",IFERROR(INDEX(DE_PARA!$B$6:$B$205,MATCH(B2650,DE_PARA!$A$6:$A$205,0)),"SEM DE-PARA"))</f>
        <v/>
      </c>
      <c r="E2650" s="23" t="str">
        <f aca="false">IF(A2650="","",DATE(YEAR(A2650),MONTH(A2650),1))</f>
        <v/>
      </c>
    </row>
    <row r="2651" customFormat="false" ht="15" hidden="false" customHeight="false" outlineLevel="0" collapsed="false">
      <c r="A2651" s="21"/>
      <c r="B2651" s="4"/>
      <c r="C2651" s="22"/>
      <c r="D2651" s="5" t="str">
        <f aca="false">IF(B2651="","",IFERROR(INDEX(DE_PARA!$B$6:$B$205,MATCH(B2651,DE_PARA!$A$6:$A$205,0)),"SEM DE-PARA"))</f>
        <v/>
      </c>
      <c r="E2651" s="23" t="str">
        <f aca="false">IF(A2651="","",DATE(YEAR(A2651),MONTH(A2651),1))</f>
        <v/>
      </c>
    </row>
    <row r="2652" customFormat="false" ht="15" hidden="false" customHeight="false" outlineLevel="0" collapsed="false">
      <c r="A2652" s="21"/>
      <c r="B2652" s="4"/>
      <c r="C2652" s="22"/>
      <c r="D2652" s="5" t="str">
        <f aca="false">IF(B2652="","",IFERROR(INDEX(DE_PARA!$B$6:$B$205,MATCH(B2652,DE_PARA!$A$6:$A$205,0)),"SEM DE-PARA"))</f>
        <v/>
      </c>
      <c r="E2652" s="23" t="str">
        <f aca="false">IF(A2652="","",DATE(YEAR(A2652),MONTH(A2652),1))</f>
        <v/>
      </c>
    </row>
    <row r="2653" customFormat="false" ht="15" hidden="false" customHeight="false" outlineLevel="0" collapsed="false">
      <c r="A2653" s="21"/>
      <c r="B2653" s="4"/>
      <c r="C2653" s="22"/>
      <c r="D2653" s="5" t="str">
        <f aca="false">IF(B2653="","",IFERROR(INDEX(DE_PARA!$B$6:$B$205,MATCH(B2653,DE_PARA!$A$6:$A$205,0)),"SEM DE-PARA"))</f>
        <v/>
      </c>
      <c r="E2653" s="23" t="str">
        <f aca="false">IF(A2653="","",DATE(YEAR(A2653),MONTH(A2653),1))</f>
        <v/>
      </c>
    </row>
    <row r="2654" customFormat="false" ht="15" hidden="false" customHeight="false" outlineLevel="0" collapsed="false">
      <c r="A2654" s="21"/>
      <c r="B2654" s="4"/>
      <c r="C2654" s="22"/>
      <c r="D2654" s="5" t="str">
        <f aca="false">IF(B2654="","",IFERROR(INDEX(DE_PARA!$B$6:$B$205,MATCH(B2654,DE_PARA!$A$6:$A$205,0)),"SEM DE-PARA"))</f>
        <v/>
      </c>
      <c r="E2654" s="23" t="str">
        <f aca="false">IF(A2654="","",DATE(YEAR(A2654),MONTH(A2654),1))</f>
        <v/>
      </c>
    </row>
    <row r="2655" customFormat="false" ht="15" hidden="false" customHeight="false" outlineLevel="0" collapsed="false">
      <c r="A2655" s="21"/>
      <c r="B2655" s="4"/>
      <c r="C2655" s="22"/>
      <c r="D2655" s="5" t="str">
        <f aca="false">IF(B2655="","",IFERROR(INDEX(DE_PARA!$B$6:$B$205,MATCH(B2655,DE_PARA!$A$6:$A$205,0)),"SEM DE-PARA"))</f>
        <v/>
      </c>
      <c r="E2655" s="23" t="str">
        <f aca="false">IF(A2655="","",DATE(YEAR(A2655),MONTH(A2655),1))</f>
        <v/>
      </c>
    </row>
    <row r="2656" customFormat="false" ht="15" hidden="false" customHeight="false" outlineLevel="0" collapsed="false">
      <c r="A2656" s="21"/>
      <c r="B2656" s="4"/>
      <c r="C2656" s="22"/>
      <c r="D2656" s="5" t="str">
        <f aca="false">IF(B2656="","",IFERROR(INDEX(DE_PARA!$B$6:$B$205,MATCH(B2656,DE_PARA!$A$6:$A$205,0)),"SEM DE-PARA"))</f>
        <v/>
      </c>
      <c r="E2656" s="23" t="str">
        <f aca="false">IF(A2656="","",DATE(YEAR(A2656),MONTH(A2656),1))</f>
        <v/>
      </c>
    </row>
    <row r="2657" customFormat="false" ht="15" hidden="false" customHeight="false" outlineLevel="0" collapsed="false">
      <c r="A2657" s="21"/>
      <c r="B2657" s="4"/>
      <c r="C2657" s="22"/>
      <c r="D2657" s="5" t="str">
        <f aca="false">IF(B2657="","",IFERROR(INDEX(DE_PARA!$B$6:$B$205,MATCH(B2657,DE_PARA!$A$6:$A$205,0)),"SEM DE-PARA"))</f>
        <v/>
      </c>
      <c r="E2657" s="23" t="str">
        <f aca="false">IF(A2657="","",DATE(YEAR(A2657),MONTH(A2657),1))</f>
        <v/>
      </c>
    </row>
    <row r="2658" customFormat="false" ht="15" hidden="false" customHeight="false" outlineLevel="0" collapsed="false">
      <c r="A2658" s="21"/>
      <c r="B2658" s="4"/>
      <c r="C2658" s="22"/>
      <c r="D2658" s="5" t="str">
        <f aca="false">IF(B2658="","",IFERROR(INDEX(DE_PARA!$B$6:$B$205,MATCH(B2658,DE_PARA!$A$6:$A$205,0)),"SEM DE-PARA"))</f>
        <v/>
      </c>
      <c r="E2658" s="23" t="str">
        <f aca="false">IF(A2658="","",DATE(YEAR(A2658),MONTH(A2658),1))</f>
        <v/>
      </c>
    </row>
    <row r="2659" customFormat="false" ht="15" hidden="false" customHeight="false" outlineLevel="0" collapsed="false">
      <c r="A2659" s="21"/>
      <c r="B2659" s="4"/>
      <c r="C2659" s="22"/>
      <c r="D2659" s="5" t="str">
        <f aca="false">IF(B2659="","",IFERROR(INDEX(DE_PARA!$B$6:$B$205,MATCH(B2659,DE_PARA!$A$6:$A$205,0)),"SEM DE-PARA"))</f>
        <v/>
      </c>
      <c r="E2659" s="23" t="str">
        <f aca="false">IF(A2659="","",DATE(YEAR(A2659),MONTH(A2659),1))</f>
        <v/>
      </c>
    </row>
    <row r="2660" customFormat="false" ht="15" hidden="false" customHeight="false" outlineLevel="0" collapsed="false">
      <c r="A2660" s="21"/>
      <c r="B2660" s="4"/>
      <c r="C2660" s="22"/>
      <c r="D2660" s="5" t="str">
        <f aca="false">IF(B2660="","",IFERROR(INDEX(DE_PARA!$B$6:$B$205,MATCH(B2660,DE_PARA!$A$6:$A$205,0)),"SEM DE-PARA"))</f>
        <v/>
      </c>
      <c r="E2660" s="23" t="str">
        <f aca="false">IF(A2660="","",DATE(YEAR(A2660),MONTH(A2660),1))</f>
        <v/>
      </c>
    </row>
    <row r="2661" customFormat="false" ht="15" hidden="false" customHeight="false" outlineLevel="0" collapsed="false">
      <c r="A2661" s="21"/>
      <c r="B2661" s="4"/>
      <c r="C2661" s="22"/>
      <c r="D2661" s="5" t="str">
        <f aca="false">IF(B2661="","",IFERROR(INDEX(DE_PARA!$B$6:$B$205,MATCH(B2661,DE_PARA!$A$6:$A$205,0)),"SEM DE-PARA"))</f>
        <v/>
      </c>
      <c r="E2661" s="23" t="str">
        <f aca="false">IF(A2661="","",DATE(YEAR(A2661),MONTH(A2661),1))</f>
        <v/>
      </c>
    </row>
    <row r="2662" customFormat="false" ht="15" hidden="false" customHeight="false" outlineLevel="0" collapsed="false">
      <c r="A2662" s="21"/>
      <c r="B2662" s="4"/>
      <c r="C2662" s="22"/>
      <c r="D2662" s="5" t="str">
        <f aca="false">IF(B2662="","",IFERROR(INDEX(DE_PARA!$B$6:$B$205,MATCH(B2662,DE_PARA!$A$6:$A$205,0)),"SEM DE-PARA"))</f>
        <v/>
      </c>
      <c r="E2662" s="23" t="str">
        <f aca="false">IF(A2662="","",DATE(YEAR(A2662),MONTH(A2662),1))</f>
        <v/>
      </c>
    </row>
    <row r="2663" customFormat="false" ht="15" hidden="false" customHeight="false" outlineLevel="0" collapsed="false">
      <c r="A2663" s="21"/>
      <c r="B2663" s="4"/>
      <c r="C2663" s="22"/>
      <c r="D2663" s="5" t="str">
        <f aca="false">IF(B2663="","",IFERROR(INDEX(DE_PARA!$B$6:$B$205,MATCH(B2663,DE_PARA!$A$6:$A$205,0)),"SEM DE-PARA"))</f>
        <v/>
      </c>
      <c r="E2663" s="23" t="str">
        <f aca="false">IF(A2663="","",DATE(YEAR(A2663),MONTH(A2663),1))</f>
        <v/>
      </c>
    </row>
    <row r="2664" customFormat="false" ht="15" hidden="false" customHeight="false" outlineLevel="0" collapsed="false">
      <c r="A2664" s="21"/>
      <c r="B2664" s="4"/>
      <c r="C2664" s="22"/>
      <c r="D2664" s="5" t="str">
        <f aca="false">IF(B2664="","",IFERROR(INDEX(DE_PARA!$B$6:$B$205,MATCH(B2664,DE_PARA!$A$6:$A$205,0)),"SEM DE-PARA"))</f>
        <v/>
      </c>
      <c r="E2664" s="23" t="str">
        <f aca="false">IF(A2664="","",DATE(YEAR(A2664),MONTH(A2664),1))</f>
        <v/>
      </c>
    </row>
    <row r="2665" customFormat="false" ht="15" hidden="false" customHeight="false" outlineLevel="0" collapsed="false">
      <c r="A2665" s="21"/>
      <c r="B2665" s="4"/>
      <c r="C2665" s="22"/>
      <c r="D2665" s="5" t="str">
        <f aca="false">IF(B2665="","",IFERROR(INDEX(DE_PARA!$B$6:$B$205,MATCH(B2665,DE_PARA!$A$6:$A$205,0)),"SEM DE-PARA"))</f>
        <v/>
      </c>
      <c r="E2665" s="23" t="str">
        <f aca="false">IF(A2665="","",DATE(YEAR(A2665),MONTH(A2665),1))</f>
        <v/>
      </c>
    </row>
    <row r="2666" customFormat="false" ht="15" hidden="false" customHeight="false" outlineLevel="0" collapsed="false">
      <c r="A2666" s="21"/>
      <c r="B2666" s="4"/>
      <c r="C2666" s="22"/>
      <c r="D2666" s="5" t="str">
        <f aca="false">IF(B2666="","",IFERROR(INDEX(DE_PARA!$B$6:$B$205,MATCH(B2666,DE_PARA!$A$6:$A$205,0)),"SEM DE-PARA"))</f>
        <v/>
      </c>
      <c r="E2666" s="23" t="str">
        <f aca="false">IF(A2666="","",DATE(YEAR(A2666),MONTH(A2666),1))</f>
        <v/>
      </c>
    </row>
    <row r="2667" customFormat="false" ht="15" hidden="false" customHeight="false" outlineLevel="0" collapsed="false">
      <c r="A2667" s="21"/>
      <c r="B2667" s="4"/>
      <c r="C2667" s="22"/>
      <c r="D2667" s="5" t="str">
        <f aca="false">IF(B2667="","",IFERROR(INDEX(DE_PARA!$B$6:$B$205,MATCH(B2667,DE_PARA!$A$6:$A$205,0)),"SEM DE-PARA"))</f>
        <v/>
      </c>
      <c r="E2667" s="23" t="str">
        <f aca="false">IF(A2667="","",DATE(YEAR(A2667),MONTH(A2667),1))</f>
        <v/>
      </c>
    </row>
    <row r="2668" customFormat="false" ht="15" hidden="false" customHeight="false" outlineLevel="0" collapsed="false">
      <c r="A2668" s="21"/>
      <c r="B2668" s="4"/>
      <c r="C2668" s="22"/>
      <c r="D2668" s="5" t="str">
        <f aca="false">IF(B2668="","",IFERROR(INDEX(DE_PARA!$B$6:$B$205,MATCH(B2668,DE_PARA!$A$6:$A$205,0)),"SEM DE-PARA"))</f>
        <v/>
      </c>
      <c r="E2668" s="23" t="str">
        <f aca="false">IF(A2668="","",DATE(YEAR(A2668),MONTH(A2668),1))</f>
        <v/>
      </c>
    </row>
    <row r="2669" customFormat="false" ht="15" hidden="false" customHeight="false" outlineLevel="0" collapsed="false">
      <c r="A2669" s="21"/>
      <c r="B2669" s="4"/>
      <c r="C2669" s="22"/>
      <c r="D2669" s="5" t="str">
        <f aca="false">IF(B2669="","",IFERROR(INDEX(DE_PARA!$B$6:$B$205,MATCH(B2669,DE_PARA!$A$6:$A$205,0)),"SEM DE-PARA"))</f>
        <v/>
      </c>
      <c r="E2669" s="23" t="str">
        <f aca="false">IF(A2669="","",DATE(YEAR(A2669),MONTH(A2669),1))</f>
        <v/>
      </c>
    </row>
    <row r="2670" customFormat="false" ht="15" hidden="false" customHeight="false" outlineLevel="0" collapsed="false">
      <c r="A2670" s="21"/>
      <c r="B2670" s="4"/>
      <c r="C2670" s="22"/>
      <c r="D2670" s="5" t="str">
        <f aca="false">IF(B2670="","",IFERROR(INDEX(DE_PARA!$B$6:$B$205,MATCH(B2670,DE_PARA!$A$6:$A$205,0)),"SEM DE-PARA"))</f>
        <v/>
      </c>
      <c r="E2670" s="23" t="str">
        <f aca="false">IF(A2670="","",DATE(YEAR(A2670),MONTH(A2670),1))</f>
        <v/>
      </c>
    </row>
    <row r="2671" customFormat="false" ht="15" hidden="false" customHeight="false" outlineLevel="0" collapsed="false">
      <c r="A2671" s="21"/>
      <c r="B2671" s="4"/>
      <c r="C2671" s="22"/>
      <c r="D2671" s="5" t="str">
        <f aca="false">IF(B2671="","",IFERROR(INDEX(DE_PARA!$B$6:$B$205,MATCH(B2671,DE_PARA!$A$6:$A$205,0)),"SEM DE-PARA"))</f>
        <v/>
      </c>
      <c r="E2671" s="23" t="str">
        <f aca="false">IF(A2671="","",DATE(YEAR(A2671),MONTH(A2671),1))</f>
        <v/>
      </c>
    </row>
    <row r="2672" customFormat="false" ht="15" hidden="false" customHeight="false" outlineLevel="0" collapsed="false">
      <c r="A2672" s="21"/>
      <c r="B2672" s="4"/>
      <c r="C2672" s="22"/>
      <c r="D2672" s="5" t="str">
        <f aca="false">IF(B2672="","",IFERROR(INDEX(DE_PARA!$B$6:$B$205,MATCH(B2672,DE_PARA!$A$6:$A$205,0)),"SEM DE-PARA"))</f>
        <v/>
      </c>
      <c r="E2672" s="23" t="str">
        <f aca="false">IF(A2672="","",DATE(YEAR(A2672),MONTH(A2672),1))</f>
        <v/>
      </c>
    </row>
    <row r="2673" customFormat="false" ht="15" hidden="false" customHeight="false" outlineLevel="0" collapsed="false">
      <c r="A2673" s="21"/>
      <c r="B2673" s="4"/>
      <c r="C2673" s="22"/>
      <c r="D2673" s="5" t="str">
        <f aca="false">IF(B2673="","",IFERROR(INDEX(DE_PARA!$B$6:$B$205,MATCH(B2673,DE_PARA!$A$6:$A$205,0)),"SEM DE-PARA"))</f>
        <v/>
      </c>
      <c r="E2673" s="23" t="str">
        <f aca="false">IF(A2673="","",DATE(YEAR(A2673),MONTH(A2673),1))</f>
        <v/>
      </c>
    </row>
    <row r="2674" customFormat="false" ht="15" hidden="false" customHeight="false" outlineLevel="0" collapsed="false">
      <c r="A2674" s="21"/>
      <c r="B2674" s="4"/>
      <c r="C2674" s="22"/>
      <c r="D2674" s="5" t="str">
        <f aca="false">IF(B2674="","",IFERROR(INDEX(DE_PARA!$B$6:$B$205,MATCH(B2674,DE_PARA!$A$6:$A$205,0)),"SEM DE-PARA"))</f>
        <v/>
      </c>
      <c r="E2674" s="23" t="str">
        <f aca="false">IF(A2674="","",DATE(YEAR(A2674),MONTH(A2674),1))</f>
        <v/>
      </c>
    </row>
    <row r="2675" customFormat="false" ht="15" hidden="false" customHeight="false" outlineLevel="0" collapsed="false">
      <c r="A2675" s="21"/>
      <c r="B2675" s="4"/>
      <c r="C2675" s="22"/>
      <c r="D2675" s="5" t="str">
        <f aca="false">IF(B2675="","",IFERROR(INDEX(DE_PARA!$B$6:$B$205,MATCH(B2675,DE_PARA!$A$6:$A$205,0)),"SEM DE-PARA"))</f>
        <v/>
      </c>
      <c r="E2675" s="23" t="str">
        <f aca="false">IF(A2675="","",DATE(YEAR(A2675),MONTH(A2675),1))</f>
        <v/>
      </c>
    </row>
    <row r="2676" customFormat="false" ht="15" hidden="false" customHeight="false" outlineLevel="0" collapsed="false">
      <c r="A2676" s="21"/>
      <c r="B2676" s="4"/>
      <c r="C2676" s="22"/>
      <c r="D2676" s="5" t="str">
        <f aca="false">IF(B2676="","",IFERROR(INDEX(DE_PARA!$B$6:$B$205,MATCH(B2676,DE_PARA!$A$6:$A$205,0)),"SEM DE-PARA"))</f>
        <v/>
      </c>
      <c r="E2676" s="23" t="str">
        <f aca="false">IF(A2676="","",DATE(YEAR(A2676),MONTH(A2676),1))</f>
        <v/>
      </c>
    </row>
    <row r="2677" customFormat="false" ht="15" hidden="false" customHeight="false" outlineLevel="0" collapsed="false">
      <c r="A2677" s="21"/>
      <c r="B2677" s="4"/>
      <c r="C2677" s="22"/>
      <c r="D2677" s="5" t="str">
        <f aca="false">IF(B2677="","",IFERROR(INDEX(DE_PARA!$B$6:$B$205,MATCH(B2677,DE_PARA!$A$6:$A$205,0)),"SEM DE-PARA"))</f>
        <v/>
      </c>
      <c r="E2677" s="23" t="str">
        <f aca="false">IF(A2677="","",DATE(YEAR(A2677),MONTH(A2677),1))</f>
        <v/>
      </c>
    </row>
    <row r="2678" customFormat="false" ht="15" hidden="false" customHeight="false" outlineLevel="0" collapsed="false">
      <c r="A2678" s="21"/>
      <c r="B2678" s="4"/>
      <c r="C2678" s="22"/>
      <c r="D2678" s="5" t="str">
        <f aca="false">IF(B2678="","",IFERROR(INDEX(DE_PARA!$B$6:$B$205,MATCH(B2678,DE_PARA!$A$6:$A$205,0)),"SEM DE-PARA"))</f>
        <v/>
      </c>
      <c r="E2678" s="23" t="str">
        <f aca="false">IF(A2678="","",DATE(YEAR(A2678),MONTH(A2678),1))</f>
        <v/>
      </c>
    </row>
    <row r="2679" customFormat="false" ht="15" hidden="false" customHeight="false" outlineLevel="0" collapsed="false">
      <c r="A2679" s="21"/>
      <c r="B2679" s="4"/>
      <c r="C2679" s="22"/>
      <c r="D2679" s="5" t="str">
        <f aca="false">IF(B2679="","",IFERROR(INDEX(DE_PARA!$B$6:$B$205,MATCH(B2679,DE_PARA!$A$6:$A$205,0)),"SEM DE-PARA"))</f>
        <v/>
      </c>
      <c r="E2679" s="23" t="str">
        <f aca="false">IF(A2679="","",DATE(YEAR(A2679),MONTH(A2679),1))</f>
        <v/>
      </c>
    </row>
    <row r="2680" customFormat="false" ht="15" hidden="false" customHeight="false" outlineLevel="0" collapsed="false">
      <c r="A2680" s="21"/>
      <c r="B2680" s="4"/>
      <c r="C2680" s="22"/>
      <c r="D2680" s="5" t="str">
        <f aca="false">IF(B2680="","",IFERROR(INDEX(DE_PARA!$B$6:$B$205,MATCH(B2680,DE_PARA!$A$6:$A$205,0)),"SEM DE-PARA"))</f>
        <v/>
      </c>
      <c r="E2680" s="23" t="str">
        <f aca="false">IF(A2680="","",DATE(YEAR(A2680),MONTH(A2680),1))</f>
        <v/>
      </c>
    </row>
    <row r="2681" customFormat="false" ht="15" hidden="false" customHeight="false" outlineLevel="0" collapsed="false">
      <c r="A2681" s="21"/>
      <c r="B2681" s="4"/>
      <c r="C2681" s="22"/>
      <c r="D2681" s="5" t="str">
        <f aca="false">IF(B2681="","",IFERROR(INDEX(DE_PARA!$B$6:$B$205,MATCH(B2681,DE_PARA!$A$6:$A$205,0)),"SEM DE-PARA"))</f>
        <v/>
      </c>
      <c r="E2681" s="23" t="str">
        <f aca="false">IF(A2681="","",DATE(YEAR(A2681),MONTH(A2681),1))</f>
        <v/>
      </c>
    </row>
    <row r="2682" customFormat="false" ht="15" hidden="false" customHeight="false" outlineLevel="0" collapsed="false">
      <c r="A2682" s="21"/>
      <c r="B2682" s="4"/>
      <c r="C2682" s="22"/>
      <c r="D2682" s="5" t="str">
        <f aca="false">IF(B2682="","",IFERROR(INDEX(DE_PARA!$B$6:$B$205,MATCH(B2682,DE_PARA!$A$6:$A$205,0)),"SEM DE-PARA"))</f>
        <v/>
      </c>
      <c r="E2682" s="23" t="str">
        <f aca="false">IF(A2682="","",DATE(YEAR(A2682),MONTH(A2682),1))</f>
        <v/>
      </c>
    </row>
    <row r="2683" customFormat="false" ht="15" hidden="false" customHeight="false" outlineLevel="0" collapsed="false">
      <c r="A2683" s="21"/>
      <c r="B2683" s="4"/>
      <c r="C2683" s="22"/>
      <c r="D2683" s="5" t="str">
        <f aca="false">IF(B2683="","",IFERROR(INDEX(DE_PARA!$B$6:$B$205,MATCH(B2683,DE_PARA!$A$6:$A$205,0)),"SEM DE-PARA"))</f>
        <v/>
      </c>
      <c r="E2683" s="23" t="str">
        <f aca="false">IF(A2683="","",DATE(YEAR(A2683),MONTH(A2683),1))</f>
        <v/>
      </c>
    </row>
    <row r="2684" customFormat="false" ht="15" hidden="false" customHeight="false" outlineLevel="0" collapsed="false">
      <c r="A2684" s="21"/>
      <c r="B2684" s="4"/>
      <c r="C2684" s="22"/>
      <c r="D2684" s="5" t="str">
        <f aca="false">IF(B2684="","",IFERROR(INDEX(DE_PARA!$B$6:$B$205,MATCH(B2684,DE_PARA!$A$6:$A$205,0)),"SEM DE-PARA"))</f>
        <v/>
      </c>
      <c r="E2684" s="23" t="str">
        <f aca="false">IF(A2684="","",DATE(YEAR(A2684),MONTH(A2684),1))</f>
        <v/>
      </c>
    </row>
    <row r="2685" customFormat="false" ht="15" hidden="false" customHeight="false" outlineLevel="0" collapsed="false">
      <c r="A2685" s="21"/>
      <c r="B2685" s="4"/>
      <c r="C2685" s="22"/>
      <c r="D2685" s="5" t="str">
        <f aca="false">IF(B2685="","",IFERROR(INDEX(DE_PARA!$B$6:$B$205,MATCH(B2685,DE_PARA!$A$6:$A$205,0)),"SEM DE-PARA"))</f>
        <v/>
      </c>
      <c r="E2685" s="23" t="str">
        <f aca="false">IF(A2685="","",DATE(YEAR(A2685),MONTH(A2685),1))</f>
        <v/>
      </c>
    </row>
    <row r="2686" customFormat="false" ht="15" hidden="false" customHeight="false" outlineLevel="0" collapsed="false">
      <c r="A2686" s="21"/>
      <c r="B2686" s="4"/>
      <c r="C2686" s="22"/>
      <c r="D2686" s="5" t="str">
        <f aca="false">IF(B2686="","",IFERROR(INDEX(DE_PARA!$B$6:$B$205,MATCH(B2686,DE_PARA!$A$6:$A$205,0)),"SEM DE-PARA"))</f>
        <v/>
      </c>
      <c r="E2686" s="23" t="str">
        <f aca="false">IF(A2686="","",DATE(YEAR(A2686),MONTH(A2686),1))</f>
        <v/>
      </c>
    </row>
    <row r="2687" customFormat="false" ht="15" hidden="false" customHeight="false" outlineLevel="0" collapsed="false">
      <c r="A2687" s="21"/>
      <c r="B2687" s="4"/>
      <c r="C2687" s="22"/>
      <c r="D2687" s="5" t="str">
        <f aca="false">IF(B2687="","",IFERROR(INDEX(DE_PARA!$B$6:$B$205,MATCH(B2687,DE_PARA!$A$6:$A$205,0)),"SEM DE-PARA"))</f>
        <v/>
      </c>
      <c r="E2687" s="23" t="str">
        <f aca="false">IF(A2687="","",DATE(YEAR(A2687),MONTH(A2687),1))</f>
        <v/>
      </c>
    </row>
    <row r="2688" customFormat="false" ht="15" hidden="false" customHeight="false" outlineLevel="0" collapsed="false">
      <c r="A2688" s="21"/>
      <c r="B2688" s="4"/>
      <c r="C2688" s="22"/>
      <c r="D2688" s="5" t="str">
        <f aca="false">IF(B2688="","",IFERROR(INDEX(DE_PARA!$B$6:$B$205,MATCH(B2688,DE_PARA!$A$6:$A$205,0)),"SEM DE-PARA"))</f>
        <v/>
      </c>
      <c r="E2688" s="23" t="str">
        <f aca="false">IF(A2688="","",DATE(YEAR(A2688),MONTH(A2688),1))</f>
        <v/>
      </c>
    </row>
    <row r="2689" customFormat="false" ht="15" hidden="false" customHeight="false" outlineLevel="0" collapsed="false">
      <c r="A2689" s="21"/>
      <c r="B2689" s="4"/>
      <c r="C2689" s="22"/>
      <c r="D2689" s="5" t="str">
        <f aca="false">IF(B2689="","",IFERROR(INDEX(DE_PARA!$B$6:$B$205,MATCH(B2689,DE_PARA!$A$6:$A$205,0)),"SEM DE-PARA"))</f>
        <v/>
      </c>
      <c r="E2689" s="23" t="str">
        <f aca="false">IF(A2689="","",DATE(YEAR(A2689),MONTH(A2689),1))</f>
        <v/>
      </c>
    </row>
    <row r="2690" customFormat="false" ht="15" hidden="false" customHeight="false" outlineLevel="0" collapsed="false">
      <c r="A2690" s="21"/>
      <c r="B2690" s="4"/>
      <c r="C2690" s="22"/>
      <c r="D2690" s="5" t="str">
        <f aca="false">IF(B2690="","",IFERROR(INDEX(DE_PARA!$B$6:$B$205,MATCH(B2690,DE_PARA!$A$6:$A$205,0)),"SEM DE-PARA"))</f>
        <v/>
      </c>
      <c r="E2690" s="23" t="str">
        <f aca="false">IF(A2690="","",DATE(YEAR(A2690),MONTH(A2690),1))</f>
        <v/>
      </c>
    </row>
    <row r="2691" customFormat="false" ht="15" hidden="false" customHeight="false" outlineLevel="0" collapsed="false">
      <c r="A2691" s="21"/>
      <c r="B2691" s="4"/>
      <c r="C2691" s="22"/>
      <c r="D2691" s="5" t="str">
        <f aca="false">IF(B2691="","",IFERROR(INDEX(DE_PARA!$B$6:$B$205,MATCH(B2691,DE_PARA!$A$6:$A$205,0)),"SEM DE-PARA"))</f>
        <v/>
      </c>
      <c r="E2691" s="23" t="str">
        <f aca="false">IF(A2691="","",DATE(YEAR(A2691),MONTH(A2691),1))</f>
        <v/>
      </c>
    </row>
    <row r="2692" customFormat="false" ht="15" hidden="false" customHeight="false" outlineLevel="0" collapsed="false">
      <c r="A2692" s="21"/>
      <c r="B2692" s="4"/>
      <c r="C2692" s="22"/>
      <c r="D2692" s="5" t="str">
        <f aca="false">IF(B2692="","",IFERROR(INDEX(DE_PARA!$B$6:$B$205,MATCH(B2692,DE_PARA!$A$6:$A$205,0)),"SEM DE-PARA"))</f>
        <v/>
      </c>
      <c r="E2692" s="23" t="str">
        <f aca="false">IF(A2692="","",DATE(YEAR(A2692),MONTH(A2692),1))</f>
        <v/>
      </c>
    </row>
    <row r="2693" customFormat="false" ht="15" hidden="false" customHeight="false" outlineLevel="0" collapsed="false">
      <c r="A2693" s="21"/>
      <c r="B2693" s="4"/>
      <c r="C2693" s="22"/>
      <c r="D2693" s="5" t="str">
        <f aca="false">IF(B2693="","",IFERROR(INDEX(DE_PARA!$B$6:$B$205,MATCH(B2693,DE_PARA!$A$6:$A$205,0)),"SEM DE-PARA"))</f>
        <v/>
      </c>
      <c r="E2693" s="23" t="str">
        <f aca="false">IF(A2693="","",DATE(YEAR(A2693),MONTH(A2693),1))</f>
        <v/>
      </c>
    </row>
    <row r="2694" customFormat="false" ht="15" hidden="false" customHeight="false" outlineLevel="0" collapsed="false">
      <c r="A2694" s="21"/>
      <c r="B2694" s="4"/>
      <c r="C2694" s="22"/>
      <c r="D2694" s="5" t="str">
        <f aca="false">IF(B2694="","",IFERROR(INDEX(DE_PARA!$B$6:$B$205,MATCH(B2694,DE_PARA!$A$6:$A$205,0)),"SEM DE-PARA"))</f>
        <v/>
      </c>
      <c r="E2694" s="23" t="str">
        <f aca="false">IF(A2694="","",DATE(YEAR(A2694),MONTH(A2694),1))</f>
        <v/>
      </c>
    </row>
    <row r="2695" customFormat="false" ht="15" hidden="false" customHeight="false" outlineLevel="0" collapsed="false">
      <c r="A2695" s="21"/>
      <c r="B2695" s="4"/>
      <c r="C2695" s="22"/>
      <c r="D2695" s="5" t="str">
        <f aca="false">IF(B2695="","",IFERROR(INDEX(DE_PARA!$B$6:$B$205,MATCH(B2695,DE_PARA!$A$6:$A$205,0)),"SEM DE-PARA"))</f>
        <v/>
      </c>
      <c r="E2695" s="23" t="str">
        <f aca="false">IF(A2695="","",DATE(YEAR(A2695),MONTH(A2695),1))</f>
        <v/>
      </c>
    </row>
    <row r="2696" customFormat="false" ht="15" hidden="false" customHeight="false" outlineLevel="0" collapsed="false">
      <c r="A2696" s="21"/>
      <c r="B2696" s="4"/>
      <c r="C2696" s="22"/>
      <c r="D2696" s="5" t="str">
        <f aca="false">IF(B2696="","",IFERROR(INDEX(DE_PARA!$B$6:$B$205,MATCH(B2696,DE_PARA!$A$6:$A$205,0)),"SEM DE-PARA"))</f>
        <v/>
      </c>
      <c r="E2696" s="23" t="str">
        <f aca="false">IF(A2696="","",DATE(YEAR(A2696),MONTH(A2696),1))</f>
        <v/>
      </c>
    </row>
    <row r="2697" customFormat="false" ht="15" hidden="false" customHeight="false" outlineLevel="0" collapsed="false">
      <c r="A2697" s="21"/>
      <c r="B2697" s="4"/>
      <c r="C2697" s="22"/>
      <c r="D2697" s="5" t="str">
        <f aca="false">IF(B2697="","",IFERROR(INDEX(DE_PARA!$B$6:$B$205,MATCH(B2697,DE_PARA!$A$6:$A$205,0)),"SEM DE-PARA"))</f>
        <v/>
      </c>
      <c r="E2697" s="23" t="str">
        <f aca="false">IF(A2697="","",DATE(YEAR(A2697),MONTH(A2697),1))</f>
        <v/>
      </c>
    </row>
    <row r="2698" customFormat="false" ht="15" hidden="false" customHeight="false" outlineLevel="0" collapsed="false">
      <c r="A2698" s="21"/>
      <c r="B2698" s="4"/>
      <c r="C2698" s="22"/>
      <c r="D2698" s="5" t="str">
        <f aca="false">IF(B2698="","",IFERROR(INDEX(DE_PARA!$B$6:$B$205,MATCH(B2698,DE_PARA!$A$6:$A$205,0)),"SEM DE-PARA"))</f>
        <v/>
      </c>
      <c r="E2698" s="23" t="str">
        <f aca="false">IF(A2698="","",DATE(YEAR(A2698),MONTH(A2698),1))</f>
        <v/>
      </c>
    </row>
    <row r="2699" customFormat="false" ht="15" hidden="false" customHeight="false" outlineLevel="0" collapsed="false">
      <c r="A2699" s="21"/>
      <c r="B2699" s="4"/>
      <c r="C2699" s="22"/>
      <c r="D2699" s="5" t="str">
        <f aca="false">IF(B2699="","",IFERROR(INDEX(DE_PARA!$B$6:$B$205,MATCH(B2699,DE_PARA!$A$6:$A$205,0)),"SEM DE-PARA"))</f>
        <v/>
      </c>
      <c r="E2699" s="23" t="str">
        <f aca="false">IF(A2699="","",DATE(YEAR(A2699),MONTH(A2699),1))</f>
        <v/>
      </c>
    </row>
    <row r="2700" customFormat="false" ht="15" hidden="false" customHeight="false" outlineLevel="0" collapsed="false">
      <c r="A2700" s="21"/>
      <c r="B2700" s="4"/>
      <c r="C2700" s="22"/>
      <c r="D2700" s="5" t="str">
        <f aca="false">IF(B2700="","",IFERROR(INDEX(DE_PARA!$B$6:$B$205,MATCH(B2700,DE_PARA!$A$6:$A$205,0)),"SEM DE-PARA"))</f>
        <v/>
      </c>
      <c r="E2700" s="23" t="str">
        <f aca="false">IF(A2700="","",DATE(YEAR(A2700),MONTH(A2700),1))</f>
        <v/>
      </c>
    </row>
    <row r="2701" customFormat="false" ht="15" hidden="false" customHeight="false" outlineLevel="0" collapsed="false">
      <c r="A2701" s="21"/>
      <c r="B2701" s="4"/>
      <c r="C2701" s="22"/>
      <c r="D2701" s="5" t="str">
        <f aca="false">IF(B2701="","",IFERROR(INDEX(DE_PARA!$B$6:$B$205,MATCH(B2701,DE_PARA!$A$6:$A$205,0)),"SEM DE-PARA"))</f>
        <v/>
      </c>
      <c r="E2701" s="23" t="str">
        <f aca="false">IF(A2701="","",DATE(YEAR(A2701),MONTH(A2701),1))</f>
        <v/>
      </c>
    </row>
    <row r="2702" customFormat="false" ht="15" hidden="false" customHeight="false" outlineLevel="0" collapsed="false">
      <c r="A2702" s="21"/>
      <c r="B2702" s="4"/>
      <c r="C2702" s="22"/>
      <c r="D2702" s="5" t="str">
        <f aca="false">IF(B2702="","",IFERROR(INDEX(DE_PARA!$B$6:$B$205,MATCH(B2702,DE_PARA!$A$6:$A$205,0)),"SEM DE-PARA"))</f>
        <v/>
      </c>
      <c r="E2702" s="23" t="str">
        <f aca="false">IF(A2702="","",DATE(YEAR(A2702),MONTH(A2702),1))</f>
        <v/>
      </c>
    </row>
    <row r="2703" customFormat="false" ht="15" hidden="false" customHeight="false" outlineLevel="0" collapsed="false">
      <c r="A2703" s="21"/>
      <c r="B2703" s="4"/>
      <c r="C2703" s="22"/>
      <c r="D2703" s="5" t="str">
        <f aca="false">IF(B2703="","",IFERROR(INDEX(DE_PARA!$B$6:$B$205,MATCH(B2703,DE_PARA!$A$6:$A$205,0)),"SEM DE-PARA"))</f>
        <v/>
      </c>
      <c r="E2703" s="23" t="str">
        <f aca="false">IF(A2703="","",DATE(YEAR(A2703),MONTH(A2703),1))</f>
        <v/>
      </c>
    </row>
    <row r="2704" customFormat="false" ht="15" hidden="false" customHeight="false" outlineLevel="0" collapsed="false">
      <c r="A2704" s="21"/>
      <c r="B2704" s="4"/>
      <c r="C2704" s="22"/>
      <c r="D2704" s="5" t="str">
        <f aca="false">IF(B2704="","",IFERROR(INDEX(DE_PARA!$B$6:$B$205,MATCH(B2704,DE_PARA!$A$6:$A$205,0)),"SEM DE-PARA"))</f>
        <v/>
      </c>
      <c r="E2704" s="23" t="str">
        <f aca="false">IF(A2704="","",DATE(YEAR(A2704),MONTH(A2704),1))</f>
        <v/>
      </c>
    </row>
    <row r="2705" customFormat="false" ht="15" hidden="false" customHeight="false" outlineLevel="0" collapsed="false">
      <c r="A2705" s="21"/>
      <c r="B2705" s="4"/>
      <c r="C2705" s="22"/>
      <c r="D2705" s="5" t="str">
        <f aca="false">IF(B2705="","",IFERROR(INDEX(DE_PARA!$B$6:$B$205,MATCH(B2705,DE_PARA!$A$6:$A$205,0)),"SEM DE-PARA"))</f>
        <v/>
      </c>
      <c r="E2705" s="23" t="str">
        <f aca="false">IF(A2705="","",DATE(YEAR(A2705),MONTH(A2705),1))</f>
        <v/>
      </c>
    </row>
    <row r="2706" customFormat="false" ht="15" hidden="false" customHeight="false" outlineLevel="0" collapsed="false">
      <c r="A2706" s="21"/>
      <c r="B2706" s="4"/>
      <c r="C2706" s="22"/>
      <c r="D2706" s="5" t="str">
        <f aca="false">IF(B2706="","",IFERROR(INDEX(DE_PARA!$B$6:$B$205,MATCH(B2706,DE_PARA!$A$6:$A$205,0)),"SEM DE-PARA"))</f>
        <v/>
      </c>
      <c r="E2706" s="23" t="str">
        <f aca="false">IF(A2706="","",DATE(YEAR(A2706),MONTH(A2706),1))</f>
        <v/>
      </c>
    </row>
    <row r="2707" customFormat="false" ht="15" hidden="false" customHeight="false" outlineLevel="0" collapsed="false">
      <c r="A2707" s="21"/>
      <c r="B2707" s="4"/>
      <c r="C2707" s="22"/>
      <c r="D2707" s="5" t="str">
        <f aca="false">IF(B2707="","",IFERROR(INDEX(DE_PARA!$B$6:$B$205,MATCH(B2707,DE_PARA!$A$6:$A$205,0)),"SEM DE-PARA"))</f>
        <v/>
      </c>
      <c r="E2707" s="23" t="str">
        <f aca="false">IF(A2707="","",DATE(YEAR(A2707),MONTH(A2707),1))</f>
        <v/>
      </c>
    </row>
    <row r="2708" customFormat="false" ht="15" hidden="false" customHeight="false" outlineLevel="0" collapsed="false">
      <c r="A2708" s="21"/>
      <c r="B2708" s="4"/>
      <c r="C2708" s="22"/>
      <c r="D2708" s="5" t="str">
        <f aca="false">IF(B2708="","",IFERROR(INDEX(DE_PARA!$B$6:$B$205,MATCH(B2708,DE_PARA!$A$6:$A$205,0)),"SEM DE-PARA"))</f>
        <v/>
      </c>
      <c r="E2708" s="23" t="str">
        <f aca="false">IF(A2708="","",DATE(YEAR(A2708),MONTH(A2708),1))</f>
        <v/>
      </c>
    </row>
    <row r="2709" customFormat="false" ht="15" hidden="false" customHeight="false" outlineLevel="0" collapsed="false">
      <c r="A2709" s="21"/>
      <c r="B2709" s="4"/>
      <c r="C2709" s="22"/>
      <c r="D2709" s="5" t="str">
        <f aca="false">IF(B2709="","",IFERROR(INDEX(DE_PARA!$B$6:$B$205,MATCH(B2709,DE_PARA!$A$6:$A$205,0)),"SEM DE-PARA"))</f>
        <v/>
      </c>
      <c r="E2709" s="23" t="str">
        <f aca="false">IF(A2709="","",DATE(YEAR(A2709),MONTH(A2709),1))</f>
        <v/>
      </c>
    </row>
    <row r="2710" customFormat="false" ht="15" hidden="false" customHeight="false" outlineLevel="0" collapsed="false">
      <c r="A2710" s="21"/>
      <c r="B2710" s="4"/>
      <c r="C2710" s="22"/>
      <c r="D2710" s="5" t="str">
        <f aca="false">IF(B2710="","",IFERROR(INDEX(DE_PARA!$B$6:$B$205,MATCH(B2710,DE_PARA!$A$6:$A$205,0)),"SEM DE-PARA"))</f>
        <v/>
      </c>
      <c r="E2710" s="23" t="str">
        <f aca="false">IF(A2710="","",DATE(YEAR(A2710),MONTH(A2710),1))</f>
        <v/>
      </c>
    </row>
    <row r="2711" customFormat="false" ht="15" hidden="false" customHeight="false" outlineLevel="0" collapsed="false">
      <c r="A2711" s="21"/>
      <c r="B2711" s="4"/>
      <c r="C2711" s="22"/>
      <c r="D2711" s="5" t="str">
        <f aca="false">IF(B2711="","",IFERROR(INDEX(DE_PARA!$B$6:$B$205,MATCH(B2711,DE_PARA!$A$6:$A$205,0)),"SEM DE-PARA"))</f>
        <v/>
      </c>
      <c r="E2711" s="23" t="str">
        <f aca="false">IF(A2711="","",DATE(YEAR(A2711),MONTH(A2711),1))</f>
        <v/>
      </c>
    </row>
    <row r="2712" customFormat="false" ht="15" hidden="false" customHeight="false" outlineLevel="0" collapsed="false">
      <c r="A2712" s="21"/>
      <c r="B2712" s="4"/>
      <c r="C2712" s="22"/>
      <c r="D2712" s="5" t="str">
        <f aca="false">IF(B2712="","",IFERROR(INDEX(DE_PARA!$B$6:$B$205,MATCH(B2712,DE_PARA!$A$6:$A$205,0)),"SEM DE-PARA"))</f>
        <v/>
      </c>
      <c r="E2712" s="23" t="str">
        <f aca="false">IF(A2712="","",DATE(YEAR(A2712),MONTH(A2712),1))</f>
        <v/>
      </c>
    </row>
    <row r="2713" customFormat="false" ht="15" hidden="false" customHeight="false" outlineLevel="0" collapsed="false">
      <c r="A2713" s="21"/>
      <c r="B2713" s="4"/>
      <c r="C2713" s="22"/>
      <c r="D2713" s="5" t="str">
        <f aca="false">IF(B2713="","",IFERROR(INDEX(DE_PARA!$B$6:$B$205,MATCH(B2713,DE_PARA!$A$6:$A$205,0)),"SEM DE-PARA"))</f>
        <v/>
      </c>
      <c r="E2713" s="23" t="str">
        <f aca="false">IF(A2713="","",DATE(YEAR(A2713),MONTH(A2713),1))</f>
        <v/>
      </c>
    </row>
    <row r="2714" customFormat="false" ht="15" hidden="false" customHeight="false" outlineLevel="0" collapsed="false">
      <c r="A2714" s="21"/>
      <c r="B2714" s="4"/>
      <c r="C2714" s="22"/>
      <c r="D2714" s="5" t="str">
        <f aca="false">IF(B2714="","",IFERROR(INDEX(DE_PARA!$B$6:$B$205,MATCH(B2714,DE_PARA!$A$6:$A$205,0)),"SEM DE-PARA"))</f>
        <v/>
      </c>
      <c r="E2714" s="23" t="str">
        <f aca="false">IF(A2714="","",DATE(YEAR(A2714),MONTH(A2714),1))</f>
        <v/>
      </c>
    </row>
    <row r="2715" customFormat="false" ht="15" hidden="false" customHeight="false" outlineLevel="0" collapsed="false">
      <c r="A2715" s="21"/>
      <c r="B2715" s="4"/>
      <c r="C2715" s="22"/>
      <c r="D2715" s="5" t="str">
        <f aca="false">IF(B2715="","",IFERROR(INDEX(DE_PARA!$B$6:$B$205,MATCH(B2715,DE_PARA!$A$6:$A$205,0)),"SEM DE-PARA"))</f>
        <v/>
      </c>
      <c r="E2715" s="23" t="str">
        <f aca="false">IF(A2715="","",DATE(YEAR(A2715),MONTH(A2715),1))</f>
        <v/>
      </c>
    </row>
    <row r="2716" customFormat="false" ht="15" hidden="false" customHeight="false" outlineLevel="0" collapsed="false">
      <c r="A2716" s="21"/>
      <c r="B2716" s="4"/>
      <c r="C2716" s="22"/>
      <c r="D2716" s="5" t="str">
        <f aca="false">IF(B2716="","",IFERROR(INDEX(DE_PARA!$B$6:$B$205,MATCH(B2716,DE_PARA!$A$6:$A$205,0)),"SEM DE-PARA"))</f>
        <v/>
      </c>
      <c r="E2716" s="23" t="str">
        <f aca="false">IF(A2716="","",DATE(YEAR(A2716),MONTH(A2716),1))</f>
        <v/>
      </c>
    </row>
    <row r="2717" customFormat="false" ht="15" hidden="false" customHeight="false" outlineLevel="0" collapsed="false">
      <c r="A2717" s="21"/>
      <c r="B2717" s="4"/>
      <c r="C2717" s="22"/>
      <c r="D2717" s="5" t="str">
        <f aca="false">IF(B2717="","",IFERROR(INDEX(DE_PARA!$B$6:$B$205,MATCH(B2717,DE_PARA!$A$6:$A$205,0)),"SEM DE-PARA"))</f>
        <v/>
      </c>
      <c r="E2717" s="23" t="str">
        <f aca="false">IF(A2717="","",DATE(YEAR(A2717),MONTH(A2717),1))</f>
        <v/>
      </c>
    </row>
    <row r="2718" customFormat="false" ht="15" hidden="false" customHeight="false" outlineLevel="0" collapsed="false">
      <c r="A2718" s="21"/>
      <c r="B2718" s="4"/>
      <c r="C2718" s="22"/>
      <c r="D2718" s="5" t="str">
        <f aca="false">IF(B2718="","",IFERROR(INDEX(DE_PARA!$B$6:$B$205,MATCH(B2718,DE_PARA!$A$6:$A$205,0)),"SEM DE-PARA"))</f>
        <v/>
      </c>
      <c r="E2718" s="23" t="str">
        <f aca="false">IF(A2718="","",DATE(YEAR(A2718),MONTH(A2718),1))</f>
        <v/>
      </c>
    </row>
    <row r="2719" customFormat="false" ht="15" hidden="false" customHeight="false" outlineLevel="0" collapsed="false">
      <c r="A2719" s="21"/>
      <c r="B2719" s="4"/>
      <c r="C2719" s="22"/>
      <c r="D2719" s="5" t="str">
        <f aca="false">IF(B2719="","",IFERROR(INDEX(DE_PARA!$B$6:$B$205,MATCH(B2719,DE_PARA!$A$6:$A$205,0)),"SEM DE-PARA"))</f>
        <v/>
      </c>
      <c r="E2719" s="23" t="str">
        <f aca="false">IF(A2719="","",DATE(YEAR(A2719),MONTH(A2719),1))</f>
        <v/>
      </c>
    </row>
    <row r="2720" customFormat="false" ht="15" hidden="false" customHeight="false" outlineLevel="0" collapsed="false">
      <c r="A2720" s="21"/>
      <c r="B2720" s="4"/>
      <c r="C2720" s="22"/>
      <c r="D2720" s="5" t="str">
        <f aca="false">IF(B2720="","",IFERROR(INDEX(DE_PARA!$B$6:$B$205,MATCH(B2720,DE_PARA!$A$6:$A$205,0)),"SEM DE-PARA"))</f>
        <v/>
      </c>
      <c r="E2720" s="23" t="str">
        <f aca="false">IF(A2720="","",DATE(YEAR(A2720),MONTH(A2720),1))</f>
        <v/>
      </c>
    </row>
    <row r="2721" customFormat="false" ht="15" hidden="false" customHeight="false" outlineLevel="0" collapsed="false">
      <c r="A2721" s="21"/>
      <c r="B2721" s="4"/>
      <c r="C2721" s="22"/>
      <c r="D2721" s="5" t="str">
        <f aca="false">IF(B2721="","",IFERROR(INDEX(DE_PARA!$B$6:$B$205,MATCH(B2721,DE_PARA!$A$6:$A$205,0)),"SEM DE-PARA"))</f>
        <v/>
      </c>
      <c r="E2721" s="23" t="str">
        <f aca="false">IF(A2721="","",DATE(YEAR(A2721),MONTH(A2721),1))</f>
        <v/>
      </c>
    </row>
    <row r="2722" customFormat="false" ht="15" hidden="false" customHeight="false" outlineLevel="0" collapsed="false">
      <c r="A2722" s="21"/>
      <c r="B2722" s="4"/>
      <c r="C2722" s="22"/>
      <c r="D2722" s="5" t="str">
        <f aca="false">IF(B2722="","",IFERROR(INDEX(DE_PARA!$B$6:$B$205,MATCH(B2722,DE_PARA!$A$6:$A$205,0)),"SEM DE-PARA"))</f>
        <v/>
      </c>
      <c r="E2722" s="23" t="str">
        <f aca="false">IF(A2722="","",DATE(YEAR(A2722),MONTH(A2722),1))</f>
        <v/>
      </c>
    </row>
    <row r="2723" customFormat="false" ht="15" hidden="false" customHeight="false" outlineLevel="0" collapsed="false">
      <c r="A2723" s="21"/>
      <c r="B2723" s="4"/>
      <c r="C2723" s="22"/>
      <c r="D2723" s="5" t="str">
        <f aca="false">IF(B2723="","",IFERROR(INDEX(DE_PARA!$B$6:$B$205,MATCH(B2723,DE_PARA!$A$6:$A$205,0)),"SEM DE-PARA"))</f>
        <v/>
      </c>
      <c r="E2723" s="23" t="str">
        <f aca="false">IF(A2723="","",DATE(YEAR(A2723),MONTH(A2723),1))</f>
        <v/>
      </c>
    </row>
    <row r="2724" customFormat="false" ht="15" hidden="false" customHeight="false" outlineLevel="0" collapsed="false">
      <c r="A2724" s="21"/>
      <c r="B2724" s="4"/>
      <c r="C2724" s="22"/>
      <c r="D2724" s="5" t="str">
        <f aca="false">IF(B2724="","",IFERROR(INDEX(DE_PARA!$B$6:$B$205,MATCH(B2724,DE_PARA!$A$6:$A$205,0)),"SEM DE-PARA"))</f>
        <v/>
      </c>
      <c r="E2724" s="23" t="str">
        <f aca="false">IF(A2724="","",DATE(YEAR(A2724),MONTH(A2724),1))</f>
        <v/>
      </c>
    </row>
    <row r="2725" customFormat="false" ht="15" hidden="false" customHeight="false" outlineLevel="0" collapsed="false">
      <c r="A2725" s="21"/>
      <c r="B2725" s="4"/>
      <c r="C2725" s="22"/>
      <c r="D2725" s="5" t="str">
        <f aca="false">IF(B2725="","",IFERROR(INDEX(DE_PARA!$B$6:$B$205,MATCH(B2725,DE_PARA!$A$6:$A$205,0)),"SEM DE-PARA"))</f>
        <v/>
      </c>
      <c r="E2725" s="23" t="str">
        <f aca="false">IF(A2725="","",DATE(YEAR(A2725),MONTH(A2725),1))</f>
        <v/>
      </c>
    </row>
    <row r="2726" customFormat="false" ht="15" hidden="false" customHeight="false" outlineLevel="0" collapsed="false">
      <c r="A2726" s="21"/>
      <c r="B2726" s="4"/>
      <c r="C2726" s="22"/>
      <c r="D2726" s="5" t="str">
        <f aca="false">IF(B2726="","",IFERROR(INDEX(DE_PARA!$B$6:$B$205,MATCH(B2726,DE_PARA!$A$6:$A$205,0)),"SEM DE-PARA"))</f>
        <v/>
      </c>
      <c r="E2726" s="23" t="str">
        <f aca="false">IF(A2726="","",DATE(YEAR(A2726),MONTH(A2726),1))</f>
        <v/>
      </c>
    </row>
    <row r="2727" customFormat="false" ht="15" hidden="false" customHeight="false" outlineLevel="0" collapsed="false">
      <c r="A2727" s="21"/>
      <c r="B2727" s="4"/>
      <c r="C2727" s="22"/>
      <c r="D2727" s="5" t="str">
        <f aca="false">IF(B2727="","",IFERROR(INDEX(DE_PARA!$B$6:$B$205,MATCH(B2727,DE_PARA!$A$6:$A$205,0)),"SEM DE-PARA"))</f>
        <v/>
      </c>
      <c r="E2727" s="23" t="str">
        <f aca="false">IF(A2727="","",DATE(YEAR(A2727),MONTH(A2727),1))</f>
        <v/>
      </c>
    </row>
    <row r="2728" customFormat="false" ht="15" hidden="false" customHeight="false" outlineLevel="0" collapsed="false">
      <c r="A2728" s="21"/>
      <c r="B2728" s="4"/>
      <c r="C2728" s="22"/>
      <c r="D2728" s="5" t="str">
        <f aca="false">IF(B2728="","",IFERROR(INDEX(DE_PARA!$B$6:$B$205,MATCH(B2728,DE_PARA!$A$6:$A$205,0)),"SEM DE-PARA"))</f>
        <v/>
      </c>
      <c r="E2728" s="23" t="str">
        <f aca="false">IF(A2728="","",DATE(YEAR(A2728),MONTH(A2728),1))</f>
        <v/>
      </c>
    </row>
    <row r="2729" customFormat="false" ht="15" hidden="false" customHeight="false" outlineLevel="0" collapsed="false">
      <c r="A2729" s="21"/>
      <c r="B2729" s="4"/>
      <c r="C2729" s="22"/>
      <c r="D2729" s="5" t="str">
        <f aca="false">IF(B2729="","",IFERROR(INDEX(DE_PARA!$B$6:$B$205,MATCH(B2729,DE_PARA!$A$6:$A$205,0)),"SEM DE-PARA"))</f>
        <v/>
      </c>
      <c r="E2729" s="23" t="str">
        <f aca="false">IF(A2729="","",DATE(YEAR(A2729),MONTH(A2729),1))</f>
        <v/>
      </c>
    </row>
    <row r="2730" customFormat="false" ht="15" hidden="false" customHeight="false" outlineLevel="0" collapsed="false">
      <c r="A2730" s="21"/>
      <c r="B2730" s="4"/>
      <c r="C2730" s="22"/>
      <c r="D2730" s="5" t="str">
        <f aca="false">IF(B2730="","",IFERROR(INDEX(DE_PARA!$B$6:$B$205,MATCH(B2730,DE_PARA!$A$6:$A$205,0)),"SEM DE-PARA"))</f>
        <v/>
      </c>
      <c r="E2730" s="23" t="str">
        <f aca="false">IF(A2730="","",DATE(YEAR(A2730),MONTH(A2730),1))</f>
        <v/>
      </c>
    </row>
    <row r="2731" customFormat="false" ht="15" hidden="false" customHeight="false" outlineLevel="0" collapsed="false">
      <c r="A2731" s="21"/>
      <c r="B2731" s="4"/>
      <c r="C2731" s="22"/>
      <c r="D2731" s="5" t="str">
        <f aca="false">IF(B2731="","",IFERROR(INDEX(DE_PARA!$B$6:$B$205,MATCH(B2731,DE_PARA!$A$6:$A$205,0)),"SEM DE-PARA"))</f>
        <v/>
      </c>
      <c r="E2731" s="23" t="str">
        <f aca="false">IF(A2731="","",DATE(YEAR(A2731),MONTH(A2731),1))</f>
        <v/>
      </c>
    </row>
    <row r="2732" customFormat="false" ht="15" hidden="false" customHeight="false" outlineLevel="0" collapsed="false">
      <c r="A2732" s="21"/>
      <c r="B2732" s="4"/>
      <c r="C2732" s="22"/>
      <c r="D2732" s="5" t="str">
        <f aca="false">IF(B2732="","",IFERROR(INDEX(DE_PARA!$B$6:$B$205,MATCH(B2732,DE_PARA!$A$6:$A$205,0)),"SEM DE-PARA"))</f>
        <v/>
      </c>
      <c r="E2732" s="23" t="str">
        <f aca="false">IF(A2732="","",DATE(YEAR(A2732),MONTH(A2732),1))</f>
        <v/>
      </c>
    </row>
    <row r="2733" customFormat="false" ht="15" hidden="false" customHeight="false" outlineLevel="0" collapsed="false">
      <c r="A2733" s="21"/>
      <c r="B2733" s="4"/>
      <c r="C2733" s="22"/>
      <c r="D2733" s="5" t="str">
        <f aca="false">IF(B2733="","",IFERROR(INDEX(DE_PARA!$B$6:$B$205,MATCH(B2733,DE_PARA!$A$6:$A$205,0)),"SEM DE-PARA"))</f>
        <v/>
      </c>
      <c r="E2733" s="23" t="str">
        <f aca="false">IF(A2733="","",DATE(YEAR(A2733),MONTH(A2733),1))</f>
        <v/>
      </c>
    </row>
    <row r="2734" customFormat="false" ht="15" hidden="false" customHeight="false" outlineLevel="0" collapsed="false">
      <c r="A2734" s="21"/>
      <c r="B2734" s="4"/>
      <c r="C2734" s="22"/>
      <c r="D2734" s="5" t="str">
        <f aca="false">IF(B2734="","",IFERROR(INDEX(DE_PARA!$B$6:$B$205,MATCH(B2734,DE_PARA!$A$6:$A$205,0)),"SEM DE-PARA"))</f>
        <v/>
      </c>
      <c r="E2734" s="23" t="str">
        <f aca="false">IF(A2734="","",DATE(YEAR(A2734),MONTH(A2734),1))</f>
        <v/>
      </c>
    </row>
    <row r="2735" customFormat="false" ht="15" hidden="false" customHeight="false" outlineLevel="0" collapsed="false">
      <c r="A2735" s="21"/>
      <c r="B2735" s="4"/>
      <c r="C2735" s="22"/>
      <c r="D2735" s="5" t="str">
        <f aca="false">IF(B2735="","",IFERROR(INDEX(DE_PARA!$B$6:$B$205,MATCH(B2735,DE_PARA!$A$6:$A$205,0)),"SEM DE-PARA"))</f>
        <v/>
      </c>
      <c r="E2735" s="23" t="str">
        <f aca="false">IF(A2735="","",DATE(YEAR(A2735),MONTH(A2735),1))</f>
        <v/>
      </c>
    </row>
    <row r="2736" customFormat="false" ht="15" hidden="false" customHeight="false" outlineLevel="0" collapsed="false">
      <c r="A2736" s="21"/>
      <c r="B2736" s="4"/>
      <c r="C2736" s="22"/>
      <c r="D2736" s="5" t="str">
        <f aca="false">IF(B2736="","",IFERROR(INDEX(DE_PARA!$B$6:$B$205,MATCH(B2736,DE_PARA!$A$6:$A$205,0)),"SEM DE-PARA"))</f>
        <v/>
      </c>
      <c r="E2736" s="23" t="str">
        <f aca="false">IF(A2736="","",DATE(YEAR(A2736),MONTH(A2736),1))</f>
        <v/>
      </c>
    </row>
    <row r="2737" customFormat="false" ht="15" hidden="false" customHeight="false" outlineLevel="0" collapsed="false">
      <c r="A2737" s="21"/>
      <c r="B2737" s="4"/>
      <c r="C2737" s="22"/>
      <c r="D2737" s="5" t="str">
        <f aca="false">IF(B2737="","",IFERROR(INDEX(DE_PARA!$B$6:$B$205,MATCH(B2737,DE_PARA!$A$6:$A$205,0)),"SEM DE-PARA"))</f>
        <v/>
      </c>
      <c r="E2737" s="23" t="str">
        <f aca="false">IF(A2737="","",DATE(YEAR(A2737),MONTH(A2737),1))</f>
        <v/>
      </c>
    </row>
    <row r="2738" customFormat="false" ht="15" hidden="false" customHeight="false" outlineLevel="0" collapsed="false">
      <c r="A2738" s="21"/>
      <c r="B2738" s="4"/>
      <c r="C2738" s="22"/>
      <c r="D2738" s="5" t="str">
        <f aca="false">IF(B2738="","",IFERROR(INDEX(DE_PARA!$B$6:$B$205,MATCH(B2738,DE_PARA!$A$6:$A$205,0)),"SEM DE-PARA"))</f>
        <v/>
      </c>
      <c r="E2738" s="23" t="str">
        <f aca="false">IF(A2738="","",DATE(YEAR(A2738),MONTH(A2738),1))</f>
        <v/>
      </c>
    </row>
    <row r="2739" customFormat="false" ht="15" hidden="false" customHeight="false" outlineLevel="0" collapsed="false">
      <c r="A2739" s="21"/>
      <c r="B2739" s="4"/>
      <c r="C2739" s="22"/>
      <c r="D2739" s="5" t="str">
        <f aca="false">IF(B2739="","",IFERROR(INDEX(DE_PARA!$B$6:$B$205,MATCH(B2739,DE_PARA!$A$6:$A$205,0)),"SEM DE-PARA"))</f>
        <v/>
      </c>
      <c r="E2739" s="23" t="str">
        <f aca="false">IF(A2739="","",DATE(YEAR(A2739),MONTH(A2739),1))</f>
        <v/>
      </c>
    </row>
    <row r="2740" customFormat="false" ht="15" hidden="false" customHeight="false" outlineLevel="0" collapsed="false">
      <c r="A2740" s="21"/>
      <c r="B2740" s="4"/>
      <c r="C2740" s="22"/>
      <c r="D2740" s="5" t="str">
        <f aca="false">IF(B2740="","",IFERROR(INDEX(DE_PARA!$B$6:$B$205,MATCH(B2740,DE_PARA!$A$6:$A$205,0)),"SEM DE-PARA"))</f>
        <v/>
      </c>
      <c r="E2740" s="23" t="str">
        <f aca="false">IF(A2740="","",DATE(YEAR(A2740),MONTH(A2740),1))</f>
        <v/>
      </c>
    </row>
    <row r="2741" customFormat="false" ht="15" hidden="false" customHeight="false" outlineLevel="0" collapsed="false">
      <c r="A2741" s="21"/>
      <c r="B2741" s="4"/>
      <c r="C2741" s="22"/>
      <c r="D2741" s="5" t="str">
        <f aca="false">IF(B2741="","",IFERROR(INDEX(DE_PARA!$B$6:$B$205,MATCH(B2741,DE_PARA!$A$6:$A$205,0)),"SEM DE-PARA"))</f>
        <v/>
      </c>
      <c r="E2741" s="23" t="str">
        <f aca="false">IF(A2741="","",DATE(YEAR(A2741),MONTH(A2741),1))</f>
        <v/>
      </c>
    </row>
    <row r="2742" customFormat="false" ht="15" hidden="false" customHeight="false" outlineLevel="0" collapsed="false">
      <c r="A2742" s="21"/>
      <c r="B2742" s="4"/>
      <c r="C2742" s="22"/>
      <c r="D2742" s="5" t="str">
        <f aca="false">IF(B2742="","",IFERROR(INDEX(DE_PARA!$B$6:$B$205,MATCH(B2742,DE_PARA!$A$6:$A$205,0)),"SEM DE-PARA"))</f>
        <v/>
      </c>
      <c r="E2742" s="23" t="str">
        <f aca="false">IF(A2742="","",DATE(YEAR(A2742),MONTH(A2742),1))</f>
        <v/>
      </c>
    </row>
    <row r="2743" customFormat="false" ht="15" hidden="false" customHeight="false" outlineLevel="0" collapsed="false">
      <c r="A2743" s="21"/>
      <c r="B2743" s="4"/>
      <c r="C2743" s="22"/>
      <c r="D2743" s="5" t="str">
        <f aca="false">IF(B2743="","",IFERROR(INDEX(DE_PARA!$B$6:$B$205,MATCH(B2743,DE_PARA!$A$6:$A$205,0)),"SEM DE-PARA"))</f>
        <v/>
      </c>
      <c r="E2743" s="23" t="str">
        <f aca="false">IF(A2743="","",DATE(YEAR(A2743),MONTH(A2743),1))</f>
        <v/>
      </c>
    </row>
    <row r="2744" customFormat="false" ht="15" hidden="false" customHeight="false" outlineLevel="0" collapsed="false">
      <c r="A2744" s="21"/>
      <c r="B2744" s="4"/>
      <c r="C2744" s="22"/>
      <c r="D2744" s="5" t="str">
        <f aca="false">IF(B2744="","",IFERROR(INDEX(DE_PARA!$B$6:$B$205,MATCH(B2744,DE_PARA!$A$6:$A$205,0)),"SEM DE-PARA"))</f>
        <v/>
      </c>
      <c r="E2744" s="23" t="str">
        <f aca="false">IF(A2744="","",DATE(YEAR(A2744),MONTH(A2744),1))</f>
        <v/>
      </c>
    </row>
    <row r="2745" customFormat="false" ht="15" hidden="false" customHeight="false" outlineLevel="0" collapsed="false">
      <c r="A2745" s="21"/>
      <c r="B2745" s="4"/>
      <c r="C2745" s="22"/>
      <c r="D2745" s="5" t="str">
        <f aca="false">IF(B2745="","",IFERROR(INDEX(DE_PARA!$B$6:$B$205,MATCH(B2745,DE_PARA!$A$6:$A$205,0)),"SEM DE-PARA"))</f>
        <v/>
      </c>
      <c r="E2745" s="23" t="str">
        <f aca="false">IF(A2745="","",DATE(YEAR(A2745),MONTH(A2745),1))</f>
        <v/>
      </c>
    </row>
    <row r="2746" customFormat="false" ht="15" hidden="false" customHeight="false" outlineLevel="0" collapsed="false">
      <c r="A2746" s="21"/>
      <c r="B2746" s="4"/>
      <c r="C2746" s="22"/>
      <c r="D2746" s="5" t="str">
        <f aca="false">IF(B2746="","",IFERROR(INDEX(DE_PARA!$B$6:$B$205,MATCH(B2746,DE_PARA!$A$6:$A$205,0)),"SEM DE-PARA"))</f>
        <v/>
      </c>
      <c r="E2746" s="23" t="str">
        <f aca="false">IF(A2746="","",DATE(YEAR(A2746),MONTH(A2746),1))</f>
        <v/>
      </c>
    </row>
    <row r="2747" customFormat="false" ht="15" hidden="false" customHeight="false" outlineLevel="0" collapsed="false">
      <c r="A2747" s="21"/>
      <c r="B2747" s="4"/>
      <c r="C2747" s="22"/>
      <c r="D2747" s="5" t="str">
        <f aca="false">IF(B2747="","",IFERROR(INDEX(DE_PARA!$B$6:$B$205,MATCH(B2747,DE_PARA!$A$6:$A$205,0)),"SEM DE-PARA"))</f>
        <v/>
      </c>
      <c r="E2747" s="23" t="str">
        <f aca="false">IF(A2747="","",DATE(YEAR(A2747),MONTH(A2747),1))</f>
        <v/>
      </c>
    </row>
    <row r="2748" customFormat="false" ht="15" hidden="false" customHeight="false" outlineLevel="0" collapsed="false">
      <c r="A2748" s="21"/>
      <c r="B2748" s="4"/>
      <c r="C2748" s="22"/>
      <c r="D2748" s="5" t="str">
        <f aca="false">IF(B2748="","",IFERROR(INDEX(DE_PARA!$B$6:$B$205,MATCH(B2748,DE_PARA!$A$6:$A$205,0)),"SEM DE-PARA"))</f>
        <v/>
      </c>
      <c r="E2748" s="23" t="str">
        <f aca="false">IF(A2748="","",DATE(YEAR(A2748),MONTH(A2748),1))</f>
        <v/>
      </c>
    </row>
    <row r="2749" customFormat="false" ht="15" hidden="false" customHeight="false" outlineLevel="0" collapsed="false">
      <c r="A2749" s="21"/>
      <c r="B2749" s="4"/>
      <c r="C2749" s="22"/>
      <c r="D2749" s="5" t="str">
        <f aca="false">IF(B2749="","",IFERROR(INDEX(DE_PARA!$B$6:$B$205,MATCH(B2749,DE_PARA!$A$6:$A$205,0)),"SEM DE-PARA"))</f>
        <v/>
      </c>
      <c r="E2749" s="23" t="str">
        <f aca="false">IF(A2749="","",DATE(YEAR(A2749),MONTH(A2749),1))</f>
        <v/>
      </c>
    </row>
    <row r="2750" customFormat="false" ht="15" hidden="false" customHeight="false" outlineLevel="0" collapsed="false">
      <c r="A2750" s="21"/>
      <c r="B2750" s="4"/>
      <c r="C2750" s="22"/>
      <c r="D2750" s="5" t="str">
        <f aca="false">IF(B2750="","",IFERROR(INDEX(DE_PARA!$B$6:$B$205,MATCH(B2750,DE_PARA!$A$6:$A$205,0)),"SEM DE-PARA"))</f>
        <v/>
      </c>
      <c r="E2750" s="23" t="str">
        <f aca="false">IF(A2750="","",DATE(YEAR(A2750),MONTH(A2750),1))</f>
        <v/>
      </c>
    </row>
    <row r="2751" customFormat="false" ht="15" hidden="false" customHeight="false" outlineLevel="0" collapsed="false">
      <c r="A2751" s="21"/>
      <c r="B2751" s="4"/>
      <c r="C2751" s="22"/>
      <c r="D2751" s="5" t="str">
        <f aca="false">IF(B2751="","",IFERROR(INDEX(DE_PARA!$B$6:$B$205,MATCH(B2751,DE_PARA!$A$6:$A$205,0)),"SEM DE-PARA"))</f>
        <v/>
      </c>
      <c r="E2751" s="23" t="str">
        <f aca="false">IF(A2751="","",DATE(YEAR(A2751),MONTH(A2751),1))</f>
        <v/>
      </c>
    </row>
    <row r="2752" customFormat="false" ht="15" hidden="false" customHeight="false" outlineLevel="0" collapsed="false">
      <c r="A2752" s="21"/>
      <c r="B2752" s="4"/>
      <c r="C2752" s="22"/>
      <c r="D2752" s="5" t="str">
        <f aca="false">IF(B2752="","",IFERROR(INDEX(DE_PARA!$B$6:$B$205,MATCH(B2752,DE_PARA!$A$6:$A$205,0)),"SEM DE-PARA"))</f>
        <v/>
      </c>
      <c r="E2752" s="23" t="str">
        <f aca="false">IF(A2752="","",DATE(YEAR(A2752),MONTH(A2752),1))</f>
        <v/>
      </c>
    </row>
    <row r="2753" customFormat="false" ht="15" hidden="false" customHeight="false" outlineLevel="0" collapsed="false">
      <c r="A2753" s="21"/>
      <c r="B2753" s="4"/>
      <c r="C2753" s="22"/>
      <c r="D2753" s="5" t="str">
        <f aca="false">IF(B2753="","",IFERROR(INDEX(DE_PARA!$B$6:$B$205,MATCH(B2753,DE_PARA!$A$6:$A$205,0)),"SEM DE-PARA"))</f>
        <v/>
      </c>
      <c r="E2753" s="23" t="str">
        <f aca="false">IF(A2753="","",DATE(YEAR(A2753),MONTH(A2753),1))</f>
        <v/>
      </c>
    </row>
    <row r="2754" customFormat="false" ht="15" hidden="false" customHeight="false" outlineLevel="0" collapsed="false">
      <c r="A2754" s="21"/>
      <c r="B2754" s="4"/>
      <c r="C2754" s="22"/>
      <c r="D2754" s="5" t="str">
        <f aca="false">IF(B2754="","",IFERROR(INDEX(DE_PARA!$B$6:$B$205,MATCH(B2754,DE_PARA!$A$6:$A$205,0)),"SEM DE-PARA"))</f>
        <v/>
      </c>
      <c r="E2754" s="23" t="str">
        <f aca="false">IF(A2754="","",DATE(YEAR(A2754),MONTH(A2754),1))</f>
        <v/>
      </c>
    </row>
    <row r="2755" customFormat="false" ht="15" hidden="false" customHeight="false" outlineLevel="0" collapsed="false">
      <c r="A2755" s="21"/>
      <c r="B2755" s="4"/>
      <c r="C2755" s="22"/>
      <c r="D2755" s="5" t="str">
        <f aca="false">IF(B2755="","",IFERROR(INDEX(DE_PARA!$B$6:$B$205,MATCH(B2755,DE_PARA!$A$6:$A$205,0)),"SEM DE-PARA"))</f>
        <v/>
      </c>
      <c r="E2755" s="23" t="str">
        <f aca="false">IF(A2755="","",DATE(YEAR(A2755),MONTH(A2755),1))</f>
        <v/>
      </c>
    </row>
    <row r="2756" customFormat="false" ht="15" hidden="false" customHeight="false" outlineLevel="0" collapsed="false">
      <c r="A2756" s="21"/>
      <c r="B2756" s="4"/>
      <c r="C2756" s="22"/>
      <c r="D2756" s="5" t="str">
        <f aca="false">IF(B2756="","",IFERROR(INDEX(DE_PARA!$B$6:$B$205,MATCH(B2756,DE_PARA!$A$6:$A$205,0)),"SEM DE-PARA"))</f>
        <v/>
      </c>
      <c r="E2756" s="23" t="str">
        <f aca="false">IF(A2756="","",DATE(YEAR(A2756),MONTH(A2756),1))</f>
        <v/>
      </c>
    </row>
    <row r="2757" customFormat="false" ht="15" hidden="false" customHeight="false" outlineLevel="0" collapsed="false">
      <c r="A2757" s="21"/>
      <c r="B2757" s="4"/>
      <c r="C2757" s="22"/>
      <c r="D2757" s="5" t="str">
        <f aca="false">IF(B2757="","",IFERROR(INDEX(DE_PARA!$B$6:$B$205,MATCH(B2757,DE_PARA!$A$6:$A$205,0)),"SEM DE-PARA"))</f>
        <v/>
      </c>
      <c r="E2757" s="23" t="str">
        <f aca="false">IF(A2757="","",DATE(YEAR(A2757),MONTH(A2757),1))</f>
        <v/>
      </c>
    </row>
    <row r="2758" customFormat="false" ht="15" hidden="false" customHeight="false" outlineLevel="0" collapsed="false">
      <c r="A2758" s="21"/>
      <c r="B2758" s="4"/>
      <c r="C2758" s="22"/>
      <c r="D2758" s="5" t="str">
        <f aca="false">IF(B2758="","",IFERROR(INDEX(DE_PARA!$B$6:$B$205,MATCH(B2758,DE_PARA!$A$6:$A$205,0)),"SEM DE-PARA"))</f>
        <v/>
      </c>
      <c r="E2758" s="23" t="str">
        <f aca="false">IF(A2758="","",DATE(YEAR(A2758),MONTH(A2758),1))</f>
        <v/>
      </c>
    </row>
    <row r="2759" customFormat="false" ht="15" hidden="false" customHeight="false" outlineLevel="0" collapsed="false">
      <c r="A2759" s="21"/>
      <c r="B2759" s="4"/>
      <c r="C2759" s="22"/>
      <c r="D2759" s="5" t="str">
        <f aca="false">IF(B2759="","",IFERROR(INDEX(DE_PARA!$B$6:$B$205,MATCH(B2759,DE_PARA!$A$6:$A$205,0)),"SEM DE-PARA"))</f>
        <v/>
      </c>
      <c r="E2759" s="23" t="str">
        <f aca="false">IF(A2759="","",DATE(YEAR(A2759),MONTH(A2759),1))</f>
        <v/>
      </c>
    </row>
    <row r="2760" customFormat="false" ht="15" hidden="false" customHeight="false" outlineLevel="0" collapsed="false">
      <c r="A2760" s="21"/>
      <c r="B2760" s="4"/>
      <c r="C2760" s="22"/>
      <c r="D2760" s="5" t="str">
        <f aca="false">IF(B2760="","",IFERROR(INDEX(DE_PARA!$B$6:$B$205,MATCH(B2760,DE_PARA!$A$6:$A$205,0)),"SEM DE-PARA"))</f>
        <v/>
      </c>
      <c r="E2760" s="23" t="str">
        <f aca="false">IF(A2760="","",DATE(YEAR(A2760),MONTH(A2760),1))</f>
        <v/>
      </c>
    </row>
    <row r="2761" customFormat="false" ht="15" hidden="false" customHeight="false" outlineLevel="0" collapsed="false">
      <c r="A2761" s="21"/>
      <c r="B2761" s="4"/>
      <c r="C2761" s="22"/>
      <c r="D2761" s="5" t="str">
        <f aca="false">IF(B2761="","",IFERROR(INDEX(DE_PARA!$B$6:$B$205,MATCH(B2761,DE_PARA!$A$6:$A$205,0)),"SEM DE-PARA"))</f>
        <v/>
      </c>
      <c r="E2761" s="23" t="str">
        <f aca="false">IF(A2761="","",DATE(YEAR(A2761),MONTH(A2761),1))</f>
        <v/>
      </c>
    </row>
    <row r="2762" customFormat="false" ht="15" hidden="false" customHeight="false" outlineLevel="0" collapsed="false">
      <c r="A2762" s="21"/>
      <c r="B2762" s="4"/>
      <c r="C2762" s="22"/>
      <c r="D2762" s="5" t="str">
        <f aca="false">IF(B2762="","",IFERROR(INDEX(DE_PARA!$B$6:$B$205,MATCH(B2762,DE_PARA!$A$6:$A$205,0)),"SEM DE-PARA"))</f>
        <v/>
      </c>
      <c r="E2762" s="23" t="str">
        <f aca="false">IF(A2762="","",DATE(YEAR(A2762),MONTH(A2762),1))</f>
        <v/>
      </c>
    </row>
    <row r="2763" customFormat="false" ht="15" hidden="false" customHeight="false" outlineLevel="0" collapsed="false">
      <c r="A2763" s="21"/>
      <c r="B2763" s="4"/>
      <c r="C2763" s="22"/>
      <c r="D2763" s="5" t="str">
        <f aca="false">IF(B2763="","",IFERROR(INDEX(DE_PARA!$B$6:$B$205,MATCH(B2763,DE_PARA!$A$6:$A$205,0)),"SEM DE-PARA"))</f>
        <v/>
      </c>
      <c r="E2763" s="23" t="str">
        <f aca="false">IF(A2763="","",DATE(YEAR(A2763),MONTH(A2763),1))</f>
        <v/>
      </c>
    </row>
    <row r="2764" customFormat="false" ht="15" hidden="false" customHeight="false" outlineLevel="0" collapsed="false">
      <c r="A2764" s="21"/>
      <c r="B2764" s="4"/>
      <c r="C2764" s="22"/>
      <c r="D2764" s="5" t="str">
        <f aca="false">IF(B2764="","",IFERROR(INDEX(DE_PARA!$B$6:$B$205,MATCH(B2764,DE_PARA!$A$6:$A$205,0)),"SEM DE-PARA"))</f>
        <v/>
      </c>
      <c r="E2764" s="23" t="str">
        <f aca="false">IF(A2764="","",DATE(YEAR(A2764),MONTH(A2764),1))</f>
        <v/>
      </c>
    </row>
    <row r="2765" customFormat="false" ht="15" hidden="false" customHeight="false" outlineLevel="0" collapsed="false">
      <c r="A2765" s="21"/>
      <c r="B2765" s="4"/>
      <c r="C2765" s="22"/>
      <c r="D2765" s="5" t="str">
        <f aca="false">IF(B2765="","",IFERROR(INDEX(DE_PARA!$B$6:$B$205,MATCH(B2765,DE_PARA!$A$6:$A$205,0)),"SEM DE-PARA"))</f>
        <v/>
      </c>
      <c r="E2765" s="23" t="str">
        <f aca="false">IF(A2765="","",DATE(YEAR(A2765),MONTH(A2765),1))</f>
        <v/>
      </c>
    </row>
    <row r="2766" customFormat="false" ht="15" hidden="false" customHeight="false" outlineLevel="0" collapsed="false">
      <c r="A2766" s="21"/>
      <c r="B2766" s="4"/>
      <c r="C2766" s="22"/>
      <c r="D2766" s="5" t="str">
        <f aca="false">IF(B2766="","",IFERROR(INDEX(DE_PARA!$B$6:$B$205,MATCH(B2766,DE_PARA!$A$6:$A$205,0)),"SEM DE-PARA"))</f>
        <v/>
      </c>
      <c r="E2766" s="23" t="str">
        <f aca="false">IF(A2766="","",DATE(YEAR(A2766),MONTH(A2766),1))</f>
        <v/>
      </c>
    </row>
    <row r="2767" customFormat="false" ht="15" hidden="false" customHeight="false" outlineLevel="0" collapsed="false">
      <c r="A2767" s="21"/>
      <c r="B2767" s="4"/>
      <c r="C2767" s="22"/>
      <c r="D2767" s="5" t="str">
        <f aca="false">IF(B2767="","",IFERROR(INDEX(DE_PARA!$B$6:$B$205,MATCH(B2767,DE_PARA!$A$6:$A$205,0)),"SEM DE-PARA"))</f>
        <v/>
      </c>
      <c r="E2767" s="23" t="str">
        <f aca="false">IF(A2767="","",DATE(YEAR(A2767),MONTH(A2767),1))</f>
        <v/>
      </c>
    </row>
    <row r="2768" customFormat="false" ht="15" hidden="false" customHeight="false" outlineLevel="0" collapsed="false">
      <c r="A2768" s="21"/>
      <c r="B2768" s="4"/>
      <c r="C2768" s="22"/>
      <c r="D2768" s="5" t="str">
        <f aca="false">IF(B2768="","",IFERROR(INDEX(DE_PARA!$B$6:$B$205,MATCH(B2768,DE_PARA!$A$6:$A$205,0)),"SEM DE-PARA"))</f>
        <v/>
      </c>
      <c r="E2768" s="23" t="str">
        <f aca="false">IF(A2768="","",DATE(YEAR(A2768),MONTH(A2768),1))</f>
        <v/>
      </c>
    </row>
    <row r="2769" customFormat="false" ht="15" hidden="false" customHeight="false" outlineLevel="0" collapsed="false">
      <c r="A2769" s="21"/>
      <c r="B2769" s="4"/>
      <c r="C2769" s="22"/>
      <c r="D2769" s="5" t="str">
        <f aca="false">IF(B2769="","",IFERROR(INDEX(DE_PARA!$B$6:$B$205,MATCH(B2769,DE_PARA!$A$6:$A$205,0)),"SEM DE-PARA"))</f>
        <v/>
      </c>
      <c r="E2769" s="23" t="str">
        <f aca="false">IF(A2769="","",DATE(YEAR(A2769),MONTH(A2769),1))</f>
        <v/>
      </c>
    </row>
    <row r="2770" customFormat="false" ht="15" hidden="false" customHeight="false" outlineLevel="0" collapsed="false">
      <c r="A2770" s="21"/>
      <c r="B2770" s="4"/>
      <c r="C2770" s="22"/>
      <c r="D2770" s="5" t="str">
        <f aca="false">IF(B2770="","",IFERROR(INDEX(DE_PARA!$B$6:$B$205,MATCH(B2770,DE_PARA!$A$6:$A$205,0)),"SEM DE-PARA"))</f>
        <v/>
      </c>
      <c r="E2770" s="23" t="str">
        <f aca="false">IF(A2770="","",DATE(YEAR(A2770),MONTH(A2770),1))</f>
        <v/>
      </c>
    </row>
    <row r="2771" customFormat="false" ht="15" hidden="false" customHeight="false" outlineLevel="0" collapsed="false">
      <c r="A2771" s="21"/>
      <c r="B2771" s="4"/>
      <c r="C2771" s="22"/>
      <c r="D2771" s="5" t="str">
        <f aca="false">IF(B2771="","",IFERROR(INDEX(DE_PARA!$B$6:$B$205,MATCH(B2771,DE_PARA!$A$6:$A$205,0)),"SEM DE-PARA"))</f>
        <v/>
      </c>
      <c r="E2771" s="23" t="str">
        <f aca="false">IF(A2771="","",DATE(YEAR(A2771),MONTH(A2771),1))</f>
        <v/>
      </c>
    </row>
    <row r="2772" customFormat="false" ht="15" hidden="false" customHeight="false" outlineLevel="0" collapsed="false">
      <c r="A2772" s="21"/>
      <c r="B2772" s="4"/>
      <c r="C2772" s="22"/>
      <c r="D2772" s="5" t="str">
        <f aca="false">IF(B2772="","",IFERROR(INDEX(DE_PARA!$B$6:$B$205,MATCH(B2772,DE_PARA!$A$6:$A$205,0)),"SEM DE-PARA"))</f>
        <v/>
      </c>
      <c r="E2772" s="23" t="str">
        <f aca="false">IF(A2772="","",DATE(YEAR(A2772),MONTH(A2772),1))</f>
        <v/>
      </c>
    </row>
    <row r="2773" customFormat="false" ht="15" hidden="false" customHeight="false" outlineLevel="0" collapsed="false">
      <c r="A2773" s="21"/>
      <c r="B2773" s="4"/>
      <c r="C2773" s="22"/>
      <c r="D2773" s="5" t="str">
        <f aca="false">IF(B2773="","",IFERROR(INDEX(DE_PARA!$B$6:$B$205,MATCH(B2773,DE_PARA!$A$6:$A$205,0)),"SEM DE-PARA"))</f>
        <v/>
      </c>
      <c r="E2773" s="23" t="str">
        <f aca="false">IF(A2773="","",DATE(YEAR(A2773),MONTH(A2773),1))</f>
        <v/>
      </c>
    </row>
    <row r="2774" customFormat="false" ht="15" hidden="false" customHeight="false" outlineLevel="0" collapsed="false">
      <c r="A2774" s="21"/>
      <c r="B2774" s="4"/>
      <c r="C2774" s="22"/>
      <c r="D2774" s="5" t="str">
        <f aca="false">IF(B2774="","",IFERROR(INDEX(DE_PARA!$B$6:$B$205,MATCH(B2774,DE_PARA!$A$6:$A$205,0)),"SEM DE-PARA"))</f>
        <v/>
      </c>
      <c r="E2774" s="23" t="str">
        <f aca="false">IF(A2774="","",DATE(YEAR(A2774),MONTH(A2774),1))</f>
        <v/>
      </c>
    </row>
    <row r="2775" customFormat="false" ht="15" hidden="false" customHeight="false" outlineLevel="0" collapsed="false">
      <c r="A2775" s="21"/>
      <c r="B2775" s="4"/>
      <c r="C2775" s="22"/>
      <c r="D2775" s="5" t="str">
        <f aca="false">IF(B2775="","",IFERROR(INDEX(DE_PARA!$B$6:$B$205,MATCH(B2775,DE_PARA!$A$6:$A$205,0)),"SEM DE-PARA"))</f>
        <v/>
      </c>
      <c r="E2775" s="23" t="str">
        <f aca="false">IF(A2775="","",DATE(YEAR(A2775),MONTH(A2775),1))</f>
        <v/>
      </c>
    </row>
    <row r="2776" customFormat="false" ht="15" hidden="false" customHeight="false" outlineLevel="0" collapsed="false">
      <c r="A2776" s="21"/>
      <c r="B2776" s="4"/>
      <c r="C2776" s="22"/>
      <c r="D2776" s="5" t="str">
        <f aca="false">IF(B2776="","",IFERROR(INDEX(DE_PARA!$B$6:$B$205,MATCH(B2776,DE_PARA!$A$6:$A$205,0)),"SEM DE-PARA"))</f>
        <v/>
      </c>
      <c r="E2776" s="23" t="str">
        <f aca="false">IF(A2776="","",DATE(YEAR(A2776),MONTH(A2776),1))</f>
        <v/>
      </c>
    </row>
    <row r="2777" customFormat="false" ht="15" hidden="false" customHeight="false" outlineLevel="0" collapsed="false">
      <c r="A2777" s="21"/>
      <c r="B2777" s="4"/>
      <c r="C2777" s="22"/>
      <c r="D2777" s="5" t="str">
        <f aca="false">IF(B2777="","",IFERROR(INDEX(DE_PARA!$B$6:$B$205,MATCH(B2777,DE_PARA!$A$6:$A$205,0)),"SEM DE-PARA"))</f>
        <v/>
      </c>
      <c r="E2777" s="23" t="str">
        <f aca="false">IF(A2777="","",DATE(YEAR(A2777),MONTH(A2777),1))</f>
        <v/>
      </c>
    </row>
    <row r="2778" customFormat="false" ht="15" hidden="false" customHeight="false" outlineLevel="0" collapsed="false">
      <c r="A2778" s="21"/>
      <c r="B2778" s="4"/>
      <c r="C2778" s="22"/>
      <c r="D2778" s="5" t="str">
        <f aca="false">IF(B2778="","",IFERROR(INDEX(DE_PARA!$B$6:$B$205,MATCH(B2778,DE_PARA!$A$6:$A$205,0)),"SEM DE-PARA"))</f>
        <v/>
      </c>
      <c r="E2778" s="23" t="str">
        <f aca="false">IF(A2778="","",DATE(YEAR(A2778),MONTH(A2778),1))</f>
        <v/>
      </c>
    </row>
    <row r="2779" customFormat="false" ht="15" hidden="false" customHeight="false" outlineLevel="0" collapsed="false">
      <c r="A2779" s="21"/>
      <c r="B2779" s="4"/>
      <c r="C2779" s="22"/>
      <c r="D2779" s="5" t="str">
        <f aca="false">IF(B2779="","",IFERROR(INDEX(DE_PARA!$B$6:$B$205,MATCH(B2779,DE_PARA!$A$6:$A$205,0)),"SEM DE-PARA"))</f>
        <v/>
      </c>
      <c r="E2779" s="23" t="str">
        <f aca="false">IF(A2779="","",DATE(YEAR(A2779),MONTH(A2779),1))</f>
        <v/>
      </c>
    </row>
    <row r="2780" customFormat="false" ht="15" hidden="false" customHeight="false" outlineLevel="0" collapsed="false">
      <c r="A2780" s="21"/>
      <c r="B2780" s="4"/>
      <c r="C2780" s="22"/>
      <c r="D2780" s="5" t="str">
        <f aca="false">IF(B2780="","",IFERROR(INDEX(DE_PARA!$B$6:$B$205,MATCH(B2780,DE_PARA!$A$6:$A$205,0)),"SEM DE-PARA"))</f>
        <v/>
      </c>
      <c r="E2780" s="23" t="str">
        <f aca="false">IF(A2780="","",DATE(YEAR(A2780),MONTH(A2780),1))</f>
        <v/>
      </c>
    </row>
    <row r="2781" customFormat="false" ht="15" hidden="false" customHeight="false" outlineLevel="0" collapsed="false">
      <c r="A2781" s="21"/>
      <c r="B2781" s="4"/>
      <c r="C2781" s="22"/>
      <c r="D2781" s="5" t="str">
        <f aca="false">IF(B2781="","",IFERROR(INDEX(DE_PARA!$B$6:$B$205,MATCH(B2781,DE_PARA!$A$6:$A$205,0)),"SEM DE-PARA"))</f>
        <v/>
      </c>
      <c r="E2781" s="23" t="str">
        <f aca="false">IF(A2781="","",DATE(YEAR(A2781),MONTH(A2781),1))</f>
        <v/>
      </c>
    </row>
    <row r="2782" customFormat="false" ht="15" hidden="false" customHeight="false" outlineLevel="0" collapsed="false">
      <c r="A2782" s="21"/>
      <c r="B2782" s="4"/>
      <c r="C2782" s="22"/>
      <c r="D2782" s="5" t="str">
        <f aca="false">IF(B2782="","",IFERROR(INDEX(DE_PARA!$B$6:$B$205,MATCH(B2782,DE_PARA!$A$6:$A$205,0)),"SEM DE-PARA"))</f>
        <v/>
      </c>
      <c r="E2782" s="23" t="str">
        <f aca="false">IF(A2782="","",DATE(YEAR(A2782),MONTH(A2782),1))</f>
        <v/>
      </c>
    </row>
    <row r="2783" customFormat="false" ht="15" hidden="false" customHeight="false" outlineLevel="0" collapsed="false">
      <c r="A2783" s="21"/>
      <c r="B2783" s="4"/>
      <c r="C2783" s="22"/>
      <c r="D2783" s="5" t="str">
        <f aca="false">IF(B2783="","",IFERROR(INDEX(DE_PARA!$B$6:$B$205,MATCH(B2783,DE_PARA!$A$6:$A$205,0)),"SEM DE-PARA"))</f>
        <v/>
      </c>
      <c r="E2783" s="23" t="str">
        <f aca="false">IF(A2783="","",DATE(YEAR(A2783),MONTH(A2783),1))</f>
        <v/>
      </c>
    </row>
    <row r="2784" customFormat="false" ht="15" hidden="false" customHeight="false" outlineLevel="0" collapsed="false">
      <c r="A2784" s="21"/>
      <c r="B2784" s="4"/>
      <c r="C2784" s="22"/>
      <c r="D2784" s="5" t="str">
        <f aca="false">IF(B2784="","",IFERROR(INDEX(DE_PARA!$B$6:$B$205,MATCH(B2784,DE_PARA!$A$6:$A$205,0)),"SEM DE-PARA"))</f>
        <v/>
      </c>
      <c r="E2784" s="23" t="str">
        <f aca="false">IF(A2784="","",DATE(YEAR(A2784),MONTH(A2784),1))</f>
        <v/>
      </c>
    </row>
    <row r="2785" customFormat="false" ht="15" hidden="false" customHeight="false" outlineLevel="0" collapsed="false">
      <c r="A2785" s="21"/>
      <c r="B2785" s="4"/>
      <c r="C2785" s="22"/>
      <c r="D2785" s="5" t="str">
        <f aca="false">IF(B2785="","",IFERROR(INDEX(DE_PARA!$B$6:$B$205,MATCH(B2785,DE_PARA!$A$6:$A$205,0)),"SEM DE-PARA"))</f>
        <v/>
      </c>
      <c r="E2785" s="23" t="str">
        <f aca="false">IF(A2785="","",DATE(YEAR(A2785),MONTH(A2785),1))</f>
        <v/>
      </c>
    </row>
    <row r="2786" customFormat="false" ht="15" hidden="false" customHeight="false" outlineLevel="0" collapsed="false">
      <c r="A2786" s="21"/>
      <c r="B2786" s="4"/>
      <c r="C2786" s="22"/>
      <c r="D2786" s="5" t="str">
        <f aca="false">IF(B2786="","",IFERROR(INDEX(DE_PARA!$B$6:$B$205,MATCH(B2786,DE_PARA!$A$6:$A$205,0)),"SEM DE-PARA"))</f>
        <v/>
      </c>
      <c r="E2786" s="23" t="str">
        <f aca="false">IF(A2786="","",DATE(YEAR(A2786),MONTH(A2786),1))</f>
        <v/>
      </c>
    </row>
    <row r="2787" customFormat="false" ht="15" hidden="false" customHeight="false" outlineLevel="0" collapsed="false">
      <c r="A2787" s="21"/>
      <c r="B2787" s="4"/>
      <c r="C2787" s="22"/>
      <c r="D2787" s="5" t="str">
        <f aca="false">IF(B2787="","",IFERROR(INDEX(DE_PARA!$B$6:$B$205,MATCH(B2787,DE_PARA!$A$6:$A$205,0)),"SEM DE-PARA"))</f>
        <v/>
      </c>
      <c r="E2787" s="23" t="str">
        <f aca="false">IF(A2787="","",DATE(YEAR(A2787),MONTH(A2787),1))</f>
        <v/>
      </c>
    </row>
    <row r="2788" customFormat="false" ht="15" hidden="false" customHeight="false" outlineLevel="0" collapsed="false">
      <c r="A2788" s="21"/>
      <c r="B2788" s="4"/>
      <c r="C2788" s="22"/>
      <c r="D2788" s="5" t="str">
        <f aca="false">IF(B2788="","",IFERROR(INDEX(DE_PARA!$B$6:$B$205,MATCH(B2788,DE_PARA!$A$6:$A$205,0)),"SEM DE-PARA"))</f>
        <v/>
      </c>
      <c r="E2788" s="23" t="str">
        <f aca="false">IF(A2788="","",DATE(YEAR(A2788),MONTH(A2788),1))</f>
        <v/>
      </c>
    </row>
    <row r="2789" customFormat="false" ht="15" hidden="false" customHeight="false" outlineLevel="0" collapsed="false">
      <c r="A2789" s="21"/>
      <c r="B2789" s="4"/>
      <c r="C2789" s="22"/>
      <c r="D2789" s="5" t="str">
        <f aca="false">IF(B2789="","",IFERROR(INDEX(DE_PARA!$B$6:$B$205,MATCH(B2789,DE_PARA!$A$6:$A$205,0)),"SEM DE-PARA"))</f>
        <v/>
      </c>
      <c r="E2789" s="23" t="str">
        <f aca="false">IF(A2789="","",DATE(YEAR(A2789),MONTH(A2789),1))</f>
        <v/>
      </c>
    </row>
    <row r="2790" customFormat="false" ht="15" hidden="false" customHeight="false" outlineLevel="0" collapsed="false">
      <c r="A2790" s="21"/>
      <c r="B2790" s="4"/>
      <c r="C2790" s="22"/>
      <c r="D2790" s="5" t="str">
        <f aca="false">IF(B2790="","",IFERROR(INDEX(DE_PARA!$B$6:$B$205,MATCH(B2790,DE_PARA!$A$6:$A$205,0)),"SEM DE-PARA"))</f>
        <v/>
      </c>
      <c r="E2790" s="23" t="str">
        <f aca="false">IF(A2790="","",DATE(YEAR(A2790),MONTH(A2790),1))</f>
        <v/>
      </c>
    </row>
    <row r="2791" customFormat="false" ht="15" hidden="false" customHeight="false" outlineLevel="0" collapsed="false">
      <c r="A2791" s="21"/>
      <c r="B2791" s="4"/>
      <c r="C2791" s="22"/>
      <c r="D2791" s="5" t="str">
        <f aca="false">IF(B2791="","",IFERROR(INDEX(DE_PARA!$B$6:$B$205,MATCH(B2791,DE_PARA!$A$6:$A$205,0)),"SEM DE-PARA"))</f>
        <v/>
      </c>
      <c r="E2791" s="23" t="str">
        <f aca="false">IF(A2791="","",DATE(YEAR(A2791),MONTH(A2791),1))</f>
        <v/>
      </c>
    </row>
    <row r="2792" customFormat="false" ht="15" hidden="false" customHeight="false" outlineLevel="0" collapsed="false">
      <c r="A2792" s="21"/>
      <c r="B2792" s="4"/>
      <c r="C2792" s="22"/>
      <c r="D2792" s="5" t="str">
        <f aca="false">IF(B2792="","",IFERROR(INDEX(DE_PARA!$B$6:$B$205,MATCH(B2792,DE_PARA!$A$6:$A$205,0)),"SEM DE-PARA"))</f>
        <v/>
      </c>
      <c r="E2792" s="23" t="str">
        <f aca="false">IF(A2792="","",DATE(YEAR(A2792),MONTH(A2792),1))</f>
        <v/>
      </c>
    </row>
    <row r="2793" customFormat="false" ht="15" hidden="false" customHeight="false" outlineLevel="0" collapsed="false">
      <c r="A2793" s="21"/>
      <c r="B2793" s="4"/>
      <c r="C2793" s="22"/>
      <c r="D2793" s="5" t="str">
        <f aca="false">IF(B2793="","",IFERROR(INDEX(DE_PARA!$B$6:$B$205,MATCH(B2793,DE_PARA!$A$6:$A$205,0)),"SEM DE-PARA"))</f>
        <v/>
      </c>
      <c r="E2793" s="23" t="str">
        <f aca="false">IF(A2793="","",DATE(YEAR(A2793),MONTH(A2793),1))</f>
        <v/>
      </c>
    </row>
    <row r="2794" customFormat="false" ht="15" hidden="false" customHeight="false" outlineLevel="0" collapsed="false">
      <c r="A2794" s="21"/>
      <c r="B2794" s="4"/>
      <c r="C2794" s="22"/>
      <c r="D2794" s="5" t="str">
        <f aca="false">IF(B2794="","",IFERROR(INDEX(DE_PARA!$B$6:$B$205,MATCH(B2794,DE_PARA!$A$6:$A$205,0)),"SEM DE-PARA"))</f>
        <v/>
      </c>
      <c r="E2794" s="23" t="str">
        <f aca="false">IF(A2794="","",DATE(YEAR(A2794),MONTH(A2794),1))</f>
        <v/>
      </c>
    </row>
    <row r="2795" customFormat="false" ht="15" hidden="false" customHeight="false" outlineLevel="0" collapsed="false">
      <c r="A2795" s="21"/>
      <c r="B2795" s="4"/>
      <c r="C2795" s="22"/>
      <c r="D2795" s="5" t="str">
        <f aca="false">IF(B2795="","",IFERROR(INDEX(DE_PARA!$B$6:$B$205,MATCH(B2795,DE_PARA!$A$6:$A$205,0)),"SEM DE-PARA"))</f>
        <v/>
      </c>
      <c r="E2795" s="23" t="str">
        <f aca="false">IF(A2795="","",DATE(YEAR(A2795),MONTH(A2795),1))</f>
        <v/>
      </c>
    </row>
    <row r="2796" customFormat="false" ht="15" hidden="false" customHeight="false" outlineLevel="0" collapsed="false">
      <c r="A2796" s="21"/>
      <c r="B2796" s="4"/>
      <c r="C2796" s="22"/>
      <c r="D2796" s="5" t="str">
        <f aca="false">IF(B2796="","",IFERROR(INDEX(DE_PARA!$B$6:$B$205,MATCH(B2796,DE_PARA!$A$6:$A$205,0)),"SEM DE-PARA"))</f>
        <v/>
      </c>
      <c r="E2796" s="23" t="str">
        <f aca="false">IF(A2796="","",DATE(YEAR(A2796),MONTH(A2796),1))</f>
        <v/>
      </c>
    </row>
    <row r="2797" customFormat="false" ht="15" hidden="false" customHeight="false" outlineLevel="0" collapsed="false">
      <c r="A2797" s="21"/>
      <c r="B2797" s="4"/>
      <c r="C2797" s="22"/>
      <c r="D2797" s="5" t="str">
        <f aca="false">IF(B2797="","",IFERROR(INDEX(DE_PARA!$B$6:$B$205,MATCH(B2797,DE_PARA!$A$6:$A$205,0)),"SEM DE-PARA"))</f>
        <v/>
      </c>
      <c r="E2797" s="23" t="str">
        <f aca="false">IF(A2797="","",DATE(YEAR(A2797),MONTH(A2797),1))</f>
        <v/>
      </c>
    </row>
    <row r="2798" customFormat="false" ht="15" hidden="false" customHeight="false" outlineLevel="0" collapsed="false">
      <c r="A2798" s="21"/>
      <c r="B2798" s="4"/>
      <c r="C2798" s="22"/>
      <c r="D2798" s="5" t="str">
        <f aca="false">IF(B2798="","",IFERROR(INDEX(DE_PARA!$B$6:$B$205,MATCH(B2798,DE_PARA!$A$6:$A$205,0)),"SEM DE-PARA"))</f>
        <v/>
      </c>
      <c r="E2798" s="23" t="str">
        <f aca="false">IF(A2798="","",DATE(YEAR(A2798),MONTH(A2798),1))</f>
        <v/>
      </c>
    </row>
    <row r="2799" customFormat="false" ht="15" hidden="false" customHeight="false" outlineLevel="0" collapsed="false">
      <c r="A2799" s="21"/>
      <c r="B2799" s="4"/>
      <c r="C2799" s="22"/>
      <c r="D2799" s="5" t="str">
        <f aca="false">IF(B2799="","",IFERROR(INDEX(DE_PARA!$B$6:$B$205,MATCH(B2799,DE_PARA!$A$6:$A$205,0)),"SEM DE-PARA"))</f>
        <v/>
      </c>
      <c r="E2799" s="23" t="str">
        <f aca="false">IF(A2799="","",DATE(YEAR(A2799),MONTH(A2799),1))</f>
        <v/>
      </c>
    </row>
    <row r="2800" customFormat="false" ht="15" hidden="false" customHeight="false" outlineLevel="0" collapsed="false">
      <c r="A2800" s="21"/>
      <c r="B2800" s="4"/>
      <c r="C2800" s="22"/>
      <c r="D2800" s="5" t="str">
        <f aca="false">IF(B2800="","",IFERROR(INDEX(DE_PARA!$B$6:$B$205,MATCH(B2800,DE_PARA!$A$6:$A$205,0)),"SEM DE-PARA"))</f>
        <v/>
      </c>
      <c r="E2800" s="23" t="str">
        <f aca="false">IF(A2800="","",DATE(YEAR(A2800),MONTH(A2800),1))</f>
        <v/>
      </c>
    </row>
    <row r="2801" customFormat="false" ht="15" hidden="false" customHeight="false" outlineLevel="0" collapsed="false">
      <c r="A2801" s="21"/>
      <c r="B2801" s="4"/>
      <c r="C2801" s="22"/>
      <c r="D2801" s="5" t="str">
        <f aca="false">IF(B2801="","",IFERROR(INDEX(DE_PARA!$B$6:$B$205,MATCH(B2801,DE_PARA!$A$6:$A$205,0)),"SEM DE-PARA"))</f>
        <v/>
      </c>
      <c r="E2801" s="23" t="str">
        <f aca="false">IF(A2801="","",DATE(YEAR(A2801),MONTH(A2801),1))</f>
        <v/>
      </c>
    </row>
    <row r="2802" customFormat="false" ht="15" hidden="false" customHeight="false" outlineLevel="0" collapsed="false">
      <c r="A2802" s="21"/>
      <c r="B2802" s="4"/>
      <c r="C2802" s="22"/>
      <c r="D2802" s="5" t="str">
        <f aca="false">IF(B2802="","",IFERROR(INDEX(DE_PARA!$B$6:$B$205,MATCH(B2802,DE_PARA!$A$6:$A$205,0)),"SEM DE-PARA"))</f>
        <v/>
      </c>
      <c r="E2802" s="23" t="str">
        <f aca="false">IF(A2802="","",DATE(YEAR(A2802),MONTH(A2802),1))</f>
        <v/>
      </c>
    </row>
    <row r="2803" customFormat="false" ht="15" hidden="false" customHeight="false" outlineLevel="0" collapsed="false">
      <c r="A2803" s="21"/>
      <c r="B2803" s="4"/>
      <c r="C2803" s="22"/>
      <c r="D2803" s="5" t="str">
        <f aca="false">IF(B2803="","",IFERROR(INDEX(DE_PARA!$B$6:$B$205,MATCH(B2803,DE_PARA!$A$6:$A$205,0)),"SEM DE-PARA"))</f>
        <v/>
      </c>
      <c r="E2803" s="23" t="str">
        <f aca="false">IF(A2803="","",DATE(YEAR(A2803),MONTH(A2803),1))</f>
        <v/>
      </c>
    </row>
    <row r="2804" customFormat="false" ht="15" hidden="false" customHeight="false" outlineLevel="0" collapsed="false">
      <c r="A2804" s="21"/>
      <c r="B2804" s="4"/>
      <c r="C2804" s="22"/>
      <c r="D2804" s="5" t="str">
        <f aca="false">IF(B2804="","",IFERROR(INDEX(DE_PARA!$B$6:$B$205,MATCH(B2804,DE_PARA!$A$6:$A$205,0)),"SEM DE-PARA"))</f>
        <v/>
      </c>
      <c r="E2804" s="23" t="str">
        <f aca="false">IF(A2804="","",DATE(YEAR(A2804),MONTH(A2804),1))</f>
        <v/>
      </c>
    </row>
    <row r="2805" customFormat="false" ht="15" hidden="false" customHeight="false" outlineLevel="0" collapsed="false">
      <c r="A2805" s="21"/>
      <c r="B2805" s="4"/>
      <c r="C2805" s="22"/>
      <c r="D2805" s="5" t="str">
        <f aca="false">IF(B2805="","",IFERROR(INDEX(DE_PARA!$B$6:$B$205,MATCH(B2805,DE_PARA!$A$6:$A$205,0)),"SEM DE-PARA"))</f>
        <v/>
      </c>
      <c r="E2805" s="23" t="str">
        <f aca="false">IF(A2805="","",DATE(YEAR(A2805),MONTH(A2805),1))</f>
        <v/>
      </c>
    </row>
    <row r="2806" customFormat="false" ht="15" hidden="false" customHeight="false" outlineLevel="0" collapsed="false">
      <c r="A2806" s="21"/>
      <c r="B2806" s="4"/>
      <c r="C2806" s="22"/>
      <c r="D2806" s="5" t="str">
        <f aca="false">IF(B2806="","",IFERROR(INDEX(DE_PARA!$B$6:$B$205,MATCH(B2806,DE_PARA!$A$6:$A$205,0)),"SEM DE-PARA"))</f>
        <v/>
      </c>
      <c r="E2806" s="23" t="str">
        <f aca="false">IF(A2806="","",DATE(YEAR(A2806),MONTH(A2806),1))</f>
        <v/>
      </c>
    </row>
    <row r="2807" customFormat="false" ht="15" hidden="false" customHeight="false" outlineLevel="0" collapsed="false">
      <c r="A2807" s="21"/>
      <c r="B2807" s="4"/>
      <c r="C2807" s="22"/>
      <c r="D2807" s="5" t="str">
        <f aca="false">IF(B2807="","",IFERROR(INDEX(DE_PARA!$B$6:$B$205,MATCH(B2807,DE_PARA!$A$6:$A$205,0)),"SEM DE-PARA"))</f>
        <v/>
      </c>
      <c r="E2807" s="23" t="str">
        <f aca="false">IF(A2807="","",DATE(YEAR(A2807),MONTH(A2807),1))</f>
        <v/>
      </c>
    </row>
    <row r="2808" customFormat="false" ht="15" hidden="false" customHeight="false" outlineLevel="0" collapsed="false">
      <c r="A2808" s="21"/>
      <c r="B2808" s="4"/>
      <c r="C2808" s="22"/>
      <c r="D2808" s="5" t="str">
        <f aca="false">IF(B2808="","",IFERROR(INDEX(DE_PARA!$B$6:$B$205,MATCH(B2808,DE_PARA!$A$6:$A$205,0)),"SEM DE-PARA"))</f>
        <v/>
      </c>
      <c r="E2808" s="23" t="str">
        <f aca="false">IF(A2808="","",DATE(YEAR(A2808),MONTH(A2808),1))</f>
        <v/>
      </c>
    </row>
    <row r="2809" customFormat="false" ht="15" hidden="false" customHeight="false" outlineLevel="0" collapsed="false">
      <c r="A2809" s="21"/>
      <c r="B2809" s="4"/>
      <c r="C2809" s="22"/>
      <c r="D2809" s="5" t="str">
        <f aca="false">IF(B2809="","",IFERROR(INDEX(DE_PARA!$B$6:$B$205,MATCH(B2809,DE_PARA!$A$6:$A$205,0)),"SEM DE-PARA"))</f>
        <v/>
      </c>
      <c r="E2809" s="23" t="str">
        <f aca="false">IF(A2809="","",DATE(YEAR(A2809),MONTH(A2809),1))</f>
        <v/>
      </c>
    </row>
    <row r="2810" customFormat="false" ht="15" hidden="false" customHeight="false" outlineLevel="0" collapsed="false">
      <c r="A2810" s="21"/>
      <c r="B2810" s="4"/>
      <c r="C2810" s="22"/>
      <c r="D2810" s="5" t="str">
        <f aca="false">IF(B2810="","",IFERROR(INDEX(DE_PARA!$B$6:$B$205,MATCH(B2810,DE_PARA!$A$6:$A$205,0)),"SEM DE-PARA"))</f>
        <v/>
      </c>
      <c r="E2810" s="23" t="str">
        <f aca="false">IF(A2810="","",DATE(YEAR(A2810),MONTH(A2810),1))</f>
        <v/>
      </c>
    </row>
    <row r="2811" customFormat="false" ht="15" hidden="false" customHeight="false" outlineLevel="0" collapsed="false">
      <c r="A2811" s="21"/>
      <c r="B2811" s="4"/>
      <c r="C2811" s="22"/>
      <c r="D2811" s="5" t="str">
        <f aca="false">IF(B2811="","",IFERROR(INDEX(DE_PARA!$B$6:$B$205,MATCH(B2811,DE_PARA!$A$6:$A$205,0)),"SEM DE-PARA"))</f>
        <v/>
      </c>
      <c r="E2811" s="23" t="str">
        <f aca="false">IF(A2811="","",DATE(YEAR(A2811),MONTH(A2811),1))</f>
        <v/>
      </c>
    </row>
    <row r="2812" customFormat="false" ht="15" hidden="false" customHeight="false" outlineLevel="0" collapsed="false">
      <c r="A2812" s="21"/>
      <c r="B2812" s="4"/>
      <c r="C2812" s="22"/>
      <c r="D2812" s="5" t="str">
        <f aca="false">IF(B2812="","",IFERROR(INDEX(DE_PARA!$B$6:$B$205,MATCH(B2812,DE_PARA!$A$6:$A$205,0)),"SEM DE-PARA"))</f>
        <v/>
      </c>
      <c r="E2812" s="23" t="str">
        <f aca="false">IF(A2812="","",DATE(YEAR(A2812),MONTH(A2812),1))</f>
        <v/>
      </c>
    </row>
    <row r="2813" customFormat="false" ht="15" hidden="false" customHeight="false" outlineLevel="0" collapsed="false">
      <c r="A2813" s="21"/>
      <c r="B2813" s="4"/>
      <c r="C2813" s="22"/>
      <c r="D2813" s="5" t="str">
        <f aca="false">IF(B2813="","",IFERROR(INDEX(DE_PARA!$B$6:$B$205,MATCH(B2813,DE_PARA!$A$6:$A$205,0)),"SEM DE-PARA"))</f>
        <v/>
      </c>
      <c r="E2813" s="23" t="str">
        <f aca="false">IF(A2813="","",DATE(YEAR(A2813),MONTH(A2813),1))</f>
        <v/>
      </c>
    </row>
    <row r="2814" customFormat="false" ht="15" hidden="false" customHeight="false" outlineLevel="0" collapsed="false">
      <c r="A2814" s="21"/>
      <c r="B2814" s="4"/>
      <c r="C2814" s="22"/>
      <c r="D2814" s="5" t="str">
        <f aca="false">IF(B2814="","",IFERROR(INDEX(DE_PARA!$B$6:$B$205,MATCH(B2814,DE_PARA!$A$6:$A$205,0)),"SEM DE-PARA"))</f>
        <v/>
      </c>
      <c r="E2814" s="23" t="str">
        <f aca="false">IF(A2814="","",DATE(YEAR(A2814),MONTH(A2814),1))</f>
        <v/>
      </c>
    </row>
    <row r="2815" customFormat="false" ht="15" hidden="false" customHeight="false" outlineLevel="0" collapsed="false">
      <c r="A2815" s="21"/>
      <c r="B2815" s="4"/>
      <c r="C2815" s="22"/>
      <c r="D2815" s="5" t="str">
        <f aca="false">IF(B2815="","",IFERROR(INDEX(DE_PARA!$B$6:$B$205,MATCH(B2815,DE_PARA!$A$6:$A$205,0)),"SEM DE-PARA"))</f>
        <v/>
      </c>
      <c r="E2815" s="23" t="str">
        <f aca="false">IF(A2815="","",DATE(YEAR(A2815),MONTH(A2815),1))</f>
        <v/>
      </c>
    </row>
    <row r="2816" customFormat="false" ht="15" hidden="false" customHeight="false" outlineLevel="0" collapsed="false">
      <c r="A2816" s="21"/>
      <c r="B2816" s="4"/>
      <c r="C2816" s="22"/>
      <c r="D2816" s="5" t="str">
        <f aca="false">IF(B2816="","",IFERROR(INDEX(DE_PARA!$B$6:$B$205,MATCH(B2816,DE_PARA!$A$6:$A$205,0)),"SEM DE-PARA"))</f>
        <v/>
      </c>
      <c r="E2816" s="23" t="str">
        <f aca="false">IF(A2816="","",DATE(YEAR(A2816),MONTH(A2816),1))</f>
        <v/>
      </c>
    </row>
    <row r="2817" customFormat="false" ht="15" hidden="false" customHeight="false" outlineLevel="0" collapsed="false">
      <c r="A2817" s="21"/>
      <c r="B2817" s="4"/>
      <c r="C2817" s="22"/>
      <c r="D2817" s="5" t="str">
        <f aca="false">IF(B2817="","",IFERROR(INDEX(DE_PARA!$B$6:$B$205,MATCH(B2817,DE_PARA!$A$6:$A$205,0)),"SEM DE-PARA"))</f>
        <v/>
      </c>
      <c r="E2817" s="23" t="str">
        <f aca="false">IF(A2817="","",DATE(YEAR(A2817),MONTH(A2817),1))</f>
        <v/>
      </c>
    </row>
    <row r="2818" customFormat="false" ht="15" hidden="false" customHeight="false" outlineLevel="0" collapsed="false">
      <c r="A2818" s="21"/>
      <c r="B2818" s="4"/>
      <c r="C2818" s="22"/>
      <c r="D2818" s="5" t="str">
        <f aca="false">IF(B2818="","",IFERROR(INDEX(DE_PARA!$B$6:$B$205,MATCH(B2818,DE_PARA!$A$6:$A$205,0)),"SEM DE-PARA"))</f>
        <v/>
      </c>
      <c r="E2818" s="23" t="str">
        <f aca="false">IF(A2818="","",DATE(YEAR(A2818),MONTH(A2818),1))</f>
        <v/>
      </c>
    </row>
    <row r="2819" customFormat="false" ht="15" hidden="false" customHeight="false" outlineLevel="0" collapsed="false">
      <c r="A2819" s="21"/>
      <c r="B2819" s="4"/>
      <c r="C2819" s="22"/>
      <c r="D2819" s="5" t="str">
        <f aca="false">IF(B2819="","",IFERROR(INDEX(DE_PARA!$B$6:$B$205,MATCH(B2819,DE_PARA!$A$6:$A$205,0)),"SEM DE-PARA"))</f>
        <v/>
      </c>
      <c r="E2819" s="23" t="str">
        <f aca="false">IF(A2819="","",DATE(YEAR(A2819),MONTH(A2819),1))</f>
        <v/>
      </c>
    </row>
    <row r="2820" customFormat="false" ht="15" hidden="false" customHeight="false" outlineLevel="0" collapsed="false">
      <c r="A2820" s="21"/>
      <c r="B2820" s="4"/>
      <c r="C2820" s="22"/>
      <c r="D2820" s="5" t="str">
        <f aca="false">IF(B2820="","",IFERROR(INDEX(DE_PARA!$B$6:$B$205,MATCH(B2820,DE_PARA!$A$6:$A$205,0)),"SEM DE-PARA"))</f>
        <v/>
      </c>
      <c r="E2820" s="23" t="str">
        <f aca="false">IF(A2820="","",DATE(YEAR(A2820),MONTH(A2820),1))</f>
        <v/>
      </c>
    </row>
    <row r="2821" customFormat="false" ht="15" hidden="false" customHeight="false" outlineLevel="0" collapsed="false">
      <c r="A2821" s="21"/>
      <c r="B2821" s="4"/>
      <c r="C2821" s="22"/>
      <c r="D2821" s="5" t="str">
        <f aca="false">IF(B2821="","",IFERROR(INDEX(DE_PARA!$B$6:$B$205,MATCH(B2821,DE_PARA!$A$6:$A$205,0)),"SEM DE-PARA"))</f>
        <v/>
      </c>
      <c r="E2821" s="23" t="str">
        <f aca="false">IF(A2821="","",DATE(YEAR(A2821),MONTH(A2821),1))</f>
        <v/>
      </c>
    </row>
    <row r="2822" customFormat="false" ht="15" hidden="false" customHeight="false" outlineLevel="0" collapsed="false">
      <c r="A2822" s="21"/>
      <c r="B2822" s="4"/>
      <c r="C2822" s="22"/>
      <c r="D2822" s="5" t="str">
        <f aca="false">IF(B2822="","",IFERROR(INDEX(DE_PARA!$B$6:$B$205,MATCH(B2822,DE_PARA!$A$6:$A$205,0)),"SEM DE-PARA"))</f>
        <v/>
      </c>
      <c r="E2822" s="23" t="str">
        <f aca="false">IF(A2822="","",DATE(YEAR(A2822),MONTH(A2822),1))</f>
        <v/>
      </c>
    </row>
    <row r="2823" customFormat="false" ht="15" hidden="false" customHeight="false" outlineLevel="0" collapsed="false">
      <c r="A2823" s="21"/>
      <c r="B2823" s="4"/>
      <c r="C2823" s="22"/>
      <c r="D2823" s="5" t="str">
        <f aca="false">IF(B2823="","",IFERROR(INDEX(DE_PARA!$B$6:$B$205,MATCH(B2823,DE_PARA!$A$6:$A$205,0)),"SEM DE-PARA"))</f>
        <v/>
      </c>
      <c r="E2823" s="23" t="str">
        <f aca="false">IF(A2823="","",DATE(YEAR(A2823),MONTH(A2823),1))</f>
        <v/>
      </c>
    </row>
    <row r="2824" customFormat="false" ht="15" hidden="false" customHeight="false" outlineLevel="0" collapsed="false">
      <c r="A2824" s="21"/>
      <c r="B2824" s="4"/>
      <c r="C2824" s="22"/>
      <c r="D2824" s="5" t="str">
        <f aca="false">IF(B2824="","",IFERROR(INDEX(DE_PARA!$B$6:$B$205,MATCH(B2824,DE_PARA!$A$6:$A$205,0)),"SEM DE-PARA"))</f>
        <v/>
      </c>
      <c r="E2824" s="23" t="str">
        <f aca="false">IF(A2824="","",DATE(YEAR(A2824),MONTH(A2824),1))</f>
        <v/>
      </c>
    </row>
    <row r="2825" customFormat="false" ht="15" hidden="false" customHeight="false" outlineLevel="0" collapsed="false">
      <c r="A2825" s="21"/>
      <c r="B2825" s="4"/>
      <c r="C2825" s="22"/>
      <c r="D2825" s="5" t="str">
        <f aca="false">IF(B2825="","",IFERROR(INDEX(DE_PARA!$B$6:$B$205,MATCH(B2825,DE_PARA!$A$6:$A$205,0)),"SEM DE-PARA"))</f>
        <v/>
      </c>
      <c r="E2825" s="23" t="str">
        <f aca="false">IF(A2825="","",DATE(YEAR(A2825),MONTH(A2825),1))</f>
        <v/>
      </c>
    </row>
    <row r="2826" customFormat="false" ht="15" hidden="false" customHeight="false" outlineLevel="0" collapsed="false">
      <c r="A2826" s="21"/>
      <c r="B2826" s="4"/>
      <c r="C2826" s="22"/>
      <c r="D2826" s="5" t="str">
        <f aca="false">IF(B2826="","",IFERROR(INDEX(DE_PARA!$B$6:$B$205,MATCH(B2826,DE_PARA!$A$6:$A$205,0)),"SEM DE-PARA"))</f>
        <v/>
      </c>
      <c r="E2826" s="23" t="str">
        <f aca="false">IF(A2826="","",DATE(YEAR(A2826),MONTH(A2826),1))</f>
        <v/>
      </c>
    </row>
    <row r="2827" customFormat="false" ht="15" hidden="false" customHeight="false" outlineLevel="0" collapsed="false">
      <c r="A2827" s="21"/>
      <c r="B2827" s="4"/>
      <c r="C2827" s="22"/>
      <c r="D2827" s="5" t="str">
        <f aca="false">IF(B2827="","",IFERROR(INDEX(DE_PARA!$B$6:$B$205,MATCH(B2827,DE_PARA!$A$6:$A$205,0)),"SEM DE-PARA"))</f>
        <v/>
      </c>
      <c r="E2827" s="23" t="str">
        <f aca="false">IF(A2827="","",DATE(YEAR(A2827),MONTH(A2827),1))</f>
        <v/>
      </c>
    </row>
    <row r="2828" customFormat="false" ht="15" hidden="false" customHeight="false" outlineLevel="0" collapsed="false">
      <c r="A2828" s="21"/>
      <c r="B2828" s="4"/>
      <c r="C2828" s="22"/>
      <c r="D2828" s="5" t="str">
        <f aca="false">IF(B2828="","",IFERROR(INDEX(DE_PARA!$B$6:$B$205,MATCH(B2828,DE_PARA!$A$6:$A$205,0)),"SEM DE-PARA"))</f>
        <v/>
      </c>
      <c r="E2828" s="23" t="str">
        <f aca="false">IF(A2828="","",DATE(YEAR(A2828),MONTH(A2828),1))</f>
        <v/>
      </c>
    </row>
    <row r="2829" customFormat="false" ht="15" hidden="false" customHeight="false" outlineLevel="0" collapsed="false">
      <c r="A2829" s="21"/>
      <c r="B2829" s="4"/>
      <c r="C2829" s="22"/>
      <c r="D2829" s="5" t="str">
        <f aca="false">IF(B2829="","",IFERROR(INDEX(DE_PARA!$B$6:$B$205,MATCH(B2829,DE_PARA!$A$6:$A$205,0)),"SEM DE-PARA"))</f>
        <v/>
      </c>
      <c r="E2829" s="23" t="str">
        <f aca="false">IF(A2829="","",DATE(YEAR(A2829),MONTH(A2829),1))</f>
        <v/>
      </c>
    </row>
    <row r="2830" customFormat="false" ht="15" hidden="false" customHeight="false" outlineLevel="0" collapsed="false">
      <c r="A2830" s="21"/>
      <c r="B2830" s="4"/>
      <c r="C2830" s="22"/>
      <c r="D2830" s="5" t="str">
        <f aca="false">IF(B2830="","",IFERROR(INDEX(DE_PARA!$B$6:$B$205,MATCH(B2830,DE_PARA!$A$6:$A$205,0)),"SEM DE-PARA"))</f>
        <v/>
      </c>
      <c r="E2830" s="23" t="str">
        <f aca="false">IF(A2830="","",DATE(YEAR(A2830),MONTH(A2830),1))</f>
        <v/>
      </c>
    </row>
    <row r="2831" customFormat="false" ht="15" hidden="false" customHeight="false" outlineLevel="0" collapsed="false">
      <c r="A2831" s="21"/>
      <c r="B2831" s="4"/>
      <c r="C2831" s="22"/>
      <c r="D2831" s="5" t="str">
        <f aca="false">IF(B2831="","",IFERROR(INDEX(DE_PARA!$B$6:$B$205,MATCH(B2831,DE_PARA!$A$6:$A$205,0)),"SEM DE-PARA"))</f>
        <v/>
      </c>
      <c r="E2831" s="23" t="str">
        <f aca="false">IF(A2831="","",DATE(YEAR(A2831),MONTH(A2831),1))</f>
        <v/>
      </c>
    </row>
    <row r="2832" customFormat="false" ht="15" hidden="false" customHeight="false" outlineLevel="0" collapsed="false">
      <c r="A2832" s="21"/>
      <c r="B2832" s="4"/>
      <c r="C2832" s="22"/>
      <c r="D2832" s="5" t="str">
        <f aca="false">IF(B2832="","",IFERROR(INDEX(DE_PARA!$B$6:$B$205,MATCH(B2832,DE_PARA!$A$6:$A$205,0)),"SEM DE-PARA"))</f>
        <v/>
      </c>
      <c r="E2832" s="23" t="str">
        <f aca="false">IF(A2832="","",DATE(YEAR(A2832),MONTH(A2832),1))</f>
        <v/>
      </c>
    </row>
    <row r="2833" customFormat="false" ht="15" hidden="false" customHeight="false" outlineLevel="0" collapsed="false">
      <c r="A2833" s="21"/>
      <c r="B2833" s="4"/>
      <c r="C2833" s="22"/>
      <c r="D2833" s="5" t="str">
        <f aca="false">IF(B2833="","",IFERROR(INDEX(DE_PARA!$B$6:$B$205,MATCH(B2833,DE_PARA!$A$6:$A$205,0)),"SEM DE-PARA"))</f>
        <v/>
      </c>
      <c r="E2833" s="23" t="str">
        <f aca="false">IF(A2833="","",DATE(YEAR(A2833),MONTH(A2833),1))</f>
        <v/>
      </c>
    </row>
    <row r="2834" customFormat="false" ht="15" hidden="false" customHeight="false" outlineLevel="0" collapsed="false">
      <c r="A2834" s="21"/>
      <c r="B2834" s="4"/>
      <c r="C2834" s="22"/>
      <c r="D2834" s="5" t="str">
        <f aca="false">IF(B2834="","",IFERROR(INDEX(DE_PARA!$B$6:$B$205,MATCH(B2834,DE_PARA!$A$6:$A$205,0)),"SEM DE-PARA"))</f>
        <v/>
      </c>
      <c r="E2834" s="23" t="str">
        <f aca="false">IF(A2834="","",DATE(YEAR(A2834),MONTH(A2834),1))</f>
        <v/>
      </c>
    </row>
    <row r="2835" customFormat="false" ht="15" hidden="false" customHeight="false" outlineLevel="0" collapsed="false">
      <c r="A2835" s="21"/>
      <c r="B2835" s="4"/>
      <c r="C2835" s="22"/>
      <c r="D2835" s="5" t="str">
        <f aca="false">IF(B2835="","",IFERROR(INDEX(DE_PARA!$B$6:$B$205,MATCH(B2835,DE_PARA!$A$6:$A$205,0)),"SEM DE-PARA"))</f>
        <v/>
      </c>
      <c r="E2835" s="23" t="str">
        <f aca="false">IF(A2835="","",DATE(YEAR(A2835),MONTH(A2835),1))</f>
        <v/>
      </c>
    </row>
    <row r="2836" customFormat="false" ht="15" hidden="false" customHeight="false" outlineLevel="0" collapsed="false">
      <c r="A2836" s="21"/>
      <c r="B2836" s="4"/>
      <c r="C2836" s="22"/>
      <c r="D2836" s="5" t="str">
        <f aca="false">IF(B2836="","",IFERROR(INDEX(DE_PARA!$B$6:$B$205,MATCH(B2836,DE_PARA!$A$6:$A$205,0)),"SEM DE-PARA"))</f>
        <v/>
      </c>
      <c r="E2836" s="23" t="str">
        <f aca="false">IF(A2836="","",DATE(YEAR(A2836),MONTH(A2836),1))</f>
        <v/>
      </c>
    </row>
    <row r="2837" customFormat="false" ht="15" hidden="false" customHeight="false" outlineLevel="0" collapsed="false">
      <c r="A2837" s="21"/>
      <c r="B2837" s="4"/>
      <c r="C2837" s="22"/>
      <c r="D2837" s="5" t="str">
        <f aca="false">IF(B2837="","",IFERROR(INDEX(DE_PARA!$B$6:$B$205,MATCH(B2837,DE_PARA!$A$6:$A$205,0)),"SEM DE-PARA"))</f>
        <v/>
      </c>
      <c r="E2837" s="23" t="str">
        <f aca="false">IF(A2837="","",DATE(YEAR(A2837),MONTH(A2837),1))</f>
        <v/>
      </c>
    </row>
    <row r="2838" customFormat="false" ht="15" hidden="false" customHeight="false" outlineLevel="0" collapsed="false">
      <c r="A2838" s="21"/>
      <c r="B2838" s="4"/>
      <c r="C2838" s="22"/>
      <c r="D2838" s="5" t="str">
        <f aca="false">IF(B2838="","",IFERROR(INDEX(DE_PARA!$B$6:$B$205,MATCH(B2838,DE_PARA!$A$6:$A$205,0)),"SEM DE-PARA"))</f>
        <v/>
      </c>
      <c r="E2838" s="23" t="str">
        <f aca="false">IF(A2838="","",DATE(YEAR(A2838),MONTH(A2838),1))</f>
        <v/>
      </c>
    </row>
    <row r="2839" customFormat="false" ht="15" hidden="false" customHeight="false" outlineLevel="0" collapsed="false">
      <c r="A2839" s="21"/>
      <c r="B2839" s="4"/>
      <c r="C2839" s="22"/>
      <c r="D2839" s="5" t="str">
        <f aca="false">IF(B2839="","",IFERROR(INDEX(DE_PARA!$B$6:$B$205,MATCH(B2839,DE_PARA!$A$6:$A$205,0)),"SEM DE-PARA"))</f>
        <v/>
      </c>
      <c r="E2839" s="23" t="str">
        <f aca="false">IF(A2839="","",DATE(YEAR(A2839),MONTH(A2839),1))</f>
        <v/>
      </c>
    </row>
    <row r="2840" customFormat="false" ht="15" hidden="false" customHeight="false" outlineLevel="0" collapsed="false">
      <c r="A2840" s="21"/>
      <c r="B2840" s="4"/>
      <c r="C2840" s="22"/>
      <c r="D2840" s="5" t="str">
        <f aca="false">IF(B2840="","",IFERROR(INDEX(DE_PARA!$B$6:$B$205,MATCH(B2840,DE_PARA!$A$6:$A$205,0)),"SEM DE-PARA"))</f>
        <v/>
      </c>
      <c r="E2840" s="23" t="str">
        <f aca="false">IF(A2840="","",DATE(YEAR(A2840),MONTH(A2840),1))</f>
        <v/>
      </c>
    </row>
    <row r="2841" customFormat="false" ht="15" hidden="false" customHeight="false" outlineLevel="0" collapsed="false">
      <c r="A2841" s="21"/>
      <c r="B2841" s="4"/>
      <c r="C2841" s="22"/>
      <c r="D2841" s="5" t="str">
        <f aca="false">IF(B2841="","",IFERROR(INDEX(DE_PARA!$B$6:$B$205,MATCH(B2841,DE_PARA!$A$6:$A$205,0)),"SEM DE-PARA"))</f>
        <v/>
      </c>
      <c r="E2841" s="23" t="str">
        <f aca="false">IF(A2841="","",DATE(YEAR(A2841),MONTH(A2841),1))</f>
        <v/>
      </c>
    </row>
    <row r="2842" customFormat="false" ht="15" hidden="false" customHeight="false" outlineLevel="0" collapsed="false">
      <c r="A2842" s="21"/>
      <c r="B2842" s="4"/>
      <c r="C2842" s="22"/>
      <c r="D2842" s="5" t="str">
        <f aca="false">IF(B2842="","",IFERROR(INDEX(DE_PARA!$B$6:$B$205,MATCH(B2842,DE_PARA!$A$6:$A$205,0)),"SEM DE-PARA"))</f>
        <v/>
      </c>
      <c r="E2842" s="23" t="str">
        <f aca="false">IF(A2842="","",DATE(YEAR(A2842),MONTH(A2842),1))</f>
        <v/>
      </c>
    </row>
    <row r="2843" customFormat="false" ht="15" hidden="false" customHeight="false" outlineLevel="0" collapsed="false">
      <c r="A2843" s="21"/>
      <c r="B2843" s="4"/>
      <c r="C2843" s="22"/>
      <c r="D2843" s="5" t="str">
        <f aca="false">IF(B2843="","",IFERROR(INDEX(DE_PARA!$B$6:$B$205,MATCH(B2843,DE_PARA!$A$6:$A$205,0)),"SEM DE-PARA"))</f>
        <v/>
      </c>
      <c r="E2843" s="23" t="str">
        <f aca="false">IF(A2843="","",DATE(YEAR(A2843),MONTH(A2843),1))</f>
        <v/>
      </c>
    </row>
    <row r="2844" customFormat="false" ht="15" hidden="false" customHeight="false" outlineLevel="0" collapsed="false">
      <c r="A2844" s="21"/>
      <c r="B2844" s="4"/>
      <c r="C2844" s="22"/>
      <c r="D2844" s="5" t="str">
        <f aca="false">IF(B2844="","",IFERROR(INDEX(DE_PARA!$B$6:$B$205,MATCH(B2844,DE_PARA!$A$6:$A$205,0)),"SEM DE-PARA"))</f>
        <v/>
      </c>
      <c r="E2844" s="23" t="str">
        <f aca="false">IF(A2844="","",DATE(YEAR(A2844),MONTH(A2844),1))</f>
        <v/>
      </c>
    </row>
    <row r="2845" customFormat="false" ht="15" hidden="false" customHeight="false" outlineLevel="0" collapsed="false">
      <c r="A2845" s="21"/>
      <c r="B2845" s="4"/>
      <c r="C2845" s="22"/>
      <c r="D2845" s="5" t="str">
        <f aca="false">IF(B2845="","",IFERROR(INDEX(DE_PARA!$B$6:$B$205,MATCH(B2845,DE_PARA!$A$6:$A$205,0)),"SEM DE-PARA"))</f>
        <v/>
      </c>
      <c r="E2845" s="23" t="str">
        <f aca="false">IF(A2845="","",DATE(YEAR(A2845),MONTH(A2845),1))</f>
        <v/>
      </c>
    </row>
    <row r="2846" customFormat="false" ht="15" hidden="false" customHeight="false" outlineLevel="0" collapsed="false">
      <c r="A2846" s="21"/>
      <c r="B2846" s="4"/>
      <c r="C2846" s="22"/>
      <c r="D2846" s="5" t="str">
        <f aca="false">IF(B2846="","",IFERROR(INDEX(DE_PARA!$B$6:$B$205,MATCH(B2846,DE_PARA!$A$6:$A$205,0)),"SEM DE-PARA"))</f>
        <v/>
      </c>
      <c r="E2846" s="23" t="str">
        <f aca="false">IF(A2846="","",DATE(YEAR(A2846),MONTH(A2846),1))</f>
        <v/>
      </c>
    </row>
    <row r="2847" customFormat="false" ht="15" hidden="false" customHeight="false" outlineLevel="0" collapsed="false">
      <c r="A2847" s="21"/>
      <c r="B2847" s="4"/>
      <c r="C2847" s="22"/>
      <c r="D2847" s="5" t="str">
        <f aca="false">IF(B2847="","",IFERROR(INDEX(DE_PARA!$B$6:$B$205,MATCH(B2847,DE_PARA!$A$6:$A$205,0)),"SEM DE-PARA"))</f>
        <v/>
      </c>
      <c r="E2847" s="23" t="str">
        <f aca="false">IF(A2847="","",DATE(YEAR(A2847),MONTH(A2847),1))</f>
        <v/>
      </c>
    </row>
    <row r="2848" customFormat="false" ht="15" hidden="false" customHeight="false" outlineLevel="0" collapsed="false">
      <c r="A2848" s="21"/>
      <c r="B2848" s="4"/>
      <c r="C2848" s="22"/>
      <c r="D2848" s="5" t="str">
        <f aca="false">IF(B2848="","",IFERROR(INDEX(DE_PARA!$B$6:$B$205,MATCH(B2848,DE_PARA!$A$6:$A$205,0)),"SEM DE-PARA"))</f>
        <v/>
      </c>
      <c r="E2848" s="23" t="str">
        <f aca="false">IF(A2848="","",DATE(YEAR(A2848),MONTH(A2848),1))</f>
        <v/>
      </c>
    </row>
    <row r="2849" customFormat="false" ht="15" hidden="false" customHeight="false" outlineLevel="0" collapsed="false">
      <c r="A2849" s="21"/>
      <c r="B2849" s="4"/>
      <c r="C2849" s="22"/>
      <c r="D2849" s="5" t="str">
        <f aca="false">IF(B2849="","",IFERROR(INDEX(DE_PARA!$B$6:$B$205,MATCH(B2849,DE_PARA!$A$6:$A$205,0)),"SEM DE-PARA"))</f>
        <v/>
      </c>
      <c r="E2849" s="23" t="str">
        <f aca="false">IF(A2849="","",DATE(YEAR(A2849),MONTH(A2849),1))</f>
        <v/>
      </c>
    </row>
    <row r="2850" customFormat="false" ht="15" hidden="false" customHeight="false" outlineLevel="0" collapsed="false">
      <c r="A2850" s="21"/>
      <c r="B2850" s="4"/>
      <c r="C2850" s="22"/>
      <c r="D2850" s="5" t="str">
        <f aca="false">IF(B2850="","",IFERROR(INDEX(DE_PARA!$B$6:$B$205,MATCH(B2850,DE_PARA!$A$6:$A$205,0)),"SEM DE-PARA"))</f>
        <v/>
      </c>
      <c r="E2850" s="23" t="str">
        <f aca="false">IF(A2850="","",DATE(YEAR(A2850),MONTH(A2850),1))</f>
        <v/>
      </c>
    </row>
    <row r="2851" customFormat="false" ht="15" hidden="false" customHeight="false" outlineLevel="0" collapsed="false">
      <c r="A2851" s="21"/>
      <c r="B2851" s="4"/>
      <c r="C2851" s="22"/>
      <c r="D2851" s="5" t="str">
        <f aca="false">IF(B2851="","",IFERROR(INDEX(DE_PARA!$B$6:$B$205,MATCH(B2851,DE_PARA!$A$6:$A$205,0)),"SEM DE-PARA"))</f>
        <v/>
      </c>
      <c r="E2851" s="23" t="str">
        <f aca="false">IF(A2851="","",DATE(YEAR(A2851),MONTH(A2851),1))</f>
        <v/>
      </c>
    </row>
    <row r="2852" customFormat="false" ht="15" hidden="false" customHeight="false" outlineLevel="0" collapsed="false">
      <c r="A2852" s="21"/>
      <c r="B2852" s="4"/>
      <c r="C2852" s="22"/>
      <c r="D2852" s="5" t="str">
        <f aca="false">IF(B2852="","",IFERROR(INDEX(DE_PARA!$B$6:$B$205,MATCH(B2852,DE_PARA!$A$6:$A$205,0)),"SEM DE-PARA"))</f>
        <v/>
      </c>
      <c r="E2852" s="23" t="str">
        <f aca="false">IF(A2852="","",DATE(YEAR(A2852),MONTH(A2852),1))</f>
        <v/>
      </c>
    </row>
    <row r="2853" customFormat="false" ht="15" hidden="false" customHeight="false" outlineLevel="0" collapsed="false">
      <c r="A2853" s="21"/>
      <c r="B2853" s="4"/>
      <c r="C2853" s="22"/>
      <c r="D2853" s="5" t="str">
        <f aca="false">IF(B2853="","",IFERROR(INDEX(DE_PARA!$B$6:$B$205,MATCH(B2853,DE_PARA!$A$6:$A$205,0)),"SEM DE-PARA"))</f>
        <v/>
      </c>
      <c r="E2853" s="23" t="str">
        <f aca="false">IF(A2853="","",DATE(YEAR(A2853),MONTH(A2853),1))</f>
        <v/>
      </c>
    </row>
    <row r="2854" customFormat="false" ht="15" hidden="false" customHeight="false" outlineLevel="0" collapsed="false">
      <c r="A2854" s="21"/>
      <c r="B2854" s="4"/>
      <c r="C2854" s="22"/>
      <c r="D2854" s="5" t="str">
        <f aca="false">IF(B2854="","",IFERROR(INDEX(DE_PARA!$B$6:$B$205,MATCH(B2854,DE_PARA!$A$6:$A$205,0)),"SEM DE-PARA"))</f>
        <v/>
      </c>
      <c r="E2854" s="23" t="str">
        <f aca="false">IF(A2854="","",DATE(YEAR(A2854),MONTH(A2854),1))</f>
        <v/>
      </c>
    </row>
    <row r="2855" customFormat="false" ht="15" hidden="false" customHeight="false" outlineLevel="0" collapsed="false">
      <c r="A2855" s="21"/>
      <c r="B2855" s="4"/>
      <c r="C2855" s="22"/>
      <c r="D2855" s="5" t="str">
        <f aca="false">IF(B2855="","",IFERROR(INDEX(DE_PARA!$B$6:$B$205,MATCH(B2855,DE_PARA!$A$6:$A$205,0)),"SEM DE-PARA"))</f>
        <v/>
      </c>
      <c r="E2855" s="23" t="str">
        <f aca="false">IF(A2855="","",DATE(YEAR(A2855),MONTH(A2855),1))</f>
        <v/>
      </c>
    </row>
    <row r="2856" customFormat="false" ht="15" hidden="false" customHeight="false" outlineLevel="0" collapsed="false">
      <c r="A2856" s="21"/>
      <c r="B2856" s="4"/>
      <c r="C2856" s="22"/>
      <c r="D2856" s="5" t="str">
        <f aca="false">IF(B2856="","",IFERROR(INDEX(DE_PARA!$B$6:$B$205,MATCH(B2856,DE_PARA!$A$6:$A$205,0)),"SEM DE-PARA"))</f>
        <v/>
      </c>
      <c r="E2856" s="23" t="str">
        <f aca="false">IF(A2856="","",DATE(YEAR(A2856),MONTH(A2856),1))</f>
        <v/>
      </c>
    </row>
    <row r="2857" customFormat="false" ht="15" hidden="false" customHeight="false" outlineLevel="0" collapsed="false">
      <c r="A2857" s="21"/>
      <c r="B2857" s="4"/>
      <c r="C2857" s="22"/>
      <c r="D2857" s="5" t="str">
        <f aca="false">IF(B2857="","",IFERROR(INDEX(DE_PARA!$B$6:$B$205,MATCH(B2857,DE_PARA!$A$6:$A$205,0)),"SEM DE-PARA"))</f>
        <v/>
      </c>
      <c r="E2857" s="23" t="str">
        <f aca="false">IF(A2857="","",DATE(YEAR(A2857),MONTH(A2857),1))</f>
        <v/>
      </c>
    </row>
    <row r="2858" customFormat="false" ht="15" hidden="false" customHeight="false" outlineLevel="0" collapsed="false">
      <c r="A2858" s="21"/>
      <c r="B2858" s="4"/>
      <c r="C2858" s="22"/>
      <c r="D2858" s="5" t="str">
        <f aca="false">IF(B2858="","",IFERROR(INDEX(DE_PARA!$B$6:$B$205,MATCH(B2858,DE_PARA!$A$6:$A$205,0)),"SEM DE-PARA"))</f>
        <v/>
      </c>
      <c r="E2858" s="23" t="str">
        <f aca="false">IF(A2858="","",DATE(YEAR(A2858),MONTH(A2858),1))</f>
        <v/>
      </c>
    </row>
    <row r="2859" customFormat="false" ht="15" hidden="false" customHeight="false" outlineLevel="0" collapsed="false">
      <c r="A2859" s="21"/>
      <c r="B2859" s="4"/>
      <c r="C2859" s="22"/>
      <c r="D2859" s="5" t="str">
        <f aca="false">IF(B2859="","",IFERROR(INDEX(DE_PARA!$B$6:$B$205,MATCH(B2859,DE_PARA!$A$6:$A$205,0)),"SEM DE-PARA"))</f>
        <v/>
      </c>
      <c r="E2859" s="23" t="str">
        <f aca="false">IF(A2859="","",DATE(YEAR(A2859),MONTH(A2859),1))</f>
        <v/>
      </c>
    </row>
    <row r="2860" customFormat="false" ht="15" hidden="false" customHeight="false" outlineLevel="0" collapsed="false">
      <c r="A2860" s="21"/>
      <c r="B2860" s="4"/>
      <c r="C2860" s="22"/>
      <c r="D2860" s="5" t="str">
        <f aca="false">IF(B2860="","",IFERROR(INDEX(DE_PARA!$B$6:$B$205,MATCH(B2860,DE_PARA!$A$6:$A$205,0)),"SEM DE-PARA"))</f>
        <v/>
      </c>
      <c r="E2860" s="23" t="str">
        <f aca="false">IF(A2860="","",DATE(YEAR(A2860),MONTH(A2860),1))</f>
        <v/>
      </c>
    </row>
    <row r="2861" customFormat="false" ht="15" hidden="false" customHeight="false" outlineLevel="0" collapsed="false">
      <c r="A2861" s="21"/>
      <c r="B2861" s="4"/>
      <c r="C2861" s="22"/>
      <c r="D2861" s="5" t="str">
        <f aca="false">IF(B2861="","",IFERROR(INDEX(DE_PARA!$B$6:$B$205,MATCH(B2861,DE_PARA!$A$6:$A$205,0)),"SEM DE-PARA"))</f>
        <v/>
      </c>
      <c r="E2861" s="23" t="str">
        <f aca="false">IF(A2861="","",DATE(YEAR(A2861),MONTH(A2861),1))</f>
        <v/>
      </c>
    </row>
    <row r="2862" customFormat="false" ht="15" hidden="false" customHeight="false" outlineLevel="0" collapsed="false">
      <c r="A2862" s="21"/>
      <c r="B2862" s="4"/>
      <c r="C2862" s="22"/>
      <c r="D2862" s="5" t="str">
        <f aca="false">IF(B2862="","",IFERROR(INDEX(DE_PARA!$B$6:$B$205,MATCH(B2862,DE_PARA!$A$6:$A$205,0)),"SEM DE-PARA"))</f>
        <v/>
      </c>
      <c r="E2862" s="23" t="str">
        <f aca="false">IF(A2862="","",DATE(YEAR(A2862),MONTH(A2862),1))</f>
        <v/>
      </c>
    </row>
    <row r="2863" customFormat="false" ht="15" hidden="false" customHeight="false" outlineLevel="0" collapsed="false">
      <c r="A2863" s="21"/>
      <c r="B2863" s="4"/>
      <c r="C2863" s="22"/>
      <c r="D2863" s="5" t="str">
        <f aca="false">IF(B2863="","",IFERROR(INDEX(DE_PARA!$B$6:$B$205,MATCH(B2863,DE_PARA!$A$6:$A$205,0)),"SEM DE-PARA"))</f>
        <v/>
      </c>
      <c r="E2863" s="23" t="str">
        <f aca="false">IF(A2863="","",DATE(YEAR(A2863),MONTH(A2863),1))</f>
        <v/>
      </c>
    </row>
    <row r="2864" customFormat="false" ht="15" hidden="false" customHeight="false" outlineLevel="0" collapsed="false">
      <c r="A2864" s="21"/>
      <c r="B2864" s="4"/>
      <c r="C2864" s="22"/>
      <c r="D2864" s="5" t="str">
        <f aca="false">IF(B2864="","",IFERROR(INDEX(DE_PARA!$B$6:$B$205,MATCH(B2864,DE_PARA!$A$6:$A$205,0)),"SEM DE-PARA"))</f>
        <v/>
      </c>
      <c r="E2864" s="23" t="str">
        <f aca="false">IF(A2864="","",DATE(YEAR(A2864),MONTH(A2864),1))</f>
        <v/>
      </c>
    </row>
    <row r="2865" customFormat="false" ht="15" hidden="false" customHeight="false" outlineLevel="0" collapsed="false">
      <c r="A2865" s="21"/>
      <c r="B2865" s="4"/>
      <c r="C2865" s="22"/>
      <c r="D2865" s="5" t="str">
        <f aca="false">IF(B2865="","",IFERROR(INDEX(DE_PARA!$B$6:$B$205,MATCH(B2865,DE_PARA!$A$6:$A$205,0)),"SEM DE-PARA"))</f>
        <v/>
      </c>
      <c r="E2865" s="23" t="str">
        <f aca="false">IF(A2865="","",DATE(YEAR(A2865),MONTH(A2865),1))</f>
        <v/>
      </c>
    </row>
    <row r="2866" customFormat="false" ht="15" hidden="false" customHeight="false" outlineLevel="0" collapsed="false">
      <c r="A2866" s="21"/>
      <c r="B2866" s="4"/>
      <c r="C2866" s="22"/>
      <c r="D2866" s="5" t="str">
        <f aca="false">IF(B2866="","",IFERROR(INDEX(DE_PARA!$B$6:$B$205,MATCH(B2866,DE_PARA!$A$6:$A$205,0)),"SEM DE-PARA"))</f>
        <v/>
      </c>
      <c r="E2866" s="23" t="str">
        <f aca="false">IF(A2866="","",DATE(YEAR(A2866),MONTH(A2866),1))</f>
        <v/>
      </c>
    </row>
    <row r="2867" customFormat="false" ht="15" hidden="false" customHeight="false" outlineLevel="0" collapsed="false">
      <c r="A2867" s="21"/>
      <c r="B2867" s="4"/>
      <c r="C2867" s="22"/>
      <c r="D2867" s="5" t="str">
        <f aca="false">IF(B2867="","",IFERROR(INDEX(DE_PARA!$B$6:$B$205,MATCH(B2867,DE_PARA!$A$6:$A$205,0)),"SEM DE-PARA"))</f>
        <v/>
      </c>
      <c r="E2867" s="23" t="str">
        <f aca="false">IF(A2867="","",DATE(YEAR(A2867),MONTH(A2867),1))</f>
        <v/>
      </c>
    </row>
    <row r="2868" customFormat="false" ht="15" hidden="false" customHeight="false" outlineLevel="0" collapsed="false">
      <c r="A2868" s="21"/>
      <c r="B2868" s="4"/>
      <c r="C2868" s="22"/>
      <c r="D2868" s="5" t="str">
        <f aca="false">IF(B2868="","",IFERROR(INDEX(DE_PARA!$B$6:$B$205,MATCH(B2868,DE_PARA!$A$6:$A$205,0)),"SEM DE-PARA"))</f>
        <v/>
      </c>
      <c r="E2868" s="23" t="str">
        <f aca="false">IF(A2868="","",DATE(YEAR(A2868),MONTH(A2868),1))</f>
        <v/>
      </c>
    </row>
    <row r="2869" customFormat="false" ht="15" hidden="false" customHeight="false" outlineLevel="0" collapsed="false">
      <c r="A2869" s="21"/>
      <c r="B2869" s="4"/>
      <c r="C2869" s="22"/>
      <c r="D2869" s="5" t="str">
        <f aca="false">IF(B2869="","",IFERROR(INDEX(DE_PARA!$B$6:$B$205,MATCH(B2869,DE_PARA!$A$6:$A$205,0)),"SEM DE-PARA"))</f>
        <v/>
      </c>
      <c r="E2869" s="23" t="str">
        <f aca="false">IF(A2869="","",DATE(YEAR(A2869),MONTH(A2869),1))</f>
        <v/>
      </c>
    </row>
    <row r="2870" customFormat="false" ht="15" hidden="false" customHeight="false" outlineLevel="0" collapsed="false">
      <c r="A2870" s="21"/>
      <c r="B2870" s="4"/>
      <c r="C2870" s="22"/>
      <c r="D2870" s="5" t="str">
        <f aca="false">IF(B2870="","",IFERROR(INDEX(DE_PARA!$B$6:$B$205,MATCH(B2870,DE_PARA!$A$6:$A$205,0)),"SEM DE-PARA"))</f>
        <v/>
      </c>
      <c r="E2870" s="23" t="str">
        <f aca="false">IF(A2870="","",DATE(YEAR(A2870),MONTH(A2870),1))</f>
        <v/>
      </c>
    </row>
    <row r="2871" customFormat="false" ht="15" hidden="false" customHeight="false" outlineLevel="0" collapsed="false">
      <c r="A2871" s="21"/>
      <c r="B2871" s="4"/>
      <c r="C2871" s="22"/>
      <c r="D2871" s="5" t="str">
        <f aca="false">IF(B2871="","",IFERROR(INDEX(DE_PARA!$B$6:$B$205,MATCH(B2871,DE_PARA!$A$6:$A$205,0)),"SEM DE-PARA"))</f>
        <v/>
      </c>
      <c r="E2871" s="23" t="str">
        <f aca="false">IF(A2871="","",DATE(YEAR(A2871),MONTH(A2871),1))</f>
        <v/>
      </c>
    </row>
    <row r="2872" customFormat="false" ht="15" hidden="false" customHeight="false" outlineLevel="0" collapsed="false">
      <c r="A2872" s="21"/>
      <c r="B2872" s="4"/>
      <c r="C2872" s="22"/>
      <c r="D2872" s="5" t="str">
        <f aca="false">IF(B2872="","",IFERROR(INDEX(DE_PARA!$B$6:$B$205,MATCH(B2872,DE_PARA!$A$6:$A$205,0)),"SEM DE-PARA"))</f>
        <v/>
      </c>
      <c r="E2872" s="23" t="str">
        <f aca="false">IF(A2872="","",DATE(YEAR(A2872),MONTH(A2872),1))</f>
        <v/>
      </c>
    </row>
    <row r="2873" customFormat="false" ht="15" hidden="false" customHeight="false" outlineLevel="0" collapsed="false">
      <c r="A2873" s="21"/>
      <c r="B2873" s="4"/>
      <c r="C2873" s="22"/>
      <c r="D2873" s="5" t="str">
        <f aca="false">IF(B2873="","",IFERROR(INDEX(DE_PARA!$B$6:$B$205,MATCH(B2873,DE_PARA!$A$6:$A$205,0)),"SEM DE-PARA"))</f>
        <v/>
      </c>
      <c r="E2873" s="23" t="str">
        <f aca="false">IF(A2873="","",DATE(YEAR(A2873),MONTH(A2873),1))</f>
        <v/>
      </c>
    </row>
    <row r="2874" customFormat="false" ht="15" hidden="false" customHeight="false" outlineLevel="0" collapsed="false">
      <c r="A2874" s="21"/>
      <c r="B2874" s="4"/>
      <c r="C2874" s="22"/>
      <c r="D2874" s="5" t="str">
        <f aca="false">IF(B2874="","",IFERROR(INDEX(DE_PARA!$B$6:$B$205,MATCH(B2874,DE_PARA!$A$6:$A$205,0)),"SEM DE-PARA"))</f>
        <v/>
      </c>
      <c r="E2874" s="23" t="str">
        <f aca="false">IF(A2874="","",DATE(YEAR(A2874),MONTH(A2874),1))</f>
        <v/>
      </c>
    </row>
    <row r="2875" customFormat="false" ht="15" hidden="false" customHeight="false" outlineLevel="0" collapsed="false">
      <c r="A2875" s="21"/>
      <c r="B2875" s="4"/>
      <c r="C2875" s="22"/>
      <c r="D2875" s="5" t="str">
        <f aca="false">IF(B2875="","",IFERROR(INDEX(DE_PARA!$B$6:$B$205,MATCH(B2875,DE_PARA!$A$6:$A$205,0)),"SEM DE-PARA"))</f>
        <v/>
      </c>
      <c r="E2875" s="23" t="str">
        <f aca="false">IF(A2875="","",DATE(YEAR(A2875),MONTH(A2875),1))</f>
        <v/>
      </c>
    </row>
    <row r="2876" customFormat="false" ht="15" hidden="false" customHeight="false" outlineLevel="0" collapsed="false">
      <c r="A2876" s="21"/>
      <c r="B2876" s="4"/>
      <c r="C2876" s="22"/>
      <c r="D2876" s="5" t="str">
        <f aca="false">IF(B2876="","",IFERROR(INDEX(DE_PARA!$B$6:$B$205,MATCH(B2876,DE_PARA!$A$6:$A$205,0)),"SEM DE-PARA"))</f>
        <v/>
      </c>
      <c r="E2876" s="23" t="str">
        <f aca="false">IF(A2876="","",DATE(YEAR(A2876),MONTH(A2876),1))</f>
        <v/>
      </c>
    </row>
    <row r="2877" customFormat="false" ht="15" hidden="false" customHeight="false" outlineLevel="0" collapsed="false">
      <c r="A2877" s="21"/>
      <c r="B2877" s="4"/>
      <c r="C2877" s="22"/>
      <c r="D2877" s="5" t="str">
        <f aca="false">IF(B2877="","",IFERROR(INDEX(DE_PARA!$B$6:$B$205,MATCH(B2877,DE_PARA!$A$6:$A$205,0)),"SEM DE-PARA"))</f>
        <v/>
      </c>
      <c r="E2877" s="23" t="str">
        <f aca="false">IF(A2877="","",DATE(YEAR(A2877),MONTH(A2877),1))</f>
        <v/>
      </c>
    </row>
    <row r="2878" customFormat="false" ht="15" hidden="false" customHeight="false" outlineLevel="0" collapsed="false">
      <c r="A2878" s="21"/>
      <c r="B2878" s="4"/>
      <c r="C2878" s="22"/>
      <c r="D2878" s="5" t="str">
        <f aca="false">IF(B2878="","",IFERROR(INDEX(DE_PARA!$B$6:$B$205,MATCH(B2878,DE_PARA!$A$6:$A$205,0)),"SEM DE-PARA"))</f>
        <v/>
      </c>
      <c r="E2878" s="23" t="str">
        <f aca="false">IF(A2878="","",DATE(YEAR(A2878),MONTH(A2878),1))</f>
        <v/>
      </c>
    </row>
    <row r="2879" customFormat="false" ht="15" hidden="false" customHeight="false" outlineLevel="0" collapsed="false">
      <c r="A2879" s="21"/>
      <c r="B2879" s="4"/>
      <c r="C2879" s="22"/>
      <c r="D2879" s="5" t="str">
        <f aca="false">IF(B2879="","",IFERROR(INDEX(DE_PARA!$B$6:$B$205,MATCH(B2879,DE_PARA!$A$6:$A$205,0)),"SEM DE-PARA"))</f>
        <v/>
      </c>
      <c r="E2879" s="23" t="str">
        <f aca="false">IF(A2879="","",DATE(YEAR(A2879),MONTH(A2879),1))</f>
        <v/>
      </c>
    </row>
    <row r="2880" customFormat="false" ht="15" hidden="false" customHeight="false" outlineLevel="0" collapsed="false">
      <c r="A2880" s="21"/>
      <c r="B2880" s="4"/>
      <c r="C2880" s="22"/>
      <c r="D2880" s="5" t="str">
        <f aca="false">IF(B2880="","",IFERROR(INDEX(DE_PARA!$B$6:$B$205,MATCH(B2880,DE_PARA!$A$6:$A$205,0)),"SEM DE-PARA"))</f>
        <v/>
      </c>
      <c r="E2880" s="23" t="str">
        <f aca="false">IF(A2880="","",DATE(YEAR(A2880),MONTH(A2880),1))</f>
        <v/>
      </c>
    </row>
    <row r="2881" customFormat="false" ht="15" hidden="false" customHeight="false" outlineLevel="0" collapsed="false">
      <c r="A2881" s="21"/>
      <c r="B2881" s="4"/>
      <c r="C2881" s="22"/>
      <c r="D2881" s="5" t="str">
        <f aca="false">IF(B2881="","",IFERROR(INDEX(DE_PARA!$B$6:$B$205,MATCH(B2881,DE_PARA!$A$6:$A$205,0)),"SEM DE-PARA"))</f>
        <v/>
      </c>
      <c r="E2881" s="23" t="str">
        <f aca="false">IF(A2881="","",DATE(YEAR(A2881),MONTH(A2881),1))</f>
        <v/>
      </c>
    </row>
    <row r="2882" customFormat="false" ht="15" hidden="false" customHeight="false" outlineLevel="0" collapsed="false">
      <c r="A2882" s="21"/>
      <c r="B2882" s="4"/>
      <c r="C2882" s="22"/>
      <c r="D2882" s="5" t="str">
        <f aca="false">IF(B2882="","",IFERROR(INDEX(DE_PARA!$B$6:$B$205,MATCH(B2882,DE_PARA!$A$6:$A$205,0)),"SEM DE-PARA"))</f>
        <v/>
      </c>
      <c r="E2882" s="23" t="str">
        <f aca="false">IF(A2882="","",DATE(YEAR(A2882),MONTH(A2882),1))</f>
        <v/>
      </c>
    </row>
    <row r="2883" customFormat="false" ht="15" hidden="false" customHeight="false" outlineLevel="0" collapsed="false">
      <c r="A2883" s="21"/>
      <c r="B2883" s="4"/>
      <c r="C2883" s="22"/>
      <c r="D2883" s="5" t="str">
        <f aca="false">IF(B2883="","",IFERROR(INDEX(DE_PARA!$B$6:$B$205,MATCH(B2883,DE_PARA!$A$6:$A$205,0)),"SEM DE-PARA"))</f>
        <v/>
      </c>
      <c r="E2883" s="23" t="str">
        <f aca="false">IF(A2883="","",DATE(YEAR(A2883),MONTH(A2883),1))</f>
        <v/>
      </c>
    </row>
    <row r="2884" customFormat="false" ht="15" hidden="false" customHeight="false" outlineLevel="0" collapsed="false">
      <c r="A2884" s="21"/>
      <c r="B2884" s="4"/>
      <c r="C2884" s="22"/>
      <c r="D2884" s="5" t="str">
        <f aca="false">IF(B2884="","",IFERROR(INDEX(DE_PARA!$B$6:$B$205,MATCH(B2884,DE_PARA!$A$6:$A$205,0)),"SEM DE-PARA"))</f>
        <v/>
      </c>
      <c r="E2884" s="23" t="str">
        <f aca="false">IF(A2884="","",DATE(YEAR(A2884),MONTH(A2884),1))</f>
        <v/>
      </c>
    </row>
    <row r="2885" customFormat="false" ht="15" hidden="false" customHeight="false" outlineLevel="0" collapsed="false">
      <c r="A2885" s="21"/>
      <c r="B2885" s="4"/>
      <c r="C2885" s="22"/>
      <c r="D2885" s="5" t="str">
        <f aca="false">IF(B2885="","",IFERROR(INDEX(DE_PARA!$B$6:$B$205,MATCH(B2885,DE_PARA!$A$6:$A$205,0)),"SEM DE-PARA"))</f>
        <v/>
      </c>
      <c r="E2885" s="23" t="str">
        <f aca="false">IF(A2885="","",DATE(YEAR(A2885),MONTH(A2885),1))</f>
        <v/>
      </c>
    </row>
    <row r="2886" customFormat="false" ht="15" hidden="false" customHeight="false" outlineLevel="0" collapsed="false">
      <c r="A2886" s="21"/>
      <c r="B2886" s="4"/>
      <c r="C2886" s="22"/>
      <c r="D2886" s="5" t="str">
        <f aca="false">IF(B2886="","",IFERROR(INDEX(DE_PARA!$B$6:$B$205,MATCH(B2886,DE_PARA!$A$6:$A$205,0)),"SEM DE-PARA"))</f>
        <v/>
      </c>
      <c r="E2886" s="23" t="str">
        <f aca="false">IF(A2886="","",DATE(YEAR(A2886),MONTH(A2886),1))</f>
        <v/>
      </c>
    </row>
    <row r="2887" customFormat="false" ht="15" hidden="false" customHeight="false" outlineLevel="0" collapsed="false">
      <c r="A2887" s="21"/>
      <c r="B2887" s="4"/>
      <c r="C2887" s="22"/>
      <c r="D2887" s="5" t="str">
        <f aca="false">IF(B2887="","",IFERROR(INDEX(DE_PARA!$B$6:$B$205,MATCH(B2887,DE_PARA!$A$6:$A$205,0)),"SEM DE-PARA"))</f>
        <v/>
      </c>
      <c r="E2887" s="23" t="str">
        <f aca="false">IF(A2887="","",DATE(YEAR(A2887),MONTH(A2887),1))</f>
        <v/>
      </c>
    </row>
    <row r="2888" customFormat="false" ht="15" hidden="false" customHeight="false" outlineLevel="0" collapsed="false">
      <c r="A2888" s="21"/>
      <c r="B2888" s="4"/>
      <c r="C2888" s="22"/>
      <c r="D2888" s="5" t="str">
        <f aca="false">IF(B2888="","",IFERROR(INDEX(DE_PARA!$B$6:$B$205,MATCH(B2888,DE_PARA!$A$6:$A$205,0)),"SEM DE-PARA"))</f>
        <v/>
      </c>
      <c r="E2888" s="23" t="str">
        <f aca="false">IF(A2888="","",DATE(YEAR(A2888),MONTH(A2888),1))</f>
        <v/>
      </c>
    </row>
    <row r="2889" customFormat="false" ht="15" hidden="false" customHeight="false" outlineLevel="0" collapsed="false">
      <c r="A2889" s="21"/>
      <c r="B2889" s="4"/>
      <c r="C2889" s="22"/>
      <c r="D2889" s="5" t="str">
        <f aca="false">IF(B2889="","",IFERROR(INDEX(DE_PARA!$B$6:$B$205,MATCH(B2889,DE_PARA!$A$6:$A$205,0)),"SEM DE-PARA"))</f>
        <v/>
      </c>
      <c r="E2889" s="23" t="str">
        <f aca="false">IF(A2889="","",DATE(YEAR(A2889),MONTH(A2889),1))</f>
        <v/>
      </c>
    </row>
    <row r="2890" customFormat="false" ht="15" hidden="false" customHeight="false" outlineLevel="0" collapsed="false">
      <c r="A2890" s="21"/>
      <c r="B2890" s="4"/>
      <c r="C2890" s="22"/>
      <c r="D2890" s="5" t="str">
        <f aca="false">IF(B2890="","",IFERROR(INDEX(DE_PARA!$B$6:$B$205,MATCH(B2890,DE_PARA!$A$6:$A$205,0)),"SEM DE-PARA"))</f>
        <v/>
      </c>
      <c r="E2890" s="23" t="str">
        <f aca="false">IF(A2890="","",DATE(YEAR(A2890),MONTH(A2890),1))</f>
        <v/>
      </c>
    </row>
    <row r="2891" customFormat="false" ht="15" hidden="false" customHeight="false" outlineLevel="0" collapsed="false">
      <c r="A2891" s="21"/>
      <c r="B2891" s="4"/>
      <c r="C2891" s="22"/>
      <c r="D2891" s="5" t="str">
        <f aca="false">IF(B2891="","",IFERROR(INDEX(DE_PARA!$B$6:$B$205,MATCH(B2891,DE_PARA!$A$6:$A$205,0)),"SEM DE-PARA"))</f>
        <v/>
      </c>
      <c r="E2891" s="23" t="str">
        <f aca="false">IF(A2891="","",DATE(YEAR(A2891),MONTH(A2891),1))</f>
        <v/>
      </c>
    </row>
    <row r="2892" customFormat="false" ht="15" hidden="false" customHeight="false" outlineLevel="0" collapsed="false">
      <c r="A2892" s="21"/>
      <c r="B2892" s="4"/>
      <c r="C2892" s="22"/>
      <c r="D2892" s="5" t="str">
        <f aca="false">IF(B2892="","",IFERROR(INDEX(DE_PARA!$B$6:$B$205,MATCH(B2892,DE_PARA!$A$6:$A$205,0)),"SEM DE-PARA"))</f>
        <v/>
      </c>
      <c r="E2892" s="23" t="str">
        <f aca="false">IF(A2892="","",DATE(YEAR(A2892),MONTH(A2892),1))</f>
        <v/>
      </c>
    </row>
    <row r="2893" customFormat="false" ht="15" hidden="false" customHeight="false" outlineLevel="0" collapsed="false">
      <c r="A2893" s="21"/>
      <c r="B2893" s="4"/>
      <c r="C2893" s="22"/>
      <c r="D2893" s="5" t="str">
        <f aca="false">IF(B2893="","",IFERROR(INDEX(DE_PARA!$B$6:$B$205,MATCH(B2893,DE_PARA!$A$6:$A$205,0)),"SEM DE-PARA"))</f>
        <v/>
      </c>
      <c r="E2893" s="23" t="str">
        <f aca="false">IF(A2893="","",DATE(YEAR(A2893),MONTH(A2893),1))</f>
        <v/>
      </c>
    </row>
    <row r="2894" customFormat="false" ht="15" hidden="false" customHeight="false" outlineLevel="0" collapsed="false">
      <c r="A2894" s="21"/>
      <c r="B2894" s="4"/>
      <c r="C2894" s="22"/>
      <c r="D2894" s="5" t="str">
        <f aca="false">IF(B2894="","",IFERROR(INDEX(DE_PARA!$B$6:$B$205,MATCH(B2894,DE_PARA!$A$6:$A$205,0)),"SEM DE-PARA"))</f>
        <v/>
      </c>
      <c r="E2894" s="23" t="str">
        <f aca="false">IF(A2894="","",DATE(YEAR(A2894),MONTH(A2894),1))</f>
        <v/>
      </c>
    </row>
    <row r="2895" customFormat="false" ht="15" hidden="false" customHeight="false" outlineLevel="0" collapsed="false">
      <c r="A2895" s="21"/>
      <c r="B2895" s="4"/>
      <c r="C2895" s="22"/>
      <c r="D2895" s="5" t="str">
        <f aca="false">IF(B2895="","",IFERROR(INDEX(DE_PARA!$B$6:$B$205,MATCH(B2895,DE_PARA!$A$6:$A$205,0)),"SEM DE-PARA"))</f>
        <v/>
      </c>
      <c r="E2895" s="23" t="str">
        <f aca="false">IF(A2895="","",DATE(YEAR(A2895),MONTH(A2895),1))</f>
        <v/>
      </c>
    </row>
    <row r="2896" customFormat="false" ht="15" hidden="false" customHeight="false" outlineLevel="0" collapsed="false">
      <c r="A2896" s="21"/>
      <c r="B2896" s="4"/>
      <c r="C2896" s="22"/>
      <c r="D2896" s="5" t="str">
        <f aca="false">IF(B2896="","",IFERROR(INDEX(DE_PARA!$B$6:$B$205,MATCH(B2896,DE_PARA!$A$6:$A$205,0)),"SEM DE-PARA"))</f>
        <v/>
      </c>
      <c r="E2896" s="23" t="str">
        <f aca="false">IF(A2896="","",DATE(YEAR(A2896),MONTH(A2896),1))</f>
        <v/>
      </c>
    </row>
    <row r="2897" customFormat="false" ht="15" hidden="false" customHeight="false" outlineLevel="0" collapsed="false">
      <c r="A2897" s="21"/>
      <c r="B2897" s="4"/>
      <c r="C2897" s="22"/>
      <c r="D2897" s="5" t="str">
        <f aca="false">IF(B2897="","",IFERROR(INDEX(DE_PARA!$B$6:$B$205,MATCH(B2897,DE_PARA!$A$6:$A$205,0)),"SEM DE-PARA"))</f>
        <v/>
      </c>
      <c r="E2897" s="23" t="str">
        <f aca="false">IF(A2897="","",DATE(YEAR(A2897),MONTH(A2897),1))</f>
        <v/>
      </c>
    </row>
    <row r="2898" customFormat="false" ht="15" hidden="false" customHeight="false" outlineLevel="0" collapsed="false">
      <c r="A2898" s="21"/>
      <c r="B2898" s="4"/>
      <c r="C2898" s="22"/>
      <c r="D2898" s="5" t="str">
        <f aca="false">IF(B2898="","",IFERROR(INDEX(DE_PARA!$B$6:$B$205,MATCH(B2898,DE_PARA!$A$6:$A$205,0)),"SEM DE-PARA"))</f>
        <v/>
      </c>
      <c r="E2898" s="23" t="str">
        <f aca="false">IF(A2898="","",DATE(YEAR(A2898),MONTH(A2898),1))</f>
        <v/>
      </c>
    </row>
    <row r="2899" customFormat="false" ht="15" hidden="false" customHeight="false" outlineLevel="0" collapsed="false">
      <c r="A2899" s="21"/>
      <c r="B2899" s="4"/>
      <c r="C2899" s="22"/>
      <c r="D2899" s="5" t="str">
        <f aca="false">IF(B2899="","",IFERROR(INDEX(DE_PARA!$B$6:$B$205,MATCH(B2899,DE_PARA!$A$6:$A$205,0)),"SEM DE-PARA"))</f>
        <v/>
      </c>
      <c r="E2899" s="23" t="str">
        <f aca="false">IF(A2899="","",DATE(YEAR(A2899),MONTH(A2899),1))</f>
        <v/>
      </c>
    </row>
    <row r="2900" customFormat="false" ht="15" hidden="false" customHeight="false" outlineLevel="0" collapsed="false">
      <c r="A2900" s="21"/>
      <c r="B2900" s="4"/>
      <c r="C2900" s="22"/>
      <c r="D2900" s="5" t="str">
        <f aca="false">IF(B2900="","",IFERROR(INDEX(DE_PARA!$B$6:$B$205,MATCH(B2900,DE_PARA!$A$6:$A$205,0)),"SEM DE-PARA"))</f>
        <v/>
      </c>
      <c r="E2900" s="23" t="str">
        <f aca="false">IF(A2900="","",DATE(YEAR(A2900),MONTH(A2900),1))</f>
        <v/>
      </c>
    </row>
    <row r="2901" customFormat="false" ht="15" hidden="false" customHeight="false" outlineLevel="0" collapsed="false">
      <c r="A2901" s="21"/>
      <c r="B2901" s="4"/>
      <c r="C2901" s="22"/>
      <c r="D2901" s="5" t="str">
        <f aca="false">IF(B2901="","",IFERROR(INDEX(DE_PARA!$B$6:$B$205,MATCH(B2901,DE_PARA!$A$6:$A$205,0)),"SEM DE-PARA"))</f>
        <v/>
      </c>
      <c r="E2901" s="23" t="str">
        <f aca="false">IF(A2901="","",DATE(YEAR(A2901),MONTH(A2901),1))</f>
        <v/>
      </c>
    </row>
    <row r="2902" customFormat="false" ht="15" hidden="false" customHeight="false" outlineLevel="0" collapsed="false">
      <c r="A2902" s="21"/>
      <c r="B2902" s="4"/>
      <c r="C2902" s="22"/>
      <c r="D2902" s="5" t="str">
        <f aca="false">IF(B2902="","",IFERROR(INDEX(DE_PARA!$B$6:$B$205,MATCH(B2902,DE_PARA!$A$6:$A$205,0)),"SEM DE-PARA"))</f>
        <v/>
      </c>
      <c r="E2902" s="23" t="str">
        <f aca="false">IF(A2902="","",DATE(YEAR(A2902),MONTH(A2902),1))</f>
        <v/>
      </c>
    </row>
    <row r="2903" customFormat="false" ht="15" hidden="false" customHeight="false" outlineLevel="0" collapsed="false">
      <c r="A2903" s="21"/>
      <c r="B2903" s="4"/>
      <c r="C2903" s="22"/>
      <c r="D2903" s="5" t="str">
        <f aca="false">IF(B2903="","",IFERROR(INDEX(DE_PARA!$B$6:$B$205,MATCH(B2903,DE_PARA!$A$6:$A$205,0)),"SEM DE-PARA"))</f>
        <v/>
      </c>
      <c r="E2903" s="23" t="str">
        <f aca="false">IF(A2903="","",DATE(YEAR(A2903),MONTH(A2903),1))</f>
        <v/>
      </c>
    </row>
    <row r="2904" customFormat="false" ht="15" hidden="false" customHeight="false" outlineLevel="0" collapsed="false">
      <c r="A2904" s="21"/>
      <c r="B2904" s="4"/>
      <c r="C2904" s="22"/>
      <c r="D2904" s="5" t="str">
        <f aca="false">IF(B2904="","",IFERROR(INDEX(DE_PARA!$B$6:$B$205,MATCH(B2904,DE_PARA!$A$6:$A$205,0)),"SEM DE-PARA"))</f>
        <v/>
      </c>
      <c r="E2904" s="23" t="str">
        <f aca="false">IF(A2904="","",DATE(YEAR(A2904),MONTH(A2904),1))</f>
        <v/>
      </c>
    </row>
    <row r="2905" customFormat="false" ht="15" hidden="false" customHeight="false" outlineLevel="0" collapsed="false">
      <c r="A2905" s="21"/>
      <c r="B2905" s="4"/>
      <c r="C2905" s="22"/>
      <c r="D2905" s="5" t="str">
        <f aca="false">IF(B2905="","",IFERROR(INDEX(DE_PARA!$B$6:$B$205,MATCH(B2905,DE_PARA!$A$6:$A$205,0)),"SEM DE-PARA"))</f>
        <v/>
      </c>
      <c r="E2905" s="23" t="str">
        <f aca="false">IF(A2905="","",DATE(YEAR(A2905),MONTH(A2905),1))</f>
        <v/>
      </c>
    </row>
    <row r="2906" customFormat="false" ht="15" hidden="false" customHeight="false" outlineLevel="0" collapsed="false">
      <c r="A2906" s="21"/>
      <c r="B2906" s="4"/>
      <c r="C2906" s="22"/>
      <c r="D2906" s="5" t="str">
        <f aca="false">IF(B2906="","",IFERROR(INDEX(DE_PARA!$B$6:$B$205,MATCH(B2906,DE_PARA!$A$6:$A$205,0)),"SEM DE-PARA"))</f>
        <v/>
      </c>
      <c r="E2906" s="23" t="str">
        <f aca="false">IF(A2906="","",DATE(YEAR(A2906),MONTH(A2906),1))</f>
        <v/>
      </c>
    </row>
    <row r="2907" customFormat="false" ht="15" hidden="false" customHeight="false" outlineLevel="0" collapsed="false">
      <c r="A2907" s="21"/>
      <c r="B2907" s="4"/>
      <c r="C2907" s="22"/>
      <c r="D2907" s="5" t="str">
        <f aca="false">IF(B2907="","",IFERROR(INDEX(DE_PARA!$B$6:$B$205,MATCH(B2907,DE_PARA!$A$6:$A$205,0)),"SEM DE-PARA"))</f>
        <v/>
      </c>
      <c r="E2907" s="23" t="str">
        <f aca="false">IF(A2907="","",DATE(YEAR(A2907),MONTH(A2907),1))</f>
        <v/>
      </c>
    </row>
    <row r="2908" customFormat="false" ht="15" hidden="false" customHeight="false" outlineLevel="0" collapsed="false">
      <c r="A2908" s="21"/>
      <c r="B2908" s="4"/>
      <c r="C2908" s="22"/>
      <c r="D2908" s="5" t="str">
        <f aca="false">IF(B2908="","",IFERROR(INDEX(DE_PARA!$B$6:$B$205,MATCH(B2908,DE_PARA!$A$6:$A$205,0)),"SEM DE-PARA"))</f>
        <v/>
      </c>
      <c r="E2908" s="23" t="str">
        <f aca="false">IF(A2908="","",DATE(YEAR(A2908),MONTH(A2908),1))</f>
        <v/>
      </c>
    </row>
    <row r="2909" customFormat="false" ht="15" hidden="false" customHeight="false" outlineLevel="0" collapsed="false">
      <c r="A2909" s="21"/>
      <c r="B2909" s="4"/>
      <c r="C2909" s="22"/>
      <c r="D2909" s="5" t="str">
        <f aca="false">IF(B2909="","",IFERROR(INDEX(DE_PARA!$B$6:$B$205,MATCH(B2909,DE_PARA!$A$6:$A$205,0)),"SEM DE-PARA"))</f>
        <v/>
      </c>
      <c r="E2909" s="23" t="str">
        <f aca="false">IF(A2909="","",DATE(YEAR(A2909),MONTH(A2909),1))</f>
        <v/>
      </c>
    </row>
    <row r="2910" customFormat="false" ht="15" hidden="false" customHeight="false" outlineLevel="0" collapsed="false">
      <c r="A2910" s="21"/>
      <c r="B2910" s="4"/>
      <c r="C2910" s="22"/>
      <c r="D2910" s="5" t="str">
        <f aca="false">IF(B2910="","",IFERROR(INDEX(DE_PARA!$B$6:$B$205,MATCH(B2910,DE_PARA!$A$6:$A$205,0)),"SEM DE-PARA"))</f>
        <v/>
      </c>
      <c r="E2910" s="23" t="str">
        <f aca="false">IF(A2910="","",DATE(YEAR(A2910),MONTH(A2910),1))</f>
        <v/>
      </c>
    </row>
    <row r="2911" customFormat="false" ht="15" hidden="false" customHeight="false" outlineLevel="0" collapsed="false">
      <c r="A2911" s="21"/>
      <c r="B2911" s="4"/>
      <c r="C2911" s="22"/>
      <c r="D2911" s="5" t="str">
        <f aca="false">IF(B2911="","",IFERROR(INDEX(DE_PARA!$B$6:$B$205,MATCH(B2911,DE_PARA!$A$6:$A$205,0)),"SEM DE-PARA"))</f>
        <v/>
      </c>
      <c r="E2911" s="23" t="str">
        <f aca="false">IF(A2911="","",DATE(YEAR(A2911),MONTH(A2911),1))</f>
        <v/>
      </c>
    </row>
    <row r="2912" customFormat="false" ht="15" hidden="false" customHeight="false" outlineLevel="0" collapsed="false">
      <c r="A2912" s="21"/>
      <c r="B2912" s="4"/>
      <c r="C2912" s="22"/>
      <c r="D2912" s="5" t="str">
        <f aca="false">IF(B2912="","",IFERROR(INDEX(DE_PARA!$B$6:$B$205,MATCH(B2912,DE_PARA!$A$6:$A$205,0)),"SEM DE-PARA"))</f>
        <v/>
      </c>
      <c r="E2912" s="23" t="str">
        <f aca="false">IF(A2912="","",DATE(YEAR(A2912),MONTH(A2912),1))</f>
        <v/>
      </c>
    </row>
    <row r="2913" customFormat="false" ht="15" hidden="false" customHeight="false" outlineLevel="0" collapsed="false">
      <c r="A2913" s="21"/>
      <c r="B2913" s="4"/>
      <c r="C2913" s="22"/>
      <c r="D2913" s="5" t="str">
        <f aca="false">IF(B2913="","",IFERROR(INDEX(DE_PARA!$B$6:$B$205,MATCH(B2913,DE_PARA!$A$6:$A$205,0)),"SEM DE-PARA"))</f>
        <v/>
      </c>
      <c r="E2913" s="23" t="str">
        <f aca="false">IF(A2913="","",DATE(YEAR(A2913),MONTH(A2913),1))</f>
        <v/>
      </c>
    </row>
    <row r="2914" customFormat="false" ht="15" hidden="false" customHeight="false" outlineLevel="0" collapsed="false">
      <c r="A2914" s="21"/>
      <c r="B2914" s="4"/>
      <c r="C2914" s="22"/>
      <c r="D2914" s="5" t="str">
        <f aca="false">IF(B2914="","",IFERROR(INDEX(DE_PARA!$B$6:$B$205,MATCH(B2914,DE_PARA!$A$6:$A$205,0)),"SEM DE-PARA"))</f>
        <v/>
      </c>
      <c r="E2914" s="23" t="str">
        <f aca="false">IF(A2914="","",DATE(YEAR(A2914),MONTH(A2914),1))</f>
        <v/>
      </c>
    </row>
    <row r="2915" customFormat="false" ht="15" hidden="false" customHeight="false" outlineLevel="0" collapsed="false">
      <c r="A2915" s="21"/>
      <c r="B2915" s="4"/>
      <c r="C2915" s="22"/>
      <c r="D2915" s="5" t="str">
        <f aca="false">IF(B2915="","",IFERROR(INDEX(DE_PARA!$B$6:$B$205,MATCH(B2915,DE_PARA!$A$6:$A$205,0)),"SEM DE-PARA"))</f>
        <v/>
      </c>
      <c r="E2915" s="23" t="str">
        <f aca="false">IF(A2915="","",DATE(YEAR(A2915),MONTH(A2915),1))</f>
        <v/>
      </c>
    </row>
    <row r="2916" customFormat="false" ht="15" hidden="false" customHeight="false" outlineLevel="0" collapsed="false">
      <c r="A2916" s="21"/>
      <c r="B2916" s="4"/>
      <c r="C2916" s="22"/>
      <c r="D2916" s="5" t="str">
        <f aca="false">IF(B2916="","",IFERROR(INDEX(DE_PARA!$B$6:$B$205,MATCH(B2916,DE_PARA!$A$6:$A$205,0)),"SEM DE-PARA"))</f>
        <v/>
      </c>
      <c r="E2916" s="23" t="str">
        <f aca="false">IF(A2916="","",DATE(YEAR(A2916),MONTH(A2916),1))</f>
        <v/>
      </c>
    </row>
    <row r="2917" customFormat="false" ht="15" hidden="false" customHeight="false" outlineLevel="0" collapsed="false">
      <c r="A2917" s="21"/>
      <c r="B2917" s="4"/>
      <c r="C2917" s="22"/>
      <c r="D2917" s="5" t="str">
        <f aca="false">IF(B2917="","",IFERROR(INDEX(DE_PARA!$B$6:$B$205,MATCH(B2917,DE_PARA!$A$6:$A$205,0)),"SEM DE-PARA"))</f>
        <v/>
      </c>
      <c r="E2917" s="23" t="str">
        <f aca="false">IF(A2917="","",DATE(YEAR(A2917),MONTH(A2917),1))</f>
        <v/>
      </c>
    </row>
    <row r="2918" customFormat="false" ht="15" hidden="false" customHeight="false" outlineLevel="0" collapsed="false">
      <c r="A2918" s="21"/>
      <c r="B2918" s="4"/>
      <c r="C2918" s="22"/>
      <c r="D2918" s="5" t="str">
        <f aca="false">IF(B2918="","",IFERROR(INDEX(DE_PARA!$B$6:$B$205,MATCH(B2918,DE_PARA!$A$6:$A$205,0)),"SEM DE-PARA"))</f>
        <v/>
      </c>
      <c r="E2918" s="23" t="str">
        <f aca="false">IF(A2918="","",DATE(YEAR(A2918),MONTH(A2918),1))</f>
        <v/>
      </c>
    </row>
    <row r="2919" customFormat="false" ht="15" hidden="false" customHeight="false" outlineLevel="0" collapsed="false">
      <c r="A2919" s="21"/>
      <c r="B2919" s="4"/>
      <c r="C2919" s="22"/>
      <c r="D2919" s="5" t="str">
        <f aca="false">IF(B2919="","",IFERROR(INDEX(DE_PARA!$B$6:$B$205,MATCH(B2919,DE_PARA!$A$6:$A$205,0)),"SEM DE-PARA"))</f>
        <v/>
      </c>
      <c r="E2919" s="23" t="str">
        <f aca="false">IF(A2919="","",DATE(YEAR(A2919),MONTH(A2919),1))</f>
        <v/>
      </c>
    </row>
    <row r="2920" customFormat="false" ht="15" hidden="false" customHeight="false" outlineLevel="0" collapsed="false">
      <c r="A2920" s="21"/>
      <c r="B2920" s="4"/>
      <c r="C2920" s="22"/>
      <c r="D2920" s="5" t="str">
        <f aca="false">IF(B2920="","",IFERROR(INDEX(DE_PARA!$B$6:$B$205,MATCH(B2920,DE_PARA!$A$6:$A$205,0)),"SEM DE-PARA"))</f>
        <v/>
      </c>
      <c r="E2920" s="23" t="str">
        <f aca="false">IF(A2920="","",DATE(YEAR(A2920),MONTH(A2920),1))</f>
        <v/>
      </c>
    </row>
    <row r="2921" customFormat="false" ht="15" hidden="false" customHeight="false" outlineLevel="0" collapsed="false">
      <c r="A2921" s="21"/>
      <c r="B2921" s="4"/>
      <c r="C2921" s="22"/>
      <c r="D2921" s="5" t="str">
        <f aca="false">IF(B2921="","",IFERROR(INDEX(DE_PARA!$B$6:$B$205,MATCH(B2921,DE_PARA!$A$6:$A$205,0)),"SEM DE-PARA"))</f>
        <v/>
      </c>
      <c r="E2921" s="23" t="str">
        <f aca="false">IF(A2921="","",DATE(YEAR(A2921),MONTH(A2921),1))</f>
        <v/>
      </c>
    </row>
    <row r="2922" customFormat="false" ht="15" hidden="false" customHeight="false" outlineLevel="0" collapsed="false">
      <c r="A2922" s="21"/>
      <c r="B2922" s="4"/>
      <c r="C2922" s="22"/>
      <c r="D2922" s="5" t="str">
        <f aca="false">IF(B2922="","",IFERROR(INDEX(DE_PARA!$B$6:$B$205,MATCH(B2922,DE_PARA!$A$6:$A$205,0)),"SEM DE-PARA"))</f>
        <v/>
      </c>
      <c r="E2922" s="23" t="str">
        <f aca="false">IF(A2922="","",DATE(YEAR(A2922),MONTH(A2922),1))</f>
        <v/>
      </c>
    </row>
    <row r="2923" customFormat="false" ht="15" hidden="false" customHeight="false" outlineLevel="0" collapsed="false">
      <c r="A2923" s="21"/>
      <c r="B2923" s="4"/>
      <c r="C2923" s="22"/>
      <c r="D2923" s="5" t="str">
        <f aca="false">IF(B2923="","",IFERROR(INDEX(DE_PARA!$B$6:$B$205,MATCH(B2923,DE_PARA!$A$6:$A$205,0)),"SEM DE-PARA"))</f>
        <v/>
      </c>
      <c r="E2923" s="23" t="str">
        <f aca="false">IF(A2923="","",DATE(YEAR(A2923),MONTH(A2923),1))</f>
        <v/>
      </c>
    </row>
    <row r="2924" customFormat="false" ht="15" hidden="false" customHeight="false" outlineLevel="0" collapsed="false">
      <c r="A2924" s="21"/>
      <c r="B2924" s="4"/>
      <c r="C2924" s="22"/>
      <c r="D2924" s="5" t="str">
        <f aca="false">IF(B2924="","",IFERROR(INDEX(DE_PARA!$B$6:$B$205,MATCH(B2924,DE_PARA!$A$6:$A$205,0)),"SEM DE-PARA"))</f>
        <v/>
      </c>
      <c r="E2924" s="23" t="str">
        <f aca="false">IF(A2924="","",DATE(YEAR(A2924),MONTH(A2924),1))</f>
        <v/>
      </c>
    </row>
    <row r="2925" customFormat="false" ht="15" hidden="false" customHeight="false" outlineLevel="0" collapsed="false">
      <c r="A2925" s="21"/>
      <c r="B2925" s="4"/>
      <c r="C2925" s="22"/>
      <c r="D2925" s="5" t="str">
        <f aca="false">IF(B2925="","",IFERROR(INDEX(DE_PARA!$B$6:$B$205,MATCH(B2925,DE_PARA!$A$6:$A$205,0)),"SEM DE-PARA"))</f>
        <v/>
      </c>
      <c r="E2925" s="23" t="str">
        <f aca="false">IF(A2925="","",DATE(YEAR(A2925),MONTH(A2925),1))</f>
        <v/>
      </c>
    </row>
    <row r="2926" customFormat="false" ht="15" hidden="false" customHeight="false" outlineLevel="0" collapsed="false">
      <c r="A2926" s="21"/>
      <c r="B2926" s="4"/>
      <c r="C2926" s="22"/>
      <c r="D2926" s="5" t="str">
        <f aca="false">IF(B2926="","",IFERROR(INDEX(DE_PARA!$B$6:$B$205,MATCH(B2926,DE_PARA!$A$6:$A$205,0)),"SEM DE-PARA"))</f>
        <v/>
      </c>
      <c r="E2926" s="23" t="str">
        <f aca="false">IF(A2926="","",DATE(YEAR(A2926),MONTH(A2926),1))</f>
        <v/>
      </c>
    </row>
    <row r="2927" customFormat="false" ht="15" hidden="false" customHeight="false" outlineLevel="0" collapsed="false">
      <c r="A2927" s="21"/>
      <c r="B2927" s="4"/>
      <c r="C2927" s="22"/>
      <c r="D2927" s="5" t="str">
        <f aca="false">IF(B2927="","",IFERROR(INDEX(DE_PARA!$B$6:$B$205,MATCH(B2927,DE_PARA!$A$6:$A$205,0)),"SEM DE-PARA"))</f>
        <v/>
      </c>
      <c r="E2927" s="23" t="str">
        <f aca="false">IF(A2927="","",DATE(YEAR(A2927),MONTH(A2927),1))</f>
        <v/>
      </c>
    </row>
    <row r="2928" customFormat="false" ht="15" hidden="false" customHeight="false" outlineLevel="0" collapsed="false">
      <c r="A2928" s="21"/>
      <c r="B2928" s="4"/>
      <c r="C2928" s="22"/>
      <c r="D2928" s="5" t="str">
        <f aca="false">IF(B2928="","",IFERROR(INDEX(DE_PARA!$B$6:$B$205,MATCH(B2928,DE_PARA!$A$6:$A$205,0)),"SEM DE-PARA"))</f>
        <v/>
      </c>
      <c r="E2928" s="23" t="str">
        <f aca="false">IF(A2928="","",DATE(YEAR(A2928),MONTH(A2928),1))</f>
        <v/>
      </c>
    </row>
    <row r="2929" customFormat="false" ht="15" hidden="false" customHeight="false" outlineLevel="0" collapsed="false">
      <c r="A2929" s="21"/>
      <c r="B2929" s="4"/>
      <c r="C2929" s="22"/>
      <c r="D2929" s="5" t="str">
        <f aca="false">IF(B2929="","",IFERROR(INDEX(DE_PARA!$B$6:$B$205,MATCH(B2929,DE_PARA!$A$6:$A$205,0)),"SEM DE-PARA"))</f>
        <v/>
      </c>
      <c r="E2929" s="23" t="str">
        <f aca="false">IF(A2929="","",DATE(YEAR(A2929),MONTH(A2929),1))</f>
        <v/>
      </c>
    </row>
    <row r="2930" customFormat="false" ht="15" hidden="false" customHeight="false" outlineLevel="0" collapsed="false">
      <c r="A2930" s="21"/>
      <c r="B2930" s="4"/>
      <c r="C2930" s="22"/>
      <c r="D2930" s="5" t="str">
        <f aca="false">IF(B2930="","",IFERROR(INDEX(DE_PARA!$B$6:$B$205,MATCH(B2930,DE_PARA!$A$6:$A$205,0)),"SEM DE-PARA"))</f>
        <v/>
      </c>
      <c r="E2930" s="23" t="str">
        <f aca="false">IF(A2930="","",DATE(YEAR(A2930),MONTH(A2930),1))</f>
        <v/>
      </c>
    </row>
    <row r="2931" customFormat="false" ht="15" hidden="false" customHeight="false" outlineLevel="0" collapsed="false">
      <c r="A2931" s="21"/>
      <c r="B2931" s="4"/>
      <c r="C2931" s="22"/>
      <c r="D2931" s="5" t="str">
        <f aca="false">IF(B2931="","",IFERROR(INDEX(DE_PARA!$B$6:$B$205,MATCH(B2931,DE_PARA!$A$6:$A$205,0)),"SEM DE-PARA"))</f>
        <v/>
      </c>
      <c r="E2931" s="23" t="str">
        <f aca="false">IF(A2931="","",DATE(YEAR(A2931),MONTH(A2931),1))</f>
        <v/>
      </c>
    </row>
    <row r="2932" customFormat="false" ht="15" hidden="false" customHeight="false" outlineLevel="0" collapsed="false">
      <c r="A2932" s="21"/>
      <c r="B2932" s="4"/>
      <c r="C2932" s="22"/>
      <c r="D2932" s="5" t="str">
        <f aca="false">IF(B2932="","",IFERROR(INDEX(DE_PARA!$B$6:$B$205,MATCH(B2932,DE_PARA!$A$6:$A$205,0)),"SEM DE-PARA"))</f>
        <v/>
      </c>
      <c r="E2932" s="23" t="str">
        <f aca="false">IF(A2932="","",DATE(YEAR(A2932),MONTH(A2932),1))</f>
        <v/>
      </c>
    </row>
    <row r="2933" customFormat="false" ht="15" hidden="false" customHeight="false" outlineLevel="0" collapsed="false">
      <c r="A2933" s="21"/>
      <c r="B2933" s="4"/>
      <c r="C2933" s="22"/>
      <c r="D2933" s="5" t="str">
        <f aca="false">IF(B2933="","",IFERROR(INDEX(DE_PARA!$B$6:$B$205,MATCH(B2933,DE_PARA!$A$6:$A$205,0)),"SEM DE-PARA"))</f>
        <v/>
      </c>
      <c r="E2933" s="23" t="str">
        <f aca="false">IF(A2933="","",DATE(YEAR(A2933),MONTH(A2933),1))</f>
        <v/>
      </c>
    </row>
    <row r="2934" customFormat="false" ht="15" hidden="false" customHeight="false" outlineLevel="0" collapsed="false">
      <c r="A2934" s="21"/>
      <c r="B2934" s="4"/>
      <c r="C2934" s="22"/>
      <c r="D2934" s="5" t="str">
        <f aca="false">IF(B2934="","",IFERROR(INDEX(DE_PARA!$B$6:$B$205,MATCH(B2934,DE_PARA!$A$6:$A$205,0)),"SEM DE-PARA"))</f>
        <v/>
      </c>
      <c r="E2934" s="23" t="str">
        <f aca="false">IF(A2934="","",DATE(YEAR(A2934),MONTH(A2934),1))</f>
        <v/>
      </c>
    </row>
    <row r="2935" customFormat="false" ht="15" hidden="false" customHeight="false" outlineLevel="0" collapsed="false">
      <c r="A2935" s="21"/>
      <c r="B2935" s="4"/>
      <c r="C2935" s="22"/>
      <c r="D2935" s="5" t="str">
        <f aca="false">IF(B2935="","",IFERROR(INDEX(DE_PARA!$B$6:$B$205,MATCH(B2935,DE_PARA!$A$6:$A$205,0)),"SEM DE-PARA"))</f>
        <v/>
      </c>
      <c r="E2935" s="23" t="str">
        <f aca="false">IF(A2935="","",DATE(YEAR(A2935),MONTH(A2935),1))</f>
        <v/>
      </c>
    </row>
    <row r="2936" customFormat="false" ht="15" hidden="false" customHeight="false" outlineLevel="0" collapsed="false">
      <c r="A2936" s="21"/>
      <c r="B2936" s="4"/>
      <c r="C2936" s="22"/>
      <c r="D2936" s="5" t="str">
        <f aca="false">IF(B2936="","",IFERROR(INDEX(DE_PARA!$B$6:$B$205,MATCH(B2936,DE_PARA!$A$6:$A$205,0)),"SEM DE-PARA"))</f>
        <v/>
      </c>
      <c r="E2936" s="23" t="str">
        <f aca="false">IF(A2936="","",DATE(YEAR(A2936),MONTH(A2936),1))</f>
        <v/>
      </c>
    </row>
    <row r="2937" customFormat="false" ht="15" hidden="false" customHeight="false" outlineLevel="0" collapsed="false">
      <c r="A2937" s="21"/>
      <c r="B2937" s="4"/>
      <c r="C2937" s="22"/>
      <c r="D2937" s="5" t="str">
        <f aca="false">IF(B2937="","",IFERROR(INDEX(DE_PARA!$B$6:$B$205,MATCH(B2937,DE_PARA!$A$6:$A$205,0)),"SEM DE-PARA"))</f>
        <v/>
      </c>
      <c r="E2937" s="23" t="str">
        <f aca="false">IF(A2937="","",DATE(YEAR(A2937),MONTH(A2937),1))</f>
        <v/>
      </c>
    </row>
    <row r="2938" customFormat="false" ht="15" hidden="false" customHeight="false" outlineLevel="0" collapsed="false">
      <c r="A2938" s="21"/>
      <c r="B2938" s="4"/>
      <c r="C2938" s="22"/>
      <c r="D2938" s="5" t="str">
        <f aca="false">IF(B2938="","",IFERROR(INDEX(DE_PARA!$B$6:$B$205,MATCH(B2938,DE_PARA!$A$6:$A$205,0)),"SEM DE-PARA"))</f>
        <v/>
      </c>
      <c r="E2938" s="23" t="str">
        <f aca="false">IF(A2938="","",DATE(YEAR(A2938),MONTH(A2938),1))</f>
        <v/>
      </c>
    </row>
    <row r="2939" customFormat="false" ht="15" hidden="false" customHeight="false" outlineLevel="0" collapsed="false">
      <c r="A2939" s="21"/>
      <c r="B2939" s="4"/>
      <c r="C2939" s="22"/>
      <c r="D2939" s="5" t="str">
        <f aca="false">IF(B2939="","",IFERROR(INDEX(DE_PARA!$B$6:$B$205,MATCH(B2939,DE_PARA!$A$6:$A$205,0)),"SEM DE-PARA"))</f>
        <v/>
      </c>
      <c r="E2939" s="23" t="str">
        <f aca="false">IF(A2939="","",DATE(YEAR(A2939),MONTH(A2939),1))</f>
        <v/>
      </c>
    </row>
    <row r="2940" customFormat="false" ht="15" hidden="false" customHeight="false" outlineLevel="0" collapsed="false">
      <c r="A2940" s="21"/>
      <c r="B2940" s="4"/>
      <c r="C2940" s="22"/>
      <c r="D2940" s="5" t="str">
        <f aca="false">IF(B2940="","",IFERROR(INDEX(DE_PARA!$B$6:$B$205,MATCH(B2940,DE_PARA!$A$6:$A$205,0)),"SEM DE-PARA"))</f>
        <v/>
      </c>
      <c r="E2940" s="23" t="str">
        <f aca="false">IF(A2940="","",DATE(YEAR(A2940),MONTH(A2940),1))</f>
        <v/>
      </c>
    </row>
    <row r="2941" customFormat="false" ht="15" hidden="false" customHeight="false" outlineLevel="0" collapsed="false">
      <c r="A2941" s="21"/>
      <c r="B2941" s="4"/>
      <c r="C2941" s="22"/>
      <c r="D2941" s="5" t="str">
        <f aca="false">IF(B2941="","",IFERROR(INDEX(DE_PARA!$B$6:$B$205,MATCH(B2941,DE_PARA!$A$6:$A$205,0)),"SEM DE-PARA"))</f>
        <v/>
      </c>
      <c r="E2941" s="23" t="str">
        <f aca="false">IF(A2941="","",DATE(YEAR(A2941),MONTH(A2941),1))</f>
        <v/>
      </c>
    </row>
    <row r="2942" customFormat="false" ht="15" hidden="false" customHeight="false" outlineLevel="0" collapsed="false">
      <c r="A2942" s="21"/>
      <c r="B2942" s="4"/>
      <c r="C2942" s="22"/>
      <c r="D2942" s="5" t="str">
        <f aca="false">IF(B2942="","",IFERROR(INDEX(DE_PARA!$B$6:$B$205,MATCH(B2942,DE_PARA!$A$6:$A$205,0)),"SEM DE-PARA"))</f>
        <v/>
      </c>
      <c r="E2942" s="23" t="str">
        <f aca="false">IF(A2942="","",DATE(YEAR(A2942),MONTH(A2942),1))</f>
        <v/>
      </c>
    </row>
    <row r="2943" customFormat="false" ht="15" hidden="false" customHeight="false" outlineLevel="0" collapsed="false">
      <c r="A2943" s="21"/>
      <c r="B2943" s="4"/>
      <c r="C2943" s="22"/>
      <c r="D2943" s="5" t="str">
        <f aca="false">IF(B2943="","",IFERROR(INDEX(DE_PARA!$B$6:$B$205,MATCH(B2943,DE_PARA!$A$6:$A$205,0)),"SEM DE-PARA"))</f>
        <v/>
      </c>
      <c r="E2943" s="23" t="str">
        <f aca="false">IF(A2943="","",DATE(YEAR(A2943),MONTH(A2943),1))</f>
        <v/>
      </c>
    </row>
    <row r="2944" customFormat="false" ht="15" hidden="false" customHeight="false" outlineLevel="0" collapsed="false">
      <c r="A2944" s="21"/>
      <c r="B2944" s="4"/>
      <c r="C2944" s="22"/>
      <c r="D2944" s="5" t="str">
        <f aca="false">IF(B2944="","",IFERROR(INDEX(DE_PARA!$B$6:$B$205,MATCH(B2944,DE_PARA!$A$6:$A$205,0)),"SEM DE-PARA"))</f>
        <v/>
      </c>
      <c r="E2944" s="23" t="str">
        <f aca="false">IF(A2944="","",DATE(YEAR(A2944),MONTH(A2944),1))</f>
        <v/>
      </c>
    </row>
    <row r="2945" customFormat="false" ht="15" hidden="false" customHeight="false" outlineLevel="0" collapsed="false">
      <c r="A2945" s="21"/>
      <c r="B2945" s="4"/>
      <c r="C2945" s="22"/>
      <c r="D2945" s="5" t="str">
        <f aca="false">IF(B2945="","",IFERROR(INDEX(DE_PARA!$B$6:$B$205,MATCH(B2945,DE_PARA!$A$6:$A$205,0)),"SEM DE-PARA"))</f>
        <v/>
      </c>
      <c r="E2945" s="23" t="str">
        <f aca="false">IF(A2945="","",DATE(YEAR(A2945),MONTH(A2945),1))</f>
        <v/>
      </c>
    </row>
    <row r="2946" customFormat="false" ht="15" hidden="false" customHeight="false" outlineLevel="0" collapsed="false">
      <c r="A2946" s="21"/>
      <c r="B2946" s="4"/>
      <c r="C2946" s="22"/>
      <c r="D2946" s="5" t="str">
        <f aca="false">IF(B2946="","",IFERROR(INDEX(DE_PARA!$B$6:$B$205,MATCH(B2946,DE_PARA!$A$6:$A$205,0)),"SEM DE-PARA"))</f>
        <v/>
      </c>
      <c r="E2946" s="23" t="str">
        <f aca="false">IF(A2946="","",DATE(YEAR(A2946),MONTH(A2946),1))</f>
        <v/>
      </c>
    </row>
    <row r="2947" customFormat="false" ht="15" hidden="false" customHeight="false" outlineLevel="0" collapsed="false">
      <c r="A2947" s="21"/>
      <c r="B2947" s="4"/>
      <c r="C2947" s="22"/>
      <c r="D2947" s="5" t="str">
        <f aca="false">IF(B2947="","",IFERROR(INDEX(DE_PARA!$B$6:$B$205,MATCH(B2947,DE_PARA!$A$6:$A$205,0)),"SEM DE-PARA"))</f>
        <v/>
      </c>
      <c r="E2947" s="23" t="str">
        <f aca="false">IF(A2947="","",DATE(YEAR(A2947),MONTH(A2947),1))</f>
        <v/>
      </c>
    </row>
    <row r="2948" customFormat="false" ht="15" hidden="false" customHeight="false" outlineLevel="0" collapsed="false">
      <c r="A2948" s="21"/>
      <c r="B2948" s="4"/>
      <c r="C2948" s="22"/>
      <c r="D2948" s="5" t="str">
        <f aca="false">IF(B2948="","",IFERROR(INDEX(DE_PARA!$B$6:$B$205,MATCH(B2948,DE_PARA!$A$6:$A$205,0)),"SEM DE-PARA"))</f>
        <v/>
      </c>
      <c r="E2948" s="23" t="str">
        <f aca="false">IF(A2948="","",DATE(YEAR(A2948),MONTH(A2948),1))</f>
        <v/>
      </c>
    </row>
    <row r="2949" customFormat="false" ht="15" hidden="false" customHeight="false" outlineLevel="0" collapsed="false">
      <c r="A2949" s="21"/>
      <c r="B2949" s="4"/>
      <c r="C2949" s="22"/>
      <c r="D2949" s="5" t="str">
        <f aca="false">IF(B2949="","",IFERROR(INDEX(DE_PARA!$B$6:$B$205,MATCH(B2949,DE_PARA!$A$6:$A$205,0)),"SEM DE-PARA"))</f>
        <v/>
      </c>
      <c r="E2949" s="23" t="str">
        <f aca="false">IF(A2949="","",DATE(YEAR(A2949),MONTH(A2949),1))</f>
        <v/>
      </c>
    </row>
    <row r="2950" customFormat="false" ht="15" hidden="false" customHeight="false" outlineLevel="0" collapsed="false">
      <c r="A2950" s="21"/>
      <c r="B2950" s="4"/>
      <c r="C2950" s="22"/>
      <c r="D2950" s="5" t="str">
        <f aca="false">IF(B2950="","",IFERROR(INDEX(DE_PARA!$B$6:$B$205,MATCH(B2950,DE_PARA!$A$6:$A$205,0)),"SEM DE-PARA"))</f>
        <v/>
      </c>
      <c r="E2950" s="23" t="str">
        <f aca="false">IF(A2950="","",DATE(YEAR(A2950),MONTH(A2950),1))</f>
        <v/>
      </c>
    </row>
    <row r="2951" customFormat="false" ht="15" hidden="false" customHeight="false" outlineLevel="0" collapsed="false">
      <c r="A2951" s="21"/>
      <c r="B2951" s="4"/>
      <c r="C2951" s="22"/>
      <c r="D2951" s="5" t="str">
        <f aca="false">IF(B2951="","",IFERROR(INDEX(DE_PARA!$B$6:$B$205,MATCH(B2951,DE_PARA!$A$6:$A$205,0)),"SEM DE-PARA"))</f>
        <v/>
      </c>
      <c r="E2951" s="23" t="str">
        <f aca="false">IF(A2951="","",DATE(YEAR(A2951),MONTH(A2951),1))</f>
        <v/>
      </c>
    </row>
    <row r="2952" customFormat="false" ht="15" hidden="false" customHeight="false" outlineLevel="0" collapsed="false">
      <c r="A2952" s="21"/>
      <c r="B2952" s="4"/>
      <c r="C2952" s="22"/>
      <c r="D2952" s="5" t="str">
        <f aca="false">IF(B2952="","",IFERROR(INDEX(DE_PARA!$B$6:$B$205,MATCH(B2952,DE_PARA!$A$6:$A$205,0)),"SEM DE-PARA"))</f>
        <v/>
      </c>
      <c r="E2952" s="23" t="str">
        <f aca="false">IF(A2952="","",DATE(YEAR(A2952),MONTH(A2952),1))</f>
        <v/>
      </c>
    </row>
    <row r="2953" customFormat="false" ht="15" hidden="false" customHeight="false" outlineLevel="0" collapsed="false">
      <c r="A2953" s="21"/>
      <c r="B2953" s="4"/>
      <c r="C2953" s="22"/>
      <c r="D2953" s="5" t="str">
        <f aca="false">IF(B2953="","",IFERROR(INDEX(DE_PARA!$B$6:$B$205,MATCH(B2953,DE_PARA!$A$6:$A$205,0)),"SEM DE-PARA"))</f>
        <v/>
      </c>
      <c r="E2953" s="23" t="str">
        <f aca="false">IF(A2953="","",DATE(YEAR(A2953),MONTH(A2953),1))</f>
        <v/>
      </c>
    </row>
    <row r="2954" customFormat="false" ht="15" hidden="false" customHeight="false" outlineLevel="0" collapsed="false">
      <c r="A2954" s="21"/>
      <c r="B2954" s="4"/>
      <c r="C2954" s="22"/>
      <c r="D2954" s="5" t="str">
        <f aca="false">IF(B2954="","",IFERROR(INDEX(DE_PARA!$B$6:$B$205,MATCH(B2954,DE_PARA!$A$6:$A$205,0)),"SEM DE-PARA"))</f>
        <v/>
      </c>
      <c r="E2954" s="23" t="str">
        <f aca="false">IF(A2954="","",DATE(YEAR(A2954),MONTH(A2954),1))</f>
        <v/>
      </c>
    </row>
    <row r="2955" customFormat="false" ht="15" hidden="false" customHeight="false" outlineLevel="0" collapsed="false">
      <c r="A2955" s="21"/>
      <c r="B2955" s="4"/>
      <c r="C2955" s="22"/>
      <c r="D2955" s="5" t="str">
        <f aca="false">IF(B2955="","",IFERROR(INDEX(DE_PARA!$B$6:$B$205,MATCH(B2955,DE_PARA!$A$6:$A$205,0)),"SEM DE-PARA"))</f>
        <v/>
      </c>
      <c r="E2955" s="23" t="str">
        <f aca="false">IF(A2955="","",DATE(YEAR(A2955),MONTH(A2955),1))</f>
        <v/>
      </c>
    </row>
    <row r="2956" customFormat="false" ht="15" hidden="false" customHeight="false" outlineLevel="0" collapsed="false">
      <c r="A2956" s="21"/>
      <c r="B2956" s="4"/>
      <c r="C2956" s="22"/>
      <c r="D2956" s="5" t="str">
        <f aca="false">IF(B2956="","",IFERROR(INDEX(DE_PARA!$B$6:$B$205,MATCH(B2956,DE_PARA!$A$6:$A$205,0)),"SEM DE-PARA"))</f>
        <v/>
      </c>
      <c r="E2956" s="23" t="str">
        <f aca="false">IF(A2956="","",DATE(YEAR(A2956),MONTH(A2956),1))</f>
        <v/>
      </c>
    </row>
    <row r="2957" customFormat="false" ht="15" hidden="false" customHeight="false" outlineLevel="0" collapsed="false">
      <c r="A2957" s="21"/>
      <c r="B2957" s="4"/>
      <c r="C2957" s="22"/>
      <c r="D2957" s="5" t="str">
        <f aca="false">IF(B2957="","",IFERROR(INDEX(DE_PARA!$B$6:$B$205,MATCH(B2957,DE_PARA!$A$6:$A$205,0)),"SEM DE-PARA"))</f>
        <v/>
      </c>
      <c r="E2957" s="23" t="str">
        <f aca="false">IF(A2957="","",DATE(YEAR(A2957),MONTH(A2957),1))</f>
        <v/>
      </c>
    </row>
    <row r="2958" customFormat="false" ht="15" hidden="false" customHeight="false" outlineLevel="0" collapsed="false">
      <c r="A2958" s="21"/>
      <c r="B2958" s="4"/>
      <c r="C2958" s="22"/>
      <c r="D2958" s="5" t="str">
        <f aca="false">IF(B2958="","",IFERROR(INDEX(DE_PARA!$B$6:$B$205,MATCH(B2958,DE_PARA!$A$6:$A$205,0)),"SEM DE-PARA"))</f>
        <v/>
      </c>
      <c r="E2958" s="23" t="str">
        <f aca="false">IF(A2958="","",DATE(YEAR(A2958),MONTH(A2958),1))</f>
        <v/>
      </c>
    </row>
    <row r="2959" customFormat="false" ht="15" hidden="false" customHeight="false" outlineLevel="0" collapsed="false">
      <c r="A2959" s="21"/>
      <c r="B2959" s="4"/>
      <c r="C2959" s="22"/>
      <c r="D2959" s="5" t="str">
        <f aca="false">IF(B2959="","",IFERROR(INDEX(DE_PARA!$B$6:$B$205,MATCH(B2959,DE_PARA!$A$6:$A$205,0)),"SEM DE-PARA"))</f>
        <v/>
      </c>
      <c r="E2959" s="23" t="str">
        <f aca="false">IF(A2959="","",DATE(YEAR(A2959),MONTH(A2959),1))</f>
        <v/>
      </c>
    </row>
    <row r="2960" customFormat="false" ht="15" hidden="false" customHeight="false" outlineLevel="0" collapsed="false">
      <c r="A2960" s="21"/>
      <c r="B2960" s="4"/>
      <c r="C2960" s="22"/>
      <c r="D2960" s="5" t="str">
        <f aca="false">IF(B2960="","",IFERROR(INDEX(DE_PARA!$B$6:$B$205,MATCH(B2960,DE_PARA!$A$6:$A$205,0)),"SEM DE-PARA"))</f>
        <v/>
      </c>
      <c r="E2960" s="23" t="str">
        <f aca="false">IF(A2960="","",DATE(YEAR(A2960),MONTH(A2960),1))</f>
        <v/>
      </c>
    </row>
    <row r="2961" customFormat="false" ht="15" hidden="false" customHeight="false" outlineLevel="0" collapsed="false">
      <c r="A2961" s="21"/>
      <c r="B2961" s="4"/>
      <c r="C2961" s="22"/>
      <c r="D2961" s="5" t="str">
        <f aca="false">IF(B2961="","",IFERROR(INDEX(DE_PARA!$B$6:$B$205,MATCH(B2961,DE_PARA!$A$6:$A$205,0)),"SEM DE-PARA"))</f>
        <v/>
      </c>
      <c r="E2961" s="23" t="str">
        <f aca="false">IF(A2961="","",DATE(YEAR(A2961),MONTH(A2961),1))</f>
        <v/>
      </c>
    </row>
    <row r="2962" customFormat="false" ht="15" hidden="false" customHeight="false" outlineLevel="0" collapsed="false">
      <c r="A2962" s="21"/>
      <c r="B2962" s="4"/>
      <c r="C2962" s="22"/>
      <c r="D2962" s="5" t="str">
        <f aca="false">IF(B2962="","",IFERROR(INDEX(DE_PARA!$B$6:$B$205,MATCH(B2962,DE_PARA!$A$6:$A$205,0)),"SEM DE-PARA"))</f>
        <v/>
      </c>
      <c r="E2962" s="23" t="str">
        <f aca="false">IF(A2962="","",DATE(YEAR(A2962),MONTH(A2962),1))</f>
        <v/>
      </c>
    </row>
    <row r="2963" customFormat="false" ht="15" hidden="false" customHeight="false" outlineLevel="0" collapsed="false">
      <c r="A2963" s="21"/>
      <c r="B2963" s="4"/>
      <c r="C2963" s="22"/>
      <c r="D2963" s="5" t="str">
        <f aca="false">IF(B2963="","",IFERROR(INDEX(DE_PARA!$B$6:$B$205,MATCH(B2963,DE_PARA!$A$6:$A$205,0)),"SEM DE-PARA"))</f>
        <v/>
      </c>
      <c r="E2963" s="23" t="str">
        <f aca="false">IF(A2963="","",DATE(YEAR(A2963),MONTH(A2963),1))</f>
        <v/>
      </c>
    </row>
    <row r="2964" customFormat="false" ht="15" hidden="false" customHeight="false" outlineLevel="0" collapsed="false">
      <c r="A2964" s="21"/>
      <c r="B2964" s="4"/>
      <c r="C2964" s="22"/>
      <c r="D2964" s="5" t="str">
        <f aca="false">IF(B2964="","",IFERROR(INDEX(DE_PARA!$B$6:$B$205,MATCH(B2964,DE_PARA!$A$6:$A$205,0)),"SEM DE-PARA"))</f>
        <v/>
      </c>
      <c r="E2964" s="23" t="str">
        <f aca="false">IF(A2964="","",DATE(YEAR(A2964),MONTH(A2964),1))</f>
        <v/>
      </c>
    </row>
    <row r="2965" customFormat="false" ht="15" hidden="false" customHeight="false" outlineLevel="0" collapsed="false">
      <c r="A2965" s="21"/>
      <c r="B2965" s="4"/>
      <c r="C2965" s="22"/>
      <c r="D2965" s="5" t="str">
        <f aca="false">IF(B2965="","",IFERROR(INDEX(DE_PARA!$B$6:$B$205,MATCH(B2965,DE_PARA!$A$6:$A$205,0)),"SEM DE-PARA"))</f>
        <v/>
      </c>
      <c r="E2965" s="23" t="str">
        <f aca="false">IF(A2965="","",DATE(YEAR(A2965),MONTH(A2965),1))</f>
        <v/>
      </c>
    </row>
    <row r="2966" customFormat="false" ht="15" hidden="false" customHeight="false" outlineLevel="0" collapsed="false">
      <c r="A2966" s="21"/>
      <c r="B2966" s="4"/>
      <c r="C2966" s="22"/>
      <c r="D2966" s="5" t="str">
        <f aca="false">IF(B2966="","",IFERROR(INDEX(DE_PARA!$B$6:$B$205,MATCH(B2966,DE_PARA!$A$6:$A$205,0)),"SEM DE-PARA"))</f>
        <v/>
      </c>
      <c r="E2966" s="23" t="str">
        <f aca="false">IF(A2966="","",DATE(YEAR(A2966),MONTH(A2966),1))</f>
        <v/>
      </c>
    </row>
    <row r="2967" customFormat="false" ht="15" hidden="false" customHeight="false" outlineLevel="0" collapsed="false">
      <c r="A2967" s="21"/>
      <c r="B2967" s="4"/>
      <c r="C2967" s="22"/>
      <c r="D2967" s="5" t="str">
        <f aca="false">IF(B2967="","",IFERROR(INDEX(DE_PARA!$B$6:$B$205,MATCH(B2967,DE_PARA!$A$6:$A$205,0)),"SEM DE-PARA"))</f>
        <v/>
      </c>
      <c r="E2967" s="23" t="str">
        <f aca="false">IF(A2967="","",DATE(YEAR(A2967),MONTH(A2967),1))</f>
        <v/>
      </c>
    </row>
    <row r="2968" customFormat="false" ht="15" hidden="false" customHeight="false" outlineLevel="0" collapsed="false">
      <c r="A2968" s="21"/>
      <c r="B2968" s="4"/>
      <c r="C2968" s="22"/>
      <c r="D2968" s="5" t="str">
        <f aca="false">IF(B2968="","",IFERROR(INDEX(DE_PARA!$B$6:$B$205,MATCH(B2968,DE_PARA!$A$6:$A$205,0)),"SEM DE-PARA"))</f>
        <v/>
      </c>
      <c r="E2968" s="23" t="str">
        <f aca="false">IF(A2968="","",DATE(YEAR(A2968),MONTH(A2968),1))</f>
        <v/>
      </c>
    </row>
    <row r="2969" customFormat="false" ht="15" hidden="false" customHeight="false" outlineLevel="0" collapsed="false">
      <c r="A2969" s="21"/>
      <c r="B2969" s="4"/>
      <c r="C2969" s="22"/>
      <c r="D2969" s="5" t="str">
        <f aca="false">IF(B2969="","",IFERROR(INDEX(DE_PARA!$B$6:$B$205,MATCH(B2969,DE_PARA!$A$6:$A$205,0)),"SEM DE-PARA"))</f>
        <v/>
      </c>
      <c r="E2969" s="23" t="str">
        <f aca="false">IF(A2969="","",DATE(YEAR(A2969),MONTH(A2969),1))</f>
        <v/>
      </c>
    </row>
    <row r="2970" customFormat="false" ht="15" hidden="false" customHeight="false" outlineLevel="0" collapsed="false">
      <c r="A2970" s="21"/>
      <c r="B2970" s="4"/>
      <c r="C2970" s="22"/>
      <c r="D2970" s="5" t="str">
        <f aca="false">IF(B2970="","",IFERROR(INDEX(DE_PARA!$B$6:$B$205,MATCH(B2970,DE_PARA!$A$6:$A$205,0)),"SEM DE-PARA"))</f>
        <v/>
      </c>
      <c r="E2970" s="23" t="str">
        <f aca="false">IF(A2970="","",DATE(YEAR(A2970),MONTH(A2970),1))</f>
        <v/>
      </c>
    </row>
    <row r="2971" customFormat="false" ht="15" hidden="false" customHeight="false" outlineLevel="0" collapsed="false">
      <c r="A2971" s="21"/>
      <c r="B2971" s="4"/>
      <c r="C2971" s="22"/>
      <c r="D2971" s="5" t="str">
        <f aca="false">IF(B2971="","",IFERROR(INDEX(DE_PARA!$B$6:$B$205,MATCH(B2971,DE_PARA!$A$6:$A$205,0)),"SEM DE-PARA"))</f>
        <v/>
      </c>
      <c r="E2971" s="23" t="str">
        <f aca="false">IF(A2971="","",DATE(YEAR(A2971),MONTH(A2971),1))</f>
        <v/>
      </c>
    </row>
    <row r="2972" customFormat="false" ht="15" hidden="false" customHeight="false" outlineLevel="0" collapsed="false">
      <c r="A2972" s="21"/>
      <c r="B2972" s="4"/>
      <c r="C2972" s="22"/>
      <c r="D2972" s="5" t="str">
        <f aca="false">IF(B2972="","",IFERROR(INDEX(DE_PARA!$B$6:$B$205,MATCH(B2972,DE_PARA!$A$6:$A$205,0)),"SEM DE-PARA"))</f>
        <v/>
      </c>
      <c r="E2972" s="23" t="str">
        <f aca="false">IF(A2972="","",DATE(YEAR(A2972),MONTH(A2972),1))</f>
        <v/>
      </c>
    </row>
    <row r="2973" customFormat="false" ht="15" hidden="false" customHeight="false" outlineLevel="0" collapsed="false">
      <c r="A2973" s="21"/>
      <c r="B2973" s="4"/>
      <c r="C2973" s="22"/>
      <c r="D2973" s="5" t="str">
        <f aca="false">IF(B2973="","",IFERROR(INDEX(DE_PARA!$B$6:$B$205,MATCH(B2973,DE_PARA!$A$6:$A$205,0)),"SEM DE-PARA"))</f>
        <v/>
      </c>
      <c r="E2973" s="23" t="str">
        <f aca="false">IF(A2973="","",DATE(YEAR(A2973),MONTH(A2973),1))</f>
        <v/>
      </c>
    </row>
    <row r="2974" customFormat="false" ht="15" hidden="false" customHeight="false" outlineLevel="0" collapsed="false">
      <c r="A2974" s="21"/>
      <c r="B2974" s="4"/>
      <c r="C2974" s="22"/>
      <c r="D2974" s="5" t="str">
        <f aca="false">IF(B2974="","",IFERROR(INDEX(DE_PARA!$B$6:$B$205,MATCH(B2974,DE_PARA!$A$6:$A$205,0)),"SEM DE-PARA"))</f>
        <v/>
      </c>
      <c r="E2974" s="23" t="str">
        <f aca="false">IF(A2974="","",DATE(YEAR(A2974),MONTH(A2974),1))</f>
        <v/>
      </c>
    </row>
    <row r="2975" customFormat="false" ht="15" hidden="false" customHeight="false" outlineLevel="0" collapsed="false">
      <c r="A2975" s="21"/>
      <c r="B2975" s="4"/>
      <c r="C2975" s="22"/>
      <c r="D2975" s="5" t="str">
        <f aca="false">IF(B2975="","",IFERROR(INDEX(DE_PARA!$B$6:$B$205,MATCH(B2975,DE_PARA!$A$6:$A$205,0)),"SEM DE-PARA"))</f>
        <v/>
      </c>
      <c r="E2975" s="23" t="str">
        <f aca="false">IF(A2975="","",DATE(YEAR(A2975),MONTH(A2975),1))</f>
        <v/>
      </c>
    </row>
    <row r="2976" customFormat="false" ht="15" hidden="false" customHeight="false" outlineLevel="0" collapsed="false">
      <c r="A2976" s="21"/>
      <c r="B2976" s="4"/>
      <c r="C2976" s="22"/>
      <c r="D2976" s="5" t="str">
        <f aca="false">IF(B2976="","",IFERROR(INDEX(DE_PARA!$B$6:$B$205,MATCH(B2976,DE_PARA!$A$6:$A$205,0)),"SEM DE-PARA"))</f>
        <v/>
      </c>
      <c r="E2976" s="23" t="str">
        <f aca="false">IF(A2976="","",DATE(YEAR(A2976),MONTH(A2976),1))</f>
        <v/>
      </c>
    </row>
    <row r="2977" customFormat="false" ht="15" hidden="false" customHeight="false" outlineLevel="0" collapsed="false">
      <c r="A2977" s="21"/>
      <c r="B2977" s="4"/>
      <c r="C2977" s="22"/>
      <c r="D2977" s="5" t="str">
        <f aca="false">IF(B2977="","",IFERROR(INDEX(DE_PARA!$B$6:$B$205,MATCH(B2977,DE_PARA!$A$6:$A$205,0)),"SEM DE-PARA"))</f>
        <v/>
      </c>
      <c r="E2977" s="23" t="str">
        <f aca="false">IF(A2977="","",DATE(YEAR(A2977),MONTH(A2977),1))</f>
        <v/>
      </c>
    </row>
    <row r="2978" customFormat="false" ht="15" hidden="false" customHeight="false" outlineLevel="0" collapsed="false">
      <c r="A2978" s="21"/>
      <c r="B2978" s="4"/>
      <c r="C2978" s="22"/>
      <c r="D2978" s="5" t="str">
        <f aca="false">IF(B2978="","",IFERROR(INDEX(DE_PARA!$B$6:$B$205,MATCH(B2978,DE_PARA!$A$6:$A$205,0)),"SEM DE-PARA"))</f>
        <v/>
      </c>
      <c r="E2978" s="23" t="str">
        <f aca="false">IF(A2978="","",DATE(YEAR(A2978),MONTH(A2978),1))</f>
        <v/>
      </c>
    </row>
    <row r="2979" customFormat="false" ht="15" hidden="false" customHeight="false" outlineLevel="0" collapsed="false">
      <c r="A2979" s="21"/>
      <c r="B2979" s="4"/>
      <c r="C2979" s="22"/>
      <c r="D2979" s="5" t="str">
        <f aca="false">IF(B2979="","",IFERROR(INDEX(DE_PARA!$B$6:$B$205,MATCH(B2979,DE_PARA!$A$6:$A$205,0)),"SEM DE-PARA"))</f>
        <v/>
      </c>
      <c r="E2979" s="23" t="str">
        <f aca="false">IF(A2979="","",DATE(YEAR(A2979),MONTH(A2979),1))</f>
        <v/>
      </c>
    </row>
    <row r="2980" customFormat="false" ht="15" hidden="false" customHeight="false" outlineLevel="0" collapsed="false">
      <c r="A2980" s="21"/>
      <c r="B2980" s="4"/>
      <c r="C2980" s="22"/>
      <c r="D2980" s="5" t="str">
        <f aca="false">IF(B2980="","",IFERROR(INDEX(DE_PARA!$B$6:$B$205,MATCH(B2980,DE_PARA!$A$6:$A$205,0)),"SEM DE-PARA"))</f>
        <v/>
      </c>
      <c r="E2980" s="23" t="str">
        <f aca="false">IF(A2980="","",DATE(YEAR(A2980),MONTH(A2980),1))</f>
        <v/>
      </c>
    </row>
    <row r="2981" customFormat="false" ht="15" hidden="false" customHeight="false" outlineLevel="0" collapsed="false">
      <c r="A2981" s="21"/>
      <c r="B2981" s="4"/>
      <c r="C2981" s="22"/>
      <c r="D2981" s="5" t="str">
        <f aca="false">IF(B2981="","",IFERROR(INDEX(DE_PARA!$B$6:$B$205,MATCH(B2981,DE_PARA!$A$6:$A$205,0)),"SEM DE-PARA"))</f>
        <v/>
      </c>
      <c r="E2981" s="23" t="str">
        <f aca="false">IF(A2981="","",DATE(YEAR(A2981),MONTH(A2981),1))</f>
        <v/>
      </c>
    </row>
    <row r="2982" customFormat="false" ht="15" hidden="false" customHeight="false" outlineLevel="0" collapsed="false">
      <c r="A2982" s="21"/>
      <c r="B2982" s="4"/>
      <c r="C2982" s="22"/>
      <c r="D2982" s="5" t="str">
        <f aca="false">IF(B2982="","",IFERROR(INDEX(DE_PARA!$B$6:$B$205,MATCH(B2982,DE_PARA!$A$6:$A$205,0)),"SEM DE-PARA"))</f>
        <v/>
      </c>
      <c r="E2982" s="23" t="str">
        <f aca="false">IF(A2982="","",DATE(YEAR(A2982),MONTH(A2982),1))</f>
        <v/>
      </c>
    </row>
    <row r="2983" customFormat="false" ht="15" hidden="false" customHeight="false" outlineLevel="0" collapsed="false">
      <c r="A2983" s="21"/>
      <c r="B2983" s="4"/>
      <c r="C2983" s="22"/>
      <c r="D2983" s="5" t="str">
        <f aca="false">IF(B2983="","",IFERROR(INDEX(DE_PARA!$B$6:$B$205,MATCH(B2983,DE_PARA!$A$6:$A$205,0)),"SEM DE-PARA"))</f>
        <v/>
      </c>
      <c r="E2983" s="23" t="str">
        <f aca="false">IF(A2983="","",DATE(YEAR(A2983),MONTH(A2983),1))</f>
        <v/>
      </c>
    </row>
    <row r="2984" customFormat="false" ht="15" hidden="false" customHeight="false" outlineLevel="0" collapsed="false">
      <c r="A2984" s="21"/>
      <c r="B2984" s="4"/>
      <c r="C2984" s="22"/>
      <c r="D2984" s="5" t="str">
        <f aca="false">IF(B2984="","",IFERROR(INDEX(DE_PARA!$B$6:$B$205,MATCH(B2984,DE_PARA!$A$6:$A$205,0)),"SEM DE-PARA"))</f>
        <v/>
      </c>
      <c r="E2984" s="23" t="str">
        <f aca="false">IF(A2984="","",DATE(YEAR(A2984),MONTH(A2984),1))</f>
        <v/>
      </c>
    </row>
    <row r="2985" customFormat="false" ht="15" hidden="false" customHeight="false" outlineLevel="0" collapsed="false">
      <c r="A2985" s="21"/>
      <c r="B2985" s="4"/>
      <c r="C2985" s="22"/>
      <c r="D2985" s="5" t="str">
        <f aca="false">IF(B2985="","",IFERROR(INDEX(DE_PARA!$B$6:$B$205,MATCH(B2985,DE_PARA!$A$6:$A$205,0)),"SEM DE-PARA"))</f>
        <v/>
      </c>
      <c r="E2985" s="23" t="str">
        <f aca="false">IF(A2985="","",DATE(YEAR(A2985),MONTH(A2985),1))</f>
        <v/>
      </c>
    </row>
    <row r="2986" customFormat="false" ht="15" hidden="false" customHeight="false" outlineLevel="0" collapsed="false">
      <c r="A2986" s="21"/>
      <c r="B2986" s="4"/>
      <c r="C2986" s="22"/>
      <c r="D2986" s="5" t="str">
        <f aca="false">IF(B2986="","",IFERROR(INDEX(DE_PARA!$B$6:$B$205,MATCH(B2986,DE_PARA!$A$6:$A$205,0)),"SEM DE-PARA"))</f>
        <v/>
      </c>
      <c r="E2986" s="23" t="str">
        <f aca="false">IF(A2986="","",DATE(YEAR(A2986),MONTH(A2986),1))</f>
        <v/>
      </c>
    </row>
    <row r="2987" customFormat="false" ht="15" hidden="false" customHeight="false" outlineLevel="0" collapsed="false">
      <c r="A2987" s="21"/>
      <c r="B2987" s="4"/>
      <c r="C2987" s="22"/>
      <c r="D2987" s="5" t="str">
        <f aca="false">IF(B2987="","",IFERROR(INDEX(DE_PARA!$B$6:$B$205,MATCH(B2987,DE_PARA!$A$6:$A$205,0)),"SEM DE-PARA"))</f>
        <v/>
      </c>
      <c r="E2987" s="23" t="str">
        <f aca="false">IF(A2987="","",DATE(YEAR(A2987),MONTH(A2987),1))</f>
        <v/>
      </c>
    </row>
    <row r="2988" customFormat="false" ht="15" hidden="false" customHeight="false" outlineLevel="0" collapsed="false">
      <c r="A2988" s="21"/>
      <c r="B2988" s="4"/>
      <c r="C2988" s="22"/>
      <c r="D2988" s="5" t="str">
        <f aca="false">IF(B2988="","",IFERROR(INDEX(DE_PARA!$B$6:$B$205,MATCH(B2988,DE_PARA!$A$6:$A$205,0)),"SEM DE-PARA"))</f>
        <v/>
      </c>
      <c r="E2988" s="23" t="str">
        <f aca="false">IF(A2988="","",DATE(YEAR(A2988),MONTH(A2988),1))</f>
        <v/>
      </c>
    </row>
    <row r="2989" customFormat="false" ht="15" hidden="false" customHeight="false" outlineLevel="0" collapsed="false">
      <c r="A2989" s="21"/>
      <c r="B2989" s="4"/>
      <c r="C2989" s="22"/>
      <c r="D2989" s="5" t="str">
        <f aca="false">IF(B2989="","",IFERROR(INDEX(DE_PARA!$B$6:$B$205,MATCH(B2989,DE_PARA!$A$6:$A$205,0)),"SEM DE-PARA"))</f>
        <v/>
      </c>
      <c r="E2989" s="23" t="str">
        <f aca="false">IF(A2989="","",DATE(YEAR(A2989),MONTH(A2989),1))</f>
        <v/>
      </c>
    </row>
    <row r="2990" customFormat="false" ht="15" hidden="false" customHeight="false" outlineLevel="0" collapsed="false">
      <c r="A2990" s="21"/>
      <c r="B2990" s="4"/>
      <c r="C2990" s="22"/>
      <c r="D2990" s="5" t="str">
        <f aca="false">IF(B2990="","",IFERROR(INDEX(DE_PARA!$B$6:$B$205,MATCH(B2990,DE_PARA!$A$6:$A$205,0)),"SEM DE-PARA"))</f>
        <v/>
      </c>
      <c r="E2990" s="23" t="str">
        <f aca="false">IF(A2990="","",DATE(YEAR(A2990),MONTH(A2990),1))</f>
        <v/>
      </c>
    </row>
    <row r="2991" customFormat="false" ht="15" hidden="false" customHeight="false" outlineLevel="0" collapsed="false">
      <c r="A2991" s="21"/>
      <c r="B2991" s="4"/>
      <c r="C2991" s="22"/>
      <c r="D2991" s="5" t="str">
        <f aca="false">IF(B2991="","",IFERROR(INDEX(DE_PARA!$B$6:$B$205,MATCH(B2991,DE_PARA!$A$6:$A$205,0)),"SEM DE-PARA"))</f>
        <v/>
      </c>
      <c r="E2991" s="23" t="str">
        <f aca="false">IF(A2991="","",DATE(YEAR(A2991),MONTH(A2991),1))</f>
        <v/>
      </c>
    </row>
    <row r="2992" customFormat="false" ht="15" hidden="false" customHeight="false" outlineLevel="0" collapsed="false">
      <c r="A2992" s="21"/>
      <c r="B2992" s="4"/>
      <c r="C2992" s="22"/>
      <c r="D2992" s="5" t="str">
        <f aca="false">IF(B2992="","",IFERROR(INDEX(DE_PARA!$B$6:$B$205,MATCH(B2992,DE_PARA!$A$6:$A$205,0)),"SEM DE-PARA"))</f>
        <v/>
      </c>
      <c r="E2992" s="23" t="str">
        <f aca="false">IF(A2992="","",DATE(YEAR(A2992),MONTH(A2992),1))</f>
        <v/>
      </c>
    </row>
    <row r="2993" customFormat="false" ht="15" hidden="false" customHeight="false" outlineLevel="0" collapsed="false">
      <c r="A2993" s="21"/>
      <c r="B2993" s="4"/>
      <c r="C2993" s="22"/>
      <c r="D2993" s="5" t="str">
        <f aca="false">IF(B2993="","",IFERROR(INDEX(DE_PARA!$B$6:$B$205,MATCH(B2993,DE_PARA!$A$6:$A$205,0)),"SEM DE-PARA"))</f>
        <v/>
      </c>
      <c r="E2993" s="23" t="str">
        <f aca="false">IF(A2993="","",DATE(YEAR(A2993),MONTH(A2993),1))</f>
        <v/>
      </c>
    </row>
    <row r="2994" customFormat="false" ht="15" hidden="false" customHeight="false" outlineLevel="0" collapsed="false">
      <c r="A2994" s="21"/>
      <c r="B2994" s="4"/>
      <c r="C2994" s="22"/>
      <c r="D2994" s="5" t="str">
        <f aca="false">IF(B2994="","",IFERROR(INDEX(DE_PARA!$B$6:$B$205,MATCH(B2994,DE_PARA!$A$6:$A$205,0)),"SEM DE-PARA"))</f>
        <v/>
      </c>
      <c r="E2994" s="23" t="str">
        <f aca="false">IF(A2994="","",DATE(YEAR(A2994),MONTH(A2994),1))</f>
        <v/>
      </c>
    </row>
    <row r="2995" customFormat="false" ht="15" hidden="false" customHeight="false" outlineLevel="0" collapsed="false">
      <c r="A2995" s="21"/>
      <c r="B2995" s="4"/>
      <c r="C2995" s="22"/>
      <c r="D2995" s="5" t="str">
        <f aca="false">IF(B2995="","",IFERROR(INDEX(DE_PARA!$B$6:$B$205,MATCH(B2995,DE_PARA!$A$6:$A$205,0)),"SEM DE-PARA"))</f>
        <v/>
      </c>
      <c r="E2995" s="23" t="str">
        <f aca="false">IF(A2995="","",DATE(YEAR(A2995),MONTH(A2995),1))</f>
        <v/>
      </c>
    </row>
    <row r="2996" customFormat="false" ht="15" hidden="false" customHeight="false" outlineLevel="0" collapsed="false">
      <c r="A2996" s="21"/>
      <c r="B2996" s="4"/>
      <c r="C2996" s="22"/>
      <c r="D2996" s="5" t="str">
        <f aca="false">IF(B2996="","",IFERROR(INDEX(DE_PARA!$B$6:$B$205,MATCH(B2996,DE_PARA!$A$6:$A$205,0)),"SEM DE-PARA"))</f>
        <v/>
      </c>
      <c r="E2996" s="23" t="str">
        <f aca="false">IF(A2996="","",DATE(YEAR(A2996),MONTH(A2996),1))</f>
        <v/>
      </c>
    </row>
    <row r="2997" customFormat="false" ht="15" hidden="false" customHeight="false" outlineLevel="0" collapsed="false">
      <c r="A2997" s="21"/>
      <c r="B2997" s="4"/>
      <c r="C2997" s="22"/>
      <c r="D2997" s="5" t="str">
        <f aca="false">IF(B2997="","",IFERROR(INDEX(DE_PARA!$B$6:$B$205,MATCH(B2997,DE_PARA!$A$6:$A$205,0)),"SEM DE-PARA"))</f>
        <v/>
      </c>
      <c r="E2997" s="23" t="str">
        <f aca="false">IF(A2997="","",DATE(YEAR(A2997),MONTH(A2997),1))</f>
        <v/>
      </c>
    </row>
    <row r="2998" customFormat="false" ht="15" hidden="false" customHeight="false" outlineLevel="0" collapsed="false">
      <c r="A2998" s="21"/>
      <c r="B2998" s="4"/>
      <c r="C2998" s="22"/>
      <c r="D2998" s="5" t="str">
        <f aca="false">IF(B2998="","",IFERROR(INDEX(DE_PARA!$B$6:$B$205,MATCH(B2998,DE_PARA!$A$6:$A$205,0)),"SEM DE-PARA"))</f>
        <v/>
      </c>
      <c r="E2998" s="23" t="str">
        <f aca="false">IF(A2998="","",DATE(YEAR(A2998),MONTH(A2998),1))</f>
        <v/>
      </c>
    </row>
    <row r="2999" customFormat="false" ht="15" hidden="false" customHeight="false" outlineLevel="0" collapsed="false">
      <c r="A2999" s="21"/>
      <c r="B2999" s="4"/>
      <c r="C2999" s="22"/>
      <c r="D2999" s="5" t="str">
        <f aca="false">IF(B2999="","",IFERROR(INDEX(DE_PARA!$B$6:$B$205,MATCH(B2999,DE_PARA!$A$6:$A$205,0)),"SEM DE-PARA"))</f>
        <v/>
      </c>
      <c r="E2999" s="23" t="str">
        <f aca="false">IF(A2999="","",DATE(YEAR(A2999),MONTH(A2999),1))</f>
        <v/>
      </c>
    </row>
    <row r="3000" customFormat="false" ht="15" hidden="false" customHeight="false" outlineLevel="0" collapsed="false">
      <c r="A3000" s="21"/>
      <c r="B3000" s="4"/>
      <c r="C3000" s="22"/>
      <c r="D3000" s="5" t="str">
        <f aca="false">IF(B3000="","",IFERROR(INDEX(DE_PARA!$B$6:$B$205,MATCH(B3000,DE_PARA!$A$6:$A$205,0)),"SEM DE-PARA"))</f>
        <v/>
      </c>
      <c r="E3000" s="23" t="str">
        <f aca="false">IF(A3000="","",DATE(YEAR(A3000),MONTH(A3000),1))</f>
        <v/>
      </c>
    </row>
    <row r="3001" customFormat="false" ht="15" hidden="false" customHeight="false" outlineLevel="0" collapsed="false">
      <c r="A3001" s="21"/>
      <c r="B3001" s="4"/>
      <c r="C3001" s="22"/>
      <c r="D3001" s="5" t="str">
        <f aca="false">IF(B3001="","",IFERROR(INDEX(DE_PARA!$B$6:$B$205,MATCH(B3001,DE_PARA!$A$6:$A$205,0)),"SEM DE-PARA"))</f>
        <v/>
      </c>
      <c r="E3001" s="23" t="str">
        <f aca="false">IF(A3001="","",DATE(YEAR(A3001),MONTH(A3001),1))</f>
        <v/>
      </c>
    </row>
    <row r="3002" customFormat="false" ht="15" hidden="false" customHeight="false" outlineLevel="0" collapsed="false">
      <c r="A3002" s="21"/>
      <c r="B3002" s="4"/>
      <c r="C3002" s="22"/>
      <c r="D3002" s="5" t="str">
        <f aca="false">IF(B3002="","",IFERROR(INDEX(DE_PARA!$B$6:$B$205,MATCH(B3002,DE_PARA!$A$6:$A$205,0)),"SEM DE-PARA"))</f>
        <v/>
      </c>
      <c r="E3002" s="23" t="str">
        <f aca="false">IF(A3002="","",DATE(YEAR(A3002),MONTH(A3002),1))</f>
        <v/>
      </c>
    </row>
    <row r="3003" customFormat="false" ht="15" hidden="false" customHeight="false" outlineLevel="0" collapsed="false">
      <c r="A3003" s="21"/>
      <c r="B3003" s="4"/>
      <c r="C3003" s="22"/>
      <c r="D3003" s="5" t="str">
        <f aca="false">IF(B3003="","",IFERROR(INDEX(DE_PARA!$B$6:$B$205,MATCH(B3003,DE_PARA!$A$6:$A$205,0)),"SEM DE-PARA"))</f>
        <v/>
      </c>
      <c r="E3003" s="23" t="str">
        <f aca="false">IF(A3003="","",DATE(YEAR(A3003),MONTH(A3003),1))</f>
        <v/>
      </c>
    </row>
    <row r="3004" customFormat="false" ht="15" hidden="false" customHeight="false" outlineLevel="0" collapsed="false">
      <c r="A3004" s="21"/>
      <c r="B3004" s="4"/>
      <c r="C3004" s="22"/>
      <c r="D3004" s="5" t="str">
        <f aca="false">IF(B3004="","",IFERROR(INDEX(DE_PARA!$B$6:$B$205,MATCH(B3004,DE_PARA!$A$6:$A$205,0)),"SEM DE-PARA"))</f>
        <v/>
      </c>
      <c r="E3004" s="23" t="str">
        <f aca="false">IF(A3004="","",DATE(YEAR(A3004),MONTH(A3004),1))</f>
        <v/>
      </c>
    </row>
    <row r="3005" customFormat="false" ht="15" hidden="false" customHeight="false" outlineLevel="0" collapsed="false">
      <c r="A3005" s="21"/>
      <c r="B3005" s="4"/>
      <c r="C3005" s="22"/>
      <c r="D3005" s="5" t="str">
        <f aca="false">IF(B3005="","",IFERROR(INDEX(DE_PARA!$B$6:$B$205,MATCH(B3005,DE_PARA!$A$6:$A$205,0)),"SEM DE-PARA"))</f>
        <v/>
      </c>
      <c r="E3005" s="23" t="str">
        <f aca="false">IF(A3005="","",DATE(YEAR(A3005),MONTH(A3005),1))</f>
        <v/>
      </c>
    </row>
    <row r="3006" customFormat="false" ht="15" hidden="false" customHeight="false" outlineLevel="0" collapsed="false">
      <c r="A3006" s="21"/>
      <c r="B3006" s="4"/>
      <c r="C3006" s="22"/>
      <c r="D3006" s="5" t="str">
        <f aca="false">IF(B3006="","",IFERROR(INDEX(DE_PARA!$B$6:$B$205,MATCH(B3006,DE_PARA!$A$6:$A$205,0)),"SEM DE-PARA"))</f>
        <v/>
      </c>
      <c r="E3006" s="23" t="str">
        <f aca="false">IF(A3006="","",DATE(YEAR(A3006),MONTH(A3006),1))</f>
        <v/>
      </c>
    </row>
    <row r="3007" customFormat="false" ht="15" hidden="false" customHeight="false" outlineLevel="0" collapsed="false">
      <c r="A3007" s="21"/>
      <c r="B3007" s="4"/>
      <c r="C3007" s="22"/>
      <c r="D3007" s="5" t="str">
        <f aca="false">IF(B3007="","",IFERROR(INDEX(DE_PARA!$B$6:$B$205,MATCH(B3007,DE_PARA!$A$6:$A$205,0)),"SEM DE-PARA"))</f>
        <v/>
      </c>
      <c r="E3007" s="23" t="str">
        <f aca="false">IF(A3007="","",DATE(YEAR(A3007),MONTH(A3007),1))</f>
        <v/>
      </c>
    </row>
    <row r="3008" customFormat="false" ht="15" hidden="false" customHeight="false" outlineLevel="0" collapsed="false">
      <c r="A3008" s="21"/>
      <c r="B3008" s="4"/>
      <c r="C3008" s="22"/>
      <c r="D3008" s="5" t="str">
        <f aca="false">IF(B3008="","",IFERROR(INDEX(DE_PARA!$B$6:$B$205,MATCH(B3008,DE_PARA!$A$6:$A$205,0)),"SEM DE-PARA"))</f>
        <v/>
      </c>
      <c r="E3008" s="23" t="str">
        <f aca="false">IF(A3008="","",DATE(YEAR(A3008),MONTH(A3008),1))</f>
        <v/>
      </c>
    </row>
    <row r="3009" customFormat="false" ht="15" hidden="false" customHeight="false" outlineLevel="0" collapsed="false">
      <c r="A3009" s="21"/>
      <c r="B3009" s="4"/>
      <c r="C3009" s="22"/>
      <c r="D3009" s="5" t="str">
        <f aca="false">IF(B3009="","",IFERROR(INDEX(DE_PARA!$B$6:$B$205,MATCH(B3009,DE_PARA!$A$6:$A$205,0)),"SEM DE-PARA"))</f>
        <v/>
      </c>
      <c r="E3009" s="23" t="str">
        <f aca="false">IF(A3009="","",DATE(YEAR(A3009),MONTH(A3009),1))</f>
        <v/>
      </c>
    </row>
    <row r="3010" customFormat="false" ht="15" hidden="false" customHeight="false" outlineLevel="0" collapsed="false">
      <c r="A3010" s="21"/>
      <c r="B3010" s="4"/>
      <c r="C3010" s="22"/>
      <c r="D3010" s="5" t="str">
        <f aca="false">IF(B3010="","",IFERROR(INDEX(DE_PARA!$B$6:$B$205,MATCH(B3010,DE_PARA!$A$6:$A$205,0)),"SEM DE-PARA"))</f>
        <v/>
      </c>
      <c r="E3010" s="23" t="str">
        <f aca="false">IF(A3010="","",DATE(YEAR(A3010),MONTH(A3010),1))</f>
        <v/>
      </c>
    </row>
    <row r="3011" customFormat="false" ht="15" hidden="false" customHeight="false" outlineLevel="0" collapsed="false">
      <c r="A3011" s="21"/>
      <c r="B3011" s="4"/>
      <c r="C3011" s="22"/>
      <c r="D3011" s="5" t="str">
        <f aca="false">IF(B3011="","",IFERROR(INDEX(DE_PARA!$B$6:$B$205,MATCH(B3011,DE_PARA!$A$6:$A$205,0)),"SEM DE-PARA"))</f>
        <v/>
      </c>
      <c r="E3011" s="23" t="str">
        <f aca="false">IF(A3011="","",DATE(YEAR(A3011),MONTH(A3011),1))</f>
        <v/>
      </c>
    </row>
    <row r="3012" customFormat="false" ht="15" hidden="false" customHeight="false" outlineLevel="0" collapsed="false">
      <c r="A3012" s="21"/>
      <c r="B3012" s="4"/>
      <c r="C3012" s="22"/>
      <c r="D3012" s="5" t="str">
        <f aca="false">IF(B3012="","",IFERROR(INDEX(DE_PARA!$B$6:$B$205,MATCH(B3012,DE_PARA!$A$6:$A$205,0)),"SEM DE-PARA"))</f>
        <v/>
      </c>
      <c r="E3012" s="23" t="str">
        <f aca="false">IF(A3012="","",DATE(YEAR(A3012),MONTH(A3012),1))</f>
        <v/>
      </c>
    </row>
    <row r="3013" customFormat="false" ht="15" hidden="false" customHeight="false" outlineLevel="0" collapsed="false">
      <c r="A3013" s="21"/>
      <c r="B3013" s="4"/>
      <c r="C3013" s="22"/>
      <c r="D3013" s="5" t="str">
        <f aca="false">IF(B3013="","",IFERROR(INDEX(DE_PARA!$B$6:$B$205,MATCH(B3013,DE_PARA!$A$6:$A$205,0)),"SEM DE-PARA"))</f>
        <v/>
      </c>
      <c r="E3013" s="23" t="str">
        <f aca="false">IF(A3013="","",DATE(YEAR(A3013),MONTH(A3013),1))</f>
        <v/>
      </c>
    </row>
    <row r="3014" customFormat="false" ht="15" hidden="false" customHeight="false" outlineLevel="0" collapsed="false">
      <c r="A3014" s="21"/>
      <c r="B3014" s="4"/>
      <c r="C3014" s="22"/>
      <c r="D3014" s="5" t="str">
        <f aca="false">IF(B3014="","",IFERROR(INDEX(DE_PARA!$B$6:$B$205,MATCH(B3014,DE_PARA!$A$6:$A$205,0)),"SEM DE-PARA"))</f>
        <v/>
      </c>
      <c r="E3014" s="23" t="str">
        <f aca="false">IF(A3014="","",DATE(YEAR(A3014),MONTH(A3014),1))</f>
        <v/>
      </c>
    </row>
    <row r="3015" customFormat="false" ht="15" hidden="false" customHeight="false" outlineLevel="0" collapsed="false">
      <c r="A3015" s="21"/>
      <c r="B3015" s="4"/>
      <c r="C3015" s="22"/>
      <c r="D3015" s="5" t="str">
        <f aca="false">IF(B3015="","",IFERROR(INDEX(DE_PARA!$B$6:$B$205,MATCH(B3015,DE_PARA!$A$6:$A$205,0)),"SEM DE-PARA"))</f>
        <v/>
      </c>
      <c r="E3015" s="23" t="str">
        <f aca="false">IF(A3015="","",DATE(YEAR(A3015),MONTH(A3015),1))</f>
        <v/>
      </c>
    </row>
    <row r="3016" customFormat="false" ht="15" hidden="false" customHeight="false" outlineLevel="0" collapsed="false">
      <c r="A3016" s="21"/>
      <c r="B3016" s="4"/>
      <c r="C3016" s="22"/>
      <c r="D3016" s="5" t="str">
        <f aca="false">IF(B3016="","",IFERROR(INDEX(DE_PARA!$B$6:$B$205,MATCH(B3016,DE_PARA!$A$6:$A$205,0)),"SEM DE-PARA"))</f>
        <v/>
      </c>
      <c r="E3016" s="23" t="str">
        <f aca="false">IF(A3016="","",DATE(YEAR(A3016),MONTH(A3016),1))</f>
        <v/>
      </c>
    </row>
    <row r="3017" customFormat="false" ht="15" hidden="false" customHeight="false" outlineLevel="0" collapsed="false">
      <c r="A3017" s="21"/>
      <c r="B3017" s="4"/>
      <c r="C3017" s="22"/>
      <c r="D3017" s="5" t="str">
        <f aca="false">IF(B3017="","",IFERROR(INDEX(DE_PARA!$B$6:$B$205,MATCH(B3017,DE_PARA!$A$6:$A$205,0)),"SEM DE-PARA"))</f>
        <v/>
      </c>
      <c r="E3017" s="23" t="str">
        <f aca="false">IF(A3017="","",DATE(YEAR(A3017),MONTH(A3017),1))</f>
        <v/>
      </c>
    </row>
    <row r="3018" customFormat="false" ht="15" hidden="false" customHeight="false" outlineLevel="0" collapsed="false">
      <c r="A3018" s="21"/>
      <c r="B3018" s="4"/>
      <c r="C3018" s="22"/>
      <c r="D3018" s="5" t="str">
        <f aca="false">IF(B3018="","",IFERROR(INDEX(DE_PARA!$B$6:$B$205,MATCH(B3018,DE_PARA!$A$6:$A$205,0)),"SEM DE-PARA"))</f>
        <v/>
      </c>
      <c r="E3018" s="23" t="str">
        <f aca="false">IF(A3018="","",DATE(YEAR(A3018),MONTH(A3018),1))</f>
        <v/>
      </c>
    </row>
    <row r="3019" customFormat="false" ht="15" hidden="false" customHeight="false" outlineLevel="0" collapsed="false">
      <c r="A3019" s="21"/>
      <c r="B3019" s="4"/>
      <c r="C3019" s="22"/>
      <c r="D3019" s="5" t="str">
        <f aca="false">IF(B3019="","",IFERROR(INDEX(DE_PARA!$B$6:$B$205,MATCH(B3019,DE_PARA!$A$6:$A$205,0)),"SEM DE-PARA"))</f>
        <v/>
      </c>
      <c r="E3019" s="23" t="str">
        <f aca="false">IF(A3019="","",DATE(YEAR(A3019),MONTH(A3019),1))</f>
        <v/>
      </c>
    </row>
    <row r="3020" customFormat="false" ht="15" hidden="false" customHeight="false" outlineLevel="0" collapsed="false">
      <c r="A3020" s="21"/>
      <c r="B3020" s="4"/>
      <c r="C3020" s="22"/>
      <c r="D3020" s="5" t="str">
        <f aca="false">IF(B3020="","",IFERROR(INDEX(DE_PARA!$B$6:$B$205,MATCH(B3020,DE_PARA!$A$6:$A$205,0)),"SEM DE-PARA"))</f>
        <v/>
      </c>
      <c r="E3020" s="23" t="str">
        <f aca="false">IF(A3020="","",DATE(YEAR(A3020),MONTH(A3020),1))</f>
        <v/>
      </c>
    </row>
    <row r="3021" customFormat="false" ht="15" hidden="false" customHeight="false" outlineLevel="0" collapsed="false">
      <c r="A3021" s="21"/>
      <c r="B3021" s="4"/>
      <c r="C3021" s="22"/>
      <c r="D3021" s="5" t="str">
        <f aca="false">IF(B3021="","",IFERROR(INDEX(DE_PARA!$B$6:$B$205,MATCH(B3021,DE_PARA!$A$6:$A$205,0)),"SEM DE-PARA"))</f>
        <v/>
      </c>
      <c r="E3021" s="23" t="str">
        <f aca="false">IF(A3021="","",DATE(YEAR(A3021),MONTH(A3021),1))</f>
        <v/>
      </c>
    </row>
    <row r="3022" customFormat="false" ht="15" hidden="false" customHeight="false" outlineLevel="0" collapsed="false">
      <c r="A3022" s="21"/>
      <c r="B3022" s="4"/>
      <c r="C3022" s="22"/>
      <c r="D3022" s="5" t="str">
        <f aca="false">IF(B3022="","",IFERROR(INDEX(DE_PARA!$B$6:$B$205,MATCH(B3022,DE_PARA!$A$6:$A$205,0)),"SEM DE-PARA"))</f>
        <v/>
      </c>
      <c r="E3022" s="23" t="str">
        <f aca="false">IF(A3022="","",DATE(YEAR(A3022),MONTH(A3022),1))</f>
        <v/>
      </c>
    </row>
    <row r="3023" customFormat="false" ht="15" hidden="false" customHeight="false" outlineLevel="0" collapsed="false">
      <c r="A3023" s="21"/>
      <c r="B3023" s="4"/>
      <c r="C3023" s="22"/>
      <c r="D3023" s="5" t="str">
        <f aca="false">IF(B3023="","",IFERROR(INDEX(DE_PARA!$B$6:$B$205,MATCH(B3023,DE_PARA!$A$6:$A$205,0)),"SEM DE-PARA"))</f>
        <v/>
      </c>
      <c r="E3023" s="23" t="str">
        <f aca="false">IF(A3023="","",DATE(YEAR(A3023),MONTH(A3023),1))</f>
        <v/>
      </c>
    </row>
    <row r="3024" customFormat="false" ht="15" hidden="false" customHeight="false" outlineLevel="0" collapsed="false">
      <c r="A3024" s="21"/>
      <c r="B3024" s="4"/>
      <c r="C3024" s="22"/>
      <c r="D3024" s="5" t="str">
        <f aca="false">IF(B3024="","",IFERROR(INDEX(DE_PARA!$B$6:$B$205,MATCH(B3024,DE_PARA!$A$6:$A$205,0)),"SEM DE-PARA"))</f>
        <v/>
      </c>
      <c r="E3024" s="23" t="str">
        <f aca="false">IF(A3024="","",DATE(YEAR(A3024),MONTH(A3024),1))</f>
        <v/>
      </c>
    </row>
    <row r="3025" customFormat="false" ht="15" hidden="false" customHeight="false" outlineLevel="0" collapsed="false">
      <c r="A3025" s="21"/>
      <c r="B3025" s="4"/>
      <c r="C3025" s="22"/>
      <c r="D3025" s="5" t="str">
        <f aca="false">IF(B3025="","",IFERROR(INDEX(DE_PARA!$B$6:$B$205,MATCH(B3025,DE_PARA!$A$6:$A$205,0)),"SEM DE-PARA"))</f>
        <v/>
      </c>
      <c r="E3025" s="23" t="str">
        <f aca="false">IF(A3025="","",DATE(YEAR(A3025),MONTH(A3025),1))</f>
        <v/>
      </c>
    </row>
    <row r="3026" customFormat="false" ht="15" hidden="false" customHeight="false" outlineLevel="0" collapsed="false">
      <c r="A3026" s="21"/>
      <c r="B3026" s="4"/>
      <c r="C3026" s="22"/>
      <c r="D3026" s="5" t="str">
        <f aca="false">IF(B3026="","",IFERROR(INDEX(DE_PARA!$B$6:$B$205,MATCH(B3026,DE_PARA!$A$6:$A$205,0)),"SEM DE-PARA"))</f>
        <v/>
      </c>
      <c r="E3026" s="23" t="str">
        <f aca="false">IF(A3026="","",DATE(YEAR(A3026),MONTH(A3026),1))</f>
        <v/>
      </c>
    </row>
    <row r="3027" customFormat="false" ht="15" hidden="false" customHeight="false" outlineLevel="0" collapsed="false">
      <c r="A3027" s="21"/>
      <c r="B3027" s="4"/>
      <c r="C3027" s="22"/>
      <c r="D3027" s="5" t="str">
        <f aca="false">IF(B3027="","",IFERROR(INDEX(DE_PARA!$B$6:$B$205,MATCH(B3027,DE_PARA!$A$6:$A$205,0)),"SEM DE-PARA"))</f>
        <v/>
      </c>
      <c r="E3027" s="23" t="str">
        <f aca="false">IF(A3027="","",DATE(YEAR(A3027),MONTH(A3027),1))</f>
        <v/>
      </c>
    </row>
    <row r="3028" customFormat="false" ht="15" hidden="false" customHeight="false" outlineLevel="0" collapsed="false">
      <c r="A3028" s="21"/>
      <c r="B3028" s="4"/>
      <c r="C3028" s="22"/>
      <c r="D3028" s="5" t="str">
        <f aca="false">IF(B3028="","",IFERROR(INDEX(DE_PARA!$B$6:$B$205,MATCH(B3028,DE_PARA!$A$6:$A$205,0)),"SEM DE-PARA"))</f>
        <v/>
      </c>
      <c r="E3028" s="23" t="str">
        <f aca="false">IF(A3028="","",DATE(YEAR(A3028),MONTH(A3028),1))</f>
        <v/>
      </c>
    </row>
    <row r="3029" customFormat="false" ht="15" hidden="false" customHeight="false" outlineLevel="0" collapsed="false">
      <c r="A3029" s="21"/>
      <c r="B3029" s="4"/>
      <c r="C3029" s="22"/>
      <c r="D3029" s="5" t="str">
        <f aca="false">IF(B3029="","",IFERROR(INDEX(DE_PARA!$B$6:$B$205,MATCH(B3029,DE_PARA!$A$6:$A$205,0)),"SEM DE-PARA"))</f>
        <v/>
      </c>
      <c r="E3029" s="23" t="str">
        <f aca="false">IF(A3029="","",DATE(YEAR(A3029),MONTH(A3029),1))</f>
        <v/>
      </c>
    </row>
    <row r="3030" customFormat="false" ht="15" hidden="false" customHeight="false" outlineLevel="0" collapsed="false">
      <c r="A3030" s="21"/>
      <c r="B3030" s="4"/>
      <c r="C3030" s="22"/>
      <c r="D3030" s="5" t="str">
        <f aca="false">IF(B3030="","",IFERROR(INDEX(DE_PARA!$B$6:$B$205,MATCH(B3030,DE_PARA!$A$6:$A$205,0)),"SEM DE-PARA"))</f>
        <v/>
      </c>
      <c r="E3030" s="23" t="str">
        <f aca="false">IF(A3030="","",DATE(YEAR(A3030),MONTH(A3030),1))</f>
        <v/>
      </c>
    </row>
    <row r="3031" customFormat="false" ht="15" hidden="false" customHeight="false" outlineLevel="0" collapsed="false">
      <c r="A3031" s="21"/>
      <c r="B3031" s="4"/>
      <c r="C3031" s="22"/>
      <c r="D3031" s="5" t="str">
        <f aca="false">IF(B3031="","",IFERROR(INDEX(DE_PARA!$B$6:$B$205,MATCH(B3031,DE_PARA!$A$6:$A$205,0)),"SEM DE-PARA"))</f>
        <v/>
      </c>
      <c r="E3031" s="23" t="str">
        <f aca="false">IF(A3031="","",DATE(YEAR(A3031),MONTH(A3031),1))</f>
        <v/>
      </c>
    </row>
    <row r="3032" customFormat="false" ht="15" hidden="false" customHeight="false" outlineLevel="0" collapsed="false">
      <c r="A3032" s="21"/>
      <c r="B3032" s="4"/>
      <c r="C3032" s="22"/>
      <c r="D3032" s="5" t="str">
        <f aca="false">IF(B3032="","",IFERROR(INDEX(DE_PARA!$B$6:$B$205,MATCH(B3032,DE_PARA!$A$6:$A$205,0)),"SEM DE-PARA"))</f>
        <v/>
      </c>
      <c r="E3032" s="23" t="str">
        <f aca="false">IF(A3032="","",DATE(YEAR(A3032),MONTH(A3032),1))</f>
        <v/>
      </c>
    </row>
    <row r="3033" customFormat="false" ht="15" hidden="false" customHeight="false" outlineLevel="0" collapsed="false">
      <c r="A3033" s="21"/>
      <c r="B3033" s="4"/>
      <c r="C3033" s="22"/>
      <c r="D3033" s="5" t="str">
        <f aca="false">IF(B3033="","",IFERROR(INDEX(DE_PARA!$B$6:$B$205,MATCH(B3033,DE_PARA!$A$6:$A$205,0)),"SEM DE-PARA"))</f>
        <v/>
      </c>
      <c r="E3033" s="23" t="str">
        <f aca="false">IF(A3033="","",DATE(YEAR(A3033),MONTH(A3033),1))</f>
        <v/>
      </c>
    </row>
    <row r="3034" customFormat="false" ht="15" hidden="false" customHeight="false" outlineLevel="0" collapsed="false">
      <c r="A3034" s="21"/>
      <c r="B3034" s="4"/>
      <c r="C3034" s="22"/>
      <c r="D3034" s="5" t="str">
        <f aca="false">IF(B3034="","",IFERROR(INDEX(DE_PARA!$B$6:$B$205,MATCH(B3034,DE_PARA!$A$6:$A$205,0)),"SEM DE-PARA"))</f>
        <v/>
      </c>
      <c r="E3034" s="23" t="str">
        <f aca="false">IF(A3034="","",DATE(YEAR(A3034),MONTH(A3034),1))</f>
        <v/>
      </c>
    </row>
    <row r="3035" customFormat="false" ht="15" hidden="false" customHeight="false" outlineLevel="0" collapsed="false">
      <c r="A3035" s="21"/>
      <c r="B3035" s="4"/>
      <c r="C3035" s="22"/>
      <c r="D3035" s="5" t="str">
        <f aca="false">IF(B3035="","",IFERROR(INDEX(DE_PARA!$B$6:$B$205,MATCH(B3035,DE_PARA!$A$6:$A$205,0)),"SEM DE-PARA"))</f>
        <v/>
      </c>
      <c r="E3035" s="23" t="str">
        <f aca="false">IF(A3035="","",DATE(YEAR(A3035),MONTH(A3035),1))</f>
        <v/>
      </c>
    </row>
    <row r="3036" customFormat="false" ht="15" hidden="false" customHeight="false" outlineLevel="0" collapsed="false">
      <c r="A3036" s="21"/>
      <c r="B3036" s="4"/>
      <c r="C3036" s="22"/>
      <c r="D3036" s="5" t="str">
        <f aca="false">IF(B3036="","",IFERROR(INDEX(DE_PARA!$B$6:$B$205,MATCH(B3036,DE_PARA!$A$6:$A$205,0)),"SEM DE-PARA"))</f>
        <v/>
      </c>
      <c r="E3036" s="23" t="str">
        <f aca="false">IF(A3036="","",DATE(YEAR(A3036),MONTH(A3036),1))</f>
        <v/>
      </c>
    </row>
    <row r="3037" customFormat="false" ht="15" hidden="false" customHeight="false" outlineLevel="0" collapsed="false">
      <c r="A3037" s="21"/>
      <c r="B3037" s="4"/>
      <c r="C3037" s="22"/>
      <c r="D3037" s="5" t="str">
        <f aca="false">IF(B3037="","",IFERROR(INDEX(DE_PARA!$B$6:$B$205,MATCH(B3037,DE_PARA!$A$6:$A$205,0)),"SEM DE-PARA"))</f>
        <v/>
      </c>
      <c r="E3037" s="23" t="str">
        <f aca="false">IF(A3037="","",DATE(YEAR(A3037),MONTH(A3037),1))</f>
        <v/>
      </c>
    </row>
    <row r="3038" customFormat="false" ht="15" hidden="false" customHeight="false" outlineLevel="0" collapsed="false">
      <c r="A3038" s="21"/>
      <c r="B3038" s="4"/>
      <c r="C3038" s="22"/>
      <c r="D3038" s="5" t="str">
        <f aca="false">IF(B3038="","",IFERROR(INDEX(DE_PARA!$B$6:$B$205,MATCH(B3038,DE_PARA!$A$6:$A$205,0)),"SEM DE-PARA"))</f>
        <v/>
      </c>
      <c r="E3038" s="23" t="str">
        <f aca="false">IF(A3038="","",DATE(YEAR(A3038),MONTH(A3038),1))</f>
        <v/>
      </c>
    </row>
    <row r="3039" customFormat="false" ht="15" hidden="false" customHeight="false" outlineLevel="0" collapsed="false">
      <c r="A3039" s="21"/>
      <c r="B3039" s="4"/>
      <c r="C3039" s="22"/>
      <c r="D3039" s="5" t="str">
        <f aca="false">IF(B3039="","",IFERROR(INDEX(DE_PARA!$B$6:$B$205,MATCH(B3039,DE_PARA!$A$6:$A$205,0)),"SEM DE-PARA"))</f>
        <v/>
      </c>
      <c r="E3039" s="23" t="str">
        <f aca="false">IF(A3039="","",DATE(YEAR(A3039),MONTH(A3039),1))</f>
        <v/>
      </c>
    </row>
    <row r="3040" customFormat="false" ht="15" hidden="false" customHeight="false" outlineLevel="0" collapsed="false">
      <c r="A3040" s="21"/>
      <c r="B3040" s="4"/>
      <c r="C3040" s="22"/>
      <c r="D3040" s="5" t="str">
        <f aca="false">IF(B3040="","",IFERROR(INDEX(DE_PARA!$B$6:$B$205,MATCH(B3040,DE_PARA!$A$6:$A$205,0)),"SEM DE-PARA"))</f>
        <v/>
      </c>
      <c r="E3040" s="23" t="str">
        <f aca="false">IF(A3040="","",DATE(YEAR(A3040),MONTH(A3040),1))</f>
        <v/>
      </c>
    </row>
    <row r="3041" customFormat="false" ht="15" hidden="false" customHeight="false" outlineLevel="0" collapsed="false">
      <c r="A3041" s="21"/>
      <c r="B3041" s="4"/>
      <c r="C3041" s="22"/>
      <c r="D3041" s="5" t="str">
        <f aca="false">IF(B3041="","",IFERROR(INDEX(DE_PARA!$B$6:$B$205,MATCH(B3041,DE_PARA!$A$6:$A$205,0)),"SEM DE-PARA"))</f>
        <v/>
      </c>
      <c r="E3041" s="23" t="str">
        <f aca="false">IF(A3041="","",DATE(YEAR(A3041),MONTH(A3041),1))</f>
        <v/>
      </c>
    </row>
    <row r="3042" customFormat="false" ht="15" hidden="false" customHeight="false" outlineLevel="0" collapsed="false">
      <c r="A3042" s="21"/>
      <c r="B3042" s="4"/>
      <c r="C3042" s="22"/>
      <c r="D3042" s="5" t="str">
        <f aca="false">IF(B3042="","",IFERROR(INDEX(DE_PARA!$B$6:$B$205,MATCH(B3042,DE_PARA!$A$6:$A$205,0)),"SEM DE-PARA"))</f>
        <v/>
      </c>
      <c r="E3042" s="23" t="str">
        <f aca="false">IF(A3042="","",DATE(YEAR(A3042),MONTH(A3042),1))</f>
        <v/>
      </c>
    </row>
    <row r="3043" customFormat="false" ht="15" hidden="false" customHeight="false" outlineLevel="0" collapsed="false">
      <c r="A3043" s="21"/>
      <c r="B3043" s="4"/>
      <c r="C3043" s="22"/>
      <c r="D3043" s="5" t="str">
        <f aca="false">IF(B3043="","",IFERROR(INDEX(DE_PARA!$B$6:$B$205,MATCH(B3043,DE_PARA!$A$6:$A$205,0)),"SEM DE-PARA"))</f>
        <v/>
      </c>
      <c r="E3043" s="23" t="str">
        <f aca="false">IF(A3043="","",DATE(YEAR(A3043),MONTH(A3043),1))</f>
        <v/>
      </c>
    </row>
    <row r="3044" customFormat="false" ht="15" hidden="false" customHeight="false" outlineLevel="0" collapsed="false">
      <c r="A3044" s="21"/>
      <c r="B3044" s="4"/>
      <c r="C3044" s="22"/>
      <c r="D3044" s="5" t="str">
        <f aca="false">IF(B3044="","",IFERROR(INDEX(DE_PARA!$B$6:$B$205,MATCH(B3044,DE_PARA!$A$6:$A$205,0)),"SEM DE-PARA"))</f>
        <v/>
      </c>
      <c r="E3044" s="23" t="str">
        <f aca="false">IF(A3044="","",DATE(YEAR(A3044),MONTH(A3044),1))</f>
        <v/>
      </c>
    </row>
    <row r="3045" customFormat="false" ht="15" hidden="false" customHeight="false" outlineLevel="0" collapsed="false">
      <c r="A3045" s="21"/>
      <c r="B3045" s="4"/>
      <c r="C3045" s="22"/>
      <c r="D3045" s="5" t="str">
        <f aca="false">IF(B3045="","",IFERROR(INDEX(DE_PARA!$B$6:$B$205,MATCH(B3045,DE_PARA!$A$6:$A$205,0)),"SEM DE-PARA"))</f>
        <v/>
      </c>
      <c r="E3045" s="23" t="str">
        <f aca="false">IF(A3045="","",DATE(YEAR(A3045),MONTH(A3045),1))</f>
        <v/>
      </c>
    </row>
    <row r="3046" customFormat="false" ht="15" hidden="false" customHeight="false" outlineLevel="0" collapsed="false">
      <c r="A3046" s="21"/>
      <c r="B3046" s="4"/>
      <c r="C3046" s="22"/>
      <c r="D3046" s="5" t="str">
        <f aca="false">IF(B3046="","",IFERROR(INDEX(DE_PARA!$B$6:$B$205,MATCH(B3046,DE_PARA!$A$6:$A$205,0)),"SEM DE-PARA"))</f>
        <v/>
      </c>
      <c r="E3046" s="23" t="str">
        <f aca="false">IF(A3046="","",DATE(YEAR(A3046),MONTH(A3046),1))</f>
        <v/>
      </c>
    </row>
    <row r="3047" customFormat="false" ht="15" hidden="false" customHeight="false" outlineLevel="0" collapsed="false">
      <c r="A3047" s="21"/>
      <c r="B3047" s="4"/>
      <c r="C3047" s="22"/>
      <c r="D3047" s="5" t="str">
        <f aca="false">IF(B3047="","",IFERROR(INDEX(DE_PARA!$B$6:$B$205,MATCH(B3047,DE_PARA!$A$6:$A$205,0)),"SEM DE-PARA"))</f>
        <v/>
      </c>
      <c r="E3047" s="23" t="str">
        <f aca="false">IF(A3047="","",DATE(YEAR(A3047),MONTH(A3047),1))</f>
        <v/>
      </c>
    </row>
    <row r="3048" customFormat="false" ht="15" hidden="false" customHeight="false" outlineLevel="0" collapsed="false">
      <c r="A3048" s="21"/>
      <c r="B3048" s="4"/>
      <c r="C3048" s="22"/>
      <c r="D3048" s="5" t="str">
        <f aca="false">IF(B3048="","",IFERROR(INDEX(DE_PARA!$B$6:$B$205,MATCH(B3048,DE_PARA!$A$6:$A$205,0)),"SEM DE-PARA"))</f>
        <v/>
      </c>
      <c r="E3048" s="23" t="str">
        <f aca="false">IF(A3048="","",DATE(YEAR(A3048),MONTH(A3048),1))</f>
        <v/>
      </c>
    </row>
    <row r="3049" customFormat="false" ht="15" hidden="false" customHeight="false" outlineLevel="0" collapsed="false">
      <c r="A3049" s="21"/>
      <c r="B3049" s="4"/>
      <c r="C3049" s="22"/>
      <c r="D3049" s="5" t="str">
        <f aca="false">IF(B3049="","",IFERROR(INDEX(DE_PARA!$B$6:$B$205,MATCH(B3049,DE_PARA!$A$6:$A$205,0)),"SEM DE-PARA"))</f>
        <v/>
      </c>
      <c r="E3049" s="23" t="str">
        <f aca="false">IF(A3049="","",DATE(YEAR(A3049),MONTH(A3049),1))</f>
        <v/>
      </c>
    </row>
    <row r="3050" customFormat="false" ht="15" hidden="false" customHeight="false" outlineLevel="0" collapsed="false">
      <c r="A3050" s="21"/>
      <c r="B3050" s="4"/>
      <c r="C3050" s="22"/>
      <c r="D3050" s="5" t="str">
        <f aca="false">IF(B3050="","",IFERROR(INDEX(DE_PARA!$B$6:$B$205,MATCH(B3050,DE_PARA!$A$6:$A$205,0)),"SEM DE-PARA"))</f>
        <v/>
      </c>
      <c r="E3050" s="23" t="str">
        <f aca="false">IF(A3050="","",DATE(YEAR(A3050),MONTH(A3050),1))</f>
        <v/>
      </c>
    </row>
    <row r="3051" customFormat="false" ht="15" hidden="false" customHeight="false" outlineLevel="0" collapsed="false">
      <c r="A3051" s="21"/>
      <c r="B3051" s="4"/>
      <c r="C3051" s="22"/>
      <c r="D3051" s="5" t="str">
        <f aca="false">IF(B3051="","",IFERROR(INDEX(DE_PARA!$B$6:$B$205,MATCH(B3051,DE_PARA!$A$6:$A$205,0)),"SEM DE-PARA"))</f>
        <v/>
      </c>
      <c r="E3051" s="23" t="str">
        <f aca="false">IF(A3051="","",DATE(YEAR(A3051),MONTH(A3051),1))</f>
        <v/>
      </c>
    </row>
    <row r="3052" customFormat="false" ht="15" hidden="false" customHeight="false" outlineLevel="0" collapsed="false">
      <c r="A3052" s="21"/>
      <c r="B3052" s="4"/>
      <c r="C3052" s="22"/>
      <c r="D3052" s="5" t="str">
        <f aca="false">IF(B3052="","",IFERROR(INDEX(DE_PARA!$B$6:$B$205,MATCH(B3052,DE_PARA!$A$6:$A$205,0)),"SEM DE-PARA"))</f>
        <v/>
      </c>
      <c r="E3052" s="23" t="str">
        <f aca="false">IF(A3052="","",DATE(YEAR(A3052),MONTH(A3052),1))</f>
        <v/>
      </c>
    </row>
    <row r="3053" customFormat="false" ht="15" hidden="false" customHeight="false" outlineLevel="0" collapsed="false">
      <c r="A3053" s="21"/>
      <c r="B3053" s="4"/>
      <c r="C3053" s="22"/>
      <c r="D3053" s="5" t="str">
        <f aca="false">IF(B3053="","",IFERROR(INDEX(DE_PARA!$B$6:$B$205,MATCH(B3053,DE_PARA!$A$6:$A$205,0)),"SEM DE-PARA"))</f>
        <v/>
      </c>
      <c r="E3053" s="23" t="str">
        <f aca="false">IF(A3053="","",DATE(YEAR(A3053),MONTH(A3053),1))</f>
        <v/>
      </c>
    </row>
    <row r="3054" customFormat="false" ht="15" hidden="false" customHeight="false" outlineLevel="0" collapsed="false">
      <c r="A3054" s="21"/>
      <c r="B3054" s="4"/>
      <c r="C3054" s="22"/>
      <c r="D3054" s="5" t="str">
        <f aca="false">IF(B3054="","",IFERROR(INDEX(DE_PARA!$B$6:$B$205,MATCH(B3054,DE_PARA!$A$6:$A$205,0)),"SEM DE-PARA"))</f>
        <v/>
      </c>
      <c r="E3054" s="23" t="str">
        <f aca="false">IF(A3054="","",DATE(YEAR(A3054),MONTH(A3054),1))</f>
        <v/>
      </c>
    </row>
    <row r="3055" customFormat="false" ht="15" hidden="false" customHeight="false" outlineLevel="0" collapsed="false">
      <c r="A3055" s="21"/>
      <c r="B3055" s="4"/>
      <c r="C3055" s="22"/>
      <c r="D3055" s="5" t="str">
        <f aca="false">IF(B3055="","",IFERROR(INDEX(DE_PARA!$B$6:$B$205,MATCH(B3055,DE_PARA!$A$6:$A$205,0)),"SEM DE-PARA"))</f>
        <v/>
      </c>
      <c r="E3055" s="23" t="str">
        <f aca="false">IF(A3055="","",DATE(YEAR(A3055),MONTH(A3055),1))</f>
        <v/>
      </c>
    </row>
    <row r="3056" customFormat="false" ht="15" hidden="false" customHeight="false" outlineLevel="0" collapsed="false">
      <c r="A3056" s="21"/>
      <c r="B3056" s="4"/>
      <c r="C3056" s="22"/>
      <c r="D3056" s="5" t="str">
        <f aca="false">IF(B3056="","",IFERROR(INDEX(DE_PARA!$B$6:$B$205,MATCH(B3056,DE_PARA!$A$6:$A$205,0)),"SEM DE-PARA"))</f>
        <v/>
      </c>
      <c r="E3056" s="23" t="str">
        <f aca="false">IF(A3056="","",DATE(YEAR(A3056),MONTH(A3056),1))</f>
        <v/>
      </c>
    </row>
    <row r="3057" customFormat="false" ht="15" hidden="false" customHeight="false" outlineLevel="0" collapsed="false">
      <c r="A3057" s="21"/>
      <c r="B3057" s="4"/>
      <c r="C3057" s="22"/>
      <c r="D3057" s="5" t="str">
        <f aca="false">IF(B3057="","",IFERROR(INDEX(DE_PARA!$B$6:$B$205,MATCH(B3057,DE_PARA!$A$6:$A$205,0)),"SEM DE-PARA"))</f>
        <v/>
      </c>
      <c r="E3057" s="23" t="str">
        <f aca="false">IF(A3057="","",DATE(YEAR(A3057),MONTH(A3057),1))</f>
        <v/>
      </c>
    </row>
    <row r="3058" customFormat="false" ht="15" hidden="false" customHeight="false" outlineLevel="0" collapsed="false">
      <c r="A3058" s="21"/>
      <c r="B3058" s="4"/>
      <c r="C3058" s="22"/>
      <c r="D3058" s="5" t="str">
        <f aca="false">IF(B3058="","",IFERROR(INDEX(DE_PARA!$B$6:$B$205,MATCH(B3058,DE_PARA!$A$6:$A$205,0)),"SEM DE-PARA"))</f>
        <v/>
      </c>
      <c r="E3058" s="23" t="str">
        <f aca="false">IF(A3058="","",DATE(YEAR(A3058),MONTH(A3058),1))</f>
        <v/>
      </c>
    </row>
    <row r="3059" customFormat="false" ht="15" hidden="false" customHeight="false" outlineLevel="0" collapsed="false">
      <c r="A3059" s="21"/>
      <c r="B3059" s="4"/>
      <c r="C3059" s="22"/>
      <c r="D3059" s="5" t="str">
        <f aca="false">IF(B3059="","",IFERROR(INDEX(DE_PARA!$B$6:$B$205,MATCH(B3059,DE_PARA!$A$6:$A$205,0)),"SEM DE-PARA"))</f>
        <v/>
      </c>
      <c r="E3059" s="23" t="str">
        <f aca="false">IF(A3059="","",DATE(YEAR(A3059),MONTH(A3059),1))</f>
        <v/>
      </c>
    </row>
    <row r="3060" customFormat="false" ht="15" hidden="false" customHeight="false" outlineLevel="0" collapsed="false">
      <c r="A3060" s="21"/>
      <c r="B3060" s="4"/>
      <c r="C3060" s="22"/>
      <c r="D3060" s="5" t="str">
        <f aca="false">IF(B3060="","",IFERROR(INDEX(DE_PARA!$B$6:$B$205,MATCH(B3060,DE_PARA!$A$6:$A$205,0)),"SEM DE-PARA"))</f>
        <v/>
      </c>
      <c r="E3060" s="23" t="str">
        <f aca="false">IF(A3060="","",DATE(YEAR(A3060),MONTH(A3060),1))</f>
        <v/>
      </c>
    </row>
    <row r="3061" customFormat="false" ht="15" hidden="false" customHeight="false" outlineLevel="0" collapsed="false">
      <c r="A3061" s="21"/>
      <c r="B3061" s="4"/>
      <c r="C3061" s="22"/>
      <c r="D3061" s="5" t="str">
        <f aca="false">IF(B3061="","",IFERROR(INDEX(DE_PARA!$B$6:$B$205,MATCH(B3061,DE_PARA!$A$6:$A$205,0)),"SEM DE-PARA"))</f>
        <v/>
      </c>
      <c r="E3061" s="23" t="str">
        <f aca="false">IF(A3061="","",DATE(YEAR(A3061),MONTH(A3061),1))</f>
        <v/>
      </c>
    </row>
    <row r="3062" customFormat="false" ht="15" hidden="false" customHeight="false" outlineLevel="0" collapsed="false">
      <c r="A3062" s="21"/>
      <c r="B3062" s="4"/>
      <c r="C3062" s="22"/>
      <c r="D3062" s="5" t="str">
        <f aca="false">IF(B3062="","",IFERROR(INDEX(DE_PARA!$B$6:$B$205,MATCH(B3062,DE_PARA!$A$6:$A$205,0)),"SEM DE-PARA"))</f>
        <v/>
      </c>
      <c r="E3062" s="23" t="str">
        <f aca="false">IF(A3062="","",DATE(YEAR(A3062),MONTH(A3062),1))</f>
        <v/>
      </c>
    </row>
    <row r="3063" customFormat="false" ht="15" hidden="false" customHeight="false" outlineLevel="0" collapsed="false">
      <c r="A3063" s="21"/>
      <c r="B3063" s="4"/>
      <c r="C3063" s="22"/>
      <c r="D3063" s="5" t="str">
        <f aca="false">IF(B3063="","",IFERROR(INDEX(DE_PARA!$B$6:$B$205,MATCH(B3063,DE_PARA!$A$6:$A$205,0)),"SEM DE-PARA"))</f>
        <v/>
      </c>
      <c r="E3063" s="23" t="str">
        <f aca="false">IF(A3063="","",DATE(YEAR(A3063),MONTH(A3063),1))</f>
        <v/>
      </c>
    </row>
    <row r="3064" customFormat="false" ht="15" hidden="false" customHeight="false" outlineLevel="0" collapsed="false">
      <c r="A3064" s="21"/>
      <c r="B3064" s="4"/>
      <c r="C3064" s="22"/>
      <c r="D3064" s="5" t="str">
        <f aca="false">IF(B3064="","",IFERROR(INDEX(DE_PARA!$B$6:$B$205,MATCH(B3064,DE_PARA!$A$6:$A$205,0)),"SEM DE-PARA"))</f>
        <v/>
      </c>
      <c r="E3064" s="23" t="str">
        <f aca="false">IF(A3064="","",DATE(YEAR(A3064),MONTH(A3064),1))</f>
        <v/>
      </c>
    </row>
    <row r="3065" customFormat="false" ht="15" hidden="false" customHeight="false" outlineLevel="0" collapsed="false">
      <c r="A3065" s="21"/>
      <c r="B3065" s="4"/>
      <c r="C3065" s="22"/>
      <c r="D3065" s="5" t="str">
        <f aca="false">IF(B3065="","",IFERROR(INDEX(DE_PARA!$B$6:$B$205,MATCH(B3065,DE_PARA!$A$6:$A$205,0)),"SEM DE-PARA"))</f>
        <v/>
      </c>
      <c r="E3065" s="23" t="str">
        <f aca="false">IF(A3065="","",DATE(YEAR(A3065),MONTH(A3065),1))</f>
        <v/>
      </c>
    </row>
    <row r="3066" customFormat="false" ht="15" hidden="false" customHeight="false" outlineLevel="0" collapsed="false">
      <c r="A3066" s="21"/>
      <c r="B3066" s="4"/>
      <c r="C3066" s="22"/>
      <c r="D3066" s="5" t="str">
        <f aca="false">IF(B3066="","",IFERROR(INDEX(DE_PARA!$B$6:$B$205,MATCH(B3066,DE_PARA!$A$6:$A$205,0)),"SEM DE-PARA"))</f>
        <v/>
      </c>
      <c r="E3066" s="23" t="str">
        <f aca="false">IF(A3066="","",DATE(YEAR(A3066),MONTH(A3066),1))</f>
        <v/>
      </c>
    </row>
    <row r="3067" customFormat="false" ht="15" hidden="false" customHeight="false" outlineLevel="0" collapsed="false">
      <c r="A3067" s="21"/>
      <c r="B3067" s="4"/>
      <c r="C3067" s="22"/>
      <c r="D3067" s="5" t="str">
        <f aca="false">IF(B3067="","",IFERROR(INDEX(DE_PARA!$B$6:$B$205,MATCH(B3067,DE_PARA!$A$6:$A$205,0)),"SEM DE-PARA"))</f>
        <v/>
      </c>
      <c r="E3067" s="23" t="str">
        <f aca="false">IF(A3067="","",DATE(YEAR(A3067),MONTH(A3067),1))</f>
        <v/>
      </c>
    </row>
    <row r="3068" customFormat="false" ht="15" hidden="false" customHeight="false" outlineLevel="0" collapsed="false">
      <c r="A3068" s="21"/>
      <c r="B3068" s="4"/>
      <c r="C3068" s="22"/>
      <c r="D3068" s="5" t="str">
        <f aca="false">IF(B3068="","",IFERROR(INDEX(DE_PARA!$B$6:$B$205,MATCH(B3068,DE_PARA!$A$6:$A$205,0)),"SEM DE-PARA"))</f>
        <v/>
      </c>
      <c r="E3068" s="23" t="str">
        <f aca="false">IF(A3068="","",DATE(YEAR(A3068),MONTH(A3068),1))</f>
        <v/>
      </c>
    </row>
    <row r="3069" customFormat="false" ht="15" hidden="false" customHeight="false" outlineLevel="0" collapsed="false">
      <c r="A3069" s="21"/>
      <c r="B3069" s="4"/>
      <c r="C3069" s="22"/>
      <c r="D3069" s="5" t="str">
        <f aca="false">IF(B3069="","",IFERROR(INDEX(DE_PARA!$B$6:$B$205,MATCH(B3069,DE_PARA!$A$6:$A$205,0)),"SEM DE-PARA"))</f>
        <v/>
      </c>
      <c r="E3069" s="23" t="str">
        <f aca="false">IF(A3069="","",DATE(YEAR(A3069),MONTH(A3069),1))</f>
        <v/>
      </c>
    </row>
    <row r="3070" customFormat="false" ht="15" hidden="false" customHeight="false" outlineLevel="0" collapsed="false">
      <c r="A3070" s="21"/>
      <c r="B3070" s="4"/>
      <c r="C3070" s="22"/>
      <c r="D3070" s="5" t="str">
        <f aca="false">IF(B3070="","",IFERROR(INDEX(DE_PARA!$B$6:$B$205,MATCH(B3070,DE_PARA!$A$6:$A$205,0)),"SEM DE-PARA"))</f>
        <v/>
      </c>
      <c r="E3070" s="23" t="str">
        <f aca="false">IF(A3070="","",DATE(YEAR(A3070),MONTH(A3070),1))</f>
        <v/>
      </c>
    </row>
    <row r="3071" customFormat="false" ht="15" hidden="false" customHeight="false" outlineLevel="0" collapsed="false">
      <c r="A3071" s="21"/>
      <c r="B3071" s="4"/>
      <c r="C3071" s="22"/>
      <c r="D3071" s="5" t="str">
        <f aca="false">IF(B3071="","",IFERROR(INDEX(DE_PARA!$B$6:$B$205,MATCH(B3071,DE_PARA!$A$6:$A$205,0)),"SEM DE-PARA"))</f>
        <v/>
      </c>
      <c r="E3071" s="23" t="str">
        <f aca="false">IF(A3071="","",DATE(YEAR(A3071),MONTH(A3071),1))</f>
        <v/>
      </c>
    </row>
    <row r="3072" customFormat="false" ht="15" hidden="false" customHeight="false" outlineLevel="0" collapsed="false">
      <c r="A3072" s="21"/>
      <c r="B3072" s="4"/>
      <c r="C3072" s="22"/>
      <c r="D3072" s="5" t="str">
        <f aca="false">IF(B3072="","",IFERROR(INDEX(DE_PARA!$B$6:$B$205,MATCH(B3072,DE_PARA!$A$6:$A$205,0)),"SEM DE-PARA"))</f>
        <v/>
      </c>
      <c r="E3072" s="23" t="str">
        <f aca="false">IF(A3072="","",DATE(YEAR(A3072),MONTH(A3072),1))</f>
        <v/>
      </c>
    </row>
    <row r="3073" customFormat="false" ht="15" hidden="false" customHeight="false" outlineLevel="0" collapsed="false">
      <c r="A3073" s="21"/>
      <c r="B3073" s="4"/>
      <c r="C3073" s="22"/>
      <c r="D3073" s="5" t="str">
        <f aca="false">IF(B3073="","",IFERROR(INDEX(DE_PARA!$B$6:$B$205,MATCH(B3073,DE_PARA!$A$6:$A$205,0)),"SEM DE-PARA"))</f>
        <v/>
      </c>
      <c r="E3073" s="23" t="str">
        <f aca="false">IF(A3073="","",DATE(YEAR(A3073),MONTH(A3073),1))</f>
        <v/>
      </c>
    </row>
    <row r="3074" customFormat="false" ht="15" hidden="false" customHeight="false" outlineLevel="0" collapsed="false">
      <c r="A3074" s="21"/>
      <c r="B3074" s="4"/>
      <c r="C3074" s="22"/>
      <c r="D3074" s="5" t="str">
        <f aca="false">IF(B3074="","",IFERROR(INDEX(DE_PARA!$B$6:$B$205,MATCH(B3074,DE_PARA!$A$6:$A$205,0)),"SEM DE-PARA"))</f>
        <v/>
      </c>
      <c r="E3074" s="23" t="str">
        <f aca="false">IF(A3074="","",DATE(YEAR(A3074),MONTH(A3074),1))</f>
        <v/>
      </c>
    </row>
    <row r="3075" customFormat="false" ht="15" hidden="false" customHeight="false" outlineLevel="0" collapsed="false">
      <c r="A3075" s="21"/>
      <c r="B3075" s="4"/>
      <c r="C3075" s="22"/>
      <c r="D3075" s="5" t="str">
        <f aca="false">IF(B3075="","",IFERROR(INDEX(DE_PARA!$B$6:$B$205,MATCH(B3075,DE_PARA!$A$6:$A$205,0)),"SEM DE-PARA"))</f>
        <v/>
      </c>
      <c r="E3075" s="23" t="str">
        <f aca="false">IF(A3075="","",DATE(YEAR(A3075),MONTH(A3075),1))</f>
        <v/>
      </c>
    </row>
    <row r="3076" customFormat="false" ht="15" hidden="false" customHeight="false" outlineLevel="0" collapsed="false">
      <c r="A3076" s="21"/>
      <c r="B3076" s="4"/>
      <c r="C3076" s="22"/>
      <c r="D3076" s="5" t="str">
        <f aca="false">IF(B3076="","",IFERROR(INDEX(DE_PARA!$B$6:$B$205,MATCH(B3076,DE_PARA!$A$6:$A$205,0)),"SEM DE-PARA"))</f>
        <v/>
      </c>
      <c r="E3076" s="23" t="str">
        <f aca="false">IF(A3076="","",DATE(YEAR(A3076),MONTH(A3076),1))</f>
        <v/>
      </c>
    </row>
    <row r="3077" customFormat="false" ht="15" hidden="false" customHeight="false" outlineLevel="0" collapsed="false">
      <c r="A3077" s="21"/>
      <c r="B3077" s="4"/>
      <c r="C3077" s="22"/>
      <c r="D3077" s="5" t="str">
        <f aca="false">IF(B3077="","",IFERROR(INDEX(DE_PARA!$B$6:$B$205,MATCH(B3077,DE_PARA!$A$6:$A$205,0)),"SEM DE-PARA"))</f>
        <v/>
      </c>
      <c r="E3077" s="23" t="str">
        <f aca="false">IF(A3077="","",DATE(YEAR(A3077),MONTH(A3077),1))</f>
        <v/>
      </c>
    </row>
    <row r="3078" customFormat="false" ht="15" hidden="false" customHeight="false" outlineLevel="0" collapsed="false">
      <c r="A3078" s="21"/>
      <c r="B3078" s="4"/>
      <c r="C3078" s="22"/>
      <c r="D3078" s="5" t="str">
        <f aca="false">IF(B3078="","",IFERROR(INDEX(DE_PARA!$B$6:$B$205,MATCH(B3078,DE_PARA!$A$6:$A$205,0)),"SEM DE-PARA"))</f>
        <v/>
      </c>
      <c r="E3078" s="23" t="str">
        <f aca="false">IF(A3078="","",DATE(YEAR(A3078),MONTH(A3078),1))</f>
        <v/>
      </c>
    </row>
    <row r="3079" customFormat="false" ht="15" hidden="false" customHeight="false" outlineLevel="0" collapsed="false">
      <c r="A3079" s="21"/>
      <c r="B3079" s="4"/>
      <c r="C3079" s="22"/>
      <c r="D3079" s="5" t="str">
        <f aca="false">IF(B3079="","",IFERROR(INDEX(DE_PARA!$B$6:$B$205,MATCH(B3079,DE_PARA!$A$6:$A$205,0)),"SEM DE-PARA"))</f>
        <v/>
      </c>
      <c r="E3079" s="23" t="str">
        <f aca="false">IF(A3079="","",DATE(YEAR(A3079),MONTH(A3079),1))</f>
        <v/>
      </c>
    </row>
    <row r="3080" customFormat="false" ht="15" hidden="false" customHeight="false" outlineLevel="0" collapsed="false">
      <c r="A3080" s="21"/>
      <c r="B3080" s="4"/>
      <c r="C3080" s="22"/>
      <c r="D3080" s="5" t="str">
        <f aca="false">IF(B3080="","",IFERROR(INDEX(DE_PARA!$B$6:$B$205,MATCH(B3080,DE_PARA!$A$6:$A$205,0)),"SEM DE-PARA"))</f>
        <v/>
      </c>
      <c r="E3080" s="23" t="str">
        <f aca="false">IF(A3080="","",DATE(YEAR(A3080),MONTH(A3080),1))</f>
        <v/>
      </c>
    </row>
    <row r="3081" customFormat="false" ht="15" hidden="false" customHeight="false" outlineLevel="0" collapsed="false">
      <c r="A3081" s="21"/>
      <c r="B3081" s="4"/>
      <c r="C3081" s="22"/>
      <c r="D3081" s="5" t="str">
        <f aca="false">IF(B3081="","",IFERROR(INDEX(DE_PARA!$B$6:$B$205,MATCH(B3081,DE_PARA!$A$6:$A$205,0)),"SEM DE-PARA"))</f>
        <v/>
      </c>
      <c r="E3081" s="23" t="str">
        <f aca="false">IF(A3081="","",DATE(YEAR(A3081),MONTH(A3081),1))</f>
        <v/>
      </c>
    </row>
    <row r="3082" customFormat="false" ht="15" hidden="false" customHeight="false" outlineLevel="0" collapsed="false">
      <c r="A3082" s="21"/>
      <c r="B3082" s="4"/>
      <c r="C3082" s="22"/>
      <c r="D3082" s="5" t="str">
        <f aca="false">IF(B3082="","",IFERROR(INDEX(DE_PARA!$B$6:$B$205,MATCH(B3082,DE_PARA!$A$6:$A$205,0)),"SEM DE-PARA"))</f>
        <v/>
      </c>
      <c r="E3082" s="23" t="str">
        <f aca="false">IF(A3082="","",DATE(YEAR(A3082),MONTH(A3082),1))</f>
        <v/>
      </c>
    </row>
    <row r="3083" customFormat="false" ht="15" hidden="false" customHeight="false" outlineLevel="0" collapsed="false">
      <c r="A3083" s="21"/>
      <c r="B3083" s="4"/>
      <c r="C3083" s="22"/>
      <c r="D3083" s="5" t="str">
        <f aca="false">IF(B3083="","",IFERROR(INDEX(DE_PARA!$B$6:$B$205,MATCH(B3083,DE_PARA!$A$6:$A$205,0)),"SEM DE-PARA"))</f>
        <v/>
      </c>
      <c r="E3083" s="23" t="str">
        <f aca="false">IF(A3083="","",DATE(YEAR(A3083),MONTH(A3083),1))</f>
        <v/>
      </c>
    </row>
    <row r="3084" customFormat="false" ht="15" hidden="false" customHeight="false" outlineLevel="0" collapsed="false">
      <c r="A3084" s="21"/>
      <c r="B3084" s="4"/>
      <c r="C3084" s="22"/>
      <c r="D3084" s="5" t="str">
        <f aca="false">IF(B3084="","",IFERROR(INDEX(DE_PARA!$B$6:$B$205,MATCH(B3084,DE_PARA!$A$6:$A$205,0)),"SEM DE-PARA"))</f>
        <v/>
      </c>
      <c r="E3084" s="23" t="str">
        <f aca="false">IF(A3084="","",DATE(YEAR(A3084),MONTH(A3084),1))</f>
        <v/>
      </c>
    </row>
    <row r="3085" customFormat="false" ht="15" hidden="false" customHeight="false" outlineLevel="0" collapsed="false">
      <c r="A3085" s="21"/>
      <c r="B3085" s="4"/>
      <c r="C3085" s="22"/>
      <c r="D3085" s="5" t="str">
        <f aca="false">IF(B3085="","",IFERROR(INDEX(DE_PARA!$B$6:$B$205,MATCH(B3085,DE_PARA!$A$6:$A$205,0)),"SEM DE-PARA"))</f>
        <v/>
      </c>
      <c r="E3085" s="23" t="str">
        <f aca="false">IF(A3085="","",DATE(YEAR(A3085),MONTH(A3085),1))</f>
        <v/>
      </c>
    </row>
    <row r="3086" customFormat="false" ht="15" hidden="false" customHeight="false" outlineLevel="0" collapsed="false">
      <c r="A3086" s="21"/>
      <c r="B3086" s="4"/>
      <c r="C3086" s="22"/>
      <c r="D3086" s="5" t="str">
        <f aca="false">IF(B3086="","",IFERROR(INDEX(DE_PARA!$B$6:$B$205,MATCH(B3086,DE_PARA!$A$6:$A$205,0)),"SEM DE-PARA"))</f>
        <v/>
      </c>
      <c r="E3086" s="23" t="str">
        <f aca="false">IF(A3086="","",DATE(YEAR(A3086),MONTH(A3086),1))</f>
        <v/>
      </c>
    </row>
    <row r="3087" customFormat="false" ht="15" hidden="false" customHeight="false" outlineLevel="0" collapsed="false">
      <c r="A3087" s="21"/>
      <c r="B3087" s="4"/>
      <c r="C3087" s="22"/>
      <c r="D3087" s="5" t="str">
        <f aca="false">IF(B3087="","",IFERROR(INDEX(DE_PARA!$B$6:$B$205,MATCH(B3087,DE_PARA!$A$6:$A$205,0)),"SEM DE-PARA"))</f>
        <v/>
      </c>
      <c r="E3087" s="23" t="str">
        <f aca="false">IF(A3087="","",DATE(YEAR(A3087),MONTH(A3087),1))</f>
        <v/>
      </c>
    </row>
    <row r="3088" customFormat="false" ht="15" hidden="false" customHeight="false" outlineLevel="0" collapsed="false">
      <c r="A3088" s="21"/>
      <c r="B3088" s="4"/>
      <c r="C3088" s="22"/>
      <c r="D3088" s="5" t="str">
        <f aca="false">IF(B3088="","",IFERROR(INDEX(DE_PARA!$B$6:$B$205,MATCH(B3088,DE_PARA!$A$6:$A$205,0)),"SEM DE-PARA"))</f>
        <v/>
      </c>
      <c r="E3088" s="23" t="str">
        <f aca="false">IF(A3088="","",DATE(YEAR(A3088),MONTH(A3088),1))</f>
        <v/>
      </c>
    </row>
    <row r="3089" customFormat="false" ht="15" hidden="false" customHeight="false" outlineLevel="0" collapsed="false">
      <c r="A3089" s="21"/>
      <c r="B3089" s="4"/>
      <c r="C3089" s="22"/>
      <c r="D3089" s="5" t="str">
        <f aca="false">IF(B3089="","",IFERROR(INDEX(DE_PARA!$B$6:$B$205,MATCH(B3089,DE_PARA!$A$6:$A$205,0)),"SEM DE-PARA"))</f>
        <v/>
      </c>
      <c r="E3089" s="23" t="str">
        <f aca="false">IF(A3089="","",DATE(YEAR(A3089),MONTH(A3089),1))</f>
        <v/>
      </c>
    </row>
    <row r="3090" customFormat="false" ht="15" hidden="false" customHeight="false" outlineLevel="0" collapsed="false">
      <c r="A3090" s="21"/>
      <c r="B3090" s="4"/>
      <c r="C3090" s="22"/>
      <c r="D3090" s="5" t="str">
        <f aca="false">IF(B3090="","",IFERROR(INDEX(DE_PARA!$B$6:$B$205,MATCH(B3090,DE_PARA!$A$6:$A$205,0)),"SEM DE-PARA"))</f>
        <v/>
      </c>
      <c r="E3090" s="23" t="str">
        <f aca="false">IF(A3090="","",DATE(YEAR(A3090),MONTH(A3090),1))</f>
        <v/>
      </c>
    </row>
    <row r="3091" customFormat="false" ht="15" hidden="false" customHeight="false" outlineLevel="0" collapsed="false">
      <c r="A3091" s="21"/>
      <c r="B3091" s="4"/>
      <c r="C3091" s="22"/>
      <c r="D3091" s="5" t="str">
        <f aca="false">IF(B3091="","",IFERROR(INDEX(DE_PARA!$B$6:$B$205,MATCH(B3091,DE_PARA!$A$6:$A$205,0)),"SEM DE-PARA"))</f>
        <v/>
      </c>
      <c r="E3091" s="23" t="str">
        <f aca="false">IF(A3091="","",DATE(YEAR(A3091),MONTH(A3091),1))</f>
        <v/>
      </c>
    </row>
    <row r="3092" customFormat="false" ht="15" hidden="false" customHeight="false" outlineLevel="0" collapsed="false">
      <c r="A3092" s="21"/>
      <c r="B3092" s="4"/>
      <c r="C3092" s="22"/>
      <c r="D3092" s="5" t="str">
        <f aca="false">IF(B3092="","",IFERROR(INDEX(DE_PARA!$B$6:$B$205,MATCH(B3092,DE_PARA!$A$6:$A$205,0)),"SEM DE-PARA"))</f>
        <v/>
      </c>
      <c r="E3092" s="23" t="str">
        <f aca="false">IF(A3092="","",DATE(YEAR(A3092),MONTH(A3092),1))</f>
        <v/>
      </c>
    </row>
    <row r="3093" customFormat="false" ht="15" hidden="false" customHeight="false" outlineLevel="0" collapsed="false">
      <c r="A3093" s="21"/>
      <c r="B3093" s="4"/>
      <c r="C3093" s="22"/>
      <c r="D3093" s="5" t="str">
        <f aca="false">IF(B3093="","",IFERROR(INDEX(DE_PARA!$B$6:$B$205,MATCH(B3093,DE_PARA!$A$6:$A$205,0)),"SEM DE-PARA"))</f>
        <v/>
      </c>
      <c r="E3093" s="23" t="str">
        <f aca="false">IF(A3093="","",DATE(YEAR(A3093),MONTH(A3093),1))</f>
        <v/>
      </c>
    </row>
    <row r="3094" customFormat="false" ht="15" hidden="false" customHeight="false" outlineLevel="0" collapsed="false">
      <c r="A3094" s="21"/>
      <c r="B3094" s="4"/>
      <c r="C3094" s="22"/>
      <c r="D3094" s="5" t="str">
        <f aca="false">IF(B3094="","",IFERROR(INDEX(DE_PARA!$B$6:$B$205,MATCH(B3094,DE_PARA!$A$6:$A$205,0)),"SEM DE-PARA"))</f>
        <v/>
      </c>
      <c r="E3094" s="23" t="str">
        <f aca="false">IF(A3094="","",DATE(YEAR(A3094),MONTH(A3094),1))</f>
        <v/>
      </c>
    </row>
    <row r="3095" customFormat="false" ht="15" hidden="false" customHeight="false" outlineLevel="0" collapsed="false">
      <c r="A3095" s="21"/>
      <c r="B3095" s="4"/>
      <c r="C3095" s="22"/>
      <c r="D3095" s="5" t="str">
        <f aca="false">IF(B3095="","",IFERROR(INDEX(DE_PARA!$B$6:$B$205,MATCH(B3095,DE_PARA!$A$6:$A$205,0)),"SEM DE-PARA"))</f>
        <v/>
      </c>
      <c r="E3095" s="23" t="str">
        <f aca="false">IF(A3095="","",DATE(YEAR(A3095),MONTH(A3095),1))</f>
        <v/>
      </c>
    </row>
    <row r="3096" customFormat="false" ht="15" hidden="false" customHeight="false" outlineLevel="0" collapsed="false">
      <c r="A3096" s="21"/>
      <c r="B3096" s="4"/>
      <c r="C3096" s="22"/>
      <c r="D3096" s="5" t="str">
        <f aca="false">IF(B3096="","",IFERROR(INDEX(DE_PARA!$B$6:$B$205,MATCH(B3096,DE_PARA!$A$6:$A$205,0)),"SEM DE-PARA"))</f>
        <v/>
      </c>
      <c r="E3096" s="23" t="str">
        <f aca="false">IF(A3096="","",DATE(YEAR(A3096),MONTH(A3096),1))</f>
        <v/>
      </c>
    </row>
    <row r="3097" customFormat="false" ht="15" hidden="false" customHeight="false" outlineLevel="0" collapsed="false">
      <c r="A3097" s="21"/>
      <c r="B3097" s="4"/>
      <c r="C3097" s="22"/>
      <c r="D3097" s="5" t="str">
        <f aca="false">IF(B3097="","",IFERROR(INDEX(DE_PARA!$B$6:$B$205,MATCH(B3097,DE_PARA!$A$6:$A$205,0)),"SEM DE-PARA"))</f>
        <v/>
      </c>
      <c r="E3097" s="23" t="str">
        <f aca="false">IF(A3097="","",DATE(YEAR(A3097),MONTH(A3097),1))</f>
        <v/>
      </c>
    </row>
    <row r="3098" customFormat="false" ht="15" hidden="false" customHeight="false" outlineLevel="0" collapsed="false">
      <c r="A3098" s="21"/>
      <c r="B3098" s="4"/>
      <c r="C3098" s="22"/>
      <c r="D3098" s="5" t="str">
        <f aca="false">IF(B3098="","",IFERROR(INDEX(DE_PARA!$B$6:$B$205,MATCH(B3098,DE_PARA!$A$6:$A$205,0)),"SEM DE-PARA"))</f>
        <v/>
      </c>
      <c r="E3098" s="23" t="str">
        <f aca="false">IF(A3098="","",DATE(YEAR(A3098),MONTH(A3098),1))</f>
        <v/>
      </c>
    </row>
    <row r="3099" customFormat="false" ht="15" hidden="false" customHeight="false" outlineLevel="0" collapsed="false">
      <c r="A3099" s="21"/>
      <c r="B3099" s="4"/>
      <c r="C3099" s="22"/>
      <c r="D3099" s="5" t="str">
        <f aca="false">IF(B3099="","",IFERROR(INDEX(DE_PARA!$B$6:$B$205,MATCH(B3099,DE_PARA!$A$6:$A$205,0)),"SEM DE-PARA"))</f>
        <v/>
      </c>
      <c r="E3099" s="23" t="str">
        <f aca="false">IF(A3099="","",DATE(YEAR(A3099),MONTH(A3099),1))</f>
        <v/>
      </c>
    </row>
    <row r="3100" customFormat="false" ht="15" hidden="false" customHeight="false" outlineLevel="0" collapsed="false">
      <c r="A3100" s="21"/>
      <c r="B3100" s="4"/>
      <c r="C3100" s="22"/>
      <c r="D3100" s="5" t="str">
        <f aca="false">IF(B3100="","",IFERROR(INDEX(DE_PARA!$B$6:$B$205,MATCH(B3100,DE_PARA!$A$6:$A$205,0)),"SEM DE-PARA"))</f>
        <v/>
      </c>
      <c r="E3100" s="23" t="str">
        <f aca="false">IF(A3100="","",DATE(YEAR(A3100),MONTH(A3100),1))</f>
        <v/>
      </c>
    </row>
    <row r="3101" customFormat="false" ht="15" hidden="false" customHeight="false" outlineLevel="0" collapsed="false">
      <c r="A3101" s="21"/>
      <c r="B3101" s="4"/>
      <c r="C3101" s="22"/>
      <c r="D3101" s="5" t="str">
        <f aca="false">IF(B3101="","",IFERROR(INDEX(DE_PARA!$B$6:$B$205,MATCH(B3101,DE_PARA!$A$6:$A$205,0)),"SEM DE-PARA"))</f>
        <v/>
      </c>
      <c r="E3101" s="23" t="str">
        <f aca="false">IF(A3101="","",DATE(YEAR(A3101),MONTH(A3101),1))</f>
        <v/>
      </c>
    </row>
    <row r="3102" customFormat="false" ht="15" hidden="false" customHeight="false" outlineLevel="0" collapsed="false">
      <c r="A3102" s="21"/>
      <c r="B3102" s="4"/>
      <c r="C3102" s="22"/>
      <c r="D3102" s="5" t="str">
        <f aca="false">IF(B3102="","",IFERROR(INDEX(DE_PARA!$B$6:$B$205,MATCH(B3102,DE_PARA!$A$6:$A$205,0)),"SEM DE-PARA"))</f>
        <v/>
      </c>
      <c r="E3102" s="23" t="str">
        <f aca="false">IF(A3102="","",DATE(YEAR(A3102),MONTH(A3102),1))</f>
        <v/>
      </c>
    </row>
    <row r="3103" customFormat="false" ht="15" hidden="false" customHeight="false" outlineLevel="0" collapsed="false">
      <c r="A3103" s="21"/>
      <c r="B3103" s="4"/>
      <c r="C3103" s="22"/>
      <c r="D3103" s="5" t="str">
        <f aca="false">IF(B3103="","",IFERROR(INDEX(DE_PARA!$B$6:$B$205,MATCH(B3103,DE_PARA!$A$6:$A$205,0)),"SEM DE-PARA"))</f>
        <v/>
      </c>
      <c r="E3103" s="23" t="str">
        <f aca="false">IF(A3103="","",DATE(YEAR(A3103),MONTH(A3103),1))</f>
        <v/>
      </c>
    </row>
    <row r="3104" customFormat="false" ht="15" hidden="false" customHeight="false" outlineLevel="0" collapsed="false">
      <c r="A3104" s="21"/>
      <c r="B3104" s="4"/>
      <c r="C3104" s="22"/>
      <c r="D3104" s="5" t="str">
        <f aca="false">IF(B3104="","",IFERROR(INDEX(DE_PARA!$B$6:$B$205,MATCH(B3104,DE_PARA!$A$6:$A$205,0)),"SEM DE-PARA"))</f>
        <v/>
      </c>
      <c r="E3104" s="23" t="str">
        <f aca="false">IF(A3104="","",DATE(YEAR(A3104),MONTH(A3104),1))</f>
        <v/>
      </c>
    </row>
    <row r="3105" customFormat="false" ht="15" hidden="false" customHeight="false" outlineLevel="0" collapsed="false">
      <c r="A3105" s="21"/>
      <c r="B3105" s="4"/>
      <c r="C3105" s="22"/>
      <c r="D3105" s="5" t="str">
        <f aca="false">IF(B3105="","",IFERROR(INDEX(DE_PARA!$B$6:$B$205,MATCH(B3105,DE_PARA!$A$6:$A$205,0)),"SEM DE-PARA"))</f>
        <v/>
      </c>
      <c r="E3105" s="23" t="str">
        <f aca="false">IF(A3105="","",DATE(YEAR(A3105),MONTH(A3105),1))</f>
        <v/>
      </c>
    </row>
    <row r="3106" customFormat="false" ht="15" hidden="false" customHeight="false" outlineLevel="0" collapsed="false">
      <c r="A3106" s="21"/>
      <c r="B3106" s="4"/>
      <c r="C3106" s="22"/>
      <c r="D3106" s="5" t="str">
        <f aca="false">IF(B3106="","",IFERROR(INDEX(DE_PARA!$B$6:$B$205,MATCH(B3106,DE_PARA!$A$6:$A$205,0)),"SEM DE-PARA"))</f>
        <v/>
      </c>
      <c r="E3106" s="23" t="str">
        <f aca="false">IF(A3106="","",DATE(YEAR(A3106),MONTH(A3106),1))</f>
        <v/>
      </c>
    </row>
    <row r="3107" customFormat="false" ht="15" hidden="false" customHeight="false" outlineLevel="0" collapsed="false">
      <c r="A3107" s="21"/>
      <c r="B3107" s="4"/>
      <c r="C3107" s="22"/>
      <c r="D3107" s="5" t="str">
        <f aca="false">IF(B3107="","",IFERROR(INDEX(DE_PARA!$B$6:$B$205,MATCH(B3107,DE_PARA!$A$6:$A$205,0)),"SEM DE-PARA"))</f>
        <v/>
      </c>
      <c r="E3107" s="23" t="str">
        <f aca="false">IF(A3107="","",DATE(YEAR(A3107),MONTH(A3107),1))</f>
        <v/>
      </c>
    </row>
    <row r="3108" customFormat="false" ht="15" hidden="false" customHeight="false" outlineLevel="0" collapsed="false">
      <c r="A3108" s="21"/>
      <c r="B3108" s="4"/>
      <c r="C3108" s="22"/>
      <c r="D3108" s="5" t="str">
        <f aca="false">IF(B3108="","",IFERROR(INDEX(DE_PARA!$B$6:$B$205,MATCH(B3108,DE_PARA!$A$6:$A$205,0)),"SEM DE-PARA"))</f>
        <v/>
      </c>
      <c r="E3108" s="23" t="str">
        <f aca="false">IF(A3108="","",DATE(YEAR(A3108),MONTH(A3108),1))</f>
        <v/>
      </c>
    </row>
    <row r="3109" customFormat="false" ht="15" hidden="false" customHeight="false" outlineLevel="0" collapsed="false">
      <c r="A3109" s="21"/>
      <c r="B3109" s="4"/>
      <c r="C3109" s="22"/>
      <c r="D3109" s="5" t="str">
        <f aca="false">IF(B3109="","",IFERROR(INDEX(DE_PARA!$B$6:$B$205,MATCH(B3109,DE_PARA!$A$6:$A$205,0)),"SEM DE-PARA"))</f>
        <v/>
      </c>
      <c r="E3109" s="23" t="str">
        <f aca="false">IF(A3109="","",DATE(YEAR(A3109),MONTH(A3109),1))</f>
        <v/>
      </c>
    </row>
    <row r="3110" customFormat="false" ht="15" hidden="false" customHeight="false" outlineLevel="0" collapsed="false">
      <c r="A3110" s="21"/>
      <c r="B3110" s="4"/>
      <c r="C3110" s="22"/>
      <c r="D3110" s="5" t="str">
        <f aca="false">IF(B3110="","",IFERROR(INDEX(DE_PARA!$B$6:$B$205,MATCH(B3110,DE_PARA!$A$6:$A$205,0)),"SEM DE-PARA"))</f>
        <v/>
      </c>
      <c r="E3110" s="23" t="str">
        <f aca="false">IF(A3110="","",DATE(YEAR(A3110),MONTH(A3110),1))</f>
        <v/>
      </c>
    </row>
    <row r="3111" customFormat="false" ht="15" hidden="false" customHeight="false" outlineLevel="0" collapsed="false">
      <c r="A3111" s="21"/>
      <c r="B3111" s="4"/>
      <c r="C3111" s="22"/>
      <c r="D3111" s="5" t="str">
        <f aca="false">IF(B3111="","",IFERROR(INDEX(DE_PARA!$B$6:$B$205,MATCH(B3111,DE_PARA!$A$6:$A$205,0)),"SEM DE-PARA"))</f>
        <v/>
      </c>
      <c r="E3111" s="23" t="str">
        <f aca="false">IF(A3111="","",DATE(YEAR(A3111),MONTH(A3111),1))</f>
        <v/>
      </c>
    </row>
    <row r="3112" customFormat="false" ht="15" hidden="false" customHeight="false" outlineLevel="0" collapsed="false">
      <c r="A3112" s="21"/>
      <c r="B3112" s="4"/>
      <c r="C3112" s="22"/>
      <c r="D3112" s="5" t="str">
        <f aca="false">IF(B3112="","",IFERROR(INDEX(DE_PARA!$B$6:$B$205,MATCH(B3112,DE_PARA!$A$6:$A$205,0)),"SEM DE-PARA"))</f>
        <v/>
      </c>
      <c r="E3112" s="23" t="str">
        <f aca="false">IF(A3112="","",DATE(YEAR(A3112),MONTH(A3112),1))</f>
        <v/>
      </c>
    </row>
    <row r="3113" customFormat="false" ht="15" hidden="false" customHeight="false" outlineLevel="0" collapsed="false">
      <c r="A3113" s="21"/>
      <c r="B3113" s="4"/>
      <c r="C3113" s="22"/>
      <c r="D3113" s="5" t="str">
        <f aca="false">IF(B3113="","",IFERROR(INDEX(DE_PARA!$B$6:$B$205,MATCH(B3113,DE_PARA!$A$6:$A$205,0)),"SEM DE-PARA"))</f>
        <v/>
      </c>
      <c r="E3113" s="23" t="str">
        <f aca="false">IF(A3113="","",DATE(YEAR(A3113),MONTH(A3113),1))</f>
        <v/>
      </c>
    </row>
    <row r="3114" customFormat="false" ht="15" hidden="false" customHeight="false" outlineLevel="0" collapsed="false">
      <c r="A3114" s="21"/>
      <c r="B3114" s="4"/>
      <c r="C3114" s="22"/>
      <c r="D3114" s="5" t="str">
        <f aca="false">IF(B3114="","",IFERROR(INDEX(DE_PARA!$B$6:$B$205,MATCH(B3114,DE_PARA!$A$6:$A$205,0)),"SEM DE-PARA"))</f>
        <v/>
      </c>
      <c r="E3114" s="23" t="str">
        <f aca="false">IF(A3114="","",DATE(YEAR(A3114),MONTH(A3114),1))</f>
        <v/>
      </c>
    </row>
    <row r="3115" customFormat="false" ht="15" hidden="false" customHeight="false" outlineLevel="0" collapsed="false">
      <c r="A3115" s="21"/>
      <c r="B3115" s="4"/>
      <c r="C3115" s="22"/>
      <c r="D3115" s="5" t="str">
        <f aca="false">IF(B3115="","",IFERROR(INDEX(DE_PARA!$B$6:$B$205,MATCH(B3115,DE_PARA!$A$6:$A$205,0)),"SEM DE-PARA"))</f>
        <v/>
      </c>
      <c r="E3115" s="23" t="str">
        <f aca="false">IF(A3115="","",DATE(YEAR(A3115),MONTH(A3115),1))</f>
        <v/>
      </c>
    </row>
    <row r="3116" customFormat="false" ht="15" hidden="false" customHeight="false" outlineLevel="0" collapsed="false">
      <c r="A3116" s="21"/>
      <c r="B3116" s="4"/>
      <c r="C3116" s="22"/>
      <c r="D3116" s="5" t="str">
        <f aca="false">IF(B3116="","",IFERROR(INDEX(DE_PARA!$B$6:$B$205,MATCH(B3116,DE_PARA!$A$6:$A$205,0)),"SEM DE-PARA"))</f>
        <v/>
      </c>
      <c r="E3116" s="23" t="str">
        <f aca="false">IF(A3116="","",DATE(YEAR(A3116),MONTH(A3116),1))</f>
        <v/>
      </c>
    </row>
    <row r="3117" customFormat="false" ht="15" hidden="false" customHeight="false" outlineLevel="0" collapsed="false">
      <c r="A3117" s="21"/>
      <c r="B3117" s="4"/>
      <c r="C3117" s="22"/>
      <c r="D3117" s="5" t="str">
        <f aca="false">IF(B3117="","",IFERROR(INDEX(DE_PARA!$B$6:$B$205,MATCH(B3117,DE_PARA!$A$6:$A$205,0)),"SEM DE-PARA"))</f>
        <v/>
      </c>
      <c r="E3117" s="23" t="str">
        <f aca="false">IF(A3117="","",DATE(YEAR(A3117),MONTH(A3117),1))</f>
        <v/>
      </c>
    </row>
    <row r="3118" customFormat="false" ht="15" hidden="false" customHeight="false" outlineLevel="0" collapsed="false">
      <c r="A3118" s="21"/>
      <c r="B3118" s="4"/>
      <c r="C3118" s="22"/>
      <c r="D3118" s="5" t="str">
        <f aca="false">IF(B3118="","",IFERROR(INDEX(DE_PARA!$B$6:$B$205,MATCH(B3118,DE_PARA!$A$6:$A$205,0)),"SEM DE-PARA"))</f>
        <v/>
      </c>
      <c r="E3118" s="23" t="str">
        <f aca="false">IF(A3118="","",DATE(YEAR(A3118),MONTH(A3118),1))</f>
        <v/>
      </c>
    </row>
    <row r="3119" customFormat="false" ht="15" hidden="false" customHeight="false" outlineLevel="0" collapsed="false">
      <c r="A3119" s="21"/>
      <c r="B3119" s="4"/>
      <c r="C3119" s="22"/>
      <c r="D3119" s="5" t="str">
        <f aca="false">IF(B3119="","",IFERROR(INDEX(DE_PARA!$B$6:$B$205,MATCH(B3119,DE_PARA!$A$6:$A$205,0)),"SEM DE-PARA"))</f>
        <v/>
      </c>
      <c r="E3119" s="23" t="str">
        <f aca="false">IF(A3119="","",DATE(YEAR(A3119),MONTH(A3119),1))</f>
        <v/>
      </c>
    </row>
    <row r="3120" customFormat="false" ht="15" hidden="false" customHeight="false" outlineLevel="0" collapsed="false">
      <c r="A3120" s="21"/>
      <c r="B3120" s="4"/>
      <c r="C3120" s="22"/>
      <c r="D3120" s="5" t="str">
        <f aca="false">IF(B3120="","",IFERROR(INDEX(DE_PARA!$B$6:$B$205,MATCH(B3120,DE_PARA!$A$6:$A$205,0)),"SEM DE-PARA"))</f>
        <v/>
      </c>
      <c r="E3120" s="23" t="str">
        <f aca="false">IF(A3120="","",DATE(YEAR(A3120),MONTH(A3120),1))</f>
        <v/>
      </c>
    </row>
    <row r="3121" customFormat="false" ht="15" hidden="false" customHeight="false" outlineLevel="0" collapsed="false">
      <c r="A3121" s="21"/>
      <c r="B3121" s="4"/>
      <c r="C3121" s="22"/>
      <c r="D3121" s="5" t="str">
        <f aca="false">IF(B3121="","",IFERROR(INDEX(DE_PARA!$B$6:$B$205,MATCH(B3121,DE_PARA!$A$6:$A$205,0)),"SEM DE-PARA"))</f>
        <v/>
      </c>
      <c r="E3121" s="23" t="str">
        <f aca="false">IF(A3121="","",DATE(YEAR(A3121),MONTH(A3121),1))</f>
        <v/>
      </c>
    </row>
    <row r="3122" customFormat="false" ht="15" hidden="false" customHeight="false" outlineLevel="0" collapsed="false">
      <c r="A3122" s="21"/>
      <c r="B3122" s="4"/>
      <c r="C3122" s="22"/>
      <c r="D3122" s="5" t="str">
        <f aca="false">IF(B3122="","",IFERROR(INDEX(DE_PARA!$B$6:$B$205,MATCH(B3122,DE_PARA!$A$6:$A$205,0)),"SEM DE-PARA"))</f>
        <v/>
      </c>
      <c r="E3122" s="23" t="str">
        <f aca="false">IF(A3122="","",DATE(YEAR(A3122),MONTH(A3122),1))</f>
        <v/>
      </c>
    </row>
    <row r="3123" customFormat="false" ht="15" hidden="false" customHeight="false" outlineLevel="0" collapsed="false">
      <c r="A3123" s="21"/>
      <c r="B3123" s="4"/>
      <c r="C3123" s="22"/>
      <c r="D3123" s="5" t="str">
        <f aca="false">IF(B3123="","",IFERROR(INDEX(DE_PARA!$B$6:$B$205,MATCH(B3123,DE_PARA!$A$6:$A$205,0)),"SEM DE-PARA"))</f>
        <v/>
      </c>
      <c r="E3123" s="23" t="str">
        <f aca="false">IF(A3123="","",DATE(YEAR(A3123),MONTH(A3123),1))</f>
        <v/>
      </c>
    </row>
    <row r="3124" customFormat="false" ht="15" hidden="false" customHeight="false" outlineLevel="0" collapsed="false">
      <c r="A3124" s="21"/>
      <c r="B3124" s="4"/>
      <c r="C3124" s="22"/>
      <c r="D3124" s="5" t="str">
        <f aca="false">IF(B3124="","",IFERROR(INDEX(DE_PARA!$B$6:$B$205,MATCH(B3124,DE_PARA!$A$6:$A$205,0)),"SEM DE-PARA"))</f>
        <v/>
      </c>
      <c r="E3124" s="23" t="str">
        <f aca="false">IF(A3124="","",DATE(YEAR(A3124),MONTH(A3124),1))</f>
        <v/>
      </c>
    </row>
    <row r="3125" customFormat="false" ht="15" hidden="false" customHeight="false" outlineLevel="0" collapsed="false">
      <c r="A3125" s="21"/>
      <c r="B3125" s="4"/>
      <c r="C3125" s="22"/>
      <c r="D3125" s="5" t="str">
        <f aca="false">IF(B3125="","",IFERROR(INDEX(DE_PARA!$B$6:$B$205,MATCH(B3125,DE_PARA!$A$6:$A$205,0)),"SEM DE-PARA"))</f>
        <v/>
      </c>
      <c r="E3125" s="23" t="str">
        <f aca="false">IF(A3125="","",DATE(YEAR(A3125),MONTH(A3125),1))</f>
        <v/>
      </c>
    </row>
    <row r="3126" customFormat="false" ht="15" hidden="false" customHeight="false" outlineLevel="0" collapsed="false">
      <c r="A3126" s="21"/>
      <c r="B3126" s="4"/>
      <c r="C3126" s="22"/>
      <c r="D3126" s="5" t="str">
        <f aca="false">IF(B3126="","",IFERROR(INDEX(DE_PARA!$B$6:$B$205,MATCH(B3126,DE_PARA!$A$6:$A$205,0)),"SEM DE-PARA"))</f>
        <v/>
      </c>
      <c r="E3126" s="23" t="str">
        <f aca="false">IF(A3126="","",DATE(YEAR(A3126),MONTH(A3126),1))</f>
        <v/>
      </c>
    </row>
    <row r="3127" customFormat="false" ht="15" hidden="false" customHeight="false" outlineLevel="0" collapsed="false">
      <c r="A3127" s="21"/>
      <c r="B3127" s="4"/>
      <c r="C3127" s="22"/>
      <c r="D3127" s="5" t="str">
        <f aca="false">IF(B3127="","",IFERROR(INDEX(DE_PARA!$B$6:$B$205,MATCH(B3127,DE_PARA!$A$6:$A$205,0)),"SEM DE-PARA"))</f>
        <v/>
      </c>
      <c r="E3127" s="23" t="str">
        <f aca="false">IF(A3127="","",DATE(YEAR(A3127),MONTH(A3127),1))</f>
        <v/>
      </c>
    </row>
    <row r="3128" customFormat="false" ht="15" hidden="false" customHeight="false" outlineLevel="0" collapsed="false">
      <c r="A3128" s="21"/>
      <c r="B3128" s="4"/>
      <c r="C3128" s="22"/>
      <c r="D3128" s="5" t="str">
        <f aca="false">IF(B3128="","",IFERROR(INDEX(DE_PARA!$B$6:$B$205,MATCH(B3128,DE_PARA!$A$6:$A$205,0)),"SEM DE-PARA"))</f>
        <v/>
      </c>
      <c r="E3128" s="23" t="str">
        <f aca="false">IF(A3128="","",DATE(YEAR(A3128),MONTH(A3128),1))</f>
        <v/>
      </c>
    </row>
    <row r="3129" customFormat="false" ht="15" hidden="false" customHeight="false" outlineLevel="0" collapsed="false">
      <c r="A3129" s="21"/>
      <c r="B3129" s="4"/>
      <c r="C3129" s="22"/>
      <c r="D3129" s="5" t="str">
        <f aca="false">IF(B3129="","",IFERROR(INDEX(DE_PARA!$B$6:$B$205,MATCH(B3129,DE_PARA!$A$6:$A$205,0)),"SEM DE-PARA"))</f>
        <v/>
      </c>
      <c r="E3129" s="23" t="str">
        <f aca="false">IF(A3129="","",DATE(YEAR(A3129),MONTH(A3129),1))</f>
        <v/>
      </c>
    </row>
    <row r="3130" customFormat="false" ht="15" hidden="false" customHeight="false" outlineLevel="0" collapsed="false">
      <c r="A3130" s="21"/>
      <c r="B3130" s="4"/>
      <c r="C3130" s="22"/>
      <c r="D3130" s="5" t="str">
        <f aca="false">IF(B3130="","",IFERROR(INDEX(DE_PARA!$B$6:$B$205,MATCH(B3130,DE_PARA!$A$6:$A$205,0)),"SEM DE-PARA"))</f>
        <v/>
      </c>
      <c r="E3130" s="23" t="str">
        <f aca="false">IF(A3130="","",DATE(YEAR(A3130),MONTH(A3130),1))</f>
        <v/>
      </c>
    </row>
    <row r="3131" customFormat="false" ht="15" hidden="false" customHeight="false" outlineLevel="0" collapsed="false">
      <c r="A3131" s="21"/>
      <c r="B3131" s="4"/>
      <c r="C3131" s="22"/>
      <c r="D3131" s="5" t="str">
        <f aca="false">IF(B3131="","",IFERROR(INDEX(DE_PARA!$B$6:$B$205,MATCH(B3131,DE_PARA!$A$6:$A$205,0)),"SEM DE-PARA"))</f>
        <v/>
      </c>
      <c r="E3131" s="23" t="str">
        <f aca="false">IF(A3131="","",DATE(YEAR(A3131),MONTH(A3131),1))</f>
        <v/>
      </c>
    </row>
    <row r="3132" customFormat="false" ht="15" hidden="false" customHeight="false" outlineLevel="0" collapsed="false">
      <c r="A3132" s="21"/>
      <c r="B3132" s="4"/>
      <c r="C3132" s="22"/>
      <c r="D3132" s="5" t="str">
        <f aca="false">IF(B3132="","",IFERROR(INDEX(DE_PARA!$B$6:$B$205,MATCH(B3132,DE_PARA!$A$6:$A$205,0)),"SEM DE-PARA"))</f>
        <v/>
      </c>
      <c r="E3132" s="23" t="str">
        <f aca="false">IF(A3132="","",DATE(YEAR(A3132),MONTH(A3132),1))</f>
        <v/>
      </c>
    </row>
    <row r="3133" customFormat="false" ht="15" hidden="false" customHeight="false" outlineLevel="0" collapsed="false">
      <c r="A3133" s="21"/>
      <c r="B3133" s="4"/>
      <c r="C3133" s="22"/>
      <c r="D3133" s="5" t="str">
        <f aca="false">IF(B3133="","",IFERROR(INDEX(DE_PARA!$B$6:$B$205,MATCH(B3133,DE_PARA!$A$6:$A$205,0)),"SEM DE-PARA"))</f>
        <v/>
      </c>
      <c r="E3133" s="23" t="str">
        <f aca="false">IF(A3133="","",DATE(YEAR(A3133),MONTH(A3133),1))</f>
        <v/>
      </c>
    </row>
    <row r="3134" customFormat="false" ht="15" hidden="false" customHeight="false" outlineLevel="0" collapsed="false">
      <c r="A3134" s="21"/>
      <c r="B3134" s="4"/>
      <c r="C3134" s="22"/>
      <c r="D3134" s="5" t="str">
        <f aca="false">IF(B3134="","",IFERROR(INDEX(DE_PARA!$B$6:$B$205,MATCH(B3134,DE_PARA!$A$6:$A$205,0)),"SEM DE-PARA"))</f>
        <v/>
      </c>
      <c r="E3134" s="23" t="str">
        <f aca="false">IF(A3134="","",DATE(YEAR(A3134),MONTH(A3134),1))</f>
        <v/>
      </c>
    </row>
    <row r="3135" customFormat="false" ht="15" hidden="false" customHeight="false" outlineLevel="0" collapsed="false">
      <c r="A3135" s="21"/>
      <c r="B3135" s="4"/>
      <c r="C3135" s="22"/>
      <c r="D3135" s="5" t="str">
        <f aca="false">IF(B3135="","",IFERROR(INDEX(DE_PARA!$B$6:$B$205,MATCH(B3135,DE_PARA!$A$6:$A$205,0)),"SEM DE-PARA"))</f>
        <v/>
      </c>
      <c r="E3135" s="23" t="str">
        <f aca="false">IF(A3135="","",DATE(YEAR(A3135),MONTH(A3135),1))</f>
        <v/>
      </c>
    </row>
    <row r="3136" customFormat="false" ht="15" hidden="false" customHeight="false" outlineLevel="0" collapsed="false">
      <c r="A3136" s="21"/>
      <c r="B3136" s="4"/>
      <c r="C3136" s="22"/>
      <c r="D3136" s="5" t="str">
        <f aca="false">IF(B3136="","",IFERROR(INDEX(DE_PARA!$B$6:$B$205,MATCH(B3136,DE_PARA!$A$6:$A$205,0)),"SEM DE-PARA"))</f>
        <v/>
      </c>
      <c r="E3136" s="23" t="str">
        <f aca="false">IF(A3136="","",DATE(YEAR(A3136),MONTH(A3136),1))</f>
        <v/>
      </c>
    </row>
    <row r="3137" customFormat="false" ht="15" hidden="false" customHeight="false" outlineLevel="0" collapsed="false">
      <c r="A3137" s="21"/>
      <c r="B3137" s="4"/>
      <c r="C3137" s="22"/>
      <c r="D3137" s="5" t="str">
        <f aca="false">IF(B3137="","",IFERROR(INDEX(DE_PARA!$B$6:$B$205,MATCH(B3137,DE_PARA!$A$6:$A$205,0)),"SEM DE-PARA"))</f>
        <v/>
      </c>
      <c r="E3137" s="23" t="str">
        <f aca="false">IF(A3137="","",DATE(YEAR(A3137),MONTH(A3137),1))</f>
        <v/>
      </c>
    </row>
    <row r="3138" customFormat="false" ht="15" hidden="false" customHeight="false" outlineLevel="0" collapsed="false">
      <c r="A3138" s="21"/>
      <c r="B3138" s="4"/>
      <c r="C3138" s="22"/>
      <c r="D3138" s="5" t="str">
        <f aca="false">IF(B3138="","",IFERROR(INDEX(DE_PARA!$B$6:$B$205,MATCH(B3138,DE_PARA!$A$6:$A$205,0)),"SEM DE-PARA"))</f>
        <v/>
      </c>
      <c r="E3138" s="23" t="str">
        <f aca="false">IF(A3138="","",DATE(YEAR(A3138),MONTH(A3138),1))</f>
        <v/>
      </c>
    </row>
    <row r="3139" customFormat="false" ht="15" hidden="false" customHeight="false" outlineLevel="0" collapsed="false">
      <c r="A3139" s="21"/>
      <c r="B3139" s="4"/>
      <c r="C3139" s="22"/>
      <c r="D3139" s="5" t="str">
        <f aca="false">IF(B3139="","",IFERROR(INDEX(DE_PARA!$B$6:$B$205,MATCH(B3139,DE_PARA!$A$6:$A$205,0)),"SEM DE-PARA"))</f>
        <v/>
      </c>
      <c r="E3139" s="23" t="str">
        <f aca="false">IF(A3139="","",DATE(YEAR(A3139),MONTH(A3139),1))</f>
        <v/>
      </c>
    </row>
    <row r="3140" customFormat="false" ht="15" hidden="false" customHeight="false" outlineLevel="0" collapsed="false">
      <c r="A3140" s="21"/>
      <c r="B3140" s="4"/>
      <c r="C3140" s="22"/>
      <c r="D3140" s="5" t="str">
        <f aca="false">IF(B3140="","",IFERROR(INDEX(DE_PARA!$B$6:$B$205,MATCH(B3140,DE_PARA!$A$6:$A$205,0)),"SEM DE-PARA"))</f>
        <v/>
      </c>
      <c r="E3140" s="23" t="str">
        <f aca="false">IF(A3140="","",DATE(YEAR(A3140),MONTH(A3140),1))</f>
        <v/>
      </c>
    </row>
    <row r="3141" customFormat="false" ht="15" hidden="false" customHeight="false" outlineLevel="0" collapsed="false">
      <c r="A3141" s="21"/>
      <c r="B3141" s="4"/>
      <c r="C3141" s="22"/>
      <c r="D3141" s="5" t="str">
        <f aca="false">IF(B3141="","",IFERROR(INDEX(DE_PARA!$B$6:$B$205,MATCH(B3141,DE_PARA!$A$6:$A$205,0)),"SEM DE-PARA"))</f>
        <v/>
      </c>
      <c r="E3141" s="23" t="str">
        <f aca="false">IF(A3141="","",DATE(YEAR(A3141),MONTH(A3141),1))</f>
        <v/>
      </c>
    </row>
    <row r="3142" customFormat="false" ht="15" hidden="false" customHeight="false" outlineLevel="0" collapsed="false">
      <c r="A3142" s="21"/>
      <c r="B3142" s="4"/>
      <c r="C3142" s="22"/>
      <c r="D3142" s="5" t="str">
        <f aca="false">IF(B3142="","",IFERROR(INDEX(DE_PARA!$B$6:$B$205,MATCH(B3142,DE_PARA!$A$6:$A$205,0)),"SEM DE-PARA"))</f>
        <v/>
      </c>
      <c r="E3142" s="23" t="str">
        <f aca="false">IF(A3142="","",DATE(YEAR(A3142),MONTH(A3142),1))</f>
        <v/>
      </c>
    </row>
    <row r="3143" customFormat="false" ht="15" hidden="false" customHeight="false" outlineLevel="0" collapsed="false">
      <c r="A3143" s="21"/>
      <c r="B3143" s="4"/>
      <c r="C3143" s="22"/>
      <c r="D3143" s="5" t="str">
        <f aca="false">IF(B3143="","",IFERROR(INDEX(DE_PARA!$B$6:$B$205,MATCH(B3143,DE_PARA!$A$6:$A$205,0)),"SEM DE-PARA"))</f>
        <v/>
      </c>
      <c r="E3143" s="23" t="str">
        <f aca="false">IF(A3143="","",DATE(YEAR(A3143),MONTH(A3143),1))</f>
        <v/>
      </c>
    </row>
    <row r="3144" customFormat="false" ht="15" hidden="false" customHeight="false" outlineLevel="0" collapsed="false">
      <c r="A3144" s="21"/>
      <c r="B3144" s="4"/>
      <c r="C3144" s="22"/>
      <c r="D3144" s="5" t="str">
        <f aca="false">IF(B3144="","",IFERROR(INDEX(DE_PARA!$B$6:$B$205,MATCH(B3144,DE_PARA!$A$6:$A$205,0)),"SEM DE-PARA"))</f>
        <v/>
      </c>
      <c r="E3144" s="23" t="str">
        <f aca="false">IF(A3144="","",DATE(YEAR(A3144),MONTH(A3144),1))</f>
        <v/>
      </c>
    </row>
    <row r="3145" customFormat="false" ht="15" hidden="false" customHeight="false" outlineLevel="0" collapsed="false">
      <c r="A3145" s="21"/>
      <c r="B3145" s="4"/>
      <c r="C3145" s="22"/>
      <c r="D3145" s="5" t="str">
        <f aca="false">IF(B3145="","",IFERROR(INDEX(DE_PARA!$B$6:$B$205,MATCH(B3145,DE_PARA!$A$6:$A$205,0)),"SEM DE-PARA"))</f>
        <v/>
      </c>
      <c r="E3145" s="23" t="str">
        <f aca="false">IF(A3145="","",DATE(YEAR(A3145),MONTH(A3145),1))</f>
        <v/>
      </c>
    </row>
    <row r="3146" customFormat="false" ht="15" hidden="false" customHeight="false" outlineLevel="0" collapsed="false">
      <c r="A3146" s="21"/>
      <c r="B3146" s="4"/>
      <c r="C3146" s="22"/>
      <c r="D3146" s="5" t="str">
        <f aca="false">IF(B3146="","",IFERROR(INDEX(DE_PARA!$B$6:$B$205,MATCH(B3146,DE_PARA!$A$6:$A$205,0)),"SEM DE-PARA"))</f>
        <v/>
      </c>
      <c r="E3146" s="23" t="str">
        <f aca="false">IF(A3146="","",DATE(YEAR(A3146),MONTH(A3146),1))</f>
        <v/>
      </c>
    </row>
    <row r="3147" customFormat="false" ht="15" hidden="false" customHeight="false" outlineLevel="0" collapsed="false">
      <c r="A3147" s="21"/>
      <c r="B3147" s="4"/>
      <c r="C3147" s="22"/>
      <c r="D3147" s="5" t="str">
        <f aca="false">IF(B3147="","",IFERROR(INDEX(DE_PARA!$B$6:$B$205,MATCH(B3147,DE_PARA!$A$6:$A$205,0)),"SEM DE-PARA"))</f>
        <v/>
      </c>
      <c r="E3147" s="23" t="str">
        <f aca="false">IF(A3147="","",DATE(YEAR(A3147),MONTH(A3147),1))</f>
        <v/>
      </c>
    </row>
    <row r="3148" customFormat="false" ht="15" hidden="false" customHeight="false" outlineLevel="0" collapsed="false">
      <c r="A3148" s="21"/>
      <c r="B3148" s="4"/>
      <c r="C3148" s="22"/>
      <c r="D3148" s="5" t="str">
        <f aca="false">IF(B3148="","",IFERROR(INDEX(DE_PARA!$B$6:$B$205,MATCH(B3148,DE_PARA!$A$6:$A$205,0)),"SEM DE-PARA"))</f>
        <v/>
      </c>
      <c r="E3148" s="23" t="str">
        <f aca="false">IF(A3148="","",DATE(YEAR(A3148),MONTH(A3148),1))</f>
        <v/>
      </c>
    </row>
    <row r="3149" customFormat="false" ht="15" hidden="false" customHeight="false" outlineLevel="0" collapsed="false">
      <c r="A3149" s="21"/>
      <c r="B3149" s="4"/>
      <c r="C3149" s="22"/>
      <c r="D3149" s="5" t="str">
        <f aca="false">IF(B3149="","",IFERROR(INDEX(DE_PARA!$B$6:$B$205,MATCH(B3149,DE_PARA!$A$6:$A$205,0)),"SEM DE-PARA"))</f>
        <v/>
      </c>
      <c r="E3149" s="23" t="str">
        <f aca="false">IF(A3149="","",DATE(YEAR(A3149),MONTH(A3149),1))</f>
        <v/>
      </c>
    </row>
    <row r="3150" customFormat="false" ht="15" hidden="false" customHeight="false" outlineLevel="0" collapsed="false">
      <c r="A3150" s="21"/>
      <c r="B3150" s="4"/>
      <c r="C3150" s="22"/>
      <c r="D3150" s="5" t="str">
        <f aca="false">IF(B3150="","",IFERROR(INDEX(DE_PARA!$B$6:$B$205,MATCH(B3150,DE_PARA!$A$6:$A$205,0)),"SEM DE-PARA"))</f>
        <v/>
      </c>
      <c r="E3150" s="23" t="str">
        <f aca="false">IF(A3150="","",DATE(YEAR(A3150),MONTH(A3150),1))</f>
        <v/>
      </c>
    </row>
    <row r="3151" customFormat="false" ht="15" hidden="false" customHeight="false" outlineLevel="0" collapsed="false">
      <c r="A3151" s="21"/>
      <c r="B3151" s="4"/>
      <c r="C3151" s="22"/>
      <c r="D3151" s="5" t="str">
        <f aca="false">IF(B3151="","",IFERROR(INDEX(DE_PARA!$B$6:$B$205,MATCH(B3151,DE_PARA!$A$6:$A$205,0)),"SEM DE-PARA"))</f>
        <v/>
      </c>
      <c r="E3151" s="23" t="str">
        <f aca="false">IF(A3151="","",DATE(YEAR(A3151),MONTH(A3151),1))</f>
        <v/>
      </c>
    </row>
    <row r="3152" customFormat="false" ht="15" hidden="false" customHeight="false" outlineLevel="0" collapsed="false">
      <c r="A3152" s="21"/>
      <c r="B3152" s="4"/>
      <c r="C3152" s="22"/>
      <c r="D3152" s="5" t="str">
        <f aca="false">IF(B3152="","",IFERROR(INDEX(DE_PARA!$B$6:$B$205,MATCH(B3152,DE_PARA!$A$6:$A$205,0)),"SEM DE-PARA"))</f>
        <v/>
      </c>
      <c r="E3152" s="23" t="str">
        <f aca="false">IF(A3152="","",DATE(YEAR(A3152),MONTH(A3152),1))</f>
        <v/>
      </c>
    </row>
    <row r="3153" customFormat="false" ht="15" hidden="false" customHeight="false" outlineLevel="0" collapsed="false">
      <c r="A3153" s="21"/>
      <c r="B3153" s="4"/>
      <c r="C3153" s="22"/>
      <c r="D3153" s="5" t="str">
        <f aca="false">IF(B3153="","",IFERROR(INDEX(DE_PARA!$B$6:$B$205,MATCH(B3153,DE_PARA!$A$6:$A$205,0)),"SEM DE-PARA"))</f>
        <v/>
      </c>
      <c r="E3153" s="23" t="str">
        <f aca="false">IF(A3153="","",DATE(YEAR(A3153),MONTH(A3153),1))</f>
        <v/>
      </c>
    </row>
    <row r="3154" customFormat="false" ht="15" hidden="false" customHeight="false" outlineLevel="0" collapsed="false">
      <c r="A3154" s="21"/>
      <c r="B3154" s="4"/>
      <c r="C3154" s="22"/>
      <c r="D3154" s="5" t="str">
        <f aca="false">IF(B3154="","",IFERROR(INDEX(DE_PARA!$B$6:$B$205,MATCH(B3154,DE_PARA!$A$6:$A$205,0)),"SEM DE-PARA"))</f>
        <v/>
      </c>
      <c r="E3154" s="23" t="str">
        <f aca="false">IF(A3154="","",DATE(YEAR(A3154),MONTH(A3154),1))</f>
        <v/>
      </c>
    </row>
    <row r="3155" customFormat="false" ht="15" hidden="false" customHeight="false" outlineLevel="0" collapsed="false">
      <c r="A3155" s="21"/>
      <c r="B3155" s="4"/>
      <c r="C3155" s="22"/>
      <c r="D3155" s="5" t="str">
        <f aca="false">IF(B3155="","",IFERROR(INDEX(DE_PARA!$B$6:$B$205,MATCH(B3155,DE_PARA!$A$6:$A$205,0)),"SEM DE-PARA"))</f>
        <v/>
      </c>
      <c r="E3155" s="23" t="str">
        <f aca="false">IF(A3155="","",DATE(YEAR(A3155),MONTH(A3155),1))</f>
        <v/>
      </c>
    </row>
    <row r="3156" customFormat="false" ht="15" hidden="false" customHeight="false" outlineLevel="0" collapsed="false">
      <c r="A3156" s="21"/>
      <c r="B3156" s="4"/>
      <c r="C3156" s="22"/>
      <c r="D3156" s="5" t="str">
        <f aca="false">IF(B3156="","",IFERROR(INDEX(DE_PARA!$B$6:$B$205,MATCH(B3156,DE_PARA!$A$6:$A$205,0)),"SEM DE-PARA"))</f>
        <v/>
      </c>
      <c r="E3156" s="23" t="str">
        <f aca="false">IF(A3156="","",DATE(YEAR(A3156),MONTH(A3156),1))</f>
        <v/>
      </c>
    </row>
    <row r="3157" customFormat="false" ht="15" hidden="false" customHeight="false" outlineLevel="0" collapsed="false">
      <c r="A3157" s="21"/>
      <c r="B3157" s="4"/>
      <c r="C3157" s="22"/>
      <c r="D3157" s="5" t="str">
        <f aca="false">IF(B3157="","",IFERROR(INDEX(DE_PARA!$B$6:$B$205,MATCH(B3157,DE_PARA!$A$6:$A$205,0)),"SEM DE-PARA"))</f>
        <v/>
      </c>
      <c r="E3157" s="23" t="str">
        <f aca="false">IF(A3157="","",DATE(YEAR(A3157),MONTH(A3157),1))</f>
        <v/>
      </c>
    </row>
    <row r="3158" customFormat="false" ht="15" hidden="false" customHeight="false" outlineLevel="0" collapsed="false">
      <c r="A3158" s="21"/>
      <c r="B3158" s="4"/>
      <c r="C3158" s="22"/>
      <c r="D3158" s="5" t="str">
        <f aca="false">IF(B3158="","",IFERROR(INDEX(DE_PARA!$B$6:$B$205,MATCH(B3158,DE_PARA!$A$6:$A$205,0)),"SEM DE-PARA"))</f>
        <v/>
      </c>
      <c r="E3158" s="23" t="str">
        <f aca="false">IF(A3158="","",DATE(YEAR(A3158),MONTH(A3158),1))</f>
        <v/>
      </c>
    </row>
    <row r="3159" customFormat="false" ht="15" hidden="false" customHeight="false" outlineLevel="0" collapsed="false">
      <c r="A3159" s="21"/>
      <c r="B3159" s="4"/>
      <c r="C3159" s="22"/>
      <c r="D3159" s="5" t="str">
        <f aca="false">IF(B3159="","",IFERROR(INDEX(DE_PARA!$B$6:$B$205,MATCH(B3159,DE_PARA!$A$6:$A$205,0)),"SEM DE-PARA"))</f>
        <v/>
      </c>
      <c r="E3159" s="23" t="str">
        <f aca="false">IF(A3159="","",DATE(YEAR(A3159),MONTH(A3159),1))</f>
        <v/>
      </c>
    </row>
    <row r="3160" customFormat="false" ht="15" hidden="false" customHeight="false" outlineLevel="0" collapsed="false">
      <c r="A3160" s="21"/>
      <c r="B3160" s="4"/>
      <c r="C3160" s="22"/>
      <c r="D3160" s="5" t="str">
        <f aca="false">IF(B3160="","",IFERROR(INDEX(DE_PARA!$B$6:$B$205,MATCH(B3160,DE_PARA!$A$6:$A$205,0)),"SEM DE-PARA"))</f>
        <v/>
      </c>
      <c r="E3160" s="23" t="str">
        <f aca="false">IF(A3160="","",DATE(YEAR(A3160),MONTH(A3160),1))</f>
        <v/>
      </c>
    </row>
    <row r="3161" customFormat="false" ht="15" hidden="false" customHeight="false" outlineLevel="0" collapsed="false">
      <c r="A3161" s="21"/>
      <c r="B3161" s="4"/>
      <c r="C3161" s="22"/>
      <c r="D3161" s="5" t="str">
        <f aca="false">IF(B3161="","",IFERROR(INDEX(DE_PARA!$B$6:$B$205,MATCH(B3161,DE_PARA!$A$6:$A$205,0)),"SEM DE-PARA"))</f>
        <v/>
      </c>
      <c r="E3161" s="23" t="str">
        <f aca="false">IF(A3161="","",DATE(YEAR(A3161),MONTH(A3161),1))</f>
        <v/>
      </c>
    </row>
    <row r="3162" customFormat="false" ht="15" hidden="false" customHeight="false" outlineLevel="0" collapsed="false">
      <c r="A3162" s="21"/>
      <c r="B3162" s="4"/>
      <c r="C3162" s="22"/>
      <c r="D3162" s="5" t="str">
        <f aca="false">IF(B3162="","",IFERROR(INDEX(DE_PARA!$B$6:$B$205,MATCH(B3162,DE_PARA!$A$6:$A$205,0)),"SEM DE-PARA"))</f>
        <v/>
      </c>
      <c r="E3162" s="23" t="str">
        <f aca="false">IF(A3162="","",DATE(YEAR(A3162),MONTH(A3162),1))</f>
        <v/>
      </c>
    </row>
    <row r="3163" customFormat="false" ht="15" hidden="false" customHeight="false" outlineLevel="0" collapsed="false">
      <c r="A3163" s="21"/>
      <c r="B3163" s="4"/>
      <c r="C3163" s="22"/>
      <c r="D3163" s="5" t="str">
        <f aca="false">IF(B3163="","",IFERROR(INDEX(DE_PARA!$B$6:$B$205,MATCH(B3163,DE_PARA!$A$6:$A$205,0)),"SEM DE-PARA"))</f>
        <v/>
      </c>
      <c r="E3163" s="23" t="str">
        <f aca="false">IF(A3163="","",DATE(YEAR(A3163),MONTH(A3163),1))</f>
        <v/>
      </c>
    </row>
    <row r="3164" customFormat="false" ht="15" hidden="false" customHeight="false" outlineLevel="0" collapsed="false">
      <c r="A3164" s="21"/>
      <c r="B3164" s="4"/>
      <c r="C3164" s="22"/>
      <c r="D3164" s="5" t="str">
        <f aca="false">IF(B3164="","",IFERROR(INDEX(DE_PARA!$B$6:$B$205,MATCH(B3164,DE_PARA!$A$6:$A$205,0)),"SEM DE-PARA"))</f>
        <v/>
      </c>
      <c r="E3164" s="23" t="str">
        <f aca="false">IF(A3164="","",DATE(YEAR(A3164),MONTH(A3164),1))</f>
        <v/>
      </c>
    </row>
    <row r="3165" customFormat="false" ht="15" hidden="false" customHeight="false" outlineLevel="0" collapsed="false">
      <c r="A3165" s="21"/>
      <c r="B3165" s="4"/>
      <c r="C3165" s="22"/>
      <c r="D3165" s="5" t="str">
        <f aca="false">IF(B3165="","",IFERROR(INDEX(DE_PARA!$B$6:$B$205,MATCH(B3165,DE_PARA!$A$6:$A$205,0)),"SEM DE-PARA"))</f>
        <v/>
      </c>
      <c r="E3165" s="23" t="str">
        <f aca="false">IF(A3165="","",DATE(YEAR(A3165),MONTH(A3165),1))</f>
        <v/>
      </c>
    </row>
    <row r="3166" customFormat="false" ht="15" hidden="false" customHeight="false" outlineLevel="0" collapsed="false">
      <c r="A3166" s="21"/>
      <c r="B3166" s="4"/>
      <c r="C3166" s="22"/>
      <c r="D3166" s="5" t="str">
        <f aca="false">IF(B3166="","",IFERROR(INDEX(DE_PARA!$B$6:$B$205,MATCH(B3166,DE_PARA!$A$6:$A$205,0)),"SEM DE-PARA"))</f>
        <v/>
      </c>
      <c r="E3166" s="23" t="str">
        <f aca="false">IF(A3166="","",DATE(YEAR(A3166),MONTH(A3166),1))</f>
        <v/>
      </c>
    </row>
    <row r="3167" customFormat="false" ht="15" hidden="false" customHeight="false" outlineLevel="0" collapsed="false">
      <c r="A3167" s="21"/>
      <c r="B3167" s="4"/>
      <c r="C3167" s="22"/>
      <c r="D3167" s="5" t="str">
        <f aca="false">IF(B3167="","",IFERROR(INDEX(DE_PARA!$B$6:$B$205,MATCH(B3167,DE_PARA!$A$6:$A$205,0)),"SEM DE-PARA"))</f>
        <v/>
      </c>
      <c r="E3167" s="23" t="str">
        <f aca="false">IF(A3167="","",DATE(YEAR(A3167),MONTH(A3167),1))</f>
        <v/>
      </c>
    </row>
    <row r="3168" customFormat="false" ht="15" hidden="false" customHeight="false" outlineLevel="0" collapsed="false">
      <c r="A3168" s="21"/>
      <c r="B3168" s="4"/>
      <c r="C3168" s="22"/>
      <c r="D3168" s="5" t="str">
        <f aca="false">IF(B3168="","",IFERROR(INDEX(DE_PARA!$B$6:$B$205,MATCH(B3168,DE_PARA!$A$6:$A$205,0)),"SEM DE-PARA"))</f>
        <v/>
      </c>
      <c r="E3168" s="23" t="str">
        <f aca="false">IF(A3168="","",DATE(YEAR(A3168),MONTH(A3168),1))</f>
        <v/>
      </c>
    </row>
    <row r="3169" customFormat="false" ht="15" hidden="false" customHeight="false" outlineLevel="0" collapsed="false">
      <c r="A3169" s="21"/>
      <c r="B3169" s="4"/>
      <c r="C3169" s="22"/>
      <c r="D3169" s="5" t="str">
        <f aca="false">IF(B3169="","",IFERROR(INDEX(DE_PARA!$B$6:$B$205,MATCH(B3169,DE_PARA!$A$6:$A$205,0)),"SEM DE-PARA"))</f>
        <v/>
      </c>
      <c r="E3169" s="23" t="str">
        <f aca="false">IF(A3169="","",DATE(YEAR(A3169),MONTH(A3169),1))</f>
        <v/>
      </c>
    </row>
    <row r="3170" customFormat="false" ht="15" hidden="false" customHeight="false" outlineLevel="0" collapsed="false">
      <c r="A3170" s="21"/>
      <c r="B3170" s="4"/>
      <c r="C3170" s="22"/>
      <c r="D3170" s="5" t="str">
        <f aca="false">IF(B3170="","",IFERROR(INDEX(DE_PARA!$B$6:$B$205,MATCH(B3170,DE_PARA!$A$6:$A$205,0)),"SEM DE-PARA"))</f>
        <v/>
      </c>
      <c r="E3170" s="23" t="str">
        <f aca="false">IF(A3170="","",DATE(YEAR(A3170),MONTH(A3170),1))</f>
        <v/>
      </c>
    </row>
    <row r="3171" customFormat="false" ht="15" hidden="false" customHeight="false" outlineLevel="0" collapsed="false">
      <c r="A3171" s="21"/>
      <c r="B3171" s="4"/>
      <c r="C3171" s="22"/>
      <c r="D3171" s="5" t="str">
        <f aca="false">IF(B3171="","",IFERROR(INDEX(DE_PARA!$B$6:$B$205,MATCH(B3171,DE_PARA!$A$6:$A$205,0)),"SEM DE-PARA"))</f>
        <v/>
      </c>
      <c r="E3171" s="23" t="str">
        <f aca="false">IF(A3171="","",DATE(YEAR(A3171),MONTH(A3171),1))</f>
        <v/>
      </c>
    </row>
    <row r="3172" customFormat="false" ht="15" hidden="false" customHeight="false" outlineLevel="0" collapsed="false">
      <c r="A3172" s="21"/>
      <c r="B3172" s="4"/>
      <c r="C3172" s="22"/>
      <c r="D3172" s="5" t="str">
        <f aca="false">IF(B3172="","",IFERROR(INDEX(DE_PARA!$B$6:$B$205,MATCH(B3172,DE_PARA!$A$6:$A$205,0)),"SEM DE-PARA"))</f>
        <v/>
      </c>
      <c r="E3172" s="23" t="str">
        <f aca="false">IF(A3172="","",DATE(YEAR(A3172),MONTH(A3172),1))</f>
        <v/>
      </c>
    </row>
    <row r="3173" customFormat="false" ht="15" hidden="false" customHeight="false" outlineLevel="0" collapsed="false">
      <c r="A3173" s="21"/>
      <c r="B3173" s="4"/>
      <c r="C3173" s="22"/>
      <c r="D3173" s="5" t="str">
        <f aca="false">IF(B3173="","",IFERROR(INDEX(DE_PARA!$B$6:$B$205,MATCH(B3173,DE_PARA!$A$6:$A$205,0)),"SEM DE-PARA"))</f>
        <v/>
      </c>
      <c r="E3173" s="23" t="str">
        <f aca="false">IF(A3173="","",DATE(YEAR(A3173),MONTH(A3173),1))</f>
        <v/>
      </c>
    </row>
    <row r="3174" customFormat="false" ht="15" hidden="false" customHeight="false" outlineLevel="0" collapsed="false">
      <c r="A3174" s="21"/>
      <c r="B3174" s="4"/>
      <c r="C3174" s="22"/>
      <c r="D3174" s="5" t="str">
        <f aca="false">IF(B3174="","",IFERROR(INDEX(DE_PARA!$B$6:$B$205,MATCH(B3174,DE_PARA!$A$6:$A$205,0)),"SEM DE-PARA"))</f>
        <v/>
      </c>
      <c r="E3174" s="23" t="str">
        <f aca="false">IF(A3174="","",DATE(YEAR(A3174),MONTH(A3174),1))</f>
        <v/>
      </c>
    </row>
    <row r="3175" customFormat="false" ht="15" hidden="false" customHeight="false" outlineLevel="0" collapsed="false">
      <c r="A3175" s="21"/>
      <c r="B3175" s="4"/>
      <c r="C3175" s="22"/>
      <c r="D3175" s="5" t="str">
        <f aca="false">IF(B3175="","",IFERROR(INDEX(DE_PARA!$B$6:$B$205,MATCH(B3175,DE_PARA!$A$6:$A$205,0)),"SEM DE-PARA"))</f>
        <v/>
      </c>
      <c r="E3175" s="23" t="str">
        <f aca="false">IF(A3175="","",DATE(YEAR(A3175),MONTH(A3175),1))</f>
        <v/>
      </c>
    </row>
    <row r="3176" customFormat="false" ht="15" hidden="false" customHeight="false" outlineLevel="0" collapsed="false">
      <c r="A3176" s="21"/>
      <c r="B3176" s="4"/>
      <c r="C3176" s="22"/>
      <c r="D3176" s="5" t="str">
        <f aca="false">IF(B3176="","",IFERROR(INDEX(DE_PARA!$B$6:$B$205,MATCH(B3176,DE_PARA!$A$6:$A$205,0)),"SEM DE-PARA"))</f>
        <v/>
      </c>
      <c r="E3176" s="23" t="str">
        <f aca="false">IF(A3176="","",DATE(YEAR(A3176),MONTH(A3176),1))</f>
        <v/>
      </c>
    </row>
    <row r="3177" customFormat="false" ht="15" hidden="false" customHeight="false" outlineLevel="0" collapsed="false">
      <c r="A3177" s="21"/>
      <c r="B3177" s="4"/>
      <c r="C3177" s="22"/>
      <c r="D3177" s="5" t="str">
        <f aca="false">IF(B3177="","",IFERROR(INDEX(DE_PARA!$B$6:$B$205,MATCH(B3177,DE_PARA!$A$6:$A$205,0)),"SEM DE-PARA"))</f>
        <v/>
      </c>
      <c r="E3177" s="23" t="str">
        <f aca="false">IF(A3177="","",DATE(YEAR(A3177),MONTH(A3177),1))</f>
        <v/>
      </c>
    </row>
    <row r="3178" customFormat="false" ht="15" hidden="false" customHeight="false" outlineLevel="0" collapsed="false">
      <c r="A3178" s="21"/>
      <c r="B3178" s="4"/>
      <c r="C3178" s="22"/>
      <c r="D3178" s="5" t="str">
        <f aca="false">IF(B3178="","",IFERROR(INDEX(DE_PARA!$B$6:$B$205,MATCH(B3178,DE_PARA!$A$6:$A$205,0)),"SEM DE-PARA"))</f>
        <v/>
      </c>
      <c r="E3178" s="23" t="str">
        <f aca="false">IF(A3178="","",DATE(YEAR(A3178),MONTH(A3178),1))</f>
        <v/>
      </c>
    </row>
    <row r="3179" customFormat="false" ht="15" hidden="false" customHeight="false" outlineLevel="0" collapsed="false">
      <c r="A3179" s="21"/>
      <c r="B3179" s="4"/>
      <c r="C3179" s="22"/>
      <c r="D3179" s="5" t="str">
        <f aca="false">IF(B3179="","",IFERROR(INDEX(DE_PARA!$B$6:$B$205,MATCH(B3179,DE_PARA!$A$6:$A$205,0)),"SEM DE-PARA"))</f>
        <v/>
      </c>
      <c r="E3179" s="23" t="str">
        <f aca="false">IF(A3179="","",DATE(YEAR(A3179),MONTH(A3179),1))</f>
        <v/>
      </c>
    </row>
    <row r="3180" customFormat="false" ht="15" hidden="false" customHeight="false" outlineLevel="0" collapsed="false">
      <c r="A3180" s="21"/>
      <c r="B3180" s="4"/>
      <c r="C3180" s="22"/>
      <c r="D3180" s="5" t="str">
        <f aca="false">IF(B3180="","",IFERROR(INDEX(DE_PARA!$B$6:$B$205,MATCH(B3180,DE_PARA!$A$6:$A$205,0)),"SEM DE-PARA"))</f>
        <v/>
      </c>
      <c r="E3180" s="23" t="str">
        <f aca="false">IF(A3180="","",DATE(YEAR(A3180),MONTH(A3180),1))</f>
        <v/>
      </c>
    </row>
    <row r="3181" customFormat="false" ht="15" hidden="false" customHeight="false" outlineLevel="0" collapsed="false">
      <c r="A3181" s="21"/>
      <c r="B3181" s="4"/>
      <c r="C3181" s="22"/>
      <c r="D3181" s="5" t="str">
        <f aca="false">IF(B3181="","",IFERROR(INDEX(DE_PARA!$B$6:$B$205,MATCH(B3181,DE_PARA!$A$6:$A$205,0)),"SEM DE-PARA"))</f>
        <v/>
      </c>
      <c r="E3181" s="23" t="str">
        <f aca="false">IF(A3181="","",DATE(YEAR(A3181),MONTH(A3181),1))</f>
        <v/>
      </c>
    </row>
    <row r="3182" customFormat="false" ht="15" hidden="false" customHeight="false" outlineLevel="0" collapsed="false">
      <c r="A3182" s="21"/>
      <c r="B3182" s="4"/>
      <c r="C3182" s="22"/>
      <c r="D3182" s="5" t="str">
        <f aca="false">IF(B3182="","",IFERROR(INDEX(DE_PARA!$B$6:$B$205,MATCH(B3182,DE_PARA!$A$6:$A$205,0)),"SEM DE-PARA"))</f>
        <v/>
      </c>
      <c r="E3182" s="23" t="str">
        <f aca="false">IF(A3182="","",DATE(YEAR(A3182),MONTH(A3182),1))</f>
        <v/>
      </c>
    </row>
    <row r="3183" customFormat="false" ht="15" hidden="false" customHeight="false" outlineLevel="0" collapsed="false">
      <c r="A3183" s="21"/>
      <c r="B3183" s="4"/>
      <c r="C3183" s="22"/>
      <c r="D3183" s="5" t="str">
        <f aca="false">IF(B3183="","",IFERROR(INDEX(DE_PARA!$B$6:$B$205,MATCH(B3183,DE_PARA!$A$6:$A$205,0)),"SEM DE-PARA"))</f>
        <v/>
      </c>
      <c r="E3183" s="23" t="str">
        <f aca="false">IF(A3183="","",DATE(YEAR(A3183),MONTH(A3183),1))</f>
        <v/>
      </c>
    </row>
    <row r="3184" customFormat="false" ht="15" hidden="false" customHeight="false" outlineLevel="0" collapsed="false">
      <c r="A3184" s="21"/>
      <c r="B3184" s="4"/>
      <c r="C3184" s="22"/>
      <c r="D3184" s="5" t="str">
        <f aca="false">IF(B3184="","",IFERROR(INDEX(DE_PARA!$B$6:$B$205,MATCH(B3184,DE_PARA!$A$6:$A$205,0)),"SEM DE-PARA"))</f>
        <v/>
      </c>
      <c r="E3184" s="23" t="str">
        <f aca="false">IF(A3184="","",DATE(YEAR(A3184),MONTH(A3184),1))</f>
        <v/>
      </c>
    </row>
    <row r="3185" customFormat="false" ht="15" hidden="false" customHeight="false" outlineLevel="0" collapsed="false">
      <c r="A3185" s="21"/>
      <c r="B3185" s="4"/>
      <c r="C3185" s="22"/>
      <c r="D3185" s="5" t="str">
        <f aca="false">IF(B3185="","",IFERROR(INDEX(DE_PARA!$B$6:$B$205,MATCH(B3185,DE_PARA!$A$6:$A$205,0)),"SEM DE-PARA"))</f>
        <v/>
      </c>
      <c r="E3185" s="23" t="str">
        <f aca="false">IF(A3185="","",DATE(YEAR(A3185),MONTH(A3185),1))</f>
        <v/>
      </c>
    </row>
    <row r="3186" customFormat="false" ht="15" hidden="false" customHeight="false" outlineLevel="0" collapsed="false">
      <c r="A3186" s="21"/>
      <c r="B3186" s="4"/>
      <c r="C3186" s="22"/>
      <c r="D3186" s="5" t="str">
        <f aca="false">IF(B3186="","",IFERROR(INDEX(DE_PARA!$B$6:$B$205,MATCH(B3186,DE_PARA!$A$6:$A$205,0)),"SEM DE-PARA"))</f>
        <v/>
      </c>
      <c r="E3186" s="23" t="str">
        <f aca="false">IF(A3186="","",DATE(YEAR(A3186),MONTH(A3186),1))</f>
        <v/>
      </c>
    </row>
    <row r="3187" customFormat="false" ht="15" hidden="false" customHeight="false" outlineLevel="0" collapsed="false">
      <c r="A3187" s="21"/>
      <c r="B3187" s="4"/>
      <c r="C3187" s="22"/>
      <c r="D3187" s="5" t="str">
        <f aca="false">IF(B3187="","",IFERROR(INDEX(DE_PARA!$B$6:$B$205,MATCH(B3187,DE_PARA!$A$6:$A$205,0)),"SEM DE-PARA"))</f>
        <v/>
      </c>
      <c r="E3187" s="23" t="str">
        <f aca="false">IF(A3187="","",DATE(YEAR(A3187),MONTH(A3187),1))</f>
        <v/>
      </c>
    </row>
    <row r="3188" customFormat="false" ht="15" hidden="false" customHeight="false" outlineLevel="0" collapsed="false">
      <c r="A3188" s="21"/>
      <c r="B3188" s="4"/>
      <c r="C3188" s="22"/>
      <c r="D3188" s="5" t="str">
        <f aca="false">IF(B3188="","",IFERROR(INDEX(DE_PARA!$B$6:$B$205,MATCH(B3188,DE_PARA!$A$6:$A$205,0)),"SEM DE-PARA"))</f>
        <v/>
      </c>
      <c r="E3188" s="23" t="str">
        <f aca="false">IF(A3188="","",DATE(YEAR(A3188),MONTH(A3188),1))</f>
        <v/>
      </c>
    </row>
    <row r="3189" customFormat="false" ht="15" hidden="false" customHeight="false" outlineLevel="0" collapsed="false">
      <c r="A3189" s="21"/>
      <c r="B3189" s="4"/>
      <c r="C3189" s="22"/>
      <c r="D3189" s="5" t="str">
        <f aca="false">IF(B3189="","",IFERROR(INDEX(DE_PARA!$B$6:$B$205,MATCH(B3189,DE_PARA!$A$6:$A$205,0)),"SEM DE-PARA"))</f>
        <v/>
      </c>
      <c r="E3189" s="23" t="str">
        <f aca="false">IF(A3189="","",DATE(YEAR(A3189),MONTH(A3189),1))</f>
        <v/>
      </c>
    </row>
    <row r="3190" customFormat="false" ht="15" hidden="false" customHeight="false" outlineLevel="0" collapsed="false">
      <c r="A3190" s="21"/>
      <c r="B3190" s="4"/>
      <c r="C3190" s="22"/>
      <c r="D3190" s="5" t="str">
        <f aca="false">IF(B3190="","",IFERROR(INDEX(DE_PARA!$B$6:$B$205,MATCH(B3190,DE_PARA!$A$6:$A$205,0)),"SEM DE-PARA"))</f>
        <v/>
      </c>
      <c r="E3190" s="23" t="str">
        <f aca="false">IF(A3190="","",DATE(YEAR(A3190),MONTH(A3190),1))</f>
        <v/>
      </c>
    </row>
    <row r="3191" customFormat="false" ht="15" hidden="false" customHeight="false" outlineLevel="0" collapsed="false">
      <c r="A3191" s="21"/>
      <c r="B3191" s="4"/>
      <c r="C3191" s="22"/>
      <c r="D3191" s="5" t="str">
        <f aca="false">IF(B3191="","",IFERROR(INDEX(DE_PARA!$B$6:$B$205,MATCH(B3191,DE_PARA!$A$6:$A$205,0)),"SEM DE-PARA"))</f>
        <v/>
      </c>
      <c r="E3191" s="23" t="str">
        <f aca="false">IF(A3191="","",DATE(YEAR(A3191),MONTH(A3191),1))</f>
        <v/>
      </c>
    </row>
    <row r="3192" customFormat="false" ht="15" hidden="false" customHeight="false" outlineLevel="0" collapsed="false">
      <c r="A3192" s="21"/>
      <c r="B3192" s="4"/>
      <c r="C3192" s="22"/>
      <c r="D3192" s="5" t="str">
        <f aca="false">IF(B3192="","",IFERROR(INDEX(DE_PARA!$B$6:$B$205,MATCH(B3192,DE_PARA!$A$6:$A$205,0)),"SEM DE-PARA"))</f>
        <v/>
      </c>
      <c r="E3192" s="23" t="str">
        <f aca="false">IF(A3192="","",DATE(YEAR(A3192),MONTH(A3192),1))</f>
        <v/>
      </c>
    </row>
    <row r="3193" customFormat="false" ht="15" hidden="false" customHeight="false" outlineLevel="0" collapsed="false">
      <c r="A3193" s="21"/>
      <c r="B3193" s="4"/>
      <c r="C3193" s="22"/>
      <c r="D3193" s="5" t="str">
        <f aca="false">IF(B3193="","",IFERROR(INDEX(DE_PARA!$B$6:$B$205,MATCH(B3193,DE_PARA!$A$6:$A$205,0)),"SEM DE-PARA"))</f>
        <v/>
      </c>
      <c r="E3193" s="23" t="str">
        <f aca="false">IF(A3193="","",DATE(YEAR(A3193),MONTH(A3193),1))</f>
        <v/>
      </c>
    </row>
    <row r="3194" customFormat="false" ht="15" hidden="false" customHeight="false" outlineLevel="0" collapsed="false">
      <c r="A3194" s="21"/>
      <c r="B3194" s="4"/>
      <c r="C3194" s="22"/>
      <c r="D3194" s="5" t="str">
        <f aca="false">IF(B3194="","",IFERROR(INDEX(DE_PARA!$B$6:$B$205,MATCH(B3194,DE_PARA!$A$6:$A$205,0)),"SEM DE-PARA"))</f>
        <v/>
      </c>
      <c r="E3194" s="23" t="str">
        <f aca="false">IF(A3194="","",DATE(YEAR(A3194),MONTH(A3194),1))</f>
        <v/>
      </c>
    </row>
    <row r="3195" customFormat="false" ht="15" hidden="false" customHeight="false" outlineLevel="0" collapsed="false">
      <c r="A3195" s="21"/>
      <c r="B3195" s="4"/>
      <c r="C3195" s="22"/>
      <c r="D3195" s="5" t="str">
        <f aca="false">IF(B3195="","",IFERROR(INDEX(DE_PARA!$B$6:$B$205,MATCH(B3195,DE_PARA!$A$6:$A$205,0)),"SEM DE-PARA"))</f>
        <v/>
      </c>
      <c r="E3195" s="23" t="str">
        <f aca="false">IF(A3195="","",DATE(YEAR(A3195),MONTH(A3195),1))</f>
        <v/>
      </c>
    </row>
    <row r="3196" customFormat="false" ht="15" hidden="false" customHeight="false" outlineLevel="0" collapsed="false">
      <c r="A3196" s="21"/>
      <c r="B3196" s="4"/>
      <c r="C3196" s="22"/>
      <c r="D3196" s="5" t="str">
        <f aca="false">IF(B3196="","",IFERROR(INDEX(DE_PARA!$B$6:$B$205,MATCH(B3196,DE_PARA!$A$6:$A$205,0)),"SEM DE-PARA"))</f>
        <v/>
      </c>
      <c r="E3196" s="23" t="str">
        <f aca="false">IF(A3196="","",DATE(YEAR(A3196),MONTH(A3196),1))</f>
        <v/>
      </c>
    </row>
    <row r="3197" customFormat="false" ht="15" hidden="false" customHeight="false" outlineLevel="0" collapsed="false">
      <c r="A3197" s="21"/>
      <c r="B3197" s="4"/>
      <c r="C3197" s="22"/>
      <c r="D3197" s="5" t="str">
        <f aca="false">IF(B3197="","",IFERROR(INDEX(DE_PARA!$B$6:$B$205,MATCH(B3197,DE_PARA!$A$6:$A$205,0)),"SEM DE-PARA"))</f>
        <v/>
      </c>
      <c r="E3197" s="23" t="str">
        <f aca="false">IF(A3197="","",DATE(YEAR(A3197),MONTH(A3197),1))</f>
        <v/>
      </c>
    </row>
    <row r="3198" customFormat="false" ht="15" hidden="false" customHeight="false" outlineLevel="0" collapsed="false">
      <c r="A3198" s="21"/>
      <c r="B3198" s="4"/>
      <c r="C3198" s="22"/>
      <c r="D3198" s="5" t="str">
        <f aca="false">IF(B3198="","",IFERROR(INDEX(DE_PARA!$B$6:$B$205,MATCH(B3198,DE_PARA!$A$6:$A$205,0)),"SEM DE-PARA"))</f>
        <v/>
      </c>
      <c r="E3198" s="23" t="str">
        <f aca="false">IF(A3198="","",DATE(YEAR(A3198),MONTH(A3198),1))</f>
        <v/>
      </c>
    </row>
    <row r="3199" customFormat="false" ht="15" hidden="false" customHeight="false" outlineLevel="0" collapsed="false">
      <c r="A3199" s="21"/>
      <c r="B3199" s="4"/>
      <c r="C3199" s="22"/>
      <c r="D3199" s="5" t="str">
        <f aca="false">IF(B3199="","",IFERROR(INDEX(DE_PARA!$B$6:$B$205,MATCH(B3199,DE_PARA!$A$6:$A$205,0)),"SEM DE-PARA"))</f>
        <v/>
      </c>
      <c r="E3199" s="23" t="str">
        <f aca="false">IF(A3199="","",DATE(YEAR(A3199),MONTH(A3199),1))</f>
        <v/>
      </c>
    </row>
    <row r="3200" customFormat="false" ht="15" hidden="false" customHeight="false" outlineLevel="0" collapsed="false">
      <c r="A3200" s="21"/>
      <c r="B3200" s="4"/>
      <c r="C3200" s="22"/>
      <c r="D3200" s="5" t="str">
        <f aca="false">IF(B3200="","",IFERROR(INDEX(DE_PARA!$B$6:$B$205,MATCH(B3200,DE_PARA!$A$6:$A$205,0)),"SEM DE-PARA"))</f>
        <v/>
      </c>
      <c r="E3200" s="23" t="str">
        <f aca="false">IF(A3200="","",DATE(YEAR(A3200),MONTH(A3200),1))</f>
        <v/>
      </c>
    </row>
    <row r="3201" customFormat="false" ht="15" hidden="false" customHeight="false" outlineLevel="0" collapsed="false">
      <c r="A3201" s="21"/>
      <c r="B3201" s="4"/>
      <c r="C3201" s="22"/>
      <c r="D3201" s="5" t="str">
        <f aca="false">IF(B3201="","",IFERROR(INDEX(DE_PARA!$B$6:$B$205,MATCH(B3201,DE_PARA!$A$6:$A$205,0)),"SEM DE-PARA"))</f>
        <v/>
      </c>
      <c r="E3201" s="23" t="str">
        <f aca="false">IF(A3201="","",DATE(YEAR(A3201),MONTH(A3201),1))</f>
        <v/>
      </c>
    </row>
    <row r="3202" customFormat="false" ht="15" hidden="false" customHeight="false" outlineLevel="0" collapsed="false">
      <c r="A3202" s="21"/>
      <c r="B3202" s="4"/>
      <c r="C3202" s="22"/>
      <c r="D3202" s="5" t="str">
        <f aca="false">IF(B3202="","",IFERROR(INDEX(DE_PARA!$B$6:$B$205,MATCH(B3202,DE_PARA!$A$6:$A$205,0)),"SEM DE-PARA"))</f>
        <v/>
      </c>
      <c r="E3202" s="23" t="str">
        <f aca="false">IF(A3202="","",DATE(YEAR(A3202),MONTH(A3202),1))</f>
        <v/>
      </c>
    </row>
    <row r="3203" customFormat="false" ht="15" hidden="false" customHeight="false" outlineLevel="0" collapsed="false">
      <c r="A3203" s="21"/>
      <c r="B3203" s="4"/>
      <c r="C3203" s="22"/>
      <c r="D3203" s="5" t="str">
        <f aca="false">IF(B3203="","",IFERROR(INDEX(DE_PARA!$B$6:$B$205,MATCH(B3203,DE_PARA!$A$6:$A$205,0)),"SEM DE-PARA"))</f>
        <v/>
      </c>
      <c r="E3203" s="23" t="str">
        <f aca="false">IF(A3203="","",DATE(YEAR(A3203),MONTH(A3203),1))</f>
        <v/>
      </c>
    </row>
    <row r="3204" customFormat="false" ht="15" hidden="false" customHeight="false" outlineLevel="0" collapsed="false">
      <c r="A3204" s="21"/>
      <c r="B3204" s="4"/>
      <c r="C3204" s="22"/>
      <c r="D3204" s="5" t="str">
        <f aca="false">IF(B3204="","",IFERROR(INDEX(DE_PARA!$B$6:$B$205,MATCH(B3204,DE_PARA!$A$6:$A$205,0)),"SEM DE-PARA"))</f>
        <v/>
      </c>
      <c r="E3204" s="23" t="str">
        <f aca="false">IF(A3204="","",DATE(YEAR(A3204),MONTH(A3204),1))</f>
        <v/>
      </c>
    </row>
    <row r="3205" customFormat="false" ht="15" hidden="false" customHeight="false" outlineLevel="0" collapsed="false">
      <c r="A3205" s="21"/>
      <c r="B3205" s="4"/>
      <c r="C3205" s="22"/>
      <c r="D3205" s="5" t="str">
        <f aca="false">IF(B3205="","",IFERROR(INDEX(DE_PARA!$B$6:$B$205,MATCH(B3205,DE_PARA!$A$6:$A$205,0)),"SEM DE-PARA"))</f>
        <v/>
      </c>
      <c r="E3205" s="23" t="str">
        <f aca="false">IF(A3205="","",DATE(YEAR(A3205),MONTH(A3205),1))</f>
        <v/>
      </c>
    </row>
    <row r="3206" customFormat="false" ht="15" hidden="false" customHeight="false" outlineLevel="0" collapsed="false">
      <c r="A3206" s="21"/>
      <c r="B3206" s="4"/>
      <c r="C3206" s="22"/>
      <c r="D3206" s="5" t="str">
        <f aca="false">IF(B3206="","",IFERROR(INDEX(DE_PARA!$B$6:$B$205,MATCH(B3206,DE_PARA!$A$6:$A$205,0)),"SEM DE-PARA"))</f>
        <v/>
      </c>
      <c r="E3206" s="23" t="str">
        <f aca="false">IF(A3206="","",DATE(YEAR(A3206),MONTH(A3206),1))</f>
        <v/>
      </c>
    </row>
    <row r="3207" customFormat="false" ht="15" hidden="false" customHeight="false" outlineLevel="0" collapsed="false">
      <c r="A3207" s="21"/>
      <c r="B3207" s="4"/>
      <c r="C3207" s="22"/>
      <c r="D3207" s="5" t="str">
        <f aca="false">IF(B3207="","",IFERROR(INDEX(DE_PARA!$B$6:$B$205,MATCH(B3207,DE_PARA!$A$6:$A$205,0)),"SEM DE-PARA"))</f>
        <v/>
      </c>
      <c r="E3207" s="23" t="str">
        <f aca="false">IF(A3207="","",DATE(YEAR(A3207),MONTH(A3207),1))</f>
        <v/>
      </c>
    </row>
    <row r="3208" customFormat="false" ht="15" hidden="false" customHeight="false" outlineLevel="0" collapsed="false">
      <c r="A3208" s="21"/>
      <c r="B3208" s="4"/>
      <c r="C3208" s="22"/>
      <c r="D3208" s="5" t="str">
        <f aca="false">IF(B3208="","",IFERROR(INDEX(DE_PARA!$B$6:$B$205,MATCH(B3208,DE_PARA!$A$6:$A$205,0)),"SEM DE-PARA"))</f>
        <v/>
      </c>
      <c r="E3208" s="23" t="str">
        <f aca="false">IF(A3208="","",DATE(YEAR(A3208),MONTH(A3208),1))</f>
        <v/>
      </c>
    </row>
    <row r="3209" customFormat="false" ht="15" hidden="false" customHeight="false" outlineLevel="0" collapsed="false">
      <c r="A3209" s="21"/>
      <c r="B3209" s="4"/>
      <c r="C3209" s="22"/>
      <c r="D3209" s="5" t="str">
        <f aca="false">IF(B3209="","",IFERROR(INDEX(DE_PARA!$B$6:$B$205,MATCH(B3209,DE_PARA!$A$6:$A$205,0)),"SEM DE-PARA"))</f>
        <v/>
      </c>
      <c r="E3209" s="23" t="str">
        <f aca="false">IF(A3209="","",DATE(YEAR(A3209),MONTH(A3209),1))</f>
        <v/>
      </c>
    </row>
    <row r="3210" customFormat="false" ht="15" hidden="false" customHeight="false" outlineLevel="0" collapsed="false">
      <c r="A3210" s="21"/>
      <c r="B3210" s="4"/>
      <c r="C3210" s="22"/>
      <c r="D3210" s="5" t="str">
        <f aca="false">IF(B3210="","",IFERROR(INDEX(DE_PARA!$B$6:$B$205,MATCH(B3210,DE_PARA!$A$6:$A$205,0)),"SEM DE-PARA"))</f>
        <v/>
      </c>
      <c r="E3210" s="23" t="str">
        <f aca="false">IF(A3210="","",DATE(YEAR(A3210),MONTH(A3210),1))</f>
        <v/>
      </c>
    </row>
    <row r="3211" customFormat="false" ht="15" hidden="false" customHeight="false" outlineLevel="0" collapsed="false">
      <c r="A3211" s="21"/>
      <c r="B3211" s="4"/>
      <c r="C3211" s="22"/>
      <c r="D3211" s="5" t="str">
        <f aca="false">IF(B3211="","",IFERROR(INDEX(DE_PARA!$B$6:$B$205,MATCH(B3211,DE_PARA!$A$6:$A$205,0)),"SEM DE-PARA"))</f>
        <v/>
      </c>
      <c r="E3211" s="23" t="str">
        <f aca="false">IF(A3211="","",DATE(YEAR(A3211),MONTH(A3211),1))</f>
        <v/>
      </c>
    </row>
    <row r="3212" customFormat="false" ht="15" hidden="false" customHeight="false" outlineLevel="0" collapsed="false">
      <c r="A3212" s="21"/>
      <c r="B3212" s="4"/>
      <c r="C3212" s="22"/>
      <c r="D3212" s="5" t="str">
        <f aca="false">IF(B3212="","",IFERROR(INDEX(DE_PARA!$B$6:$B$205,MATCH(B3212,DE_PARA!$A$6:$A$205,0)),"SEM DE-PARA"))</f>
        <v/>
      </c>
      <c r="E3212" s="23" t="str">
        <f aca="false">IF(A3212="","",DATE(YEAR(A3212),MONTH(A3212),1))</f>
        <v/>
      </c>
    </row>
    <row r="3213" customFormat="false" ht="15" hidden="false" customHeight="false" outlineLevel="0" collapsed="false">
      <c r="A3213" s="21"/>
      <c r="B3213" s="4"/>
      <c r="C3213" s="22"/>
      <c r="D3213" s="5" t="str">
        <f aca="false">IF(B3213="","",IFERROR(INDEX(DE_PARA!$B$6:$B$205,MATCH(B3213,DE_PARA!$A$6:$A$205,0)),"SEM DE-PARA"))</f>
        <v/>
      </c>
      <c r="E3213" s="23" t="str">
        <f aca="false">IF(A3213="","",DATE(YEAR(A3213),MONTH(A3213),1))</f>
        <v/>
      </c>
    </row>
    <row r="3214" customFormat="false" ht="15" hidden="false" customHeight="false" outlineLevel="0" collapsed="false">
      <c r="A3214" s="21"/>
      <c r="B3214" s="4"/>
      <c r="C3214" s="22"/>
      <c r="D3214" s="5" t="str">
        <f aca="false">IF(B3214="","",IFERROR(INDEX(DE_PARA!$B$6:$B$205,MATCH(B3214,DE_PARA!$A$6:$A$205,0)),"SEM DE-PARA"))</f>
        <v/>
      </c>
      <c r="E3214" s="23" t="str">
        <f aca="false">IF(A3214="","",DATE(YEAR(A3214),MONTH(A3214),1))</f>
        <v/>
      </c>
    </row>
    <row r="3215" customFormat="false" ht="15" hidden="false" customHeight="false" outlineLevel="0" collapsed="false">
      <c r="A3215" s="21"/>
      <c r="B3215" s="4"/>
      <c r="C3215" s="22"/>
      <c r="D3215" s="5" t="str">
        <f aca="false">IF(B3215="","",IFERROR(INDEX(DE_PARA!$B$6:$B$205,MATCH(B3215,DE_PARA!$A$6:$A$205,0)),"SEM DE-PARA"))</f>
        <v/>
      </c>
      <c r="E3215" s="23" t="str">
        <f aca="false">IF(A3215="","",DATE(YEAR(A3215),MONTH(A3215),1))</f>
        <v/>
      </c>
    </row>
    <row r="3216" customFormat="false" ht="15" hidden="false" customHeight="false" outlineLevel="0" collapsed="false">
      <c r="A3216" s="21"/>
      <c r="B3216" s="4"/>
      <c r="C3216" s="22"/>
      <c r="D3216" s="5" t="str">
        <f aca="false">IF(B3216="","",IFERROR(INDEX(DE_PARA!$B$6:$B$205,MATCH(B3216,DE_PARA!$A$6:$A$205,0)),"SEM DE-PARA"))</f>
        <v/>
      </c>
      <c r="E3216" s="23" t="str">
        <f aca="false">IF(A3216="","",DATE(YEAR(A3216),MONTH(A3216),1))</f>
        <v/>
      </c>
    </row>
    <row r="3217" customFormat="false" ht="15" hidden="false" customHeight="false" outlineLevel="0" collapsed="false">
      <c r="A3217" s="21"/>
      <c r="B3217" s="4"/>
      <c r="C3217" s="22"/>
      <c r="D3217" s="5" t="str">
        <f aca="false">IF(B3217="","",IFERROR(INDEX(DE_PARA!$B$6:$B$205,MATCH(B3217,DE_PARA!$A$6:$A$205,0)),"SEM DE-PARA"))</f>
        <v/>
      </c>
      <c r="E3217" s="23" t="str">
        <f aca="false">IF(A3217="","",DATE(YEAR(A3217),MONTH(A3217),1))</f>
        <v/>
      </c>
    </row>
    <row r="3218" customFormat="false" ht="15" hidden="false" customHeight="false" outlineLevel="0" collapsed="false">
      <c r="A3218" s="21"/>
      <c r="B3218" s="4"/>
      <c r="C3218" s="22"/>
      <c r="D3218" s="5" t="str">
        <f aca="false">IF(B3218="","",IFERROR(INDEX(DE_PARA!$B$6:$B$205,MATCH(B3218,DE_PARA!$A$6:$A$205,0)),"SEM DE-PARA"))</f>
        <v/>
      </c>
      <c r="E3218" s="23" t="str">
        <f aca="false">IF(A3218="","",DATE(YEAR(A3218),MONTH(A3218),1))</f>
        <v/>
      </c>
    </row>
    <row r="3219" customFormat="false" ht="15" hidden="false" customHeight="false" outlineLevel="0" collapsed="false">
      <c r="A3219" s="21"/>
      <c r="B3219" s="4"/>
      <c r="C3219" s="22"/>
      <c r="D3219" s="5" t="str">
        <f aca="false">IF(B3219="","",IFERROR(INDEX(DE_PARA!$B$6:$B$205,MATCH(B3219,DE_PARA!$A$6:$A$205,0)),"SEM DE-PARA"))</f>
        <v/>
      </c>
      <c r="E3219" s="23" t="str">
        <f aca="false">IF(A3219="","",DATE(YEAR(A3219),MONTH(A3219),1))</f>
        <v/>
      </c>
    </row>
    <row r="3220" customFormat="false" ht="15" hidden="false" customHeight="false" outlineLevel="0" collapsed="false">
      <c r="A3220" s="21"/>
      <c r="B3220" s="4"/>
      <c r="C3220" s="22"/>
      <c r="D3220" s="5" t="str">
        <f aca="false">IF(B3220="","",IFERROR(INDEX(DE_PARA!$B$6:$B$205,MATCH(B3220,DE_PARA!$A$6:$A$205,0)),"SEM DE-PARA"))</f>
        <v/>
      </c>
      <c r="E3220" s="23" t="str">
        <f aca="false">IF(A3220="","",DATE(YEAR(A3220),MONTH(A3220),1))</f>
        <v/>
      </c>
    </row>
    <row r="3221" customFormat="false" ht="15" hidden="false" customHeight="false" outlineLevel="0" collapsed="false">
      <c r="A3221" s="21"/>
      <c r="B3221" s="4"/>
      <c r="C3221" s="22"/>
      <c r="D3221" s="5" t="str">
        <f aca="false">IF(B3221="","",IFERROR(INDEX(DE_PARA!$B$6:$B$205,MATCH(B3221,DE_PARA!$A$6:$A$205,0)),"SEM DE-PARA"))</f>
        <v/>
      </c>
      <c r="E3221" s="23" t="str">
        <f aca="false">IF(A3221="","",DATE(YEAR(A3221),MONTH(A3221),1))</f>
        <v/>
      </c>
    </row>
    <row r="3222" customFormat="false" ht="15" hidden="false" customHeight="false" outlineLevel="0" collapsed="false">
      <c r="A3222" s="21"/>
      <c r="B3222" s="4"/>
      <c r="C3222" s="22"/>
      <c r="D3222" s="5" t="str">
        <f aca="false">IF(B3222="","",IFERROR(INDEX(DE_PARA!$B$6:$B$205,MATCH(B3222,DE_PARA!$A$6:$A$205,0)),"SEM DE-PARA"))</f>
        <v/>
      </c>
      <c r="E3222" s="23" t="str">
        <f aca="false">IF(A3222="","",DATE(YEAR(A3222),MONTH(A3222),1))</f>
        <v/>
      </c>
    </row>
    <row r="3223" customFormat="false" ht="15" hidden="false" customHeight="false" outlineLevel="0" collapsed="false">
      <c r="A3223" s="21"/>
      <c r="B3223" s="4"/>
      <c r="C3223" s="22"/>
      <c r="D3223" s="5" t="str">
        <f aca="false">IF(B3223="","",IFERROR(INDEX(DE_PARA!$B$6:$B$205,MATCH(B3223,DE_PARA!$A$6:$A$205,0)),"SEM DE-PARA"))</f>
        <v/>
      </c>
      <c r="E3223" s="23" t="str">
        <f aca="false">IF(A3223="","",DATE(YEAR(A3223),MONTH(A3223),1))</f>
        <v/>
      </c>
    </row>
    <row r="3224" customFormat="false" ht="15" hidden="false" customHeight="false" outlineLevel="0" collapsed="false">
      <c r="A3224" s="21"/>
      <c r="B3224" s="4"/>
      <c r="C3224" s="22"/>
      <c r="D3224" s="5" t="str">
        <f aca="false">IF(B3224="","",IFERROR(INDEX(DE_PARA!$B$6:$B$205,MATCH(B3224,DE_PARA!$A$6:$A$205,0)),"SEM DE-PARA"))</f>
        <v/>
      </c>
      <c r="E3224" s="23" t="str">
        <f aca="false">IF(A3224="","",DATE(YEAR(A3224),MONTH(A3224),1))</f>
        <v/>
      </c>
    </row>
    <row r="3225" customFormat="false" ht="15" hidden="false" customHeight="false" outlineLevel="0" collapsed="false">
      <c r="A3225" s="21"/>
      <c r="B3225" s="4"/>
      <c r="C3225" s="22"/>
      <c r="D3225" s="5" t="str">
        <f aca="false">IF(B3225="","",IFERROR(INDEX(DE_PARA!$B$6:$B$205,MATCH(B3225,DE_PARA!$A$6:$A$205,0)),"SEM DE-PARA"))</f>
        <v/>
      </c>
      <c r="E3225" s="23" t="str">
        <f aca="false">IF(A3225="","",DATE(YEAR(A3225),MONTH(A3225),1))</f>
        <v/>
      </c>
    </row>
    <row r="3226" customFormat="false" ht="15" hidden="false" customHeight="false" outlineLevel="0" collapsed="false">
      <c r="A3226" s="21"/>
      <c r="B3226" s="4"/>
      <c r="C3226" s="22"/>
      <c r="D3226" s="5" t="str">
        <f aca="false">IF(B3226="","",IFERROR(INDEX(DE_PARA!$B$6:$B$205,MATCH(B3226,DE_PARA!$A$6:$A$205,0)),"SEM DE-PARA"))</f>
        <v/>
      </c>
      <c r="E3226" s="23" t="str">
        <f aca="false">IF(A3226="","",DATE(YEAR(A3226),MONTH(A3226),1))</f>
        <v/>
      </c>
    </row>
    <row r="3227" customFormat="false" ht="15" hidden="false" customHeight="false" outlineLevel="0" collapsed="false">
      <c r="A3227" s="21"/>
      <c r="B3227" s="4"/>
      <c r="C3227" s="22"/>
      <c r="D3227" s="5" t="str">
        <f aca="false">IF(B3227="","",IFERROR(INDEX(DE_PARA!$B$6:$B$205,MATCH(B3227,DE_PARA!$A$6:$A$205,0)),"SEM DE-PARA"))</f>
        <v/>
      </c>
      <c r="E3227" s="23" t="str">
        <f aca="false">IF(A3227="","",DATE(YEAR(A3227),MONTH(A3227),1))</f>
        <v/>
      </c>
    </row>
    <row r="3228" customFormat="false" ht="15" hidden="false" customHeight="false" outlineLevel="0" collapsed="false">
      <c r="A3228" s="21"/>
      <c r="B3228" s="4"/>
      <c r="C3228" s="22"/>
      <c r="D3228" s="5" t="str">
        <f aca="false">IF(B3228="","",IFERROR(INDEX(DE_PARA!$B$6:$B$205,MATCH(B3228,DE_PARA!$A$6:$A$205,0)),"SEM DE-PARA"))</f>
        <v/>
      </c>
      <c r="E3228" s="23" t="str">
        <f aca="false">IF(A3228="","",DATE(YEAR(A3228),MONTH(A3228),1))</f>
        <v/>
      </c>
    </row>
    <row r="3229" customFormat="false" ht="15" hidden="false" customHeight="false" outlineLevel="0" collapsed="false">
      <c r="A3229" s="21"/>
      <c r="B3229" s="4"/>
      <c r="C3229" s="22"/>
      <c r="D3229" s="5" t="str">
        <f aca="false">IF(B3229="","",IFERROR(INDEX(DE_PARA!$B$6:$B$205,MATCH(B3229,DE_PARA!$A$6:$A$205,0)),"SEM DE-PARA"))</f>
        <v/>
      </c>
      <c r="E3229" s="23" t="str">
        <f aca="false">IF(A3229="","",DATE(YEAR(A3229),MONTH(A3229),1))</f>
        <v/>
      </c>
    </row>
    <row r="3230" customFormat="false" ht="15" hidden="false" customHeight="false" outlineLevel="0" collapsed="false">
      <c r="A3230" s="21"/>
      <c r="B3230" s="4"/>
      <c r="C3230" s="22"/>
      <c r="D3230" s="5" t="str">
        <f aca="false">IF(B3230="","",IFERROR(INDEX(DE_PARA!$B$6:$B$205,MATCH(B3230,DE_PARA!$A$6:$A$205,0)),"SEM DE-PARA"))</f>
        <v/>
      </c>
      <c r="E3230" s="23" t="str">
        <f aca="false">IF(A3230="","",DATE(YEAR(A3230),MONTH(A3230),1))</f>
        <v/>
      </c>
    </row>
    <row r="3231" customFormat="false" ht="15" hidden="false" customHeight="false" outlineLevel="0" collapsed="false">
      <c r="A3231" s="21"/>
      <c r="B3231" s="4"/>
      <c r="C3231" s="22"/>
      <c r="D3231" s="5" t="str">
        <f aca="false">IF(B3231="","",IFERROR(INDEX(DE_PARA!$B$6:$B$205,MATCH(B3231,DE_PARA!$A$6:$A$205,0)),"SEM DE-PARA"))</f>
        <v/>
      </c>
      <c r="E3231" s="23" t="str">
        <f aca="false">IF(A3231="","",DATE(YEAR(A3231),MONTH(A3231),1))</f>
        <v/>
      </c>
    </row>
    <row r="3232" customFormat="false" ht="15" hidden="false" customHeight="false" outlineLevel="0" collapsed="false">
      <c r="A3232" s="21"/>
      <c r="B3232" s="4"/>
      <c r="C3232" s="22"/>
      <c r="D3232" s="5" t="str">
        <f aca="false">IF(B3232="","",IFERROR(INDEX(DE_PARA!$B$6:$B$205,MATCH(B3232,DE_PARA!$A$6:$A$205,0)),"SEM DE-PARA"))</f>
        <v/>
      </c>
      <c r="E3232" s="23" t="str">
        <f aca="false">IF(A3232="","",DATE(YEAR(A3232),MONTH(A3232),1))</f>
        <v/>
      </c>
    </row>
    <row r="3233" customFormat="false" ht="15" hidden="false" customHeight="false" outlineLevel="0" collapsed="false">
      <c r="A3233" s="21"/>
      <c r="B3233" s="4"/>
      <c r="C3233" s="22"/>
      <c r="D3233" s="5" t="str">
        <f aca="false">IF(B3233="","",IFERROR(INDEX(DE_PARA!$B$6:$B$205,MATCH(B3233,DE_PARA!$A$6:$A$205,0)),"SEM DE-PARA"))</f>
        <v/>
      </c>
      <c r="E3233" s="23" t="str">
        <f aca="false">IF(A3233="","",DATE(YEAR(A3233),MONTH(A3233),1))</f>
        <v/>
      </c>
    </row>
    <row r="3234" customFormat="false" ht="15" hidden="false" customHeight="false" outlineLevel="0" collapsed="false">
      <c r="A3234" s="21"/>
      <c r="B3234" s="4"/>
      <c r="C3234" s="22"/>
      <c r="D3234" s="5" t="str">
        <f aca="false">IF(B3234="","",IFERROR(INDEX(DE_PARA!$B$6:$B$205,MATCH(B3234,DE_PARA!$A$6:$A$205,0)),"SEM DE-PARA"))</f>
        <v/>
      </c>
      <c r="E3234" s="23" t="str">
        <f aca="false">IF(A3234="","",DATE(YEAR(A3234),MONTH(A3234),1))</f>
        <v/>
      </c>
    </row>
    <row r="3235" customFormat="false" ht="15" hidden="false" customHeight="false" outlineLevel="0" collapsed="false">
      <c r="A3235" s="21"/>
      <c r="B3235" s="4"/>
      <c r="C3235" s="22"/>
      <c r="D3235" s="5" t="str">
        <f aca="false">IF(B3235="","",IFERROR(INDEX(DE_PARA!$B$6:$B$205,MATCH(B3235,DE_PARA!$A$6:$A$205,0)),"SEM DE-PARA"))</f>
        <v/>
      </c>
      <c r="E3235" s="23" t="str">
        <f aca="false">IF(A3235="","",DATE(YEAR(A3235),MONTH(A3235),1))</f>
        <v/>
      </c>
    </row>
    <row r="3236" customFormat="false" ht="15" hidden="false" customHeight="false" outlineLevel="0" collapsed="false">
      <c r="A3236" s="21"/>
      <c r="B3236" s="4"/>
      <c r="C3236" s="22"/>
      <c r="D3236" s="5" t="str">
        <f aca="false">IF(B3236="","",IFERROR(INDEX(DE_PARA!$B$6:$B$205,MATCH(B3236,DE_PARA!$A$6:$A$205,0)),"SEM DE-PARA"))</f>
        <v/>
      </c>
      <c r="E3236" s="23" t="str">
        <f aca="false">IF(A3236="","",DATE(YEAR(A3236),MONTH(A3236),1))</f>
        <v/>
      </c>
    </row>
    <row r="3237" customFormat="false" ht="15" hidden="false" customHeight="false" outlineLevel="0" collapsed="false">
      <c r="A3237" s="21"/>
      <c r="B3237" s="4"/>
      <c r="C3237" s="22"/>
      <c r="D3237" s="5" t="str">
        <f aca="false">IF(B3237="","",IFERROR(INDEX(DE_PARA!$B$6:$B$205,MATCH(B3237,DE_PARA!$A$6:$A$205,0)),"SEM DE-PARA"))</f>
        <v/>
      </c>
      <c r="E3237" s="23" t="str">
        <f aca="false">IF(A3237="","",DATE(YEAR(A3237),MONTH(A3237),1))</f>
        <v/>
      </c>
    </row>
    <row r="3238" customFormat="false" ht="15" hidden="false" customHeight="false" outlineLevel="0" collapsed="false">
      <c r="A3238" s="21"/>
      <c r="B3238" s="4"/>
      <c r="C3238" s="22"/>
      <c r="D3238" s="5" t="str">
        <f aca="false">IF(B3238="","",IFERROR(INDEX(DE_PARA!$B$6:$B$205,MATCH(B3238,DE_PARA!$A$6:$A$205,0)),"SEM DE-PARA"))</f>
        <v/>
      </c>
      <c r="E3238" s="23" t="str">
        <f aca="false">IF(A3238="","",DATE(YEAR(A3238),MONTH(A3238),1))</f>
        <v/>
      </c>
    </row>
    <row r="3239" customFormat="false" ht="15" hidden="false" customHeight="false" outlineLevel="0" collapsed="false">
      <c r="A3239" s="21"/>
      <c r="B3239" s="4"/>
      <c r="C3239" s="22"/>
      <c r="D3239" s="5" t="str">
        <f aca="false">IF(B3239="","",IFERROR(INDEX(DE_PARA!$B$6:$B$205,MATCH(B3239,DE_PARA!$A$6:$A$205,0)),"SEM DE-PARA"))</f>
        <v/>
      </c>
      <c r="E3239" s="23" t="str">
        <f aca="false">IF(A3239="","",DATE(YEAR(A3239),MONTH(A3239),1))</f>
        <v/>
      </c>
    </row>
    <row r="3240" customFormat="false" ht="15" hidden="false" customHeight="false" outlineLevel="0" collapsed="false">
      <c r="A3240" s="21"/>
      <c r="B3240" s="4"/>
      <c r="C3240" s="22"/>
      <c r="D3240" s="5" t="str">
        <f aca="false">IF(B3240="","",IFERROR(INDEX(DE_PARA!$B$6:$B$205,MATCH(B3240,DE_PARA!$A$6:$A$205,0)),"SEM DE-PARA"))</f>
        <v/>
      </c>
      <c r="E3240" s="23" t="str">
        <f aca="false">IF(A3240="","",DATE(YEAR(A3240),MONTH(A3240),1))</f>
        <v/>
      </c>
    </row>
    <row r="3241" customFormat="false" ht="15" hidden="false" customHeight="false" outlineLevel="0" collapsed="false">
      <c r="A3241" s="21"/>
      <c r="B3241" s="4"/>
      <c r="C3241" s="22"/>
      <c r="D3241" s="5" t="str">
        <f aca="false">IF(B3241="","",IFERROR(INDEX(DE_PARA!$B$6:$B$205,MATCH(B3241,DE_PARA!$A$6:$A$205,0)),"SEM DE-PARA"))</f>
        <v/>
      </c>
      <c r="E3241" s="23" t="str">
        <f aca="false">IF(A3241="","",DATE(YEAR(A3241),MONTH(A3241),1))</f>
        <v/>
      </c>
    </row>
    <row r="3242" customFormat="false" ht="15" hidden="false" customHeight="false" outlineLevel="0" collapsed="false">
      <c r="A3242" s="21"/>
      <c r="B3242" s="4"/>
      <c r="C3242" s="22"/>
      <c r="D3242" s="5" t="str">
        <f aca="false">IF(B3242="","",IFERROR(INDEX(DE_PARA!$B$6:$B$205,MATCH(B3242,DE_PARA!$A$6:$A$205,0)),"SEM DE-PARA"))</f>
        <v/>
      </c>
      <c r="E3242" s="23" t="str">
        <f aca="false">IF(A3242="","",DATE(YEAR(A3242),MONTH(A3242),1))</f>
        <v/>
      </c>
    </row>
    <row r="3243" customFormat="false" ht="15" hidden="false" customHeight="false" outlineLevel="0" collapsed="false">
      <c r="A3243" s="21"/>
      <c r="B3243" s="4"/>
      <c r="C3243" s="22"/>
      <c r="D3243" s="5" t="str">
        <f aca="false">IF(B3243="","",IFERROR(INDEX(DE_PARA!$B$6:$B$205,MATCH(B3243,DE_PARA!$A$6:$A$205,0)),"SEM DE-PARA"))</f>
        <v/>
      </c>
      <c r="E3243" s="23" t="str">
        <f aca="false">IF(A3243="","",DATE(YEAR(A3243),MONTH(A3243),1))</f>
        <v/>
      </c>
    </row>
    <row r="3244" customFormat="false" ht="15" hidden="false" customHeight="false" outlineLevel="0" collapsed="false">
      <c r="A3244" s="21"/>
      <c r="B3244" s="4"/>
      <c r="C3244" s="22"/>
      <c r="D3244" s="5" t="str">
        <f aca="false">IF(B3244="","",IFERROR(INDEX(DE_PARA!$B$6:$B$205,MATCH(B3244,DE_PARA!$A$6:$A$205,0)),"SEM DE-PARA"))</f>
        <v/>
      </c>
      <c r="E3244" s="23" t="str">
        <f aca="false">IF(A3244="","",DATE(YEAR(A3244),MONTH(A3244),1))</f>
        <v/>
      </c>
    </row>
    <row r="3245" customFormat="false" ht="15" hidden="false" customHeight="false" outlineLevel="0" collapsed="false">
      <c r="A3245" s="21"/>
      <c r="B3245" s="4"/>
      <c r="C3245" s="22"/>
      <c r="D3245" s="5" t="str">
        <f aca="false">IF(B3245="","",IFERROR(INDEX(DE_PARA!$B$6:$B$205,MATCH(B3245,DE_PARA!$A$6:$A$205,0)),"SEM DE-PARA"))</f>
        <v/>
      </c>
      <c r="E3245" s="23" t="str">
        <f aca="false">IF(A3245="","",DATE(YEAR(A3245),MONTH(A3245),1))</f>
        <v/>
      </c>
    </row>
    <row r="3246" customFormat="false" ht="15" hidden="false" customHeight="false" outlineLevel="0" collapsed="false">
      <c r="A3246" s="21"/>
      <c r="B3246" s="4"/>
      <c r="C3246" s="22"/>
      <c r="D3246" s="5" t="str">
        <f aca="false">IF(B3246="","",IFERROR(INDEX(DE_PARA!$B$6:$B$205,MATCH(B3246,DE_PARA!$A$6:$A$205,0)),"SEM DE-PARA"))</f>
        <v/>
      </c>
      <c r="E3246" s="23" t="str">
        <f aca="false">IF(A3246="","",DATE(YEAR(A3246),MONTH(A3246),1))</f>
        <v/>
      </c>
    </row>
    <row r="3247" customFormat="false" ht="15" hidden="false" customHeight="false" outlineLevel="0" collapsed="false">
      <c r="A3247" s="21"/>
      <c r="B3247" s="4"/>
      <c r="C3247" s="22"/>
      <c r="D3247" s="5" t="str">
        <f aca="false">IF(B3247="","",IFERROR(INDEX(DE_PARA!$B$6:$B$205,MATCH(B3247,DE_PARA!$A$6:$A$205,0)),"SEM DE-PARA"))</f>
        <v/>
      </c>
      <c r="E3247" s="23" t="str">
        <f aca="false">IF(A3247="","",DATE(YEAR(A3247),MONTH(A3247),1))</f>
        <v/>
      </c>
    </row>
    <row r="3248" customFormat="false" ht="15" hidden="false" customHeight="false" outlineLevel="0" collapsed="false">
      <c r="A3248" s="21"/>
      <c r="B3248" s="4"/>
      <c r="C3248" s="22"/>
      <c r="D3248" s="5" t="str">
        <f aca="false">IF(B3248="","",IFERROR(INDEX(DE_PARA!$B$6:$B$205,MATCH(B3248,DE_PARA!$A$6:$A$205,0)),"SEM DE-PARA"))</f>
        <v/>
      </c>
      <c r="E3248" s="23" t="str">
        <f aca="false">IF(A3248="","",DATE(YEAR(A3248),MONTH(A3248),1))</f>
        <v/>
      </c>
    </row>
    <row r="3249" customFormat="false" ht="15" hidden="false" customHeight="false" outlineLevel="0" collapsed="false">
      <c r="A3249" s="21"/>
      <c r="B3249" s="4"/>
      <c r="C3249" s="22"/>
      <c r="D3249" s="5" t="str">
        <f aca="false">IF(B3249="","",IFERROR(INDEX(DE_PARA!$B$6:$B$205,MATCH(B3249,DE_PARA!$A$6:$A$205,0)),"SEM DE-PARA"))</f>
        <v/>
      </c>
      <c r="E3249" s="23" t="str">
        <f aca="false">IF(A3249="","",DATE(YEAR(A3249),MONTH(A3249),1))</f>
        <v/>
      </c>
    </row>
    <row r="3250" customFormat="false" ht="15" hidden="false" customHeight="false" outlineLevel="0" collapsed="false">
      <c r="A3250" s="21"/>
      <c r="B3250" s="4"/>
      <c r="C3250" s="22"/>
      <c r="D3250" s="5" t="str">
        <f aca="false">IF(B3250="","",IFERROR(INDEX(DE_PARA!$B$6:$B$205,MATCH(B3250,DE_PARA!$A$6:$A$205,0)),"SEM DE-PARA"))</f>
        <v/>
      </c>
      <c r="E3250" s="23" t="str">
        <f aca="false">IF(A3250="","",DATE(YEAR(A3250),MONTH(A3250),1))</f>
        <v/>
      </c>
    </row>
    <row r="3251" customFormat="false" ht="15" hidden="false" customHeight="false" outlineLevel="0" collapsed="false">
      <c r="A3251" s="21"/>
      <c r="B3251" s="4"/>
      <c r="C3251" s="22"/>
      <c r="D3251" s="5" t="str">
        <f aca="false">IF(B3251="","",IFERROR(INDEX(DE_PARA!$B$6:$B$205,MATCH(B3251,DE_PARA!$A$6:$A$205,0)),"SEM DE-PARA"))</f>
        <v/>
      </c>
      <c r="E3251" s="23" t="str">
        <f aca="false">IF(A3251="","",DATE(YEAR(A3251),MONTH(A3251),1))</f>
        <v/>
      </c>
    </row>
    <row r="3252" customFormat="false" ht="15" hidden="false" customHeight="false" outlineLevel="0" collapsed="false">
      <c r="A3252" s="21"/>
      <c r="B3252" s="4"/>
      <c r="C3252" s="22"/>
      <c r="D3252" s="5" t="str">
        <f aca="false">IF(B3252="","",IFERROR(INDEX(DE_PARA!$B$6:$B$205,MATCH(B3252,DE_PARA!$A$6:$A$205,0)),"SEM DE-PARA"))</f>
        <v/>
      </c>
      <c r="E3252" s="23" t="str">
        <f aca="false">IF(A3252="","",DATE(YEAR(A3252),MONTH(A3252),1))</f>
        <v/>
      </c>
    </row>
    <row r="3253" customFormat="false" ht="15" hidden="false" customHeight="false" outlineLevel="0" collapsed="false">
      <c r="A3253" s="21"/>
      <c r="B3253" s="4"/>
      <c r="C3253" s="22"/>
      <c r="D3253" s="5" t="str">
        <f aca="false">IF(B3253="","",IFERROR(INDEX(DE_PARA!$B$6:$B$205,MATCH(B3253,DE_PARA!$A$6:$A$205,0)),"SEM DE-PARA"))</f>
        <v/>
      </c>
      <c r="E3253" s="23" t="str">
        <f aca="false">IF(A3253="","",DATE(YEAR(A3253),MONTH(A3253),1))</f>
        <v/>
      </c>
    </row>
    <row r="3254" customFormat="false" ht="15" hidden="false" customHeight="false" outlineLevel="0" collapsed="false">
      <c r="A3254" s="21"/>
      <c r="B3254" s="4"/>
      <c r="C3254" s="22"/>
      <c r="D3254" s="5" t="str">
        <f aca="false">IF(B3254="","",IFERROR(INDEX(DE_PARA!$B$6:$B$205,MATCH(B3254,DE_PARA!$A$6:$A$205,0)),"SEM DE-PARA"))</f>
        <v/>
      </c>
      <c r="E3254" s="23" t="str">
        <f aca="false">IF(A3254="","",DATE(YEAR(A3254),MONTH(A3254),1))</f>
        <v/>
      </c>
    </row>
    <row r="3255" customFormat="false" ht="15" hidden="false" customHeight="false" outlineLevel="0" collapsed="false">
      <c r="A3255" s="21"/>
      <c r="B3255" s="4"/>
      <c r="C3255" s="22"/>
      <c r="D3255" s="5" t="str">
        <f aca="false">IF(B3255="","",IFERROR(INDEX(DE_PARA!$B$6:$B$205,MATCH(B3255,DE_PARA!$A$6:$A$205,0)),"SEM DE-PARA"))</f>
        <v/>
      </c>
      <c r="E3255" s="23" t="str">
        <f aca="false">IF(A3255="","",DATE(YEAR(A3255),MONTH(A3255),1))</f>
        <v/>
      </c>
    </row>
    <row r="3256" customFormat="false" ht="15" hidden="false" customHeight="false" outlineLevel="0" collapsed="false">
      <c r="A3256" s="21"/>
      <c r="B3256" s="4"/>
      <c r="C3256" s="22"/>
      <c r="D3256" s="5" t="str">
        <f aca="false">IF(B3256="","",IFERROR(INDEX(DE_PARA!$B$6:$B$205,MATCH(B3256,DE_PARA!$A$6:$A$205,0)),"SEM DE-PARA"))</f>
        <v/>
      </c>
      <c r="E3256" s="23" t="str">
        <f aca="false">IF(A3256="","",DATE(YEAR(A3256),MONTH(A3256),1))</f>
        <v/>
      </c>
    </row>
    <row r="3257" customFormat="false" ht="15" hidden="false" customHeight="false" outlineLevel="0" collapsed="false">
      <c r="A3257" s="21"/>
      <c r="B3257" s="4"/>
      <c r="C3257" s="22"/>
      <c r="D3257" s="5" t="str">
        <f aca="false">IF(B3257="","",IFERROR(INDEX(DE_PARA!$B$6:$B$205,MATCH(B3257,DE_PARA!$A$6:$A$205,0)),"SEM DE-PARA"))</f>
        <v/>
      </c>
      <c r="E3257" s="23" t="str">
        <f aca="false">IF(A3257="","",DATE(YEAR(A3257),MONTH(A3257),1))</f>
        <v/>
      </c>
    </row>
    <row r="3258" customFormat="false" ht="15" hidden="false" customHeight="false" outlineLevel="0" collapsed="false">
      <c r="A3258" s="21"/>
      <c r="B3258" s="4"/>
      <c r="C3258" s="22"/>
      <c r="D3258" s="5" t="str">
        <f aca="false">IF(B3258="","",IFERROR(INDEX(DE_PARA!$B$6:$B$205,MATCH(B3258,DE_PARA!$A$6:$A$205,0)),"SEM DE-PARA"))</f>
        <v/>
      </c>
      <c r="E3258" s="23" t="str">
        <f aca="false">IF(A3258="","",DATE(YEAR(A3258),MONTH(A3258),1))</f>
        <v/>
      </c>
    </row>
    <row r="3259" customFormat="false" ht="15" hidden="false" customHeight="false" outlineLevel="0" collapsed="false">
      <c r="A3259" s="21"/>
      <c r="B3259" s="4"/>
      <c r="C3259" s="22"/>
      <c r="D3259" s="5" t="str">
        <f aca="false">IF(B3259="","",IFERROR(INDEX(DE_PARA!$B$6:$B$205,MATCH(B3259,DE_PARA!$A$6:$A$205,0)),"SEM DE-PARA"))</f>
        <v/>
      </c>
      <c r="E3259" s="23" t="str">
        <f aca="false">IF(A3259="","",DATE(YEAR(A3259),MONTH(A3259),1))</f>
        <v/>
      </c>
    </row>
    <row r="3260" customFormat="false" ht="15" hidden="false" customHeight="false" outlineLevel="0" collapsed="false">
      <c r="A3260" s="21"/>
      <c r="B3260" s="4"/>
      <c r="C3260" s="22"/>
      <c r="D3260" s="5" t="str">
        <f aca="false">IF(B3260="","",IFERROR(INDEX(DE_PARA!$B$6:$B$205,MATCH(B3260,DE_PARA!$A$6:$A$205,0)),"SEM DE-PARA"))</f>
        <v/>
      </c>
      <c r="E3260" s="23" t="str">
        <f aca="false">IF(A3260="","",DATE(YEAR(A3260),MONTH(A3260),1))</f>
        <v/>
      </c>
    </row>
    <row r="3261" customFormat="false" ht="15" hidden="false" customHeight="false" outlineLevel="0" collapsed="false">
      <c r="A3261" s="21"/>
      <c r="B3261" s="4"/>
      <c r="C3261" s="22"/>
      <c r="D3261" s="5" t="str">
        <f aca="false">IF(B3261="","",IFERROR(INDEX(DE_PARA!$B$6:$B$205,MATCH(B3261,DE_PARA!$A$6:$A$205,0)),"SEM DE-PARA"))</f>
        <v/>
      </c>
      <c r="E3261" s="23" t="str">
        <f aca="false">IF(A3261="","",DATE(YEAR(A3261),MONTH(A3261),1))</f>
        <v/>
      </c>
    </row>
    <row r="3262" customFormat="false" ht="15" hidden="false" customHeight="false" outlineLevel="0" collapsed="false">
      <c r="A3262" s="21"/>
      <c r="B3262" s="4"/>
      <c r="C3262" s="22"/>
      <c r="D3262" s="5" t="str">
        <f aca="false">IF(B3262="","",IFERROR(INDEX(DE_PARA!$B$6:$B$205,MATCH(B3262,DE_PARA!$A$6:$A$205,0)),"SEM DE-PARA"))</f>
        <v/>
      </c>
      <c r="E3262" s="23" t="str">
        <f aca="false">IF(A3262="","",DATE(YEAR(A3262),MONTH(A3262),1))</f>
        <v/>
      </c>
    </row>
    <row r="3263" customFormat="false" ht="15" hidden="false" customHeight="false" outlineLevel="0" collapsed="false">
      <c r="A3263" s="21"/>
      <c r="B3263" s="4"/>
      <c r="C3263" s="22"/>
      <c r="D3263" s="5" t="str">
        <f aca="false">IF(B3263="","",IFERROR(INDEX(DE_PARA!$B$6:$B$205,MATCH(B3263,DE_PARA!$A$6:$A$205,0)),"SEM DE-PARA"))</f>
        <v/>
      </c>
      <c r="E3263" s="23" t="str">
        <f aca="false">IF(A3263="","",DATE(YEAR(A3263),MONTH(A3263),1))</f>
        <v/>
      </c>
    </row>
    <row r="3264" customFormat="false" ht="15" hidden="false" customHeight="false" outlineLevel="0" collapsed="false">
      <c r="A3264" s="21"/>
      <c r="B3264" s="4"/>
      <c r="C3264" s="22"/>
      <c r="D3264" s="5" t="str">
        <f aca="false">IF(B3264="","",IFERROR(INDEX(DE_PARA!$B$6:$B$205,MATCH(B3264,DE_PARA!$A$6:$A$205,0)),"SEM DE-PARA"))</f>
        <v/>
      </c>
      <c r="E3264" s="23" t="str">
        <f aca="false">IF(A3264="","",DATE(YEAR(A3264),MONTH(A3264),1))</f>
        <v/>
      </c>
    </row>
    <row r="3265" customFormat="false" ht="15" hidden="false" customHeight="false" outlineLevel="0" collapsed="false">
      <c r="A3265" s="21"/>
      <c r="B3265" s="4"/>
      <c r="C3265" s="22"/>
      <c r="D3265" s="5" t="str">
        <f aca="false">IF(B3265="","",IFERROR(INDEX(DE_PARA!$B$6:$B$205,MATCH(B3265,DE_PARA!$A$6:$A$205,0)),"SEM DE-PARA"))</f>
        <v/>
      </c>
      <c r="E3265" s="23" t="str">
        <f aca="false">IF(A3265="","",DATE(YEAR(A3265),MONTH(A3265),1))</f>
        <v/>
      </c>
    </row>
    <row r="3266" customFormat="false" ht="15" hidden="false" customHeight="false" outlineLevel="0" collapsed="false">
      <c r="A3266" s="21"/>
      <c r="B3266" s="4"/>
      <c r="C3266" s="22"/>
      <c r="D3266" s="5" t="str">
        <f aca="false">IF(B3266="","",IFERROR(INDEX(DE_PARA!$B$6:$B$205,MATCH(B3266,DE_PARA!$A$6:$A$205,0)),"SEM DE-PARA"))</f>
        <v/>
      </c>
      <c r="E3266" s="23" t="str">
        <f aca="false">IF(A3266="","",DATE(YEAR(A3266),MONTH(A3266),1))</f>
        <v/>
      </c>
    </row>
    <row r="3267" customFormat="false" ht="15" hidden="false" customHeight="false" outlineLevel="0" collapsed="false">
      <c r="A3267" s="21"/>
      <c r="B3267" s="4"/>
      <c r="C3267" s="22"/>
      <c r="D3267" s="5" t="str">
        <f aca="false">IF(B3267="","",IFERROR(INDEX(DE_PARA!$B$6:$B$205,MATCH(B3267,DE_PARA!$A$6:$A$205,0)),"SEM DE-PARA"))</f>
        <v/>
      </c>
      <c r="E3267" s="23" t="str">
        <f aca="false">IF(A3267="","",DATE(YEAR(A3267),MONTH(A3267),1))</f>
        <v/>
      </c>
    </row>
    <row r="3268" customFormat="false" ht="15" hidden="false" customHeight="false" outlineLevel="0" collapsed="false">
      <c r="A3268" s="21"/>
      <c r="B3268" s="4"/>
      <c r="C3268" s="22"/>
      <c r="D3268" s="5" t="str">
        <f aca="false">IF(B3268="","",IFERROR(INDEX(DE_PARA!$B$6:$B$205,MATCH(B3268,DE_PARA!$A$6:$A$205,0)),"SEM DE-PARA"))</f>
        <v/>
      </c>
      <c r="E3268" s="23" t="str">
        <f aca="false">IF(A3268="","",DATE(YEAR(A3268),MONTH(A3268),1))</f>
        <v/>
      </c>
    </row>
    <row r="3269" customFormat="false" ht="15" hidden="false" customHeight="false" outlineLevel="0" collapsed="false">
      <c r="A3269" s="21"/>
      <c r="B3269" s="4"/>
      <c r="C3269" s="22"/>
      <c r="D3269" s="5" t="str">
        <f aca="false">IF(B3269="","",IFERROR(INDEX(DE_PARA!$B$6:$B$205,MATCH(B3269,DE_PARA!$A$6:$A$205,0)),"SEM DE-PARA"))</f>
        <v/>
      </c>
      <c r="E3269" s="23" t="str">
        <f aca="false">IF(A3269="","",DATE(YEAR(A3269),MONTH(A3269),1))</f>
        <v/>
      </c>
    </row>
    <row r="3270" customFormat="false" ht="15" hidden="false" customHeight="false" outlineLevel="0" collapsed="false">
      <c r="A3270" s="21"/>
      <c r="B3270" s="4"/>
      <c r="C3270" s="22"/>
      <c r="D3270" s="5" t="str">
        <f aca="false">IF(B3270="","",IFERROR(INDEX(DE_PARA!$B$6:$B$205,MATCH(B3270,DE_PARA!$A$6:$A$205,0)),"SEM DE-PARA"))</f>
        <v/>
      </c>
      <c r="E3270" s="23" t="str">
        <f aca="false">IF(A3270="","",DATE(YEAR(A3270),MONTH(A3270),1))</f>
        <v/>
      </c>
    </row>
    <row r="3271" customFormat="false" ht="15" hidden="false" customHeight="false" outlineLevel="0" collapsed="false">
      <c r="A3271" s="21"/>
      <c r="B3271" s="4"/>
      <c r="C3271" s="22"/>
      <c r="D3271" s="5" t="str">
        <f aca="false">IF(B3271="","",IFERROR(INDEX(DE_PARA!$B$6:$B$205,MATCH(B3271,DE_PARA!$A$6:$A$205,0)),"SEM DE-PARA"))</f>
        <v/>
      </c>
      <c r="E3271" s="23" t="str">
        <f aca="false">IF(A3271="","",DATE(YEAR(A3271),MONTH(A3271),1))</f>
        <v/>
      </c>
    </row>
    <row r="3272" customFormat="false" ht="15" hidden="false" customHeight="false" outlineLevel="0" collapsed="false">
      <c r="A3272" s="21"/>
      <c r="B3272" s="4"/>
      <c r="C3272" s="22"/>
      <c r="D3272" s="5" t="str">
        <f aca="false">IF(B3272="","",IFERROR(INDEX(DE_PARA!$B$6:$B$205,MATCH(B3272,DE_PARA!$A$6:$A$205,0)),"SEM DE-PARA"))</f>
        <v/>
      </c>
      <c r="E3272" s="23" t="str">
        <f aca="false">IF(A3272="","",DATE(YEAR(A3272),MONTH(A3272),1))</f>
        <v/>
      </c>
    </row>
    <row r="3273" customFormat="false" ht="15" hidden="false" customHeight="false" outlineLevel="0" collapsed="false">
      <c r="A3273" s="21"/>
      <c r="B3273" s="4"/>
      <c r="C3273" s="22"/>
      <c r="D3273" s="5" t="str">
        <f aca="false">IF(B3273="","",IFERROR(INDEX(DE_PARA!$B$6:$B$205,MATCH(B3273,DE_PARA!$A$6:$A$205,0)),"SEM DE-PARA"))</f>
        <v/>
      </c>
      <c r="E3273" s="23" t="str">
        <f aca="false">IF(A3273="","",DATE(YEAR(A3273),MONTH(A3273),1))</f>
        <v/>
      </c>
    </row>
    <row r="3274" customFormat="false" ht="15" hidden="false" customHeight="false" outlineLevel="0" collapsed="false">
      <c r="A3274" s="21"/>
      <c r="B3274" s="4"/>
      <c r="C3274" s="22"/>
      <c r="D3274" s="5" t="str">
        <f aca="false">IF(B3274="","",IFERROR(INDEX(DE_PARA!$B$6:$B$205,MATCH(B3274,DE_PARA!$A$6:$A$205,0)),"SEM DE-PARA"))</f>
        <v/>
      </c>
      <c r="E3274" s="23" t="str">
        <f aca="false">IF(A3274="","",DATE(YEAR(A3274),MONTH(A3274),1))</f>
        <v/>
      </c>
    </row>
    <row r="3275" customFormat="false" ht="15" hidden="false" customHeight="false" outlineLevel="0" collapsed="false">
      <c r="A3275" s="21"/>
      <c r="B3275" s="4"/>
      <c r="C3275" s="22"/>
      <c r="D3275" s="5" t="str">
        <f aca="false">IF(B3275="","",IFERROR(INDEX(DE_PARA!$B$6:$B$205,MATCH(B3275,DE_PARA!$A$6:$A$205,0)),"SEM DE-PARA"))</f>
        <v/>
      </c>
      <c r="E3275" s="23" t="str">
        <f aca="false">IF(A3275="","",DATE(YEAR(A3275),MONTH(A3275),1))</f>
        <v/>
      </c>
    </row>
    <row r="3276" customFormat="false" ht="15" hidden="false" customHeight="false" outlineLevel="0" collapsed="false">
      <c r="A3276" s="21"/>
      <c r="B3276" s="4"/>
      <c r="C3276" s="22"/>
      <c r="D3276" s="5" t="str">
        <f aca="false">IF(B3276="","",IFERROR(INDEX(DE_PARA!$B$6:$B$205,MATCH(B3276,DE_PARA!$A$6:$A$205,0)),"SEM DE-PARA"))</f>
        <v/>
      </c>
      <c r="E3276" s="23" t="str">
        <f aca="false">IF(A3276="","",DATE(YEAR(A3276),MONTH(A3276),1))</f>
        <v/>
      </c>
    </row>
    <row r="3277" customFormat="false" ht="15" hidden="false" customHeight="false" outlineLevel="0" collapsed="false">
      <c r="A3277" s="21"/>
      <c r="B3277" s="4"/>
      <c r="C3277" s="22"/>
      <c r="D3277" s="5" t="str">
        <f aca="false">IF(B3277="","",IFERROR(INDEX(DE_PARA!$B$6:$B$205,MATCH(B3277,DE_PARA!$A$6:$A$205,0)),"SEM DE-PARA"))</f>
        <v/>
      </c>
      <c r="E3277" s="23" t="str">
        <f aca="false">IF(A3277="","",DATE(YEAR(A3277),MONTH(A3277),1))</f>
        <v/>
      </c>
    </row>
    <row r="3278" customFormat="false" ht="15" hidden="false" customHeight="false" outlineLevel="0" collapsed="false">
      <c r="A3278" s="21"/>
      <c r="B3278" s="4"/>
      <c r="C3278" s="22"/>
      <c r="D3278" s="5" t="str">
        <f aca="false">IF(B3278="","",IFERROR(INDEX(DE_PARA!$B$6:$B$205,MATCH(B3278,DE_PARA!$A$6:$A$205,0)),"SEM DE-PARA"))</f>
        <v/>
      </c>
      <c r="E3278" s="23" t="str">
        <f aca="false">IF(A3278="","",DATE(YEAR(A3278),MONTH(A3278),1))</f>
        <v/>
      </c>
    </row>
    <row r="3279" customFormat="false" ht="15" hidden="false" customHeight="false" outlineLevel="0" collapsed="false">
      <c r="A3279" s="21"/>
      <c r="B3279" s="4"/>
      <c r="C3279" s="22"/>
      <c r="D3279" s="5" t="str">
        <f aca="false">IF(B3279="","",IFERROR(INDEX(DE_PARA!$B$6:$B$205,MATCH(B3279,DE_PARA!$A$6:$A$205,0)),"SEM DE-PARA"))</f>
        <v/>
      </c>
      <c r="E3279" s="23" t="str">
        <f aca="false">IF(A3279="","",DATE(YEAR(A3279),MONTH(A3279),1))</f>
        <v/>
      </c>
    </row>
    <row r="3280" customFormat="false" ht="15" hidden="false" customHeight="false" outlineLevel="0" collapsed="false">
      <c r="A3280" s="21"/>
      <c r="B3280" s="4"/>
      <c r="C3280" s="22"/>
      <c r="D3280" s="5" t="str">
        <f aca="false">IF(B3280="","",IFERROR(INDEX(DE_PARA!$B$6:$B$205,MATCH(B3280,DE_PARA!$A$6:$A$205,0)),"SEM DE-PARA"))</f>
        <v/>
      </c>
      <c r="E3280" s="23" t="str">
        <f aca="false">IF(A3280="","",DATE(YEAR(A3280),MONTH(A3280),1))</f>
        <v/>
      </c>
    </row>
    <row r="3281" customFormat="false" ht="15" hidden="false" customHeight="false" outlineLevel="0" collapsed="false">
      <c r="A3281" s="21"/>
      <c r="B3281" s="4"/>
      <c r="C3281" s="22"/>
      <c r="D3281" s="5" t="str">
        <f aca="false">IF(B3281="","",IFERROR(INDEX(DE_PARA!$B$6:$B$205,MATCH(B3281,DE_PARA!$A$6:$A$205,0)),"SEM DE-PARA"))</f>
        <v/>
      </c>
      <c r="E3281" s="23" t="str">
        <f aca="false">IF(A3281="","",DATE(YEAR(A3281),MONTH(A3281),1))</f>
        <v/>
      </c>
    </row>
    <row r="3282" customFormat="false" ht="15" hidden="false" customHeight="false" outlineLevel="0" collapsed="false">
      <c r="A3282" s="21"/>
      <c r="B3282" s="4"/>
      <c r="C3282" s="22"/>
      <c r="D3282" s="5" t="str">
        <f aca="false">IF(B3282="","",IFERROR(INDEX(DE_PARA!$B$6:$B$205,MATCH(B3282,DE_PARA!$A$6:$A$205,0)),"SEM DE-PARA"))</f>
        <v/>
      </c>
      <c r="E3282" s="23" t="str">
        <f aca="false">IF(A3282="","",DATE(YEAR(A3282),MONTH(A3282),1))</f>
        <v/>
      </c>
    </row>
    <row r="3283" customFormat="false" ht="15" hidden="false" customHeight="false" outlineLevel="0" collapsed="false">
      <c r="A3283" s="21"/>
      <c r="B3283" s="4"/>
      <c r="C3283" s="22"/>
      <c r="D3283" s="5" t="str">
        <f aca="false">IF(B3283="","",IFERROR(INDEX(DE_PARA!$B$6:$B$205,MATCH(B3283,DE_PARA!$A$6:$A$205,0)),"SEM DE-PARA"))</f>
        <v/>
      </c>
      <c r="E3283" s="23" t="str">
        <f aca="false">IF(A3283="","",DATE(YEAR(A3283),MONTH(A3283),1))</f>
        <v/>
      </c>
    </row>
    <row r="3284" customFormat="false" ht="15" hidden="false" customHeight="false" outlineLevel="0" collapsed="false">
      <c r="A3284" s="21"/>
      <c r="B3284" s="4"/>
      <c r="C3284" s="22"/>
      <c r="D3284" s="5" t="str">
        <f aca="false">IF(B3284="","",IFERROR(INDEX(DE_PARA!$B$6:$B$205,MATCH(B3284,DE_PARA!$A$6:$A$205,0)),"SEM DE-PARA"))</f>
        <v/>
      </c>
      <c r="E3284" s="23" t="str">
        <f aca="false">IF(A3284="","",DATE(YEAR(A3284),MONTH(A3284),1))</f>
        <v/>
      </c>
    </row>
    <row r="3285" customFormat="false" ht="15" hidden="false" customHeight="false" outlineLevel="0" collapsed="false">
      <c r="A3285" s="21"/>
      <c r="B3285" s="4"/>
      <c r="C3285" s="22"/>
      <c r="D3285" s="5" t="str">
        <f aca="false">IF(B3285="","",IFERROR(INDEX(DE_PARA!$B$6:$B$205,MATCH(B3285,DE_PARA!$A$6:$A$205,0)),"SEM DE-PARA"))</f>
        <v/>
      </c>
      <c r="E3285" s="23" t="str">
        <f aca="false">IF(A3285="","",DATE(YEAR(A3285),MONTH(A3285),1))</f>
        <v/>
      </c>
    </row>
    <row r="3286" customFormat="false" ht="15" hidden="false" customHeight="false" outlineLevel="0" collapsed="false">
      <c r="A3286" s="21"/>
      <c r="B3286" s="4"/>
      <c r="C3286" s="22"/>
      <c r="D3286" s="5" t="str">
        <f aca="false">IF(B3286="","",IFERROR(INDEX(DE_PARA!$B$6:$B$205,MATCH(B3286,DE_PARA!$A$6:$A$205,0)),"SEM DE-PARA"))</f>
        <v/>
      </c>
      <c r="E3286" s="23" t="str">
        <f aca="false">IF(A3286="","",DATE(YEAR(A3286),MONTH(A3286),1))</f>
        <v/>
      </c>
    </row>
    <row r="3287" customFormat="false" ht="15" hidden="false" customHeight="false" outlineLevel="0" collapsed="false">
      <c r="A3287" s="21"/>
      <c r="B3287" s="4"/>
      <c r="C3287" s="22"/>
      <c r="D3287" s="5" t="str">
        <f aca="false">IF(B3287="","",IFERROR(INDEX(DE_PARA!$B$6:$B$205,MATCH(B3287,DE_PARA!$A$6:$A$205,0)),"SEM DE-PARA"))</f>
        <v/>
      </c>
      <c r="E3287" s="23" t="str">
        <f aca="false">IF(A3287="","",DATE(YEAR(A3287),MONTH(A3287),1))</f>
        <v/>
      </c>
    </row>
    <row r="3288" customFormat="false" ht="15" hidden="false" customHeight="false" outlineLevel="0" collapsed="false">
      <c r="A3288" s="21"/>
      <c r="B3288" s="4"/>
      <c r="C3288" s="22"/>
      <c r="D3288" s="5" t="str">
        <f aca="false">IF(B3288="","",IFERROR(INDEX(DE_PARA!$B$6:$B$205,MATCH(B3288,DE_PARA!$A$6:$A$205,0)),"SEM DE-PARA"))</f>
        <v/>
      </c>
      <c r="E3288" s="23" t="str">
        <f aca="false">IF(A3288="","",DATE(YEAR(A3288),MONTH(A3288),1))</f>
        <v/>
      </c>
    </row>
    <row r="3289" customFormat="false" ht="15" hidden="false" customHeight="false" outlineLevel="0" collapsed="false">
      <c r="A3289" s="21"/>
      <c r="B3289" s="4"/>
      <c r="C3289" s="22"/>
      <c r="D3289" s="5" t="str">
        <f aca="false">IF(B3289="","",IFERROR(INDEX(DE_PARA!$B$6:$B$205,MATCH(B3289,DE_PARA!$A$6:$A$205,0)),"SEM DE-PARA"))</f>
        <v/>
      </c>
      <c r="E3289" s="23" t="str">
        <f aca="false">IF(A3289="","",DATE(YEAR(A3289),MONTH(A3289),1))</f>
        <v/>
      </c>
    </row>
    <row r="3290" customFormat="false" ht="15" hidden="false" customHeight="false" outlineLevel="0" collapsed="false">
      <c r="A3290" s="21"/>
      <c r="B3290" s="4"/>
      <c r="C3290" s="22"/>
      <c r="D3290" s="5" t="str">
        <f aca="false">IF(B3290="","",IFERROR(INDEX(DE_PARA!$B$6:$B$205,MATCH(B3290,DE_PARA!$A$6:$A$205,0)),"SEM DE-PARA"))</f>
        <v/>
      </c>
      <c r="E3290" s="23" t="str">
        <f aca="false">IF(A3290="","",DATE(YEAR(A3290),MONTH(A3290),1))</f>
        <v/>
      </c>
    </row>
    <row r="3291" customFormat="false" ht="15" hidden="false" customHeight="false" outlineLevel="0" collapsed="false">
      <c r="A3291" s="21"/>
      <c r="B3291" s="4"/>
      <c r="C3291" s="22"/>
      <c r="D3291" s="5" t="str">
        <f aca="false">IF(B3291="","",IFERROR(INDEX(DE_PARA!$B$6:$B$205,MATCH(B3291,DE_PARA!$A$6:$A$205,0)),"SEM DE-PARA"))</f>
        <v/>
      </c>
      <c r="E3291" s="23" t="str">
        <f aca="false">IF(A3291="","",DATE(YEAR(A3291),MONTH(A3291),1))</f>
        <v/>
      </c>
    </row>
    <row r="3292" customFormat="false" ht="15" hidden="false" customHeight="false" outlineLevel="0" collapsed="false">
      <c r="A3292" s="21"/>
      <c r="B3292" s="4"/>
      <c r="C3292" s="22"/>
      <c r="D3292" s="5" t="str">
        <f aca="false">IF(B3292="","",IFERROR(INDEX(DE_PARA!$B$6:$B$205,MATCH(B3292,DE_PARA!$A$6:$A$205,0)),"SEM DE-PARA"))</f>
        <v/>
      </c>
      <c r="E3292" s="23" t="str">
        <f aca="false">IF(A3292="","",DATE(YEAR(A3292),MONTH(A3292),1))</f>
        <v/>
      </c>
    </row>
    <row r="3293" customFormat="false" ht="15" hidden="false" customHeight="false" outlineLevel="0" collapsed="false">
      <c r="A3293" s="21"/>
      <c r="B3293" s="4"/>
      <c r="C3293" s="22"/>
      <c r="D3293" s="5" t="str">
        <f aca="false">IF(B3293="","",IFERROR(INDEX(DE_PARA!$B$6:$B$205,MATCH(B3293,DE_PARA!$A$6:$A$205,0)),"SEM DE-PARA"))</f>
        <v/>
      </c>
      <c r="E3293" s="23" t="str">
        <f aca="false">IF(A3293="","",DATE(YEAR(A3293),MONTH(A3293),1))</f>
        <v/>
      </c>
    </row>
    <row r="3294" customFormat="false" ht="15" hidden="false" customHeight="false" outlineLevel="0" collapsed="false">
      <c r="A3294" s="21"/>
      <c r="B3294" s="4"/>
      <c r="C3294" s="22"/>
      <c r="D3294" s="5" t="str">
        <f aca="false">IF(B3294="","",IFERROR(INDEX(DE_PARA!$B$6:$B$205,MATCH(B3294,DE_PARA!$A$6:$A$205,0)),"SEM DE-PARA"))</f>
        <v/>
      </c>
      <c r="E3294" s="23" t="str">
        <f aca="false">IF(A3294="","",DATE(YEAR(A3294),MONTH(A3294),1))</f>
        <v/>
      </c>
    </row>
    <row r="3295" customFormat="false" ht="15" hidden="false" customHeight="false" outlineLevel="0" collapsed="false">
      <c r="A3295" s="21"/>
      <c r="B3295" s="4"/>
      <c r="C3295" s="22"/>
      <c r="D3295" s="5" t="str">
        <f aca="false">IF(B3295="","",IFERROR(INDEX(DE_PARA!$B$6:$B$205,MATCH(B3295,DE_PARA!$A$6:$A$205,0)),"SEM DE-PARA"))</f>
        <v/>
      </c>
      <c r="E3295" s="23" t="str">
        <f aca="false">IF(A3295="","",DATE(YEAR(A3295),MONTH(A3295),1))</f>
        <v/>
      </c>
    </row>
    <row r="3296" customFormat="false" ht="15" hidden="false" customHeight="false" outlineLevel="0" collapsed="false">
      <c r="A3296" s="21"/>
      <c r="B3296" s="4"/>
      <c r="C3296" s="22"/>
      <c r="D3296" s="5" t="str">
        <f aca="false">IF(B3296="","",IFERROR(INDEX(DE_PARA!$B$6:$B$205,MATCH(B3296,DE_PARA!$A$6:$A$205,0)),"SEM DE-PARA"))</f>
        <v/>
      </c>
      <c r="E3296" s="23" t="str">
        <f aca="false">IF(A3296="","",DATE(YEAR(A3296),MONTH(A3296),1))</f>
        <v/>
      </c>
    </row>
    <row r="3297" customFormat="false" ht="15" hidden="false" customHeight="false" outlineLevel="0" collapsed="false">
      <c r="A3297" s="21"/>
      <c r="B3297" s="4"/>
      <c r="C3297" s="22"/>
      <c r="D3297" s="5" t="str">
        <f aca="false">IF(B3297="","",IFERROR(INDEX(DE_PARA!$B$6:$B$205,MATCH(B3297,DE_PARA!$A$6:$A$205,0)),"SEM DE-PARA"))</f>
        <v/>
      </c>
      <c r="E3297" s="23" t="str">
        <f aca="false">IF(A3297="","",DATE(YEAR(A3297),MONTH(A3297),1))</f>
        <v/>
      </c>
    </row>
    <row r="3298" customFormat="false" ht="15" hidden="false" customHeight="false" outlineLevel="0" collapsed="false">
      <c r="A3298" s="21"/>
      <c r="B3298" s="4"/>
      <c r="C3298" s="22"/>
      <c r="D3298" s="5" t="str">
        <f aca="false">IF(B3298="","",IFERROR(INDEX(DE_PARA!$B$6:$B$205,MATCH(B3298,DE_PARA!$A$6:$A$205,0)),"SEM DE-PARA"))</f>
        <v/>
      </c>
      <c r="E3298" s="23" t="str">
        <f aca="false">IF(A3298="","",DATE(YEAR(A3298),MONTH(A3298),1))</f>
        <v/>
      </c>
    </row>
    <row r="3299" customFormat="false" ht="15" hidden="false" customHeight="false" outlineLevel="0" collapsed="false">
      <c r="A3299" s="21"/>
      <c r="B3299" s="4"/>
      <c r="C3299" s="22"/>
      <c r="D3299" s="5" t="str">
        <f aca="false">IF(B3299="","",IFERROR(INDEX(DE_PARA!$B$6:$B$205,MATCH(B3299,DE_PARA!$A$6:$A$205,0)),"SEM DE-PARA"))</f>
        <v/>
      </c>
      <c r="E3299" s="23" t="str">
        <f aca="false">IF(A3299="","",DATE(YEAR(A3299),MONTH(A3299),1))</f>
        <v/>
      </c>
    </row>
    <row r="3300" customFormat="false" ht="15" hidden="false" customHeight="false" outlineLevel="0" collapsed="false">
      <c r="A3300" s="21"/>
      <c r="B3300" s="4"/>
      <c r="C3300" s="22"/>
      <c r="D3300" s="5" t="str">
        <f aca="false">IF(B3300="","",IFERROR(INDEX(DE_PARA!$B$6:$B$205,MATCH(B3300,DE_PARA!$A$6:$A$205,0)),"SEM DE-PARA"))</f>
        <v/>
      </c>
      <c r="E3300" s="23" t="str">
        <f aca="false">IF(A3300="","",DATE(YEAR(A3300),MONTH(A3300),1))</f>
        <v/>
      </c>
    </row>
    <row r="3301" customFormat="false" ht="15" hidden="false" customHeight="false" outlineLevel="0" collapsed="false">
      <c r="A3301" s="21"/>
      <c r="B3301" s="4"/>
      <c r="C3301" s="22"/>
      <c r="D3301" s="5" t="str">
        <f aca="false">IF(B3301="","",IFERROR(INDEX(DE_PARA!$B$6:$B$205,MATCH(B3301,DE_PARA!$A$6:$A$205,0)),"SEM DE-PARA"))</f>
        <v/>
      </c>
      <c r="E3301" s="23" t="str">
        <f aca="false">IF(A3301="","",DATE(YEAR(A3301),MONTH(A3301),1))</f>
        <v/>
      </c>
    </row>
    <row r="3302" customFormat="false" ht="15" hidden="false" customHeight="false" outlineLevel="0" collapsed="false">
      <c r="A3302" s="21"/>
      <c r="B3302" s="4"/>
      <c r="C3302" s="22"/>
      <c r="D3302" s="5" t="str">
        <f aca="false">IF(B3302="","",IFERROR(INDEX(DE_PARA!$B$6:$B$205,MATCH(B3302,DE_PARA!$A$6:$A$205,0)),"SEM DE-PARA"))</f>
        <v/>
      </c>
      <c r="E3302" s="23" t="str">
        <f aca="false">IF(A3302="","",DATE(YEAR(A3302),MONTH(A3302),1))</f>
        <v/>
      </c>
    </row>
    <row r="3303" customFormat="false" ht="15" hidden="false" customHeight="false" outlineLevel="0" collapsed="false">
      <c r="A3303" s="21"/>
      <c r="B3303" s="4"/>
      <c r="C3303" s="22"/>
      <c r="D3303" s="5" t="str">
        <f aca="false">IF(B3303="","",IFERROR(INDEX(DE_PARA!$B$6:$B$205,MATCH(B3303,DE_PARA!$A$6:$A$205,0)),"SEM DE-PARA"))</f>
        <v/>
      </c>
      <c r="E3303" s="23" t="str">
        <f aca="false">IF(A3303="","",DATE(YEAR(A3303),MONTH(A3303),1))</f>
        <v/>
      </c>
    </row>
    <row r="3304" customFormat="false" ht="15" hidden="false" customHeight="false" outlineLevel="0" collapsed="false">
      <c r="A3304" s="21"/>
      <c r="B3304" s="4"/>
      <c r="C3304" s="22"/>
      <c r="D3304" s="5" t="str">
        <f aca="false">IF(B3304="","",IFERROR(INDEX(DE_PARA!$B$6:$B$205,MATCH(B3304,DE_PARA!$A$6:$A$205,0)),"SEM DE-PARA"))</f>
        <v/>
      </c>
      <c r="E3304" s="23" t="str">
        <f aca="false">IF(A3304="","",DATE(YEAR(A3304),MONTH(A3304),1))</f>
        <v/>
      </c>
    </row>
    <row r="3305" customFormat="false" ht="15" hidden="false" customHeight="false" outlineLevel="0" collapsed="false">
      <c r="A3305" s="21"/>
      <c r="B3305" s="4"/>
      <c r="C3305" s="22"/>
      <c r="D3305" s="5" t="str">
        <f aca="false">IF(B3305="","",IFERROR(INDEX(DE_PARA!$B$6:$B$205,MATCH(B3305,DE_PARA!$A$6:$A$205,0)),"SEM DE-PARA"))</f>
        <v/>
      </c>
      <c r="E3305" s="23" t="str">
        <f aca="false">IF(A3305="","",DATE(YEAR(A3305),MONTH(A3305),1))</f>
        <v/>
      </c>
    </row>
    <row r="3306" customFormat="false" ht="15" hidden="false" customHeight="false" outlineLevel="0" collapsed="false">
      <c r="A3306" s="21"/>
      <c r="B3306" s="4"/>
      <c r="C3306" s="22"/>
      <c r="D3306" s="5" t="str">
        <f aca="false">IF(B3306="","",IFERROR(INDEX(DE_PARA!$B$6:$B$205,MATCH(B3306,DE_PARA!$A$6:$A$205,0)),"SEM DE-PARA"))</f>
        <v/>
      </c>
      <c r="E3306" s="23" t="str">
        <f aca="false">IF(A3306="","",DATE(YEAR(A3306),MONTH(A3306),1))</f>
        <v/>
      </c>
    </row>
    <row r="3307" customFormat="false" ht="15" hidden="false" customHeight="false" outlineLevel="0" collapsed="false">
      <c r="A3307" s="21"/>
      <c r="B3307" s="4"/>
      <c r="C3307" s="22"/>
      <c r="D3307" s="5" t="str">
        <f aca="false">IF(B3307="","",IFERROR(INDEX(DE_PARA!$B$6:$B$205,MATCH(B3307,DE_PARA!$A$6:$A$205,0)),"SEM DE-PARA"))</f>
        <v/>
      </c>
      <c r="E3307" s="23" t="str">
        <f aca="false">IF(A3307="","",DATE(YEAR(A3307),MONTH(A3307),1))</f>
        <v/>
      </c>
    </row>
    <row r="3308" customFormat="false" ht="15" hidden="false" customHeight="false" outlineLevel="0" collapsed="false">
      <c r="A3308" s="21"/>
      <c r="B3308" s="4"/>
      <c r="C3308" s="22"/>
      <c r="D3308" s="5" t="str">
        <f aca="false">IF(B3308="","",IFERROR(INDEX(DE_PARA!$B$6:$B$205,MATCH(B3308,DE_PARA!$A$6:$A$205,0)),"SEM DE-PARA"))</f>
        <v/>
      </c>
      <c r="E3308" s="23" t="str">
        <f aca="false">IF(A3308="","",DATE(YEAR(A3308),MONTH(A3308),1))</f>
        <v/>
      </c>
    </row>
    <row r="3309" customFormat="false" ht="15" hidden="false" customHeight="false" outlineLevel="0" collapsed="false">
      <c r="A3309" s="21"/>
      <c r="B3309" s="4"/>
      <c r="C3309" s="22"/>
      <c r="D3309" s="5" t="str">
        <f aca="false">IF(B3309="","",IFERROR(INDEX(DE_PARA!$B$6:$B$205,MATCH(B3309,DE_PARA!$A$6:$A$205,0)),"SEM DE-PARA"))</f>
        <v/>
      </c>
      <c r="E3309" s="23" t="str">
        <f aca="false">IF(A3309="","",DATE(YEAR(A3309),MONTH(A3309),1))</f>
        <v/>
      </c>
    </row>
    <row r="3310" customFormat="false" ht="15" hidden="false" customHeight="false" outlineLevel="0" collapsed="false">
      <c r="A3310" s="21"/>
      <c r="B3310" s="4"/>
      <c r="C3310" s="22"/>
      <c r="D3310" s="5" t="str">
        <f aca="false">IF(B3310="","",IFERROR(INDEX(DE_PARA!$B$6:$B$205,MATCH(B3310,DE_PARA!$A$6:$A$205,0)),"SEM DE-PARA"))</f>
        <v/>
      </c>
      <c r="E3310" s="23" t="str">
        <f aca="false">IF(A3310="","",DATE(YEAR(A3310),MONTH(A3310),1))</f>
        <v/>
      </c>
    </row>
    <row r="3311" customFormat="false" ht="15" hidden="false" customHeight="false" outlineLevel="0" collapsed="false">
      <c r="A3311" s="21"/>
      <c r="B3311" s="4"/>
      <c r="C3311" s="22"/>
      <c r="D3311" s="5" t="str">
        <f aca="false">IF(B3311="","",IFERROR(INDEX(DE_PARA!$B$6:$B$205,MATCH(B3311,DE_PARA!$A$6:$A$205,0)),"SEM DE-PARA"))</f>
        <v/>
      </c>
      <c r="E3311" s="23" t="str">
        <f aca="false">IF(A3311="","",DATE(YEAR(A3311),MONTH(A3311),1))</f>
        <v/>
      </c>
    </row>
    <row r="3312" customFormat="false" ht="15" hidden="false" customHeight="false" outlineLevel="0" collapsed="false">
      <c r="A3312" s="21"/>
      <c r="B3312" s="4"/>
      <c r="C3312" s="22"/>
      <c r="D3312" s="5" t="str">
        <f aca="false">IF(B3312="","",IFERROR(INDEX(DE_PARA!$B$6:$B$205,MATCH(B3312,DE_PARA!$A$6:$A$205,0)),"SEM DE-PARA"))</f>
        <v/>
      </c>
      <c r="E3312" s="23" t="str">
        <f aca="false">IF(A3312="","",DATE(YEAR(A3312),MONTH(A3312),1))</f>
        <v/>
      </c>
    </row>
    <row r="3313" customFormat="false" ht="15" hidden="false" customHeight="false" outlineLevel="0" collapsed="false">
      <c r="A3313" s="21"/>
      <c r="B3313" s="4"/>
      <c r="C3313" s="22"/>
      <c r="D3313" s="5" t="str">
        <f aca="false">IF(B3313="","",IFERROR(INDEX(DE_PARA!$B$6:$B$205,MATCH(B3313,DE_PARA!$A$6:$A$205,0)),"SEM DE-PARA"))</f>
        <v/>
      </c>
      <c r="E3313" s="23" t="str">
        <f aca="false">IF(A3313="","",DATE(YEAR(A3313),MONTH(A3313),1))</f>
        <v/>
      </c>
    </row>
    <row r="3314" customFormat="false" ht="15" hidden="false" customHeight="false" outlineLevel="0" collapsed="false">
      <c r="A3314" s="21"/>
      <c r="B3314" s="4"/>
      <c r="C3314" s="22"/>
      <c r="D3314" s="5" t="str">
        <f aca="false">IF(B3314="","",IFERROR(INDEX(DE_PARA!$B$6:$B$205,MATCH(B3314,DE_PARA!$A$6:$A$205,0)),"SEM DE-PARA"))</f>
        <v/>
      </c>
      <c r="E3314" s="23" t="str">
        <f aca="false">IF(A3314="","",DATE(YEAR(A3314),MONTH(A3314),1))</f>
        <v/>
      </c>
    </row>
    <row r="3315" customFormat="false" ht="15" hidden="false" customHeight="false" outlineLevel="0" collapsed="false">
      <c r="A3315" s="21"/>
      <c r="B3315" s="4"/>
      <c r="C3315" s="22"/>
      <c r="D3315" s="5" t="str">
        <f aca="false">IF(B3315="","",IFERROR(INDEX(DE_PARA!$B$6:$B$205,MATCH(B3315,DE_PARA!$A$6:$A$205,0)),"SEM DE-PARA"))</f>
        <v/>
      </c>
      <c r="E3315" s="23" t="str">
        <f aca="false">IF(A3315="","",DATE(YEAR(A3315),MONTH(A3315),1))</f>
        <v/>
      </c>
    </row>
    <row r="3316" customFormat="false" ht="15" hidden="false" customHeight="false" outlineLevel="0" collapsed="false">
      <c r="A3316" s="21"/>
      <c r="B3316" s="4"/>
      <c r="C3316" s="22"/>
      <c r="D3316" s="5" t="str">
        <f aca="false">IF(B3316="","",IFERROR(INDEX(DE_PARA!$B$6:$B$205,MATCH(B3316,DE_PARA!$A$6:$A$205,0)),"SEM DE-PARA"))</f>
        <v/>
      </c>
      <c r="E3316" s="23" t="str">
        <f aca="false">IF(A3316="","",DATE(YEAR(A3316),MONTH(A3316),1))</f>
        <v/>
      </c>
    </row>
    <row r="3317" customFormat="false" ht="15" hidden="false" customHeight="false" outlineLevel="0" collapsed="false">
      <c r="A3317" s="21"/>
      <c r="B3317" s="4"/>
      <c r="C3317" s="22"/>
      <c r="D3317" s="5" t="str">
        <f aca="false">IF(B3317="","",IFERROR(INDEX(DE_PARA!$B$6:$B$205,MATCH(B3317,DE_PARA!$A$6:$A$205,0)),"SEM DE-PARA"))</f>
        <v/>
      </c>
      <c r="E3317" s="23" t="str">
        <f aca="false">IF(A3317="","",DATE(YEAR(A3317),MONTH(A3317),1))</f>
        <v/>
      </c>
    </row>
    <row r="3318" customFormat="false" ht="15" hidden="false" customHeight="false" outlineLevel="0" collapsed="false">
      <c r="A3318" s="21"/>
      <c r="B3318" s="4"/>
      <c r="C3318" s="22"/>
      <c r="D3318" s="5" t="str">
        <f aca="false">IF(B3318="","",IFERROR(INDEX(DE_PARA!$B$6:$B$205,MATCH(B3318,DE_PARA!$A$6:$A$205,0)),"SEM DE-PARA"))</f>
        <v/>
      </c>
      <c r="E3318" s="23" t="str">
        <f aca="false">IF(A3318="","",DATE(YEAR(A3318),MONTH(A3318),1))</f>
        <v/>
      </c>
    </row>
    <row r="3319" customFormat="false" ht="15" hidden="false" customHeight="false" outlineLevel="0" collapsed="false">
      <c r="A3319" s="21"/>
      <c r="B3319" s="4"/>
      <c r="C3319" s="22"/>
      <c r="D3319" s="5" t="str">
        <f aca="false">IF(B3319="","",IFERROR(INDEX(DE_PARA!$B$6:$B$205,MATCH(B3319,DE_PARA!$A$6:$A$205,0)),"SEM DE-PARA"))</f>
        <v/>
      </c>
      <c r="E3319" s="23" t="str">
        <f aca="false">IF(A3319="","",DATE(YEAR(A3319),MONTH(A3319),1))</f>
        <v/>
      </c>
    </row>
    <row r="3320" customFormat="false" ht="15" hidden="false" customHeight="false" outlineLevel="0" collapsed="false">
      <c r="A3320" s="21"/>
      <c r="B3320" s="4"/>
      <c r="C3320" s="22"/>
      <c r="D3320" s="5" t="str">
        <f aca="false">IF(B3320="","",IFERROR(INDEX(DE_PARA!$B$6:$B$205,MATCH(B3320,DE_PARA!$A$6:$A$205,0)),"SEM DE-PARA"))</f>
        <v/>
      </c>
      <c r="E3320" s="23" t="str">
        <f aca="false">IF(A3320="","",DATE(YEAR(A3320),MONTH(A3320),1))</f>
        <v/>
      </c>
    </row>
    <row r="3321" customFormat="false" ht="15" hidden="false" customHeight="false" outlineLevel="0" collapsed="false">
      <c r="A3321" s="21"/>
      <c r="B3321" s="4"/>
      <c r="C3321" s="22"/>
      <c r="D3321" s="5" t="str">
        <f aca="false">IF(B3321="","",IFERROR(INDEX(DE_PARA!$B$6:$B$205,MATCH(B3321,DE_PARA!$A$6:$A$205,0)),"SEM DE-PARA"))</f>
        <v/>
      </c>
      <c r="E3321" s="23" t="str">
        <f aca="false">IF(A3321="","",DATE(YEAR(A3321),MONTH(A3321),1))</f>
        <v/>
      </c>
    </row>
    <row r="3322" customFormat="false" ht="15" hidden="false" customHeight="false" outlineLevel="0" collapsed="false">
      <c r="A3322" s="21"/>
      <c r="B3322" s="4"/>
      <c r="C3322" s="22"/>
      <c r="D3322" s="5" t="str">
        <f aca="false">IF(B3322="","",IFERROR(INDEX(DE_PARA!$B$6:$B$205,MATCH(B3322,DE_PARA!$A$6:$A$205,0)),"SEM DE-PARA"))</f>
        <v/>
      </c>
      <c r="E3322" s="23" t="str">
        <f aca="false">IF(A3322="","",DATE(YEAR(A3322),MONTH(A3322),1))</f>
        <v/>
      </c>
    </row>
    <row r="3323" customFormat="false" ht="15" hidden="false" customHeight="false" outlineLevel="0" collapsed="false">
      <c r="A3323" s="21"/>
      <c r="B3323" s="4"/>
      <c r="C3323" s="22"/>
      <c r="D3323" s="5" t="str">
        <f aca="false">IF(B3323="","",IFERROR(INDEX(DE_PARA!$B$6:$B$205,MATCH(B3323,DE_PARA!$A$6:$A$205,0)),"SEM DE-PARA"))</f>
        <v/>
      </c>
      <c r="E3323" s="23" t="str">
        <f aca="false">IF(A3323="","",DATE(YEAR(A3323),MONTH(A3323),1))</f>
        <v/>
      </c>
    </row>
    <row r="3324" customFormat="false" ht="15" hidden="false" customHeight="false" outlineLevel="0" collapsed="false">
      <c r="A3324" s="21"/>
      <c r="B3324" s="4"/>
      <c r="C3324" s="22"/>
      <c r="D3324" s="5" t="str">
        <f aca="false">IF(B3324="","",IFERROR(INDEX(DE_PARA!$B$6:$B$205,MATCH(B3324,DE_PARA!$A$6:$A$205,0)),"SEM DE-PARA"))</f>
        <v/>
      </c>
      <c r="E3324" s="23" t="str">
        <f aca="false">IF(A3324="","",DATE(YEAR(A3324),MONTH(A3324),1))</f>
        <v/>
      </c>
    </row>
    <row r="3325" customFormat="false" ht="15" hidden="false" customHeight="false" outlineLevel="0" collapsed="false">
      <c r="A3325" s="21"/>
      <c r="B3325" s="4"/>
      <c r="C3325" s="22"/>
      <c r="D3325" s="5" t="str">
        <f aca="false">IF(B3325="","",IFERROR(INDEX(DE_PARA!$B$6:$B$205,MATCH(B3325,DE_PARA!$A$6:$A$205,0)),"SEM DE-PARA"))</f>
        <v/>
      </c>
      <c r="E3325" s="23" t="str">
        <f aca="false">IF(A3325="","",DATE(YEAR(A3325),MONTH(A3325),1))</f>
        <v/>
      </c>
    </row>
    <row r="3326" customFormat="false" ht="15" hidden="false" customHeight="false" outlineLevel="0" collapsed="false">
      <c r="A3326" s="21"/>
      <c r="B3326" s="4"/>
      <c r="C3326" s="22"/>
      <c r="D3326" s="5" t="str">
        <f aca="false">IF(B3326="","",IFERROR(INDEX(DE_PARA!$B$6:$B$205,MATCH(B3326,DE_PARA!$A$6:$A$205,0)),"SEM DE-PARA"))</f>
        <v/>
      </c>
      <c r="E3326" s="23" t="str">
        <f aca="false">IF(A3326="","",DATE(YEAR(A3326),MONTH(A3326),1))</f>
        <v/>
      </c>
    </row>
    <row r="3327" customFormat="false" ht="15" hidden="false" customHeight="false" outlineLevel="0" collapsed="false">
      <c r="A3327" s="21"/>
      <c r="B3327" s="4"/>
      <c r="C3327" s="22"/>
      <c r="D3327" s="5" t="str">
        <f aca="false">IF(B3327="","",IFERROR(INDEX(DE_PARA!$B$6:$B$205,MATCH(B3327,DE_PARA!$A$6:$A$205,0)),"SEM DE-PARA"))</f>
        <v/>
      </c>
      <c r="E3327" s="23" t="str">
        <f aca="false">IF(A3327="","",DATE(YEAR(A3327),MONTH(A3327),1))</f>
        <v/>
      </c>
    </row>
    <row r="3328" customFormat="false" ht="15" hidden="false" customHeight="false" outlineLevel="0" collapsed="false">
      <c r="A3328" s="21"/>
      <c r="B3328" s="4"/>
      <c r="C3328" s="22"/>
      <c r="D3328" s="5" t="str">
        <f aca="false">IF(B3328="","",IFERROR(INDEX(DE_PARA!$B$6:$B$205,MATCH(B3328,DE_PARA!$A$6:$A$205,0)),"SEM DE-PARA"))</f>
        <v/>
      </c>
      <c r="E3328" s="23" t="str">
        <f aca="false">IF(A3328="","",DATE(YEAR(A3328),MONTH(A3328),1))</f>
        <v/>
      </c>
    </row>
    <row r="3329" customFormat="false" ht="15" hidden="false" customHeight="false" outlineLevel="0" collapsed="false">
      <c r="A3329" s="21"/>
      <c r="B3329" s="4"/>
      <c r="C3329" s="22"/>
      <c r="D3329" s="5" t="str">
        <f aca="false">IF(B3329="","",IFERROR(INDEX(DE_PARA!$B$6:$B$205,MATCH(B3329,DE_PARA!$A$6:$A$205,0)),"SEM DE-PARA"))</f>
        <v/>
      </c>
      <c r="E3329" s="23" t="str">
        <f aca="false">IF(A3329="","",DATE(YEAR(A3329),MONTH(A3329),1))</f>
        <v/>
      </c>
    </row>
    <row r="3330" customFormat="false" ht="15" hidden="false" customHeight="false" outlineLevel="0" collapsed="false">
      <c r="A3330" s="21"/>
      <c r="B3330" s="4"/>
      <c r="C3330" s="22"/>
      <c r="D3330" s="5" t="str">
        <f aca="false">IF(B3330="","",IFERROR(INDEX(DE_PARA!$B$6:$B$205,MATCH(B3330,DE_PARA!$A$6:$A$205,0)),"SEM DE-PARA"))</f>
        <v/>
      </c>
      <c r="E3330" s="23" t="str">
        <f aca="false">IF(A3330="","",DATE(YEAR(A3330),MONTH(A3330),1))</f>
        <v/>
      </c>
    </row>
    <row r="3331" customFormat="false" ht="15" hidden="false" customHeight="false" outlineLevel="0" collapsed="false">
      <c r="A3331" s="21"/>
      <c r="B3331" s="4"/>
      <c r="C3331" s="22"/>
      <c r="D3331" s="5" t="str">
        <f aca="false">IF(B3331="","",IFERROR(INDEX(DE_PARA!$B$6:$B$205,MATCH(B3331,DE_PARA!$A$6:$A$205,0)),"SEM DE-PARA"))</f>
        <v/>
      </c>
      <c r="E3331" s="23" t="str">
        <f aca="false">IF(A3331="","",DATE(YEAR(A3331),MONTH(A3331),1))</f>
        <v/>
      </c>
    </row>
    <row r="3332" customFormat="false" ht="15" hidden="false" customHeight="false" outlineLevel="0" collapsed="false">
      <c r="A3332" s="21"/>
      <c r="B3332" s="4"/>
      <c r="C3332" s="22"/>
      <c r="D3332" s="5" t="str">
        <f aca="false">IF(B3332="","",IFERROR(INDEX(DE_PARA!$B$6:$B$205,MATCH(B3332,DE_PARA!$A$6:$A$205,0)),"SEM DE-PARA"))</f>
        <v/>
      </c>
      <c r="E3332" s="23" t="str">
        <f aca="false">IF(A3332="","",DATE(YEAR(A3332),MONTH(A3332),1))</f>
        <v/>
      </c>
    </row>
    <row r="3333" customFormat="false" ht="15" hidden="false" customHeight="false" outlineLevel="0" collapsed="false">
      <c r="A3333" s="21"/>
      <c r="B3333" s="4"/>
      <c r="C3333" s="22"/>
      <c r="D3333" s="5" t="str">
        <f aca="false">IF(B3333="","",IFERROR(INDEX(DE_PARA!$B$6:$B$205,MATCH(B3333,DE_PARA!$A$6:$A$205,0)),"SEM DE-PARA"))</f>
        <v/>
      </c>
      <c r="E3333" s="23" t="str">
        <f aca="false">IF(A3333="","",DATE(YEAR(A3333),MONTH(A3333),1))</f>
        <v/>
      </c>
    </row>
    <row r="3334" customFormat="false" ht="15" hidden="false" customHeight="false" outlineLevel="0" collapsed="false">
      <c r="A3334" s="21"/>
      <c r="B3334" s="4"/>
      <c r="C3334" s="22"/>
      <c r="D3334" s="5" t="str">
        <f aca="false">IF(B3334="","",IFERROR(INDEX(DE_PARA!$B$6:$B$205,MATCH(B3334,DE_PARA!$A$6:$A$205,0)),"SEM DE-PARA"))</f>
        <v/>
      </c>
      <c r="E3334" s="23" t="str">
        <f aca="false">IF(A3334="","",DATE(YEAR(A3334),MONTH(A3334),1))</f>
        <v/>
      </c>
    </row>
    <row r="3335" customFormat="false" ht="15" hidden="false" customHeight="false" outlineLevel="0" collapsed="false">
      <c r="A3335" s="21"/>
      <c r="B3335" s="4"/>
      <c r="C3335" s="22"/>
      <c r="D3335" s="5" t="str">
        <f aca="false">IF(B3335="","",IFERROR(INDEX(DE_PARA!$B$6:$B$205,MATCH(B3335,DE_PARA!$A$6:$A$205,0)),"SEM DE-PARA"))</f>
        <v/>
      </c>
      <c r="E3335" s="23" t="str">
        <f aca="false">IF(A3335="","",DATE(YEAR(A3335),MONTH(A3335),1))</f>
        <v/>
      </c>
    </row>
    <row r="3336" customFormat="false" ht="15" hidden="false" customHeight="false" outlineLevel="0" collapsed="false">
      <c r="A3336" s="21"/>
      <c r="B3336" s="4"/>
      <c r="C3336" s="22"/>
      <c r="D3336" s="5" t="str">
        <f aca="false">IF(B3336="","",IFERROR(INDEX(DE_PARA!$B$6:$B$205,MATCH(B3336,DE_PARA!$A$6:$A$205,0)),"SEM DE-PARA"))</f>
        <v/>
      </c>
      <c r="E3336" s="23" t="str">
        <f aca="false">IF(A3336="","",DATE(YEAR(A3336),MONTH(A3336),1))</f>
        <v/>
      </c>
    </row>
    <row r="3337" customFormat="false" ht="15" hidden="false" customHeight="false" outlineLevel="0" collapsed="false">
      <c r="A3337" s="21"/>
      <c r="B3337" s="4"/>
      <c r="C3337" s="22"/>
      <c r="D3337" s="5" t="str">
        <f aca="false">IF(B3337="","",IFERROR(INDEX(DE_PARA!$B$6:$B$205,MATCH(B3337,DE_PARA!$A$6:$A$205,0)),"SEM DE-PARA"))</f>
        <v/>
      </c>
      <c r="E3337" s="23" t="str">
        <f aca="false">IF(A3337="","",DATE(YEAR(A3337),MONTH(A3337),1))</f>
        <v/>
      </c>
    </row>
    <row r="3338" customFormat="false" ht="15" hidden="false" customHeight="false" outlineLevel="0" collapsed="false">
      <c r="A3338" s="21"/>
      <c r="B3338" s="4"/>
      <c r="C3338" s="22"/>
      <c r="D3338" s="5" t="str">
        <f aca="false">IF(B3338="","",IFERROR(INDEX(DE_PARA!$B$6:$B$205,MATCH(B3338,DE_PARA!$A$6:$A$205,0)),"SEM DE-PARA"))</f>
        <v/>
      </c>
      <c r="E3338" s="23" t="str">
        <f aca="false">IF(A3338="","",DATE(YEAR(A3338),MONTH(A3338),1))</f>
        <v/>
      </c>
    </row>
    <row r="3339" customFormat="false" ht="15" hidden="false" customHeight="false" outlineLevel="0" collapsed="false">
      <c r="A3339" s="21"/>
      <c r="B3339" s="4"/>
      <c r="C3339" s="22"/>
      <c r="D3339" s="5" t="str">
        <f aca="false">IF(B3339="","",IFERROR(INDEX(DE_PARA!$B$6:$B$205,MATCH(B3339,DE_PARA!$A$6:$A$205,0)),"SEM DE-PARA"))</f>
        <v/>
      </c>
      <c r="E3339" s="23" t="str">
        <f aca="false">IF(A3339="","",DATE(YEAR(A3339),MONTH(A3339),1))</f>
        <v/>
      </c>
    </row>
    <row r="3340" customFormat="false" ht="15" hidden="false" customHeight="false" outlineLevel="0" collapsed="false">
      <c r="A3340" s="21"/>
      <c r="B3340" s="4"/>
      <c r="C3340" s="22"/>
      <c r="D3340" s="5" t="str">
        <f aca="false">IF(B3340="","",IFERROR(INDEX(DE_PARA!$B$6:$B$205,MATCH(B3340,DE_PARA!$A$6:$A$205,0)),"SEM DE-PARA"))</f>
        <v/>
      </c>
      <c r="E3340" s="23" t="str">
        <f aca="false">IF(A3340="","",DATE(YEAR(A3340),MONTH(A3340),1))</f>
        <v/>
      </c>
    </row>
    <row r="3341" customFormat="false" ht="15" hidden="false" customHeight="false" outlineLevel="0" collapsed="false">
      <c r="A3341" s="21"/>
      <c r="B3341" s="4"/>
      <c r="C3341" s="22"/>
      <c r="D3341" s="5" t="str">
        <f aca="false">IF(B3341="","",IFERROR(INDEX(DE_PARA!$B$6:$B$205,MATCH(B3341,DE_PARA!$A$6:$A$205,0)),"SEM DE-PARA"))</f>
        <v/>
      </c>
      <c r="E3341" s="23" t="str">
        <f aca="false">IF(A3341="","",DATE(YEAR(A3341),MONTH(A3341),1))</f>
        <v/>
      </c>
    </row>
    <row r="3342" customFormat="false" ht="15" hidden="false" customHeight="false" outlineLevel="0" collapsed="false">
      <c r="A3342" s="21"/>
      <c r="B3342" s="4"/>
      <c r="C3342" s="22"/>
      <c r="D3342" s="5" t="str">
        <f aca="false">IF(B3342="","",IFERROR(INDEX(DE_PARA!$B$6:$B$205,MATCH(B3342,DE_PARA!$A$6:$A$205,0)),"SEM DE-PARA"))</f>
        <v/>
      </c>
      <c r="E3342" s="23" t="str">
        <f aca="false">IF(A3342="","",DATE(YEAR(A3342),MONTH(A3342),1))</f>
        <v/>
      </c>
    </row>
    <row r="3343" customFormat="false" ht="15" hidden="false" customHeight="false" outlineLevel="0" collapsed="false">
      <c r="A3343" s="21"/>
      <c r="B3343" s="4"/>
      <c r="C3343" s="22"/>
      <c r="D3343" s="5" t="str">
        <f aca="false">IF(B3343="","",IFERROR(INDEX(DE_PARA!$B$6:$B$205,MATCH(B3343,DE_PARA!$A$6:$A$205,0)),"SEM DE-PARA"))</f>
        <v/>
      </c>
      <c r="E3343" s="23" t="str">
        <f aca="false">IF(A3343="","",DATE(YEAR(A3343),MONTH(A3343),1))</f>
        <v/>
      </c>
    </row>
    <row r="3344" customFormat="false" ht="15" hidden="false" customHeight="false" outlineLevel="0" collapsed="false">
      <c r="A3344" s="21"/>
      <c r="B3344" s="4"/>
      <c r="C3344" s="22"/>
      <c r="D3344" s="5" t="str">
        <f aca="false">IF(B3344="","",IFERROR(INDEX(DE_PARA!$B$6:$B$205,MATCH(B3344,DE_PARA!$A$6:$A$205,0)),"SEM DE-PARA"))</f>
        <v/>
      </c>
      <c r="E3344" s="23" t="str">
        <f aca="false">IF(A3344="","",DATE(YEAR(A3344),MONTH(A3344),1))</f>
        <v/>
      </c>
    </row>
    <row r="3345" customFormat="false" ht="15" hidden="false" customHeight="false" outlineLevel="0" collapsed="false">
      <c r="A3345" s="21"/>
      <c r="B3345" s="4"/>
      <c r="C3345" s="22"/>
      <c r="D3345" s="5" t="str">
        <f aca="false">IF(B3345="","",IFERROR(INDEX(DE_PARA!$B$6:$B$205,MATCH(B3345,DE_PARA!$A$6:$A$205,0)),"SEM DE-PARA"))</f>
        <v/>
      </c>
      <c r="E3345" s="23" t="str">
        <f aca="false">IF(A3345="","",DATE(YEAR(A3345),MONTH(A3345),1))</f>
        <v/>
      </c>
    </row>
    <row r="3346" customFormat="false" ht="15" hidden="false" customHeight="false" outlineLevel="0" collapsed="false">
      <c r="A3346" s="21"/>
      <c r="B3346" s="4"/>
      <c r="C3346" s="22"/>
      <c r="D3346" s="5" t="str">
        <f aca="false">IF(B3346="","",IFERROR(INDEX(DE_PARA!$B$6:$B$205,MATCH(B3346,DE_PARA!$A$6:$A$205,0)),"SEM DE-PARA"))</f>
        <v/>
      </c>
      <c r="E3346" s="23" t="str">
        <f aca="false">IF(A3346="","",DATE(YEAR(A3346),MONTH(A3346),1))</f>
        <v/>
      </c>
    </row>
    <row r="3347" customFormat="false" ht="15" hidden="false" customHeight="false" outlineLevel="0" collapsed="false">
      <c r="A3347" s="21"/>
      <c r="B3347" s="4"/>
      <c r="C3347" s="22"/>
      <c r="D3347" s="5" t="str">
        <f aca="false">IF(B3347="","",IFERROR(INDEX(DE_PARA!$B$6:$B$205,MATCH(B3347,DE_PARA!$A$6:$A$205,0)),"SEM DE-PARA"))</f>
        <v/>
      </c>
      <c r="E3347" s="23" t="str">
        <f aca="false">IF(A3347="","",DATE(YEAR(A3347),MONTH(A3347),1))</f>
        <v/>
      </c>
    </row>
    <row r="3348" customFormat="false" ht="15" hidden="false" customHeight="false" outlineLevel="0" collapsed="false">
      <c r="A3348" s="21"/>
      <c r="B3348" s="4"/>
      <c r="C3348" s="22"/>
      <c r="D3348" s="5" t="str">
        <f aca="false">IF(B3348="","",IFERROR(INDEX(DE_PARA!$B$6:$B$205,MATCH(B3348,DE_PARA!$A$6:$A$205,0)),"SEM DE-PARA"))</f>
        <v/>
      </c>
      <c r="E3348" s="23" t="str">
        <f aca="false">IF(A3348="","",DATE(YEAR(A3348),MONTH(A3348),1))</f>
        <v/>
      </c>
    </row>
    <row r="3349" customFormat="false" ht="15" hidden="false" customHeight="false" outlineLevel="0" collapsed="false">
      <c r="A3349" s="21"/>
      <c r="B3349" s="4"/>
      <c r="C3349" s="22"/>
      <c r="D3349" s="5" t="str">
        <f aca="false">IF(B3349="","",IFERROR(INDEX(DE_PARA!$B$6:$B$205,MATCH(B3349,DE_PARA!$A$6:$A$205,0)),"SEM DE-PARA"))</f>
        <v/>
      </c>
      <c r="E3349" s="23" t="str">
        <f aca="false">IF(A3349="","",DATE(YEAR(A3349),MONTH(A3349),1))</f>
        <v/>
      </c>
    </row>
    <row r="3350" customFormat="false" ht="15" hidden="false" customHeight="false" outlineLevel="0" collapsed="false">
      <c r="A3350" s="21"/>
      <c r="B3350" s="4"/>
      <c r="C3350" s="22"/>
      <c r="D3350" s="5" t="str">
        <f aca="false">IF(B3350="","",IFERROR(INDEX(DE_PARA!$B$6:$B$205,MATCH(B3350,DE_PARA!$A$6:$A$205,0)),"SEM DE-PARA"))</f>
        <v/>
      </c>
      <c r="E3350" s="23" t="str">
        <f aca="false">IF(A3350="","",DATE(YEAR(A3350),MONTH(A3350),1))</f>
        <v/>
      </c>
    </row>
    <row r="3351" customFormat="false" ht="15" hidden="false" customHeight="false" outlineLevel="0" collapsed="false">
      <c r="A3351" s="21"/>
      <c r="B3351" s="4"/>
      <c r="C3351" s="22"/>
      <c r="D3351" s="5" t="str">
        <f aca="false">IF(B3351="","",IFERROR(INDEX(DE_PARA!$B$6:$B$205,MATCH(B3351,DE_PARA!$A$6:$A$205,0)),"SEM DE-PARA"))</f>
        <v/>
      </c>
      <c r="E3351" s="23" t="str">
        <f aca="false">IF(A3351="","",DATE(YEAR(A3351),MONTH(A3351),1))</f>
        <v/>
      </c>
    </row>
    <row r="3352" customFormat="false" ht="15" hidden="false" customHeight="false" outlineLevel="0" collapsed="false">
      <c r="A3352" s="21"/>
      <c r="B3352" s="4"/>
      <c r="C3352" s="22"/>
      <c r="D3352" s="5" t="str">
        <f aca="false">IF(B3352="","",IFERROR(INDEX(DE_PARA!$B$6:$B$205,MATCH(B3352,DE_PARA!$A$6:$A$205,0)),"SEM DE-PARA"))</f>
        <v/>
      </c>
      <c r="E3352" s="23" t="str">
        <f aca="false">IF(A3352="","",DATE(YEAR(A3352),MONTH(A3352),1))</f>
        <v/>
      </c>
    </row>
    <row r="3353" customFormat="false" ht="15" hidden="false" customHeight="false" outlineLevel="0" collapsed="false">
      <c r="A3353" s="21"/>
      <c r="B3353" s="4"/>
      <c r="C3353" s="22"/>
      <c r="D3353" s="5" t="str">
        <f aca="false">IF(B3353="","",IFERROR(INDEX(DE_PARA!$B$6:$B$205,MATCH(B3353,DE_PARA!$A$6:$A$205,0)),"SEM DE-PARA"))</f>
        <v/>
      </c>
      <c r="E3353" s="23" t="str">
        <f aca="false">IF(A3353="","",DATE(YEAR(A3353),MONTH(A3353),1))</f>
        <v/>
      </c>
    </row>
    <row r="3354" customFormat="false" ht="15" hidden="false" customHeight="false" outlineLevel="0" collapsed="false">
      <c r="A3354" s="21"/>
      <c r="B3354" s="4"/>
      <c r="C3354" s="22"/>
      <c r="D3354" s="5" t="str">
        <f aca="false">IF(B3354="","",IFERROR(INDEX(DE_PARA!$B$6:$B$205,MATCH(B3354,DE_PARA!$A$6:$A$205,0)),"SEM DE-PARA"))</f>
        <v/>
      </c>
      <c r="E3354" s="23" t="str">
        <f aca="false">IF(A3354="","",DATE(YEAR(A3354),MONTH(A3354),1))</f>
        <v/>
      </c>
    </row>
    <row r="3355" customFormat="false" ht="15" hidden="false" customHeight="false" outlineLevel="0" collapsed="false">
      <c r="A3355" s="21"/>
      <c r="B3355" s="4"/>
      <c r="C3355" s="22"/>
      <c r="D3355" s="5" t="str">
        <f aca="false">IF(B3355="","",IFERROR(INDEX(DE_PARA!$B$6:$B$205,MATCH(B3355,DE_PARA!$A$6:$A$205,0)),"SEM DE-PARA"))</f>
        <v/>
      </c>
      <c r="E3355" s="23" t="str">
        <f aca="false">IF(A3355="","",DATE(YEAR(A3355),MONTH(A3355),1))</f>
        <v/>
      </c>
    </row>
    <row r="3356" customFormat="false" ht="15" hidden="false" customHeight="false" outlineLevel="0" collapsed="false">
      <c r="A3356" s="21"/>
      <c r="B3356" s="4"/>
      <c r="C3356" s="22"/>
      <c r="D3356" s="5" t="str">
        <f aca="false">IF(B3356="","",IFERROR(INDEX(DE_PARA!$B$6:$B$205,MATCH(B3356,DE_PARA!$A$6:$A$205,0)),"SEM DE-PARA"))</f>
        <v/>
      </c>
      <c r="E3356" s="23" t="str">
        <f aca="false">IF(A3356="","",DATE(YEAR(A3356),MONTH(A3356),1))</f>
        <v/>
      </c>
    </row>
    <row r="3357" customFormat="false" ht="15" hidden="false" customHeight="false" outlineLevel="0" collapsed="false">
      <c r="A3357" s="21"/>
      <c r="B3357" s="4"/>
      <c r="C3357" s="22"/>
      <c r="D3357" s="5" t="str">
        <f aca="false">IF(B3357="","",IFERROR(INDEX(DE_PARA!$B$6:$B$205,MATCH(B3357,DE_PARA!$A$6:$A$205,0)),"SEM DE-PARA"))</f>
        <v/>
      </c>
      <c r="E3357" s="23" t="str">
        <f aca="false">IF(A3357="","",DATE(YEAR(A3357),MONTH(A3357),1))</f>
        <v/>
      </c>
    </row>
    <row r="3358" customFormat="false" ht="15" hidden="false" customHeight="false" outlineLevel="0" collapsed="false">
      <c r="A3358" s="21"/>
      <c r="B3358" s="4"/>
      <c r="C3358" s="22"/>
      <c r="D3358" s="5" t="str">
        <f aca="false">IF(B3358="","",IFERROR(INDEX(DE_PARA!$B$6:$B$205,MATCH(B3358,DE_PARA!$A$6:$A$205,0)),"SEM DE-PARA"))</f>
        <v/>
      </c>
      <c r="E3358" s="23" t="str">
        <f aca="false">IF(A3358="","",DATE(YEAR(A3358),MONTH(A3358),1))</f>
        <v/>
      </c>
    </row>
    <row r="3359" customFormat="false" ht="15" hidden="false" customHeight="false" outlineLevel="0" collapsed="false">
      <c r="A3359" s="21"/>
      <c r="B3359" s="4"/>
      <c r="C3359" s="22"/>
      <c r="D3359" s="5" t="str">
        <f aca="false">IF(B3359="","",IFERROR(INDEX(DE_PARA!$B$6:$B$205,MATCH(B3359,DE_PARA!$A$6:$A$205,0)),"SEM DE-PARA"))</f>
        <v/>
      </c>
      <c r="E3359" s="23" t="str">
        <f aca="false">IF(A3359="","",DATE(YEAR(A3359),MONTH(A3359),1))</f>
        <v/>
      </c>
    </row>
    <row r="3360" customFormat="false" ht="15" hidden="false" customHeight="false" outlineLevel="0" collapsed="false">
      <c r="A3360" s="21"/>
      <c r="B3360" s="4"/>
      <c r="C3360" s="22"/>
      <c r="D3360" s="5" t="str">
        <f aca="false">IF(B3360="","",IFERROR(INDEX(DE_PARA!$B$6:$B$205,MATCH(B3360,DE_PARA!$A$6:$A$205,0)),"SEM DE-PARA"))</f>
        <v/>
      </c>
      <c r="E3360" s="23" t="str">
        <f aca="false">IF(A3360="","",DATE(YEAR(A3360),MONTH(A3360),1))</f>
        <v/>
      </c>
    </row>
    <row r="3361" customFormat="false" ht="15" hidden="false" customHeight="false" outlineLevel="0" collapsed="false">
      <c r="A3361" s="21"/>
      <c r="B3361" s="4"/>
      <c r="C3361" s="22"/>
      <c r="D3361" s="5" t="str">
        <f aca="false">IF(B3361="","",IFERROR(INDEX(DE_PARA!$B$6:$B$205,MATCH(B3361,DE_PARA!$A$6:$A$205,0)),"SEM DE-PARA"))</f>
        <v/>
      </c>
      <c r="E3361" s="23" t="str">
        <f aca="false">IF(A3361="","",DATE(YEAR(A3361),MONTH(A3361),1))</f>
        <v/>
      </c>
    </row>
    <row r="3362" customFormat="false" ht="15" hidden="false" customHeight="false" outlineLevel="0" collapsed="false">
      <c r="A3362" s="21"/>
      <c r="B3362" s="4"/>
      <c r="C3362" s="22"/>
      <c r="D3362" s="5" t="str">
        <f aca="false">IF(B3362="","",IFERROR(INDEX(DE_PARA!$B$6:$B$205,MATCH(B3362,DE_PARA!$A$6:$A$205,0)),"SEM DE-PARA"))</f>
        <v/>
      </c>
      <c r="E3362" s="23" t="str">
        <f aca="false">IF(A3362="","",DATE(YEAR(A3362),MONTH(A3362),1))</f>
        <v/>
      </c>
    </row>
    <row r="3363" customFormat="false" ht="15" hidden="false" customHeight="false" outlineLevel="0" collapsed="false">
      <c r="A3363" s="21"/>
      <c r="B3363" s="4"/>
      <c r="C3363" s="22"/>
      <c r="D3363" s="5" t="str">
        <f aca="false">IF(B3363="","",IFERROR(INDEX(DE_PARA!$B$6:$B$205,MATCH(B3363,DE_PARA!$A$6:$A$205,0)),"SEM DE-PARA"))</f>
        <v/>
      </c>
      <c r="E3363" s="23" t="str">
        <f aca="false">IF(A3363="","",DATE(YEAR(A3363),MONTH(A3363),1))</f>
        <v/>
      </c>
    </row>
    <row r="3364" customFormat="false" ht="15" hidden="false" customHeight="false" outlineLevel="0" collapsed="false">
      <c r="A3364" s="21"/>
      <c r="B3364" s="4"/>
      <c r="C3364" s="22"/>
      <c r="D3364" s="5" t="str">
        <f aca="false">IF(B3364="","",IFERROR(INDEX(DE_PARA!$B$6:$B$205,MATCH(B3364,DE_PARA!$A$6:$A$205,0)),"SEM DE-PARA"))</f>
        <v/>
      </c>
      <c r="E3364" s="23" t="str">
        <f aca="false">IF(A3364="","",DATE(YEAR(A3364),MONTH(A3364),1))</f>
        <v/>
      </c>
    </row>
    <row r="3365" customFormat="false" ht="15" hidden="false" customHeight="false" outlineLevel="0" collapsed="false">
      <c r="A3365" s="21"/>
      <c r="B3365" s="4"/>
      <c r="C3365" s="22"/>
      <c r="D3365" s="5" t="str">
        <f aca="false">IF(B3365="","",IFERROR(INDEX(DE_PARA!$B$6:$B$205,MATCH(B3365,DE_PARA!$A$6:$A$205,0)),"SEM DE-PARA"))</f>
        <v/>
      </c>
      <c r="E3365" s="23" t="str">
        <f aca="false">IF(A3365="","",DATE(YEAR(A3365),MONTH(A3365),1))</f>
        <v/>
      </c>
    </row>
    <row r="3366" customFormat="false" ht="15" hidden="false" customHeight="false" outlineLevel="0" collapsed="false">
      <c r="A3366" s="21"/>
      <c r="B3366" s="4"/>
      <c r="C3366" s="22"/>
      <c r="D3366" s="5" t="str">
        <f aca="false">IF(B3366="","",IFERROR(INDEX(DE_PARA!$B$6:$B$205,MATCH(B3366,DE_PARA!$A$6:$A$205,0)),"SEM DE-PARA"))</f>
        <v/>
      </c>
      <c r="E3366" s="23" t="str">
        <f aca="false">IF(A3366="","",DATE(YEAR(A3366),MONTH(A3366),1))</f>
        <v/>
      </c>
    </row>
    <row r="3367" customFormat="false" ht="15" hidden="false" customHeight="false" outlineLevel="0" collapsed="false">
      <c r="A3367" s="21"/>
      <c r="B3367" s="4"/>
      <c r="C3367" s="22"/>
      <c r="D3367" s="5" t="str">
        <f aca="false">IF(B3367="","",IFERROR(INDEX(DE_PARA!$B$6:$B$205,MATCH(B3367,DE_PARA!$A$6:$A$205,0)),"SEM DE-PARA"))</f>
        <v/>
      </c>
      <c r="E3367" s="23" t="str">
        <f aca="false">IF(A3367="","",DATE(YEAR(A3367),MONTH(A3367),1))</f>
        <v/>
      </c>
    </row>
    <row r="3368" customFormat="false" ht="15" hidden="false" customHeight="false" outlineLevel="0" collapsed="false">
      <c r="A3368" s="21"/>
      <c r="B3368" s="4"/>
      <c r="C3368" s="22"/>
      <c r="D3368" s="5" t="str">
        <f aca="false">IF(B3368="","",IFERROR(INDEX(DE_PARA!$B$6:$B$205,MATCH(B3368,DE_PARA!$A$6:$A$205,0)),"SEM DE-PARA"))</f>
        <v/>
      </c>
      <c r="E3368" s="23" t="str">
        <f aca="false">IF(A3368="","",DATE(YEAR(A3368),MONTH(A3368),1))</f>
        <v/>
      </c>
    </row>
    <row r="3369" customFormat="false" ht="15" hidden="false" customHeight="false" outlineLevel="0" collapsed="false">
      <c r="A3369" s="21"/>
      <c r="B3369" s="4"/>
      <c r="C3369" s="22"/>
      <c r="D3369" s="5" t="str">
        <f aca="false">IF(B3369="","",IFERROR(INDEX(DE_PARA!$B$6:$B$205,MATCH(B3369,DE_PARA!$A$6:$A$205,0)),"SEM DE-PARA"))</f>
        <v/>
      </c>
      <c r="E3369" s="23" t="str">
        <f aca="false">IF(A3369="","",DATE(YEAR(A3369),MONTH(A3369),1))</f>
        <v/>
      </c>
    </row>
    <row r="3370" customFormat="false" ht="15" hidden="false" customHeight="false" outlineLevel="0" collapsed="false">
      <c r="A3370" s="21"/>
      <c r="B3370" s="4"/>
      <c r="C3370" s="22"/>
      <c r="D3370" s="5" t="str">
        <f aca="false">IF(B3370="","",IFERROR(INDEX(DE_PARA!$B$6:$B$205,MATCH(B3370,DE_PARA!$A$6:$A$205,0)),"SEM DE-PARA"))</f>
        <v/>
      </c>
      <c r="E3370" s="23" t="str">
        <f aca="false">IF(A3370="","",DATE(YEAR(A3370),MONTH(A3370),1))</f>
        <v/>
      </c>
    </row>
    <row r="3371" customFormat="false" ht="15" hidden="false" customHeight="false" outlineLevel="0" collapsed="false">
      <c r="A3371" s="21"/>
      <c r="B3371" s="4"/>
      <c r="C3371" s="22"/>
      <c r="D3371" s="5" t="str">
        <f aca="false">IF(B3371="","",IFERROR(INDEX(DE_PARA!$B$6:$B$205,MATCH(B3371,DE_PARA!$A$6:$A$205,0)),"SEM DE-PARA"))</f>
        <v/>
      </c>
      <c r="E3371" s="23" t="str">
        <f aca="false">IF(A3371="","",DATE(YEAR(A3371),MONTH(A3371),1))</f>
        <v/>
      </c>
    </row>
    <row r="3372" customFormat="false" ht="15" hidden="false" customHeight="false" outlineLevel="0" collapsed="false">
      <c r="A3372" s="21"/>
      <c r="B3372" s="4"/>
      <c r="C3372" s="22"/>
      <c r="D3372" s="5" t="str">
        <f aca="false">IF(B3372="","",IFERROR(INDEX(DE_PARA!$B$6:$B$205,MATCH(B3372,DE_PARA!$A$6:$A$205,0)),"SEM DE-PARA"))</f>
        <v/>
      </c>
      <c r="E3372" s="23" t="str">
        <f aca="false">IF(A3372="","",DATE(YEAR(A3372),MONTH(A3372),1))</f>
        <v/>
      </c>
    </row>
    <row r="3373" customFormat="false" ht="15" hidden="false" customHeight="false" outlineLevel="0" collapsed="false">
      <c r="A3373" s="21"/>
      <c r="B3373" s="4"/>
      <c r="C3373" s="22"/>
      <c r="D3373" s="5" t="str">
        <f aca="false">IF(B3373="","",IFERROR(INDEX(DE_PARA!$B$6:$B$205,MATCH(B3373,DE_PARA!$A$6:$A$205,0)),"SEM DE-PARA"))</f>
        <v/>
      </c>
      <c r="E3373" s="23" t="str">
        <f aca="false">IF(A3373="","",DATE(YEAR(A3373),MONTH(A3373),1))</f>
        <v/>
      </c>
    </row>
    <row r="3374" customFormat="false" ht="15" hidden="false" customHeight="false" outlineLevel="0" collapsed="false">
      <c r="A3374" s="21"/>
      <c r="B3374" s="4"/>
      <c r="C3374" s="22"/>
      <c r="D3374" s="5" t="str">
        <f aca="false">IF(B3374="","",IFERROR(INDEX(DE_PARA!$B$6:$B$205,MATCH(B3374,DE_PARA!$A$6:$A$205,0)),"SEM DE-PARA"))</f>
        <v/>
      </c>
      <c r="E3374" s="23" t="str">
        <f aca="false">IF(A3374="","",DATE(YEAR(A3374),MONTH(A3374),1))</f>
        <v/>
      </c>
    </row>
    <row r="3375" customFormat="false" ht="15" hidden="false" customHeight="false" outlineLevel="0" collapsed="false">
      <c r="A3375" s="21"/>
      <c r="B3375" s="4"/>
      <c r="C3375" s="22"/>
      <c r="D3375" s="5" t="str">
        <f aca="false">IF(B3375="","",IFERROR(INDEX(DE_PARA!$B$6:$B$205,MATCH(B3375,DE_PARA!$A$6:$A$205,0)),"SEM DE-PARA"))</f>
        <v/>
      </c>
      <c r="E3375" s="23" t="str">
        <f aca="false">IF(A3375="","",DATE(YEAR(A3375),MONTH(A3375),1))</f>
        <v/>
      </c>
    </row>
    <row r="3376" customFormat="false" ht="15" hidden="false" customHeight="false" outlineLevel="0" collapsed="false">
      <c r="A3376" s="21"/>
      <c r="B3376" s="4"/>
      <c r="C3376" s="22"/>
      <c r="D3376" s="5" t="str">
        <f aca="false">IF(B3376="","",IFERROR(INDEX(DE_PARA!$B$6:$B$205,MATCH(B3376,DE_PARA!$A$6:$A$205,0)),"SEM DE-PARA"))</f>
        <v/>
      </c>
      <c r="E3376" s="23" t="str">
        <f aca="false">IF(A3376="","",DATE(YEAR(A3376),MONTH(A3376),1))</f>
        <v/>
      </c>
    </row>
    <row r="3377" customFormat="false" ht="15" hidden="false" customHeight="false" outlineLevel="0" collapsed="false">
      <c r="A3377" s="21"/>
      <c r="B3377" s="4"/>
      <c r="C3377" s="22"/>
      <c r="D3377" s="5" t="str">
        <f aca="false">IF(B3377="","",IFERROR(INDEX(DE_PARA!$B$6:$B$205,MATCH(B3377,DE_PARA!$A$6:$A$205,0)),"SEM DE-PARA"))</f>
        <v/>
      </c>
      <c r="E3377" s="23" t="str">
        <f aca="false">IF(A3377="","",DATE(YEAR(A3377),MONTH(A3377),1))</f>
        <v/>
      </c>
    </row>
    <row r="3378" customFormat="false" ht="15" hidden="false" customHeight="false" outlineLevel="0" collapsed="false">
      <c r="A3378" s="21"/>
      <c r="B3378" s="4"/>
      <c r="C3378" s="22"/>
      <c r="D3378" s="5" t="str">
        <f aca="false">IF(B3378="","",IFERROR(INDEX(DE_PARA!$B$6:$B$205,MATCH(B3378,DE_PARA!$A$6:$A$205,0)),"SEM DE-PARA"))</f>
        <v/>
      </c>
      <c r="E3378" s="23" t="str">
        <f aca="false">IF(A3378="","",DATE(YEAR(A3378),MONTH(A3378),1))</f>
        <v/>
      </c>
    </row>
    <row r="3379" customFormat="false" ht="15" hidden="false" customHeight="false" outlineLevel="0" collapsed="false">
      <c r="A3379" s="21"/>
      <c r="B3379" s="4"/>
      <c r="C3379" s="22"/>
      <c r="D3379" s="5" t="str">
        <f aca="false">IF(B3379="","",IFERROR(INDEX(DE_PARA!$B$6:$B$205,MATCH(B3379,DE_PARA!$A$6:$A$205,0)),"SEM DE-PARA"))</f>
        <v/>
      </c>
      <c r="E3379" s="23" t="str">
        <f aca="false">IF(A3379="","",DATE(YEAR(A3379),MONTH(A3379),1))</f>
        <v/>
      </c>
    </row>
    <row r="3380" customFormat="false" ht="15" hidden="false" customHeight="false" outlineLevel="0" collapsed="false">
      <c r="A3380" s="21"/>
      <c r="B3380" s="4"/>
      <c r="C3380" s="22"/>
      <c r="D3380" s="5" t="str">
        <f aca="false">IF(B3380="","",IFERROR(INDEX(DE_PARA!$B$6:$B$205,MATCH(B3380,DE_PARA!$A$6:$A$205,0)),"SEM DE-PARA"))</f>
        <v/>
      </c>
      <c r="E3380" s="23" t="str">
        <f aca="false">IF(A3380="","",DATE(YEAR(A3380),MONTH(A3380),1))</f>
        <v/>
      </c>
    </row>
    <row r="3381" customFormat="false" ht="15" hidden="false" customHeight="false" outlineLevel="0" collapsed="false">
      <c r="A3381" s="21"/>
      <c r="B3381" s="4"/>
      <c r="C3381" s="22"/>
      <c r="D3381" s="5" t="str">
        <f aca="false">IF(B3381="","",IFERROR(INDEX(DE_PARA!$B$6:$B$205,MATCH(B3381,DE_PARA!$A$6:$A$205,0)),"SEM DE-PARA"))</f>
        <v/>
      </c>
      <c r="E3381" s="23" t="str">
        <f aca="false">IF(A3381="","",DATE(YEAR(A3381),MONTH(A3381),1))</f>
        <v/>
      </c>
    </row>
    <row r="3382" customFormat="false" ht="15" hidden="false" customHeight="false" outlineLevel="0" collapsed="false">
      <c r="A3382" s="21"/>
      <c r="B3382" s="4"/>
      <c r="C3382" s="22"/>
      <c r="D3382" s="5" t="str">
        <f aca="false">IF(B3382="","",IFERROR(INDEX(DE_PARA!$B$6:$B$205,MATCH(B3382,DE_PARA!$A$6:$A$205,0)),"SEM DE-PARA"))</f>
        <v/>
      </c>
      <c r="E3382" s="23" t="str">
        <f aca="false">IF(A3382="","",DATE(YEAR(A3382),MONTH(A3382),1))</f>
        <v/>
      </c>
    </row>
    <row r="3383" customFormat="false" ht="15" hidden="false" customHeight="false" outlineLevel="0" collapsed="false">
      <c r="A3383" s="21"/>
      <c r="B3383" s="4"/>
      <c r="C3383" s="22"/>
      <c r="D3383" s="5" t="str">
        <f aca="false">IF(B3383="","",IFERROR(INDEX(DE_PARA!$B$6:$B$205,MATCH(B3383,DE_PARA!$A$6:$A$205,0)),"SEM DE-PARA"))</f>
        <v/>
      </c>
      <c r="E3383" s="23" t="str">
        <f aca="false">IF(A3383="","",DATE(YEAR(A3383),MONTH(A3383),1))</f>
        <v/>
      </c>
    </row>
    <row r="3384" customFormat="false" ht="15" hidden="false" customHeight="false" outlineLevel="0" collapsed="false">
      <c r="A3384" s="21"/>
      <c r="B3384" s="4"/>
      <c r="C3384" s="22"/>
      <c r="D3384" s="5" t="str">
        <f aca="false">IF(B3384="","",IFERROR(INDEX(DE_PARA!$B$6:$B$205,MATCH(B3384,DE_PARA!$A$6:$A$205,0)),"SEM DE-PARA"))</f>
        <v/>
      </c>
      <c r="E3384" s="23" t="str">
        <f aca="false">IF(A3384="","",DATE(YEAR(A3384),MONTH(A3384),1))</f>
        <v/>
      </c>
    </row>
    <row r="3385" customFormat="false" ht="15" hidden="false" customHeight="false" outlineLevel="0" collapsed="false">
      <c r="A3385" s="21"/>
      <c r="B3385" s="4"/>
      <c r="C3385" s="22"/>
      <c r="D3385" s="5" t="str">
        <f aca="false">IF(B3385="","",IFERROR(INDEX(DE_PARA!$B$6:$B$205,MATCH(B3385,DE_PARA!$A$6:$A$205,0)),"SEM DE-PARA"))</f>
        <v/>
      </c>
      <c r="E3385" s="23" t="str">
        <f aca="false">IF(A3385="","",DATE(YEAR(A3385),MONTH(A3385),1))</f>
        <v/>
      </c>
    </row>
    <row r="3386" customFormat="false" ht="15" hidden="false" customHeight="false" outlineLevel="0" collapsed="false">
      <c r="A3386" s="21"/>
      <c r="B3386" s="4"/>
      <c r="C3386" s="22"/>
      <c r="D3386" s="5" t="str">
        <f aca="false">IF(B3386="","",IFERROR(INDEX(DE_PARA!$B$6:$B$205,MATCH(B3386,DE_PARA!$A$6:$A$205,0)),"SEM DE-PARA"))</f>
        <v/>
      </c>
      <c r="E3386" s="23" t="str">
        <f aca="false">IF(A3386="","",DATE(YEAR(A3386),MONTH(A3386),1))</f>
        <v/>
      </c>
    </row>
    <row r="3387" customFormat="false" ht="15" hidden="false" customHeight="false" outlineLevel="0" collapsed="false">
      <c r="A3387" s="21"/>
      <c r="B3387" s="4"/>
      <c r="C3387" s="22"/>
      <c r="D3387" s="5" t="str">
        <f aca="false">IF(B3387="","",IFERROR(INDEX(DE_PARA!$B$6:$B$205,MATCH(B3387,DE_PARA!$A$6:$A$205,0)),"SEM DE-PARA"))</f>
        <v/>
      </c>
      <c r="E3387" s="23" t="str">
        <f aca="false">IF(A3387="","",DATE(YEAR(A3387),MONTH(A3387),1))</f>
        <v/>
      </c>
    </row>
    <row r="3388" customFormat="false" ht="15" hidden="false" customHeight="false" outlineLevel="0" collapsed="false">
      <c r="A3388" s="21"/>
      <c r="B3388" s="4"/>
      <c r="C3388" s="22"/>
      <c r="D3388" s="5" t="str">
        <f aca="false">IF(B3388="","",IFERROR(INDEX(DE_PARA!$B$6:$B$205,MATCH(B3388,DE_PARA!$A$6:$A$205,0)),"SEM DE-PARA"))</f>
        <v/>
      </c>
      <c r="E3388" s="23" t="str">
        <f aca="false">IF(A3388="","",DATE(YEAR(A3388),MONTH(A3388),1))</f>
        <v/>
      </c>
    </row>
    <row r="3389" customFormat="false" ht="15" hidden="false" customHeight="false" outlineLevel="0" collapsed="false">
      <c r="A3389" s="21"/>
      <c r="B3389" s="4"/>
      <c r="C3389" s="22"/>
      <c r="D3389" s="5" t="str">
        <f aca="false">IF(B3389="","",IFERROR(INDEX(DE_PARA!$B$6:$B$205,MATCH(B3389,DE_PARA!$A$6:$A$205,0)),"SEM DE-PARA"))</f>
        <v/>
      </c>
      <c r="E3389" s="23" t="str">
        <f aca="false">IF(A3389="","",DATE(YEAR(A3389),MONTH(A3389),1))</f>
        <v/>
      </c>
    </row>
    <row r="3390" customFormat="false" ht="15" hidden="false" customHeight="false" outlineLevel="0" collapsed="false">
      <c r="A3390" s="21"/>
      <c r="B3390" s="4"/>
      <c r="C3390" s="22"/>
      <c r="D3390" s="5" t="str">
        <f aca="false">IF(B3390="","",IFERROR(INDEX(DE_PARA!$B$6:$B$205,MATCH(B3390,DE_PARA!$A$6:$A$205,0)),"SEM DE-PARA"))</f>
        <v/>
      </c>
      <c r="E3390" s="23" t="str">
        <f aca="false">IF(A3390="","",DATE(YEAR(A3390),MONTH(A3390),1))</f>
        <v/>
      </c>
    </row>
    <row r="3391" customFormat="false" ht="15" hidden="false" customHeight="false" outlineLevel="0" collapsed="false">
      <c r="A3391" s="21"/>
      <c r="B3391" s="4"/>
      <c r="C3391" s="22"/>
      <c r="D3391" s="5" t="str">
        <f aca="false">IF(B3391="","",IFERROR(INDEX(DE_PARA!$B$6:$B$205,MATCH(B3391,DE_PARA!$A$6:$A$205,0)),"SEM DE-PARA"))</f>
        <v/>
      </c>
      <c r="E3391" s="23" t="str">
        <f aca="false">IF(A3391="","",DATE(YEAR(A3391),MONTH(A3391),1))</f>
        <v/>
      </c>
    </row>
    <row r="3392" customFormat="false" ht="15" hidden="false" customHeight="false" outlineLevel="0" collapsed="false">
      <c r="A3392" s="21"/>
      <c r="B3392" s="4"/>
      <c r="C3392" s="22"/>
      <c r="D3392" s="5" t="str">
        <f aca="false">IF(B3392="","",IFERROR(INDEX(DE_PARA!$B$6:$B$205,MATCH(B3392,DE_PARA!$A$6:$A$205,0)),"SEM DE-PARA"))</f>
        <v/>
      </c>
      <c r="E3392" s="23" t="str">
        <f aca="false">IF(A3392="","",DATE(YEAR(A3392),MONTH(A3392),1))</f>
        <v/>
      </c>
    </row>
    <row r="3393" customFormat="false" ht="15" hidden="false" customHeight="false" outlineLevel="0" collapsed="false">
      <c r="A3393" s="21"/>
      <c r="B3393" s="4"/>
      <c r="C3393" s="22"/>
      <c r="D3393" s="5" t="str">
        <f aca="false">IF(B3393="","",IFERROR(INDEX(DE_PARA!$B$6:$B$205,MATCH(B3393,DE_PARA!$A$6:$A$205,0)),"SEM DE-PARA"))</f>
        <v/>
      </c>
      <c r="E3393" s="23" t="str">
        <f aca="false">IF(A3393="","",DATE(YEAR(A3393),MONTH(A3393),1))</f>
        <v/>
      </c>
    </row>
    <row r="3394" customFormat="false" ht="15" hidden="false" customHeight="false" outlineLevel="0" collapsed="false">
      <c r="A3394" s="21"/>
      <c r="B3394" s="4"/>
      <c r="C3394" s="22"/>
      <c r="D3394" s="5" t="str">
        <f aca="false">IF(B3394="","",IFERROR(INDEX(DE_PARA!$B$6:$B$205,MATCH(B3394,DE_PARA!$A$6:$A$205,0)),"SEM DE-PARA"))</f>
        <v/>
      </c>
      <c r="E3394" s="23" t="str">
        <f aca="false">IF(A3394="","",DATE(YEAR(A3394),MONTH(A3394),1))</f>
        <v/>
      </c>
    </row>
    <row r="3395" customFormat="false" ht="15" hidden="false" customHeight="false" outlineLevel="0" collapsed="false">
      <c r="A3395" s="21"/>
      <c r="B3395" s="4"/>
      <c r="C3395" s="22"/>
      <c r="D3395" s="5" t="str">
        <f aca="false">IF(B3395="","",IFERROR(INDEX(DE_PARA!$B$6:$B$205,MATCH(B3395,DE_PARA!$A$6:$A$205,0)),"SEM DE-PARA"))</f>
        <v/>
      </c>
      <c r="E3395" s="23" t="str">
        <f aca="false">IF(A3395="","",DATE(YEAR(A3395),MONTH(A3395),1))</f>
        <v/>
      </c>
    </row>
    <row r="3396" customFormat="false" ht="15" hidden="false" customHeight="false" outlineLevel="0" collapsed="false">
      <c r="A3396" s="21"/>
      <c r="B3396" s="4"/>
      <c r="C3396" s="22"/>
      <c r="D3396" s="5" t="str">
        <f aca="false">IF(B3396="","",IFERROR(INDEX(DE_PARA!$B$6:$B$205,MATCH(B3396,DE_PARA!$A$6:$A$205,0)),"SEM DE-PARA"))</f>
        <v/>
      </c>
      <c r="E3396" s="23" t="str">
        <f aca="false">IF(A3396="","",DATE(YEAR(A3396),MONTH(A3396),1))</f>
        <v/>
      </c>
    </row>
    <row r="3397" customFormat="false" ht="15" hidden="false" customHeight="false" outlineLevel="0" collapsed="false">
      <c r="A3397" s="21"/>
      <c r="B3397" s="4"/>
      <c r="C3397" s="22"/>
      <c r="D3397" s="5" t="str">
        <f aca="false">IF(B3397="","",IFERROR(INDEX(DE_PARA!$B$6:$B$205,MATCH(B3397,DE_PARA!$A$6:$A$205,0)),"SEM DE-PARA"))</f>
        <v/>
      </c>
      <c r="E3397" s="23" t="str">
        <f aca="false">IF(A3397="","",DATE(YEAR(A3397),MONTH(A3397),1))</f>
        <v/>
      </c>
    </row>
    <row r="3398" customFormat="false" ht="15" hidden="false" customHeight="false" outlineLevel="0" collapsed="false">
      <c r="A3398" s="21"/>
      <c r="B3398" s="4"/>
      <c r="C3398" s="22"/>
      <c r="D3398" s="5" t="str">
        <f aca="false">IF(B3398="","",IFERROR(INDEX(DE_PARA!$B$6:$B$205,MATCH(B3398,DE_PARA!$A$6:$A$205,0)),"SEM DE-PARA"))</f>
        <v/>
      </c>
      <c r="E3398" s="23" t="str">
        <f aca="false">IF(A3398="","",DATE(YEAR(A3398),MONTH(A3398),1))</f>
        <v/>
      </c>
    </row>
    <row r="3399" customFormat="false" ht="15" hidden="false" customHeight="false" outlineLevel="0" collapsed="false">
      <c r="A3399" s="21"/>
      <c r="B3399" s="4"/>
      <c r="C3399" s="22"/>
      <c r="D3399" s="5" t="str">
        <f aca="false">IF(B3399="","",IFERROR(INDEX(DE_PARA!$B$6:$B$205,MATCH(B3399,DE_PARA!$A$6:$A$205,0)),"SEM DE-PARA"))</f>
        <v/>
      </c>
      <c r="E3399" s="23" t="str">
        <f aca="false">IF(A3399="","",DATE(YEAR(A3399),MONTH(A3399),1))</f>
        <v/>
      </c>
    </row>
    <row r="3400" customFormat="false" ht="15" hidden="false" customHeight="false" outlineLevel="0" collapsed="false">
      <c r="A3400" s="21"/>
      <c r="B3400" s="4"/>
      <c r="C3400" s="22"/>
      <c r="D3400" s="5" t="str">
        <f aca="false">IF(B3400="","",IFERROR(INDEX(DE_PARA!$B$6:$B$205,MATCH(B3400,DE_PARA!$A$6:$A$205,0)),"SEM DE-PARA"))</f>
        <v/>
      </c>
      <c r="E3400" s="23" t="str">
        <f aca="false">IF(A3400="","",DATE(YEAR(A3400),MONTH(A3400),1))</f>
        <v/>
      </c>
    </row>
    <row r="3401" customFormat="false" ht="15" hidden="false" customHeight="false" outlineLevel="0" collapsed="false">
      <c r="A3401" s="21"/>
      <c r="B3401" s="4"/>
      <c r="C3401" s="22"/>
      <c r="D3401" s="5" t="str">
        <f aca="false">IF(B3401="","",IFERROR(INDEX(DE_PARA!$B$6:$B$205,MATCH(B3401,DE_PARA!$A$6:$A$205,0)),"SEM DE-PARA"))</f>
        <v/>
      </c>
      <c r="E3401" s="23" t="str">
        <f aca="false">IF(A3401="","",DATE(YEAR(A3401),MONTH(A3401),1))</f>
        <v/>
      </c>
    </row>
    <row r="3402" customFormat="false" ht="15" hidden="false" customHeight="false" outlineLevel="0" collapsed="false">
      <c r="A3402" s="21"/>
      <c r="B3402" s="4"/>
      <c r="C3402" s="22"/>
      <c r="D3402" s="5" t="str">
        <f aca="false">IF(B3402="","",IFERROR(INDEX(DE_PARA!$B$6:$B$205,MATCH(B3402,DE_PARA!$A$6:$A$205,0)),"SEM DE-PARA"))</f>
        <v/>
      </c>
      <c r="E3402" s="23" t="str">
        <f aca="false">IF(A3402="","",DATE(YEAR(A3402),MONTH(A3402),1))</f>
        <v/>
      </c>
    </row>
    <row r="3403" customFormat="false" ht="15" hidden="false" customHeight="false" outlineLevel="0" collapsed="false">
      <c r="A3403" s="21"/>
      <c r="B3403" s="4"/>
      <c r="C3403" s="22"/>
      <c r="D3403" s="5" t="str">
        <f aca="false">IF(B3403="","",IFERROR(INDEX(DE_PARA!$B$6:$B$205,MATCH(B3403,DE_PARA!$A$6:$A$205,0)),"SEM DE-PARA"))</f>
        <v/>
      </c>
      <c r="E3403" s="23" t="str">
        <f aca="false">IF(A3403="","",DATE(YEAR(A3403),MONTH(A3403),1))</f>
        <v/>
      </c>
    </row>
    <row r="3404" customFormat="false" ht="15" hidden="false" customHeight="false" outlineLevel="0" collapsed="false">
      <c r="A3404" s="21"/>
      <c r="B3404" s="4"/>
      <c r="C3404" s="22"/>
      <c r="D3404" s="5" t="str">
        <f aca="false">IF(B3404="","",IFERROR(INDEX(DE_PARA!$B$6:$B$205,MATCH(B3404,DE_PARA!$A$6:$A$205,0)),"SEM DE-PARA"))</f>
        <v/>
      </c>
      <c r="E3404" s="23" t="str">
        <f aca="false">IF(A3404="","",DATE(YEAR(A3404),MONTH(A3404),1))</f>
        <v/>
      </c>
    </row>
    <row r="3405" customFormat="false" ht="15" hidden="false" customHeight="false" outlineLevel="0" collapsed="false">
      <c r="A3405" s="21"/>
      <c r="B3405" s="4"/>
      <c r="C3405" s="22"/>
      <c r="D3405" s="5" t="str">
        <f aca="false">IF(B3405="","",IFERROR(INDEX(DE_PARA!$B$6:$B$205,MATCH(B3405,DE_PARA!$A$6:$A$205,0)),"SEM DE-PARA"))</f>
        <v/>
      </c>
      <c r="E3405" s="23" t="str">
        <f aca="false">IF(A3405="","",DATE(YEAR(A3405),MONTH(A3405),1))</f>
        <v/>
      </c>
    </row>
    <row r="3406" customFormat="false" ht="15" hidden="false" customHeight="false" outlineLevel="0" collapsed="false">
      <c r="A3406" s="21"/>
      <c r="B3406" s="4"/>
      <c r="C3406" s="22"/>
      <c r="D3406" s="5" t="str">
        <f aca="false">IF(B3406="","",IFERROR(INDEX(DE_PARA!$B$6:$B$205,MATCH(B3406,DE_PARA!$A$6:$A$205,0)),"SEM DE-PARA"))</f>
        <v/>
      </c>
      <c r="E3406" s="23" t="str">
        <f aca="false">IF(A3406="","",DATE(YEAR(A3406),MONTH(A3406),1))</f>
        <v/>
      </c>
    </row>
    <row r="3407" customFormat="false" ht="15" hidden="false" customHeight="false" outlineLevel="0" collapsed="false">
      <c r="A3407" s="21"/>
      <c r="B3407" s="4"/>
      <c r="C3407" s="22"/>
      <c r="D3407" s="5" t="str">
        <f aca="false">IF(B3407="","",IFERROR(INDEX(DE_PARA!$B$6:$B$205,MATCH(B3407,DE_PARA!$A$6:$A$205,0)),"SEM DE-PARA"))</f>
        <v/>
      </c>
      <c r="E3407" s="23" t="str">
        <f aca="false">IF(A3407="","",DATE(YEAR(A3407),MONTH(A3407),1))</f>
        <v/>
      </c>
    </row>
    <row r="3408" customFormat="false" ht="15" hidden="false" customHeight="false" outlineLevel="0" collapsed="false">
      <c r="A3408" s="21"/>
      <c r="B3408" s="4"/>
      <c r="C3408" s="22"/>
      <c r="D3408" s="5" t="str">
        <f aca="false">IF(B3408="","",IFERROR(INDEX(DE_PARA!$B$6:$B$205,MATCH(B3408,DE_PARA!$A$6:$A$205,0)),"SEM DE-PARA"))</f>
        <v/>
      </c>
      <c r="E3408" s="23" t="str">
        <f aca="false">IF(A3408="","",DATE(YEAR(A3408),MONTH(A3408),1))</f>
        <v/>
      </c>
    </row>
    <row r="3409" customFormat="false" ht="15" hidden="false" customHeight="false" outlineLevel="0" collapsed="false">
      <c r="A3409" s="21"/>
      <c r="B3409" s="4"/>
      <c r="C3409" s="22"/>
      <c r="D3409" s="5" t="str">
        <f aca="false">IF(B3409="","",IFERROR(INDEX(DE_PARA!$B$6:$B$205,MATCH(B3409,DE_PARA!$A$6:$A$205,0)),"SEM DE-PARA"))</f>
        <v/>
      </c>
      <c r="E3409" s="23" t="str">
        <f aca="false">IF(A3409="","",DATE(YEAR(A3409),MONTH(A3409),1))</f>
        <v/>
      </c>
    </row>
    <row r="3410" customFormat="false" ht="15" hidden="false" customHeight="false" outlineLevel="0" collapsed="false">
      <c r="A3410" s="21"/>
      <c r="B3410" s="4"/>
      <c r="C3410" s="22"/>
      <c r="D3410" s="5" t="str">
        <f aca="false">IF(B3410="","",IFERROR(INDEX(DE_PARA!$B$6:$B$205,MATCH(B3410,DE_PARA!$A$6:$A$205,0)),"SEM DE-PARA"))</f>
        <v/>
      </c>
      <c r="E3410" s="23" t="str">
        <f aca="false">IF(A3410="","",DATE(YEAR(A3410),MONTH(A3410),1))</f>
        <v/>
      </c>
    </row>
    <row r="3411" customFormat="false" ht="15" hidden="false" customHeight="false" outlineLevel="0" collapsed="false">
      <c r="A3411" s="21"/>
      <c r="B3411" s="4"/>
      <c r="C3411" s="22"/>
      <c r="D3411" s="5" t="str">
        <f aca="false">IF(B3411="","",IFERROR(INDEX(DE_PARA!$B$6:$B$205,MATCH(B3411,DE_PARA!$A$6:$A$205,0)),"SEM DE-PARA"))</f>
        <v/>
      </c>
      <c r="E3411" s="23" t="str">
        <f aca="false">IF(A3411="","",DATE(YEAR(A3411),MONTH(A3411),1))</f>
        <v/>
      </c>
    </row>
    <row r="3412" customFormat="false" ht="15" hidden="false" customHeight="false" outlineLevel="0" collapsed="false">
      <c r="A3412" s="21"/>
      <c r="B3412" s="4"/>
      <c r="C3412" s="22"/>
      <c r="D3412" s="5" t="str">
        <f aca="false">IF(B3412="","",IFERROR(INDEX(DE_PARA!$B$6:$B$205,MATCH(B3412,DE_PARA!$A$6:$A$205,0)),"SEM DE-PARA"))</f>
        <v/>
      </c>
      <c r="E3412" s="23" t="str">
        <f aca="false">IF(A3412="","",DATE(YEAR(A3412),MONTH(A3412),1))</f>
        <v/>
      </c>
    </row>
    <row r="3413" customFormat="false" ht="15" hidden="false" customHeight="false" outlineLevel="0" collapsed="false">
      <c r="A3413" s="21"/>
      <c r="B3413" s="4"/>
      <c r="C3413" s="22"/>
      <c r="D3413" s="5" t="str">
        <f aca="false">IF(B3413="","",IFERROR(INDEX(DE_PARA!$B$6:$B$205,MATCH(B3413,DE_PARA!$A$6:$A$205,0)),"SEM DE-PARA"))</f>
        <v/>
      </c>
      <c r="E3413" s="23" t="str">
        <f aca="false">IF(A3413="","",DATE(YEAR(A3413),MONTH(A3413),1))</f>
        <v/>
      </c>
    </row>
    <row r="3414" customFormat="false" ht="15" hidden="false" customHeight="false" outlineLevel="0" collapsed="false">
      <c r="A3414" s="21"/>
      <c r="B3414" s="4"/>
      <c r="C3414" s="22"/>
      <c r="D3414" s="5" t="str">
        <f aca="false">IF(B3414="","",IFERROR(INDEX(DE_PARA!$B$6:$B$205,MATCH(B3414,DE_PARA!$A$6:$A$205,0)),"SEM DE-PARA"))</f>
        <v/>
      </c>
      <c r="E3414" s="23" t="str">
        <f aca="false">IF(A3414="","",DATE(YEAR(A3414),MONTH(A3414),1))</f>
        <v/>
      </c>
    </row>
    <row r="3415" customFormat="false" ht="15" hidden="false" customHeight="false" outlineLevel="0" collapsed="false">
      <c r="A3415" s="21"/>
      <c r="B3415" s="4"/>
      <c r="C3415" s="22"/>
      <c r="D3415" s="5" t="str">
        <f aca="false">IF(B3415="","",IFERROR(INDEX(DE_PARA!$B$6:$B$205,MATCH(B3415,DE_PARA!$A$6:$A$205,0)),"SEM DE-PARA"))</f>
        <v/>
      </c>
      <c r="E3415" s="23" t="str">
        <f aca="false">IF(A3415="","",DATE(YEAR(A3415),MONTH(A3415),1))</f>
        <v/>
      </c>
    </row>
    <row r="3416" customFormat="false" ht="15" hidden="false" customHeight="false" outlineLevel="0" collapsed="false">
      <c r="A3416" s="21"/>
      <c r="B3416" s="4"/>
      <c r="C3416" s="22"/>
      <c r="D3416" s="5" t="str">
        <f aca="false">IF(B3416="","",IFERROR(INDEX(DE_PARA!$B$6:$B$205,MATCH(B3416,DE_PARA!$A$6:$A$205,0)),"SEM DE-PARA"))</f>
        <v/>
      </c>
      <c r="E3416" s="23" t="str">
        <f aca="false">IF(A3416="","",DATE(YEAR(A3416),MONTH(A3416),1))</f>
        <v/>
      </c>
    </row>
    <row r="3417" customFormat="false" ht="15" hidden="false" customHeight="false" outlineLevel="0" collapsed="false">
      <c r="A3417" s="21"/>
      <c r="B3417" s="4"/>
      <c r="C3417" s="22"/>
      <c r="D3417" s="5" t="str">
        <f aca="false">IF(B3417="","",IFERROR(INDEX(DE_PARA!$B$6:$B$205,MATCH(B3417,DE_PARA!$A$6:$A$205,0)),"SEM DE-PARA"))</f>
        <v/>
      </c>
      <c r="E3417" s="23" t="str">
        <f aca="false">IF(A3417="","",DATE(YEAR(A3417),MONTH(A3417),1))</f>
        <v/>
      </c>
    </row>
    <row r="3418" customFormat="false" ht="15" hidden="false" customHeight="false" outlineLevel="0" collapsed="false">
      <c r="A3418" s="21"/>
      <c r="B3418" s="4"/>
      <c r="C3418" s="22"/>
      <c r="D3418" s="5" t="str">
        <f aca="false">IF(B3418="","",IFERROR(INDEX(DE_PARA!$B$6:$B$205,MATCH(B3418,DE_PARA!$A$6:$A$205,0)),"SEM DE-PARA"))</f>
        <v/>
      </c>
      <c r="E3418" s="23" t="str">
        <f aca="false">IF(A3418="","",DATE(YEAR(A3418),MONTH(A3418),1))</f>
        <v/>
      </c>
    </row>
    <row r="3419" customFormat="false" ht="15" hidden="false" customHeight="false" outlineLevel="0" collapsed="false">
      <c r="A3419" s="21"/>
      <c r="B3419" s="4"/>
      <c r="C3419" s="22"/>
      <c r="D3419" s="5" t="str">
        <f aca="false">IF(B3419="","",IFERROR(INDEX(DE_PARA!$B$6:$B$205,MATCH(B3419,DE_PARA!$A$6:$A$205,0)),"SEM DE-PARA"))</f>
        <v/>
      </c>
      <c r="E3419" s="23" t="str">
        <f aca="false">IF(A3419="","",DATE(YEAR(A3419),MONTH(A3419),1))</f>
        <v/>
      </c>
    </row>
    <row r="3420" customFormat="false" ht="15" hidden="false" customHeight="false" outlineLevel="0" collapsed="false">
      <c r="A3420" s="21"/>
      <c r="B3420" s="4"/>
      <c r="C3420" s="22"/>
      <c r="D3420" s="5" t="str">
        <f aca="false">IF(B3420="","",IFERROR(INDEX(DE_PARA!$B$6:$B$205,MATCH(B3420,DE_PARA!$A$6:$A$205,0)),"SEM DE-PARA"))</f>
        <v/>
      </c>
      <c r="E3420" s="23" t="str">
        <f aca="false">IF(A3420="","",DATE(YEAR(A3420),MONTH(A3420),1))</f>
        <v/>
      </c>
    </row>
    <row r="3421" customFormat="false" ht="15" hidden="false" customHeight="false" outlineLevel="0" collapsed="false">
      <c r="A3421" s="21"/>
      <c r="B3421" s="4"/>
      <c r="C3421" s="22"/>
      <c r="D3421" s="5" t="str">
        <f aca="false">IF(B3421="","",IFERROR(INDEX(DE_PARA!$B$6:$B$205,MATCH(B3421,DE_PARA!$A$6:$A$205,0)),"SEM DE-PARA"))</f>
        <v/>
      </c>
      <c r="E3421" s="23" t="str">
        <f aca="false">IF(A3421="","",DATE(YEAR(A3421),MONTH(A3421),1))</f>
        <v/>
      </c>
    </row>
    <row r="3422" customFormat="false" ht="15" hidden="false" customHeight="false" outlineLevel="0" collapsed="false">
      <c r="A3422" s="21"/>
      <c r="B3422" s="4"/>
      <c r="C3422" s="22"/>
      <c r="D3422" s="5" t="str">
        <f aca="false">IF(B3422="","",IFERROR(INDEX(DE_PARA!$B$6:$B$205,MATCH(B3422,DE_PARA!$A$6:$A$205,0)),"SEM DE-PARA"))</f>
        <v/>
      </c>
      <c r="E3422" s="23" t="str">
        <f aca="false">IF(A3422="","",DATE(YEAR(A3422),MONTH(A3422),1))</f>
        <v/>
      </c>
    </row>
    <row r="3423" customFormat="false" ht="15" hidden="false" customHeight="false" outlineLevel="0" collapsed="false">
      <c r="A3423" s="21"/>
      <c r="B3423" s="4"/>
      <c r="C3423" s="22"/>
      <c r="D3423" s="5" t="str">
        <f aca="false">IF(B3423="","",IFERROR(INDEX(DE_PARA!$B$6:$B$205,MATCH(B3423,DE_PARA!$A$6:$A$205,0)),"SEM DE-PARA"))</f>
        <v/>
      </c>
      <c r="E3423" s="23" t="str">
        <f aca="false">IF(A3423="","",DATE(YEAR(A3423),MONTH(A3423),1))</f>
        <v/>
      </c>
    </row>
    <row r="3424" customFormat="false" ht="15" hidden="false" customHeight="false" outlineLevel="0" collapsed="false">
      <c r="A3424" s="21"/>
      <c r="B3424" s="4"/>
      <c r="C3424" s="22"/>
      <c r="D3424" s="5" t="str">
        <f aca="false">IF(B3424="","",IFERROR(INDEX(DE_PARA!$B$6:$B$205,MATCH(B3424,DE_PARA!$A$6:$A$205,0)),"SEM DE-PARA"))</f>
        <v/>
      </c>
      <c r="E3424" s="23" t="str">
        <f aca="false">IF(A3424="","",DATE(YEAR(A3424),MONTH(A3424),1))</f>
        <v/>
      </c>
    </row>
    <row r="3425" customFormat="false" ht="15" hidden="false" customHeight="false" outlineLevel="0" collapsed="false">
      <c r="A3425" s="21"/>
      <c r="B3425" s="4"/>
      <c r="C3425" s="22"/>
      <c r="D3425" s="5" t="str">
        <f aca="false">IF(B3425="","",IFERROR(INDEX(DE_PARA!$B$6:$B$205,MATCH(B3425,DE_PARA!$A$6:$A$205,0)),"SEM DE-PARA"))</f>
        <v/>
      </c>
      <c r="E3425" s="23" t="str">
        <f aca="false">IF(A3425="","",DATE(YEAR(A3425),MONTH(A3425),1))</f>
        <v/>
      </c>
    </row>
    <row r="3426" customFormat="false" ht="15" hidden="false" customHeight="false" outlineLevel="0" collapsed="false">
      <c r="A3426" s="21"/>
      <c r="B3426" s="4"/>
      <c r="C3426" s="22"/>
      <c r="D3426" s="5" t="str">
        <f aca="false">IF(B3426="","",IFERROR(INDEX(DE_PARA!$B$6:$B$205,MATCH(B3426,DE_PARA!$A$6:$A$205,0)),"SEM DE-PARA"))</f>
        <v/>
      </c>
      <c r="E3426" s="23" t="str">
        <f aca="false">IF(A3426="","",DATE(YEAR(A3426),MONTH(A3426),1))</f>
        <v/>
      </c>
    </row>
    <row r="3427" customFormat="false" ht="15" hidden="false" customHeight="false" outlineLevel="0" collapsed="false">
      <c r="A3427" s="21"/>
      <c r="B3427" s="4"/>
      <c r="C3427" s="22"/>
      <c r="D3427" s="5" t="str">
        <f aca="false">IF(B3427="","",IFERROR(INDEX(DE_PARA!$B$6:$B$205,MATCH(B3427,DE_PARA!$A$6:$A$205,0)),"SEM DE-PARA"))</f>
        <v/>
      </c>
      <c r="E3427" s="23" t="str">
        <f aca="false">IF(A3427="","",DATE(YEAR(A3427),MONTH(A3427),1))</f>
        <v/>
      </c>
    </row>
    <row r="3428" customFormat="false" ht="15" hidden="false" customHeight="false" outlineLevel="0" collapsed="false">
      <c r="A3428" s="21"/>
      <c r="B3428" s="4"/>
      <c r="C3428" s="22"/>
      <c r="D3428" s="5" t="str">
        <f aca="false">IF(B3428="","",IFERROR(INDEX(DE_PARA!$B$6:$B$205,MATCH(B3428,DE_PARA!$A$6:$A$205,0)),"SEM DE-PARA"))</f>
        <v/>
      </c>
      <c r="E3428" s="23" t="str">
        <f aca="false">IF(A3428="","",DATE(YEAR(A3428),MONTH(A3428),1))</f>
        <v/>
      </c>
    </row>
    <row r="3429" customFormat="false" ht="15" hidden="false" customHeight="false" outlineLevel="0" collapsed="false">
      <c r="A3429" s="21"/>
      <c r="B3429" s="4"/>
      <c r="C3429" s="22"/>
      <c r="D3429" s="5" t="str">
        <f aca="false">IF(B3429="","",IFERROR(INDEX(DE_PARA!$B$6:$B$205,MATCH(B3429,DE_PARA!$A$6:$A$205,0)),"SEM DE-PARA"))</f>
        <v/>
      </c>
      <c r="E3429" s="23" t="str">
        <f aca="false">IF(A3429="","",DATE(YEAR(A3429),MONTH(A3429),1))</f>
        <v/>
      </c>
    </row>
    <row r="3430" customFormat="false" ht="15" hidden="false" customHeight="false" outlineLevel="0" collapsed="false">
      <c r="A3430" s="21"/>
      <c r="B3430" s="4"/>
      <c r="C3430" s="22"/>
      <c r="D3430" s="5" t="str">
        <f aca="false">IF(B3430="","",IFERROR(INDEX(DE_PARA!$B$6:$B$205,MATCH(B3430,DE_PARA!$A$6:$A$205,0)),"SEM DE-PARA"))</f>
        <v/>
      </c>
      <c r="E3430" s="23" t="str">
        <f aca="false">IF(A3430="","",DATE(YEAR(A3430),MONTH(A3430),1))</f>
        <v/>
      </c>
    </row>
    <row r="3431" customFormat="false" ht="15" hidden="false" customHeight="false" outlineLevel="0" collapsed="false">
      <c r="A3431" s="21"/>
      <c r="B3431" s="4"/>
      <c r="C3431" s="22"/>
      <c r="D3431" s="5" t="str">
        <f aca="false">IF(B3431="","",IFERROR(INDEX(DE_PARA!$B$6:$B$205,MATCH(B3431,DE_PARA!$A$6:$A$205,0)),"SEM DE-PARA"))</f>
        <v/>
      </c>
      <c r="E3431" s="23" t="str">
        <f aca="false">IF(A3431="","",DATE(YEAR(A3431),MONTH(A3431),1))</f>
        <v/>
      </c>
    </row>
    <row r="3432" customFormat="false" ht="15" hidden="false" customHeight="false" outlineLevel="0" collapsed="false">
      <c r="A3432" s="21"/>
      <c r="B3432" s="4"/>
      <c r="C3432" s="22"/>
      <c r="D3432" s="5" t="str">
        <f aca="false">IF(B3432="","",IFERROR(INDEX(DE_PARA!$B$6:$B$205,MATCH(B3432,DE_PARA!$A$6:$A$205,0)),"SEM DE-PARA"))</f>
        <v/>
      </c>
      <c r="E3432" s="23" t="str">
        <f aca="false">IF(A3432="","",DATE(YEAR(A3432),MONTH(A3432),1))</f>
        <v/>
      </c>
    </row>
    <row r="3433" customFormat="false" ht="15" hidden="false" customHeight="false" outlineLevel="0" collapsed="false">
      <c r="A3433" s="21"/>
      <c r="B3433" s="4"/>
      <c r="C3433" s="22"/>
      <c r="D3433" s="5" t="str">
        <f aca="false">IF(B3433="","",IFERROR(INDEX(DE_PARA!$B$6:$B$205,MATCH(B3433,DE_PARA!$A$6:$A$205,0)),"SEM DE-PARA"))</f>
        <v/>
      </c>
      <c r="E3433" s="23" t="str">
        <f aca="false">IF(A3433="","",DATE(YEAR(A3433),MONTH(A3433),1))</f>
        <v/>
      </c>
    </row>
    <row r="3434" customFormat="false" ht="15" hidden="false" customHeight="false" outlineLevel="0" collapsed="false">
      <c r="A3434" s="21"/>
      <c r="B3434" s="4"/>
      <c r="C3434" s="22"/>
      <c r="D3434" s="5" t="str">
        <f aca="false">IF(B3434="","",IFERROR(INDEX(DE_PARA!$B$6:$B$205,MATCH(B3434,DE_PARA!$A$6:$A$205,0)),"SEM DE-PARA"))</f>
        <v/>
      </c>
      <c r="E3434" s="23" t="str">
        <f aca="false">IF(A3434="","",DATE(YEAR(A3434),MONTH(A3434),1))</f>
        <v/>
      </c>
    </row>
    <row r="3435" customFormat="false" ht="15" hidden="false" customHeight="false" outlineLevel="0" collapsed="false">
      <c r="A3435" s="21"/>
      <c r="B3435" s="4"/>
      <c r="C3435" s="22"/>
      <c r="D3435" s="5" t="str">
        <f aca="false">IF(B3435="","",IFERROR(INDEX(DE_PARA!$B$6:$B$205,MATCH(B3435,DE_PARA!$A$6:$A$205,0)),"SEM DE-PARA"))</f>
        <v/>
      </c>
      <c r="E3435" s="23" t="str">
        <f aca="false">IF(A3435="","",DATE(YEAR(A3435),MONTH(A3435),1))</f>
        <v/>
      </c>
    </row>
    <row r="3436" customFormat="false" ht="15" hidden="false" customHeight="false" outlineLevel="0" collapsed="false">
      <c r="A3436" s="21"/>
      <c r="B3436" s="4"/>
      <c r="C3436" s="22"/>
      <c r="D3436" s="5" t="str">
        <f aca="false">IF(B3436="","",IFERROR(INDEX(DE_PARA!$B$6:$B$205,MATCH(B3436,DE_PARA!$A$6:$A$205,0)),"SEM DE-PARA"))</f>
        <v/>
      </c>
      <c r="E3436" s="23" t="str">
        <f aca="false">IF(A3436="","",DATE(YEAR(A3436),MONTH(A3436),1))</f>
        <v/>
      </c>
    </row>
    <row r="3437" customFormat="false" ht="15" hidden="false" customHeight="false" outlineLevel="0" collapsed="false">
      <c r="A3437" s="21"/>
      <c r="B3437" s="4"/>
      <c r="C3437" s="22"/>
      <c r="D3437" s="5" t="str">
        <f aca="false">IF(B3437="","",IFERROR(INDEX(DE_PARA!$B$6:$B$205,MATCH(B3437,DE_PARA!$A$6:$A$205,0)),"SEM DE-PARA"))</f>
        <v/>
      </c>
      <c r="E3437" s="23" t="str">
        <f aca="false">IF(A3437="","",DATE(YEAR(A3437),MONTH(A3437),1))</f>
        <v/>
      </c>
    </row>
    <row r="3438" customFormat="false" ht="15" hidden="false" customHeight="false" outlineLevel="0" collapsed="false">
      <c r="A3438" s="21"/>
      <c r="B3438" s="4"/>
      <c r="C3438" s="22"/>
      <c r="D3438" s="5" t="str">
        <f aca="false">IF(B3438="","",IFERROR(INDEX(DE_PARA!$B$6:$B$205,MATCH(B3438,DE_PARA!$A$6:$A$205,0)),"SEM DE-PARA"))</f>
        <v/>
      </c>
      <c r="E3438" s="23" t="str">
        <f aca="false">IF(A3438="","",DATE(YEAR(A3438),MONTH(A3438),1))</f>
        <v/>
      </c>
    </row>
    <row r="3439" customFormat="false" ht="15" hidden="false" customHeight="false" outlineLevel="0" collapsed="false">
      <c r="A3439" s="21"/>
      <c r="B3439" s="4"/>
      <c r="C3439" s="22"/>
      <c r="D3439" s="5" t="str">
        <f aca="false">IF(B3439="","",IFERROR(INDEX(DE_PARA!$B$6:$B$205,MATCH(B3439,DE_PARA!$A$6:$A$205,0)),"SEM DE-PARA"))</f>
        <v/>
      </c>
      <c r="E3439" s="23" t="str">
        <f aca="false">IF(A3439="","",DATE(YEAR(A3439),MONTH(A3439),1))</f>
        <v/>
      </c>
    </row>
    <row r="3440" customFormat="false" ht="15" hidden="false" customHeight="false" outlineLevel="0" collapsed="false">
      <c r="A3440" s="21"/>
      <c r="B3440" s="4"/>
      <c r="C3440" s="22"/>
      <c r="D3440" s="5" t="str">
        <f aca="false">IF(B3440="","",IFERROR(INDEX(DE_PARA!$B$6:$B$205,MATCH(B3440,DE_PARA!$A$6:$A$205,0)),"SEM DE-PARA"))</f>
        <v/>
      </c>
      <c r="E3440" s="23" t="str">
        <f aca="false">IF(A3440="","",DATE(YEAR(A3440),MONTH(A3440),1))</f>
        <v/>
      </c>
    </row>
    <row r="3441" customFormat="false" ht="15" hidden="false" customHeight="false" outlineLevel="0" collapsed="false">
      <c r="A3441" s="21"/>
      <c r="B3441" s="4"/>
      <c r="C3441" s="22"/>
      <c r="D3441" s="5" t="str">
        <f aca="false">IF(B3441="","",IFERROR(INDEX(DE_PARA!$B$6:$B$205,MATCH(B3441,DE_PARA!$A$6:$A$205,0)),"SEM DE-PARA"))</f>
        <v/>
      </c>
      <c r="E3441" s="23" t="str">
        <f aca="false">IF(A3441="","",DATE(YEAR(A3441),MONTH(A3441),1))</f>
        <v/>
      </c>
    </row>
    <row r="3442" customFormat="false" ht="15" hidden="false" customHeight="false" outlineLevel="0" collapsed="false">
      <c r="A3442" s="21"/>
      <c r="B3442" s="4"/>
      <c r="C3442" s="22"/>
      <c r="D3442" s="5" t="str">
        <f aca="false">IF(B3442="","",IFERROR(INDEX(DE_PARA!$B$6:$B$205,MATCH(B3442,DE_PARA!$A$6:$A$205,0)),"SEM DE-PARA"))</f>
        <v/>
      </c>
      <c r="E3442" s="23" t="str">
        <f aca="false">IF(A3442="","",DATE(YEAR(A3442),MONTH(A3442),1))</f>
        <v/>
      </c>
    </row>
    <row r="3443" customFormat="false" ht="15" hidden="false" customHeight="false" outlineLevel="0" collapsed="false">
      <c r="A3443" s="21"/>
      <c r="B3443" s="4"/>
      <c r="C3443" s="22"/>
      <c r="D3443" s="5" t="str">
        <f aca="false">IF(B3443="","",IFERROR(INDEX(DE_PARA!$B$6:$B$205,MATCH(B3443,DE_PARA!$A$6:$A$205,0)),"SEM DE-PARA"))</f>
        <v/>
      </c>
      <c r="E3443" s="23" t="str">
        <f aca="false">IF(A3443="","",DATE(YEAR(A3443),MONTH(A3443),1))</f>
        <v/>
      </c>
    </row>
    <row r="3444" customFormat="false" ht="15" hidden="false" customHeight="false" outlineLevel="0" collapsed="false">
      <c r="A3444" s="21"/>
      <c r="B3444" s="4"/>
      <c r="C3444" s="22"/>
      <c r="D3444" s="5" t="str">
        <f aca="false">IF(B3444="","",IFERROR(INDEX(DE_PARA!$B$6:$B$205,MATCH(B3444,DE_PARA!$A$6:$A$205,0)),"SEM DE-PARA"))</f>
        <v/>
      </c>
      <c r="E3444" s="23" t="str">
        <f aca="false">IF(A3444="","",DATE(YEAR(A3444),MONTH(A3444),1))</f>
        <v/>
      </c>
    </row>
    <row r="3445" customFormat="false" ht="15" hidden="false" customHeight="false" outlineLevel="0" collapsed="false">
      <c r="A3445" s="21"/>
      <c r="B3445" s="4"/>
      <c r="C3445" s="22"/>
      <c r="D3445" s="5" t="str">
        <f aca="false">IF(B3445="","",IFERROR(INDEX(DE_PARA!$B$6:$B$205,MATCH(B3445,DE_PARA!$A$6:$A$205,0)),"SEM DE-PARA"))</f>
        <v/>
      </c>
      <c r="E3445" s="23" t="str">
        <f aca="false">IF(A3445="","",DATE(YEAR(A3445),MONTH(A3445),1))</f>
        <v/>
      </c>
    </row>
    <row r="3446" customFormat="false" ht="15" hidden="false" customHeight="false" outlineLevel="0" collapsed="false">
      <c r="A3446" s="21"/>
      <c r="B3446" s="4"/>
      <c r="C3446" s="22"/>
      <c r="D3446" s="5" t="str">
        <f aca="false">IF(B3446="","",IFERROR(INDEX(DE_PARA!$B$6:$B$205,MATCH(B3446,DE_PARA!$A$6:$A$205,0)),"SEM DE-PARA"))</f>
        <v/>
      </c>
      <c r="E3446" s="23" t="str">
        <f aca="false">IF(A3446="","",DATE(YEAR(A3446),MONTH(A3446),1))</f>
        <v/>
      </c>
    </row>
    <row r="3447" customFormat="false" ht="15" hidden="false" customHeight="false" outlineLevel="0" collapsed="false">
      <c r="A3447" s="21"/>
      <c r="B3447" s="4"/>
      <c r="C3447" s="22"/>
      <c r="D3447" s="5" t="str">
        <f aca="false">IF(B3447="","",IFERROR(INDEX(DE_PARA!$B$6:$B$205,MATCH(B3447,DE_PARA!$A$6:$A$205,0)),"SEM DE-PARA"))</f>
        <v/>
      </c>
      <c r="E3447" s="23" t="str">
        <f aca="false">IF(A3447="","",DATE(YEAR(A3447),MONTH(A3447),1))</f>
        <v/>
      </c>
    </row>
    <row r="3448" customFormat="false" ht="15" hidden="false" customHeight="false" outlineLevel="0" collapsed="false">
      <c r="A3448" s="21"/>
      <c r="B3448" s="4"/>
      <c r="C3448" s="22"/>
      <c r="D3448" s="5" t="str">
        <f aca="false">IF(B3448="","",IFERROR(INDEX(DE_PARA!$B$6:$B$205,MATCH(B3448,DE_PARA!$A$6:$A$205,0)),"SEM DE-PARA"))</f>
        <v/>
      </c>
      <c r="E3448" s="23" t="str">
        <f aca="false">IF(A3448="","",DATE(YEAR(A3448),MONTH(A3448),1))</f>
        <v/>
      </c>
    </row>
    <row r="3449" customFormat="false" ht="15" hidden="false" customHeight="false" outlineLevel="0" collapsed="false">
      <c r="A3449" s="21"/>
      <c r="B3449" s="4"/>
      <c r="C3449" s="22"/>
      <c r="D3449" s="5" t="str">
        <f aca="false">IF(B3449="","",IFERROR(INDEX(DE_PARA!$B$6:$B$205,MATCH(B3449,DE_PARA!$A$6:$A$205,0)),"SEM DE-PARA"))</f>
        <v/>
      </c>
      <c r="E3449" s="23" t="str">
        <f aca="false">IF(A3449="","",DATE(YEAR(A3449),MONTH(A3449),1))</f>
        <v/>
      </c>
    </row>
    <row r="3450" customFormat="false" ht="15" hidden="false" customHeight="false" outlineLevel="0" collapsed="false">
      <c r="A3450" s="21"/>
      <c r="B3450" s="4"/>
      <c r="C3450" s="22"/>
      <c r="D3450" s="5" t="str">
        <f aca="false">IF(B3450="","",IFERROR(INDEX(DE_PARA!$B$6:$B$205,MATCH(B3450,DE_PARA!$A$6:$A$205,0)),"SEM DE-PARA"))</f>
        <v/>
      </c>
      <c r="E3450" s="23" t="str">
        <f aca="false">IF(A3450="","",DATE(YEAR(A3450),MONTH(A3450),1))</f>
        <v/>
      </c>
    </row>
    <row r="3451" customFormat="false" ht="15" hidden="false" customHeight="false" outlineLevel="0" collapsed="false">
      <c r="A3451" s="21"/>
      <c r="B3451" s="4"/>
      <c r="C3451" s="22"/>
      <c r="D3451" s="5" t="str">
        <f aca="false">IF(B3451="","",IFERROR(INDEX(DE_PARA!$B$6:$B$205,MATCH(B3451,DE_PARA!$A$6:$A$205,0)),"SEM DE-PARA"))</f>
        <v/>
      </c>
      <c r="E3451" s="23" t="str">
        <f aca="false">IF(A3451="","",DATE(YEAR(A3451),MONTH(A3451),1))</f>
        <v/>
      </c>
    </row>
    <row r="3452" customFormat="false" ht="15" hidden="false" customHeight="false" outlineLevel="0" collapsed="false">
      <c r="A3452" s="21"/>
      <c r="B3452" s="4"/>
      <c r="C3452" s="22"/>
      <c r="D3452" s="5" t="str">
        <f aca="false">IF(B3452="","",IFERROR(INDEX(DE_PARA!$B$6:$B$205,MATCH(B3452,DE_PARA!$A$6:$A$205,0)),"SEM DE-PARA"))</f>
        <v/>
      </c>
      <c r="E3452" s="23" t="str">
        <f aca="false">IF(A3452="","",DATE(YEAR(A3452),MONTH(A3452),1))</f>
        <v/>
      </c>
    </row>
    <row r="3453" customFormat="false" ht="15" hidden="false" customHeight="false" outlineLevel="0" collapsed="false">
      <c r="A3453" s="21"/>
      <c r="B3453" s="4"/>
      <c r="C3453" s="22"/>
      <c r="D3453" s="5" t="str">
        <f aca="false">IF(B3453="","",IFERROR(INDEX(DE_PARA!$B$6:$B$205,MATCH(B3453,DE_PARA!$A$6:$A$205,0)),"SEM DE-PARA"))</f>
        <v/>
      </c>
      <c r="E3453" s="23" t="str">
        <f aca="false">IF(A3453="","",DATE(YEAR(A3453),MONTH(A3453),1))</f>
        <v/>
      </c>
    </row>
    <row r="3454" customFormat="false" ht="15" hidden="false" customHeight="false" outlineLevel="0" collapsed="false">
      <c r="A3454" s="21"/>
      <c r="B3454" s="4"/>
      <c r="C3454" s="22"/>
      <c r="D3454" s="5" t="str">
        <f aca="false">IF(B3454="","",IFERROR(INDEX(DE_PARA!$B$6:$B$205,MATCH(B3454,DE_PARA!$A$6:$A$205,0)),"SEM DE-PARA"))</f>
        <v/>
      </c>
      <c r="E3454" s="23" t="str">
        <f aca="false">IF(A3454="","",DATE(YEAR(A3454),MONTH(A3454),1))</f>
        <v/>
      </c>
    </row>
    <row r="3455" customFormat="false" ht="15" hidden="false" customHeight="false" outlineLevel="0" collapsed="false">
      <c r="A3455" s="21"/>
      <c r="B3455" s="4"/>
      <c r="C3455" s="22"/>
      <c r="D3455" s="5" t="str">
        <f aca="false">IF(B3455="","",IFERROR(INDEX(DE_PARA!$B$6:$B$205,MATCH(B3455,DE_PARA!$A$6:$A$205,0)),"SEM DE-PARA"))</f>
        <v/>
      </c>
      <c r="E3455" s="23" t="str">
        <f aca="false">IF(A3455="","",DATE(YEAR(A3455),MONTH(A3455),1))</f>
        <v/>
      </c>
    </row>
    <row r="3456" customFormat="false" ht="15" hidden="false" customHeight="false" outlineLevel="0" collapsed="false">
      <c r="A3456" s="21"/>
      <c r="B3456" s="4"/>
      <c r="C3456" s="22"/>
      <c r="D3456" s="5" t="str">
        <f aca="false">IF(B3456="","",IFERROR(INDEX(DE_PARA!$B$6:$B$205,MATCH(B3456,DE_PARA!$A$6:$A$205,0)),"SEM DE-PARA"))</f>
        <v/>
      </c>
      <c r="E3456" s="23" t="str">
        <f aca="false">IF(A3456="","",DATE(YEAR(A3456),MONTH(A3456),1))</f>
        <v/>
      </c>
    </row>
    <row r="3457" customFormat="false" ht="15" hidden="false" customHeight="false" outlineLevel="0" collapsed="false">
      <c r="A3457" s="21"/>
      <c r="B3457" s="4"/>
      <c r="C3457" s="22"/>
      <c r="D3457" s="5" t="str">
        <f aca="false">IF(B3457="","",IFERROR(INDEX(DE_PARA!$B$6:$B$205,MATCH(B3457,DE_PARA!$A$6:$A$205,0)),"SEM DE-PARA"))</f>
        <v/>
      </c>
      <c r="E3457" s="23" t="str">
        <f aca="false">IF(A3457="","",DATE(YEAR(A3457),MONTH(A3457),1))</f>
        <v/>
      </c>
    </row>
    <row r="3458" customFormat="false" ht="15" hidden="false" customHeight="false" outlineLevel="0" collapsed="false">
      <c r="A3458" s="21"/>
      <c r="B3458" s="4"/>
      <c r="C3458" s="22"/>
      <c r="D3458" s="5" t="str">
        <f aca="false">IF(B3458="","",IFERROR(INDEX(DE_PARA!$B$6:$B$205,MATCH(B3458,DE_PARA!$A$6:$A$205,0)),"SEM DE-PARA"))</f>
        <v/>
      </c>
      <c r="E3458" s="23" t="str">
        <f aca="false">IF(A3458="","",DATE(YEAR(A3458),MONTH(A3458),1))</f>
        <v/>
      </c>
    </row>
    <row r="3459" customFormat="false" ht="15" hidden="false" customHeight="false" outlineLevel="0" collapsed="false">
      <c r="A3459" s="21"/>
      <c r="B3459" s="4"/>
      <c r="C3459" s="22"/>
      <c r="D3459" s="5" t="str">
        <f aca="false">IF(B3459="","",IFERROR(INDEX(DE_PARA!$B$6:$B$205,MATCH(B3459,DE_PARA!$A$6:$A$205,0)),"SEM DE-PARA"))</f>
        <v/>
      </c>
      <c r="E3459" s="23" t="str">
        <f aca="false">IF(A3459="","",DATE(YEAR(A3459),MONTH(A3459),1))</f>
        <v/>
      </c>
    </row>
    <row r="3460" customFormat="false" ht="15" hidden="false" customHeight="false" outlineLevel="0" collapsed="false">
      <c r="A3460" s="21"/>
      <c r="B3460" s="4"/>
      <c r="C3460" s="22"/>
      <c r="D3460" s="5" t="str">
        <f aca="false">IF(B3460="","",IFERROR(INDEX(DE_PARA!$B$6:$B$205,MATCH(B3460,DE_PARA!$A$6:$A$205,0)),"SEM DE-PARA"))</f>
        <v/>
      </c>
      <c r="E3460" s="23" t="str">
        <f aca="false">IF(A3460="","",DATE(YEAR(A3460),MONTH(A3460),1))</f>
        <v/>
      </c>
    </row>
    <row r="3461" customFormat="false" ht="15" hidden="false" customHeight="false" outlineLevel="0" collapsed="false">
      <c r="A3461" s="21"/>
      <c r="B3461" s="4"/>
      <c r="C3461" s="22"/>
      <c r="D3461" s="5" t="str">
        <f aca="false">IF(B3461="","",IFERROR(INDEX(DE_PARA!$B$6:$B$205,MATCH(B3461,DE_PARA!$A$6:$A$205,0)),"SEM DE-PARA"))</f>
        <v/>
      </c>
      <c r="E3461" s="23" t="str">
        <f aca="false">IF(A3461="","",DATE(YEAR(A3461),MONTH(A3461),1))</f>
        <v/>
      </c>
    </row>
    <row r="3462" customFormat="false" ht="15" hidden="false" customHeight="false" outlineLevel="0" collapsed="false">
      <c r="A3462" s="21"/>
      <c r="B3462" s="4"/>
      <c r="C3462" s="22"/>
      <c r="D3462" s="5" t="str">
        <f aca="false">IF(B3462="","",IFERROR(INDEX(DE_PARA!$B$6:$B$205,MATCH(B3462,DE_PARA!$A$6:$A$205,0)),"SEM DE-PARA"))</f>
        <v/>
      </c>
      <c r="E3462" s="23" t="str">
        <f aca="false">IF(A3462="","",DATE(YEAR(A3462),MONTH(A3462),1))</f>
        <v/>
      </c>
    </row>
    <row r="3463" customFormat="false" ht="15" hidden="false" customHeight="false" outlineLevel="0" collapsed="false">
      <c r="A3463" s="21"/>
      <c r="B3463" s="4"/>
      <c r="C3463" s="22"/>
      <c r="D3463" s="5" t="str">
        <f aca="false">IF(B3463="","",IFERROR(INDEX(DE_PARA!$B$6:$B$205,MATCH(B3463,DE_PARA!$A$6:$A$205,0)),"SEM DE-PARA"))</f>
        <v/>
      </c>
      <c r="E3463" s="23" t="str">
        <f aca="false">IF(A3463="","",DATE(YEAR(A3463),MONTH(A3463),1))</f>
        <v/>
      </c>
    </row>
    <row r="3464" customFormat="false" ht="15" hidden="false" customHeight="false" outlineLevel="0" collapsed="false">
      <c r="A3464" s="21"/>
      <c r="B3464" s="4"/>
      <c r="C3464" s="22"/>
      <c r="D3464" s="5" t="str">
        <f aca="false">IF(B3464="","",IFERROR(INDEX(DE_PARA!$B$6:$B$205,MATCH(B3464,DE_PARA!$A$6:$A$205,0)),"SEM DE-PARA"))</f>
        <v/>
      </c>
      <c r="E3464" s="23" t="str">
        <f aca="false">IF(A3464="","",DATE(YEAR(A3464),MONTH(A3464),1))</f>
        <v/>
      </c>
    </row>
    <row r="3465" customFormat="false" ht="15" hidden="false" customHeight="false" outlineLevel="0" collapsed="false">
      <c r="A3465" s="21"/>
      <c r="B3465" s="4"/>
      <c r="C3465" s="22"/>
      <c r="D3465" s="5" t="str">
        <f aca="false">IF(B3465="","",IFERROR(INDEX(DE_PARA!$B$6:$B$205,MATCH(B3465,DE_PARA!$A$6:$A$205,0)),"SEM DE-PARA"))</f>
        <v/>
      </c>
      <c r="E3465" s="23" t="str">
        <f aca="false">IF(A3465="","",DATE(YEAR(A3465),MONTH(A3465),1))</f>
        <v/>
      </c>
    </row>
    <row r="3466" customFormat="false" ht="15" hidden="false" customHeight="false" outlineLevel="0" collapsed="false">
      <c r="A3466" s="21"/>
      <c r="B3466" s="4"/>
      <c r="C3466" s="22"/>
      <c r="D3466" s="5" t="str">
        <f aca="false">IF(B3466="","",IFERROR(INDEX(DE_PARA!$B$6:$B$205,MATCH(B3466,DE_PARA!$A$6:$A$205,0)),"SEM DE-PARA"))</f>
        <v/>
      </c>
      <c r="E3466" s="23" t="str">
        <f aca="false">IF(A3466="","",DATE(YEAR(A3466),MONTH(A3466),1))</f>
        <v/>
      </c>
    </row>
    <row r="3467" customFormat="false" ht="15" hidden="false" customHeight="false" outlineLevel="0" collapsed="false">
      <c r="A3467" s="21"/>
      <c r="B3467" s="4"/>
      <c r="C3467" s="22"/>
      <c r="D3467" s="5" t="str">
        <f aca="false">IF(B3467="","",IFERROR(INDEX(DE_PARA!$B$6:$B$205,MATCH(B3467,DE_PARA!$A$6:$A$205,0)),"SEM DE-PARA"))</f>
        <v/>
      </c>
      <c r="E3467" s="23" t="str">
        <f aca="false">IF(A3467="","",DATE(YEAR(A3467),MONTH(A3467),1))</f>
        <v/>
      </c>
    </row>
    <row r="3468" customFormat="false" ht="15" hidden="false" customHeight="false" outlineLevel="0" collapsed="false">
      <c r="A3468" s="21"/>
      <c r="B3468" s="4"/>
      <c r="C3468" s="22"/>
      <c r="D3468" s="5" t="str">
        <f aca="false">IF(B3468="","",IFERROR(INDEX(DE_PARA!$B$6:$B$205,MATCH(B3468,DE_PARA!$A$6:$A$205,0)),"SEM DE-PARA"))</f>
        <v/>
      </c>
      <c r="E3468" s="23" t="str">
        <f aca="false">IF(A3468="","",DATE(YEAR(A3468),MONTH(A3468),1))</f>
        <v/>
      </c>
    </row>
    <row r="3469" customFormat="false" ht="15" hidden="false" customHeight="false" outlineLevel="0" collapsed="false">
      <c r="A3469" s="21"/>
      <c r="B3469" s="4"/>
      <c r="C3469" s="22"/>
      <c r="D3469" s="5" t="str">
        <f aca="false">IF(B3469="","",IFERROR(INDEX(DE_PARA!$B$6:$B$205,MATCH(B3469,DE_PARA!$A$6:$A$205,0)),"SEM DE-PARA"))</f>
        <v/>
      </c>
      <c r="E3469" s="23" t="str">
        <f aca="false">IF(A3469="","",DATE(YEAR(A3469),MONTH(A3469),1))</f>
        <v/>
      </c>
    </row>
    <row r="3470" customFormat="false" ht="15" hidden="false" customHeight="false" outlineLevel="0" collapsed="false">
      <c r="A3470" s="21"/>
      <c r="B3470" s="4"/>
      <c r="C3470" s="22"/>
      <c r="D3470" s="5" t="str">
        <f aca="false">IF(B3470="","",IFERROR(INDEX(DE_PARA!$B$6:$B$205,MATCH(B3470,DE_PARA!$A$6:$A$205,0)),"SEM DE-PARA"))</f>
        <v/>
      </c>
      <c r="E3470" s="23" t="str">
        <f aca="false">IF(A3470="","",DATE(YEAR(A3470),MONTH(A3470),1))</f>
        <v/>
      </c>
    </row>
    <row r="3471" customFormat="false" ht="15" hidden="false" customHeight="false" outlineLevel="0" collapsed="false">
      <c r="A3471" s="21"/>
      <c r="B3471" s="4"/>
      <c r="C3471" s="22"/>
      <c r="D3471" s="5" t="str">
        <f aca="false">IF(B3471="","",IFERROR(INDEX(DE_PARA!$B$6:$B$205,MATCH(B3471,DE_PARA!$A$6:$A$205,0)),"SEM DE-PARA"))</f>
        <v/>
      </c>
      <c r="E3471" s="23" t="str">
        <f aca="false">IF(A3471="","",DATE(YEAR(A3471),MONTH(A3471),1))</f>
        <v/>
      </c>
    </row>
    <row r="3472" customFormat="false" ht="15" hidden="false" customHeight="false" outlineLevel="0" collapsed="false">
      <c r="A3472" s="21"/>
      <c r="B3472" s="4"/>
      <c r="C3472" s="22"/>
      <c r="D3472" s="5" t="str">
        <f aca="false">IF(B3472="","",IFERROR(INDEX(DE_PARA!$B$6:$B$205,MATCH(B3472,DE_PARA!$A$6:$A$205,0)),"SEM DE-PARA"))</f>
        <v/>
      </c>
      <c r="E3472" s="23" t="str">
        <f aca="false">IF(A3472="","",DATE(YEAR(A3472),MONTH(A3472),1))</f>
        <v/>
      </c>
    </row>
    <row r="3473" customFormat="false" ht="15" hidden="false" customHeight="false" outlineLevel="0" collapsed="false">
      <c r="A3473" s="21"/>
      <c r="B3473" s="4"/>
      <c r="C3473" s="22"/>
      <c r="D3473" s="5" t="str">
        <f aca="false">IF(B3473="","",IFERROR(INDEX(DE_PARA!$B$6:$B$205,MATCH(B3473,DE_PARA!$A$6:$A$205,0)),"SEM DE-PARA"))</f>
        <v/>
      </c>
      <c r="E3473" s="23" t="str">
        <f aca="false">IF(A3473="","",DATE(YEAR(A3473),MONTH(A3473),1))</f>
        <v/>
      </c>
    </row>
    <row r="3474" customFormat="false" ht="15" hidden="false" customHeight="false" outlineLevel="0" collapsed="false">
      <c r="A3474" s="21"/>
      <c r="B3474" s="4"/>
      <c r="C3474" s="22"/>
      <c r="D3474" s="5" t="str">
        <f aca="false">IF(B3474="","",IFERROR(INDEX(DE_PARA!$B$6:$B$205,MATCH(B3474,DE_PARA!$A$6:$A$205,0)),"SEM DE-PARA"))</f>
        <v/>
      </c>
      <c r="E3474" s="23" t="str">
        <f aca="false">IF(A3474="","",DATE(YEAR(A3474),MONTH(A3474),1))</f>
        <v/>
      </c>
    </row>
    <row r="3475" customFormat="false" ht="15" hidden="false" customHeight="false" outlineLevel="0" collapsed="false">
      <c r="A3475" s="21"/>
      <c r="B3475" s="4"/>
      <c r="C3475" s="22"/>
      <c r="D3475" s="5" t="str">
        <f aca="false">IF(B3475="","",IFERROR(INDEX(DE_PARA!$B$6:$B$205,MATCH(B3475,DE_PARA!$A$6:$A$205,0)),"SEM DE-PARA"))</f>
        <v/>
      </c>
      <c r="E3475" s="23" t="str">
        <f aca="false">IF(A3475="","",DATE(YEAR(A3475),MONTH(A3475),1))</f>
        <v/>
      </c>
    </row>
    <row r="3476" customFormat="false" ht="15" hidden="false" customHeight="false" outlineLevel="0" collapsed="false">
      <c r="A3476" s="21"/>
      <c r="B3476" s="4"/>
      <c r="C3476" s="22"/>
      <c r="D3476" s="5" t="str">
        <f aca="false">IF(B3476="","",IFERROR(INDEX(DE_PARA!$B$6:$B$205,MATCH(B3476,DE_PARA!$A$6:$A$205,0)),"SEM DE-PARA"))</f>
        <v/>
      </c>
      <c r="E3476" s="23" t="str">
        <f aca="false">IF(A3476="","",DATE(YEAR(A3476),MONTH(A3476),1))</f>
        <v/>
      </c>
    </row>
    <row r="3477" customFormat="false" ht="15" hidden="false" customHeight="false" outlineLevel="0" collapsed="false">
      <c r="A3477" s="21"/>
      <c r="B3477" s="4"/>
      <c r="C3477" s="22"/>
      <c r="D3477" s="5" t="str">
        <f aca="false">IF(B3477="","",IFERROR(INDEX(DE_PARA!$B$6:$B$205,MATCH(B3477,DE_PARA!$A$6:$A$205,0)),"SEM DE-PARA"))</f>
        <v/>
      </c>
      <c r="E3477" s="23" t="str">
        <f aca="false">IF(A3477="","",DATE(YEAR(A3477),MONTH(A3477),1))</f>
        <v/>
      </c>
    </row>
    <row r="3478" customFormat="false" ht="15" hidden="false" customHeight="false" outlineLevel="0" collapsed="false">
      <c r="A3478" s="21"/>
      <c r="B3478" s="4"/>
      <c r="C3478" s="22"/>
      <c r="D3478" s="5" t="str">
        <f aca="false">IF(B3478="","",IFERROR(INDEX(DE_PARA!$B$6:$B$205,MATCH(B3478,DE_PARA!$A$6:$A$205,0)),"SEM DE-PARA"))</f>
        <v/>
      </c>
      <c r="E3478" s="23" t="str">
        <f aca="false">IF(A3478="","",DATE(YEAR(A3478),MONTH(A3478),1))</f>
        <v/>
      </c>
    </row>
    <row r="3479" customFormat="false" ht="15" hidden="false" customHeight="false" outlineLevel="0" collapsed="false">
      <c r="A3479" s="21"/>
      <c r="B3479" s="4"/>
      <c r="C3479" s="22"/>
      <c r="D3479" s="5" t="str">
        <f aca="false">IF(B3479="","",IFERROR(INDEX(DE_PARA!$B$6:$B$205,MATCH(B3479,DE_PARA!$A$6:$A$205,0)),"SEM DE-PARA"))</f>
        <v/>
      </c>
      <c r="E3479" s="23" t="str">
        <f aca="false">IF(A3479="","",DATE(YEAR(A3479),MONTH(A3479),1))</f>
        <v/>
      </c>
    </row>
    <row r="3480" customFormat="false" ht="15" hidden="false" customHeight="false" outlineLevel="0" collapsed="false">
      <c r="A3480" s="21"/>
      <c r="B3480" s="4"/>
      <c r="C3480" s="22"/>
      <c r="D3480" s="5" t="str">
        <f aca="false">IF(B3480="","",IFERROR(INDEX(DE_PARA!$B$6:$B$205,MATCH(B3480,DE_PARA!$A$6:$A$205,0)),"SEM DE-PARA"))</f>
        <v/>
      </c>
      <c r="E3480" s="23" t="str">
        <f aca="false">IF(A3480="","",DATE(YEAR(A3480),MONTH(A3480),1))</f>
        <v/>
      </c>
    </row>
    <row r="3481" customFormat="false" ht="15" hidden="false" customHeight="false" outlineLevel="0" collapsed="false">
      <c r="A3481" s="21"/>
      <c r="B3481" s="4"/>
      <c r="C3481" s="22"/>
      <c r="D3481" s="5" t="str">
        <f aca="false">IF(B3481="","",IFERROR(INDEX(DE_PARA!$B$6:$B$205,MATCH(B3481,DE_PARA!$A$6:$A$205,0)),"SEM DE-PARA"))</f>
        <v/>
      </c>
      <c r="E3481" s="23" t="str">
        <f aca="false">IF(A3481="","",DATE(YEAR(A3481),MONTH(A3481),1))</f>
        <v/>
      </c>
    </row>
    <row r="3482" customFormat="false" ht="15" hidden="false" customHeight="false" outlineLevel="0" collapsed="false">
      <c r="A3482" s="21"/>
      <c r="B3482" s="4"/>
      <c r="C3482" s="22"/>
      <c r="D3482" s="5" t="str">
        <f aca="false">IF(B3482="","",IFERROR(INDEX(DE_PARA!$B$6:$B$205,MATCH(B3482,DE_PARA!$A$6:$A$205,0)),"SEM DE-PARA"))</f>
        <v/>
      </c>
      <c r="E3482" s="23" t="str">
        <f aca="false">IF(A3482="","",DATE(YEAR(A3482),MONTH(A3482),1))</f>
        <v/>
      </c>
    </row>
    <row r="3483" customFormat="false" ht="15" hidden="false" customHeight="false" outlineLevel="0" collapsed="false">
      <c r="A3483" s="21"/>
      <c r="B3483" s="4"/>
      <c r="C3483" s="22"/>
      <c r="D3483" s="5" t="str">
        <f aca="false">IF(B3483="","",IFERROR(INDEX(DE_PARA!$B$6:$B$205,MATCH(B3483,DE_PARA!$A$6:$A$205,0)),"SEM DE-PARA"))</f>
        <v/>
      </c>
      <c r="E3483" s="23" t="str">
        <f aca="false">IF(A3483="","",DATE(YEAR(A3483),MONTH(A3483),1))</f>
        <v/>
      </c>
    </row>
    <row r="3484" customFormat="false" ht="15" hidden="false" customHeight="false" outlineLevel="0" collapsed="false">
      <c r="A3484" s="21"/>
      <c r="B3484" s="4"/>
      <c r="C3484" s="22"/>
      <c r="D3484" s="5" t="str">
        <f aca="false">IF(B3484="","",IFERROR(INDEX(DE_PARA!$B$6:$B$205,MATCH(B3484,DE_PARA!$A$6:$A$205,0)),"SEM DE-PARA"))</f>
        <v/>
      </c>
      <c r="E3484" s="23" t="str">
        <f aca="false">IF(A3484="","",DATE(YEAR(A3484),MONTH(A3484),1))</f>
        <v/>
      </c>
    </row>
    <row r="3485" customFormat="false" ht="15" hidden="false" customHeight="false" outlineLevel="0" collapsed="false">
      <c r="A3485" s="21"/>
      <c r="B3485" s="4"/>
      <c r="C3485" s="22"/>
      <c r="D3485" s="5" t="str">
        <f aca="false">IF(B3485="","",IFERROR(INDEX(DE_PARA!$B$6:$B$205,MATCH(B3485,DE_PARA!$A$6:$A$205,0)),"SEM DE-PARA"))</f>
        <v/>
      </c>
      <c r="E3485" s="23" t="str">
        <f aca="false">IF(A3485="","",DATE(YEAR(A3485),MONTH(A3485),1))</f>
        <v/>
      </c>
    </row>
    <row r="3486" customFormat="false" ht="15" hidden="false" customHeight="false" outlineLevel="0" collapsed="false">
      <c r="A3486" s="21"/>
      <c r="B3486" s="4"/>
      <c r="C3486" s="22"/>
      <c r="D3486" s="5" t="str">
        <f aca="false">IF(B3486="","",IFERROR(INDEX(DE_PARA!$B$6:$B$205,MATCH(B3486,DE_PARA!$A$6:$A$205,0)),"SEM DE-PARA"))</f>
        <v/>
      </c>
      <c r="E3486" s="23" t="str">
        <f aca="false">IF(A3486="","",DATE(YEAR(A3486),MONTH(A3486),1))</f>
        <v/>
      </c>
    </row>
    <row r="3487" customFormat="false" ht="15" hidden="false" customHeight="false" outlineLevel="0" collapsed="false">
      <c r="A3487" s="21"/>
      <c r="B3487" s="4"/>
      <c r="C3487" s="22"/>
      <c r="D3487" s="5" t="str">
        <f aca="false">IF(B3487="","",IFERROR(INDEX(DE_PARA!$B$6:$B$205,MATCH(B3487,DE_PARA!$A$6:$A$205,0)),"SEM DE-PARA"))</f>
        <v/>
      </c>
      <c r="E3487" s="23" t="str">
        <f aca="false">IF(A3487="","",DATE(YEAR(A3487),MONTH(A3487),1))</f>
        <v/>
      </c>
    </row>
    <row r="3488" customFormat="false" ht="15" hidden="false" customHeight="false" outlineLevel="0" collapsed="false">
      <c r="A3488" s="21"/>
      <c r="B3488" s="4"/>
      <c r="C3488" s="22"/>
      <c r="D3488" s="5" t="str">
        <f aca="false">IF(B3488="","",IFERROR(INDEX(DE_PARA!$B$6:$B$205,MATCH(B3488,DE_PARA!$A$6:$A$205,0)),"SEM DE-PARA"))</f>
        <v/>
      </c>
      <c r="E3488" s="23" t="str">
        <f aca="false">IF(A3488="","",DATE(YEAR(A3488),MONTH(A3488),1))</f>
        <v/>
      </c>
    </row>
    <row r="3489" customFormat="false" ht="15" hidden="false" customHeight="false" outlineLevel="0" collapsed="false">
      <c r="A3489" s="21"/>
      <c r="B3489" s="4"/>
      <c r="C3489" s="22"/>
      <c r="D3489" s="5" t="str">
        <f aca="false">IF(B3489="","",IFERROR(INDEX(DE_PARA!$B$6:$B$205,MATCH(B3489,DE_PARA!$A$6:$A$205,0)),"SEM DE-PARA"))</f>
        <v/>
      </c>
      <c r="E3489" s="23" t="str">
        <f aca="false">IF(A3489="","",DATE(YEAR(A3489),MONTH(A3489),1))</f>
        <v/>
      </c>
    </row>
    <row r="3490" customFormat="false" ht="15" hidden="false" customHeight="false" outlineLevel="0" collapsed="false">
      <c r="A3490" s="21"/>
      <c r="B3490" s="4"/>
      <c r="C3490" s="22"/>
      <c r="D3490" s="5" t="str">
        <f aca="false">IF(B3490="","",IFERROR(INDEX(DE_PARA!$B$6:$B$205,MATCH(B3490,DE_PARA!$A$6:$A$205,0)),"SEM DE-PARA"))</f>
        <v/>
      </c>
      <c r="E3490" s="23" t="str">
        <f aca="false">IF(A3490="","",DATE(YEAR(A3490),MONTH(A3490),1))</f>
        <v/>
      </c>
    </row>
    <row r="3491" customFormat="false" ht="15" hidden="false" customHeight="false" outlineLevel="0" collapsed="false">
      <c r="A3491" s="21"/>
      <c r="B3491" s="4"/>
      <c r="C3491" s="22"/>
      <c r="D3491" s="5" t="str">
        <f aca="false">IF(B3491="","",IFERROR(INDEX(DE_PARA!$B$6:$B$205,MATCH(B3491,DE_PARA!$A$6:$A$205,0)),"SEM DE-PARA"))</f>
        <v/>
      </c>
      <c r="E3491" s="23" t="str">
        <f aca="false">IF(A3491="","",DATE(YEAR(A3491),MONTH(A3491),1))</f>
        <v/>
      </c>
    </row>
    <row r="3492" customFormat="false" ht="15" hidden="false" customHeight="false" outlineLevel="0" collapsed="false">
      <c r="A3492" s="21"/>
      <c r="B3492" s="4"/>
      <c r="C3492" s="22"/>
      <c r="D3492" s="5" t="str">
        <f aca="false">IF(B3492="","",IFERROR(INDEX(DE_PARA!$B$6:$B$205,MATCH(B3492,DE_PARA!$A$6:$A$205,0)),"SEM DE-PARA"))</f>
        <v/>
      </c>
      <c r="E3492" s="23" t="str">
        <f aca="false">IF(A3492="","",DATE(YEAR(A3492),MONTH(A3492),1))</f>
        <v/>
      </c>
    </row>
    <row r="3493" customFormat="false" ht="15" hidden="false" customHeight="false" outlineLevel="0" collapsed="false">
      <c r="A3493" s="21"/>
      <c r="B3493" s="4"/>
      <c r="C3493" s="22"/>
      <c r="D3493" s="5" t="str">
        <f aca="false">IF(B3493="","",IFERROR(INDEX(DE_PARA!$B$6:$B$205,MATCH(B3493,DE_PARA!$A$6:$A$205,0)),"SEM DE-PARA"))</f>
        <v/>
      </c>
      <c r="E3493" s="23" t="str">
        <f aca="false">IF(A3493="","",DATE(YEAR(A3493),MONTH(A3493),1))</f>
        <v/>
      </c>
    </row>
    <row r="3494" customFormat="false" ht="15" hidden="false" customHeight="false" outlineLevel="0" collapsed="false">
      <c r="A3494" s="21"/>
      <c r="B3494" s="4"/>
      <c r="C3494" s="22"/>
      <c r="D3494" s="5" t="str">
        <f aca="false">IF(B3494="","",IFERROR(INDEX(DE_PARA!$B$6:$B$205,MATCH(B3494,DE_PARA!$A$6:$A$205,0)),"SEM DE-PARA"))</f>
        <v/>
      </c>
      <c r="E3494" s="23" t="str">
        <f aca="false">IF(A3494="","",DATE(YEAR(A3494),MONTH(A3494),1))</f>
        <v/>
      </c>
    </row>
    <row r="3495" customFormat="false" ht="15" hidden="false" customHeight="false" outlineLevel="0" collapsed="false">
      <c r="A3495" s="21"/>
      <c r="B3495" s="4"/>
      <c r="C3495" s="22"/>
      <c r="D3495" s="5" t="str">
        <f aca="false">IF(B3495="","",IFERROR(INDEX(DE_PARA!$B$6:$B$205,MATCH(B3495,DE_PARA!$A$6:$A$205,0)),"SEM DE-PARA"))</f>
        <v/>
      </c>
      <c r="E3495" s="23" t="str">
        <f aca="false">IF(A3495="","",DATE(YEAR(A3495),MONTH(A3495),1))</f>
        <v/>
      </c>
    </row>
    <row r="3496" customFormat="false" ht="15" hidden="false" customHeight="false" outlineLevel="0" collapsed="false">
      <c r="A3496" s="21"/>
      <c r="B3496" s="4"/>
      <c r="C3496" s="22"/>
      <c r="D3496" s="5" t="str">
        <f aca="false">IF(B3496="","",IFERROR(INDEX(DE_PARA!$B$6:$B$205,MATCH(B3496,DE_PARA!$A$6:$A$205,0)),"SEM DE-PARA"))</f>
        <v/>
      </c>
      <c r="E3496" s="23" t="str">
        <f aca="false">IF(A3496="","",DATE(YEAR(A3496),MONTH(A3496),1))</f>
        <v/>
      </c>
    </row>
    <row r="3497" customFormat="false" ht="15" hidden="false" customHeight="false" outlineLevel="0" collapsed="false">
      <c r="A3497" s="21"/>
      <c r="B3497" s="4"/>
      <c r="C3497" s="22"/>
      <c r="D3497" s="5" t="str">
        <f aca="false">IF(B3497="","",IFERROR(INDEX(DE_PARA!$B$6:$B$205,MATCH(B3497,DE_PARA!$A$6:$A$205,0)),"SEM DE-PARA"))</f>
        <v/>
      </c>
      <c r="E3497" s="23" t="str">
        <f aca="false">IF(A3497="","",DATE(YEAR(A3497),MONTH(A3497),1))</f>
        <v/>
      </c>
    </row>
    <row r="3498" customFormat="false" ht="15" hidden="false" customHeight="false" outlineLevel="0" collapsed="false">
      <c r="A3498" s="21"/>
      <c r="B3498" s="4"/>
      <c r="C3498" s="22"/>
      <c r="D3498" s="5" t="str">
        <f aca="false">IF(B3498="","",IFERROR(INDEX(DE_PARA!$B$6:$B$205,MATCH(B3498,DE_PARA!$A$6:$A$205,0)),"SEM DE-PARA"))</f>
        <v/>
      </c>
      <c r="E3498" s="23" t="str">
        <f aca="false">IF(A3498="","",DATE(YEAR(A3498),MONTH(A3498),1))</f>
        <v/>
      </c>
    </row>
    <row r="3499" customFormat="false" ht="15" hidden="false" customHeight="false" outlineLevel="0" collapsed="false">
      <c r="A3499" s="21"/>
      <c r="B3499" s="4"/>
      <c r="C3499" s="22"/>
      <c r="D3499" s="5" t="str">
        <f aca="false">IF(B3499="","",IFERROR(INDEX(DE_PARA!$B$6:$B$205,MATCH(B3499,DE_PARA!$A$6:$A$205,0)),"SEM DE-PARA"))</f>
        <v/>
      </c>
      <c r="E3499" s="23" t="str">
        <f aca="false">IF(A3499="","",DATE(YEAR(A3499),MONTH(A3499),1))</f>
        <v/>
      </c>
    </row>
    <row r="3500" customFormat="false" ht="15" hidden="false" customHeight="false" outlineLevel="0" collapsed="false">
      <c r="A3500" s="21"/>
      <c r="B3500" s="4"/>
      <c r="C3500" s="22"/>
      <c r="D3500" s="5" t="str">
        <f aca="false">IF(B3500="","",IFERROR(INDEX(DE_PARA!$B$6:$B$205,MATCH(B3500,DE_PARA!$A$6:$A$205,0)),"SEM DE-PARA"))</f>
        <v/>
      </c>
      <c r="E3500" s="23" t="str">
        <f aca="false">IF(A3500="","",DATE(YEAR(A3500),MONTH(A3500),1))</f>
        <v/>
      </c>
    </row>
    <row r="3501" customFormat="false" ht="15" hidden="false" customHeight="false" outlineLevel="0" collapsed="false">
      <c r="A3501" s="21"/>
      <c r="B3501" s="4"/>
      <c r="C3501" s="22"/>
      <c r="D3501" s="5" t="str">
        <f aca="false">IF(B3501="","",IFERROR(INDEX(DE_PARA!$B$6:$B$205,MATCH(B3501,DE_PARA!$A$6:$A$205,0)),"SEM DE-PARA"))</f>
        <v/>
      </c>
      <c r="E3501" s="23" t="str">
        <f aca="false">IF(A3501="","",DATE(YEAR(A3501),MONTH(A3501),1))</f>
        <v/>
      </c>
    </row>
    <row r="3502" customFormat="false" ht="15" hidden="false" customHeight="false" outlineLevel="0" collapsed="false">
      <c r="A3502" s="21"/>
      <c r="B3502" s="4"/>
      <c r="C3502" s="22"/>
      <c r="D3502" s="5" t="str">
        <f aca="false">IF(B3502="","",IFERROR(INDEX(DE_PARA!$B$6:$B$205,MATCH(B3502,DE_PARA!$A$6:$A$205,0)),"SEM DE-PARA"))</f>
        <v/>
      </c>
      <c r="E3502" s="23" t="str">
        <f aca="false">IF(A3502="","",DATE(YEAR(A3502),MONTH(A3502),1))</f>
        <v/>
      </c>
    </row>
    <row r="3503" customFormat="false" ht="15" hidden="false" customHeight="false" outlineLevel="0" collapsed="false">
      <c r="A3503" s="21"/>
      <c r="B3503" s="4"/>
      <c r="C3503" s="22"/>
      <c r="D3503" s="5" t="str">
        <f aca="false">IF(B3503="","",IFERROR(INDEX(DE_PARA!$B$6:$B$205,MATCH(B3503,DE_PARA!$A$6:$A$205,0)),"SEM DE-PARA"))</f>
        <v/>
      </c>
      <c r="E3503" s="23" t="str">
        <f aca="false">IF(A3503="","",DATE(YEAR(A3503),MONTH(A3503),1))</f>
        <v/>
      </c>
    </row>
    <row r="3504" customFormat="false" ht="15" hidden="false" customHeight="false" outlineLevel="0" collapsed="false">
      <c r="A3504" s="21"/>
      <c r="B3504" s="4"/>
      <c r="C3504" s="22"/>
      <c r="D3504" s="5" t="str">
        <f aca="false">IF(B3504="","",IFERROR(INDEX(DE_PARA!$B$6:$B$205,MATCH(B3504,DE_PARA!$A$6:$A$205,0)),"SEM DE-PARA"))</f>
        <v/>
      </c>
      <c r="E3504" s="23" t="str">
        <f aca="false">IF(A3504="","",DATE(YEAR(A3504),MONTH(A3504),1))</f>
        <v/>
      </c>
    </row>
    <row r="3505" customFormat="false" ht="15" hidden="false" customHeight="false" outlineLevel="0" collapsed="false">
      <c r="A3505" s="21"/>
      <c r="B3505" s="4"/>
      <c r="C3505" s="22"/>
      <c r="D3505" s="5" t="str">
        <f aca="false">IF(B3505="","",IFERROR(INDEX(DE_PARA!$B$6:$B$205,MATCH(B3505,DE_PARA!$A$6:$A$205,0)),"SEM DE-PARA"))</f>
        <v/>
      </c>
      <c r="E3505" s="23" t="str">
        <f aca="false">IF(A3505="","",DATE(YEAR(A3505),MONTH(A3505),1))</f>
        <v/>
      </c>
    </row>
    <row r="3506" customFormat="false" ht="15" hidden="false" customHeight="false" outlineLevel="0" collapsed="false">
      <c r="A3506" s="21"/>
      <c r="B3506" s="4"/>
      <c r="C3506" s="22"/>
      <c r="D3506" s="5" t="str">
        <f aca="false">IF(B3506="","",IFERROR(INDEX(DE_PARA!$B$6:$B$205,MATCH(B3506,DE_PARA!$A$6:$A$205,0)),"SEM DE-PARA"))</f>
        <v/>
      </c>
      <c r="E3506" s="23" t="str">
        <f aca="false">IF(A3506="","",DATE(YEAR(A3506),MONTH(A3506),1))</f>
        <v/>
      </c>
    </row>
    <row r="3507" customFormat="false" ht="15" hidden="false" customHeight="false" outlineLevel="0" collapsed="false">
      <c r="A3507" s="21"/>
      <c r="B3507" s="4"/>
      <c r="C3507" s="22"/>
      <c r="D3507" s="5" t="str">
        <f aca="false">IF(B3507="","",IFERROR(INDEX(DE_PARA!$B$6:$B$205,MATCH(B3507,DE_PARA!$A$6:$A$205,0)),"SEM DE-PARA"))</f>
        <v/>
      </c>
      <c r="E3507" s="23" t="str">
        <f aca="false">IF(A3507="","",DATE(YEAR(A3507),MONTH(A3507),1))</f>
        <v/>
      </c>
    </row>
    <row r="3508" customFormat="false" ht="15" hidden="false" customHeight="false" outlineLevel="0" collapsed="false">
      <c r="A3508" s="21"/>
      <c r="B3508" s="4"/>
      <c r="C3508" s="22"/>
      <c r="D3508" s="5" t="str">
        <f aca="false">IF(B3508="","",IFERROR(INDEX(DE_PARA!$B$6:$B$205,MATCH(B3508,DE_PARA!$A$6:$A$205,0)),"SEM DE-PARA"))</f>
        <v/>
      </c>
      <c r="E3508" s="23" t="str">
        <f aca="false">IF(A3508="","",DATE(YEAR(A3508),MONTH(A3508),1))</f>
        <v/>
      </c>
    </row>
    <row r="3509" customFormat="false" ht="15" hidden="false" customHeight="false" outlineLevel="0" collapsed="false">
      <c r="A3509" s="21"/>
      <c r="B3509" s="4"/>
      <c r="C3509" s="22"/>
      <c r="D3509" s="5" t="str">
        <f aca="false">IF(B3509="","",IFERROR(INDEX(DE_PARA!$B$6:$B$205,MATCH(B3509,DE_PARA!$A$6:$A$205,0)),"SEM DE-PARA"))</f>
        <v/>
      </c>
      <c r="E3509" s="23" t="str">
        <f aca="false">IF(A3509="","",DATE(YEAR(A3509),MONTH(A3509),1))</f>
        <v/>
      </c>
    </row>
    <row r="3510" customFormat="false" ht="15" hidden="false" customHeight="false" outlineLevel="0" collapsed="false">
      <c r="A3510" s="21"/>
      <c r="B3510" s="4"/>
      <c r="C3510" s="22"/>
      <c r="D3510" s="5" t="str">
        <f aca="false">IF(B3510="","",IFERROR(INDEX(DE_PARA!$B$6:$B$205,MATCH(B3510,DE_PARA!$A$6:$A$205,0)),"SEM DE-PARA"))</f>
        <v/>
      </c>
      <c r="E3510" s="23" t="str">
        <f aca="false">IF(A3510="","",DATE(YEAR(A3510),MONTH(A3510),1))</f>
        <v/>
      </c>
    </row>
    <row r="3511" customFormat="false" ht="15" hidden="false" customHeight="false" outlineLevel="0" collapsed="false">
      <c r="A3511" s="21"/>
      <c r="B3511" s="4"/>
      <c r="C3511" s="22"/>
      <c r="D3511" s="5" t="str">
        <f aca="false">IF(B3511="","",IFERROR(INDEX(DE_PARA!$B$6:$B$205,MATCH(B3511,DE_PARA!$A$6:$A$205,0)),"SEM DE-PARA"))</f>
        <v/>
      </c>
      <c r="E3511" s="23" t="str">
        <f aca="false">IF(A3511="","",DATE(YEAR(A3511),MONTH(A3511),1))</f>
        <v/>
      </c>
    </row>
    <row r="3512" customFormat="false" ht="15" hidden="false" customHeight="false" outlineLevel="0" collapsed="false">
      <c r="A3512" s="21"/>
      <c r="B3512" s="4"/>
      <c r="C3512" s="22"/>
      <c r="D3512" s="5" t="str">
        <f aca="false">IF(B3512="","",IFERROR(INDEX(DE_PARA!$B$6:$B$205,MATCH(B3512,DE_PARA!$A$6:$A$205,0)),"SEM DE-PARA"))</f>
        <v/>
      </c>
      <c r="E3512" s="23" t="str">
        <f aca="false">IF(A3512="","",DATE(YEAR(A3512),MONTH(A3512),1))</f>
        <v/>
      </c>
    </row>
    <row r="3513" customFormat="false" ht="15" hidden="false" customHeight="false" outlineLevel="0" collapsed="false">
      <c r="A3513" s="21"/>
      <c r="B3513" s="4"/>
      <c r="C3513" s="22"/>
      <c r="D3513" s="5" t="str">
        <f aca="false">IF(B3513="","",IFERROR(INDEX(DE_PARA!$B$6:$B$205,MATCH(B3513,DE_PARA!$A$6:$A$205,0)),"SEM DE-PARA"))</f>
        <v/>
      </c>
      <c r="E3513" s="23" t="str">
        <f aca="false">IF(A3513="","",DATE(YEAR(A3513),MONTH(A3513),1))</f>
        <v/>
      </c>
    </row>
    <row r="3514" customFormat="false" ht="15" hidden="false" customHeight="false" outlineLevel="0" collapsed="false">
      <c r="A3514" s="21"/>
      <c r="B3514" s="4"/>
      <c r="C3514" s="22"/>
      <c r="D3514" s="5" t="str">
        <f aca="false">IF(B3514="","",IFERROR(INDEX(DE_PARA!$B$6:$B$205,MATCH(B3514,DE_PARA!$A$6:$A$205,0)),"SEM DE-PARA"))</f>
        <v/>
      </c>
      <c r="E3514" s="23" t="str">
        <f aca="false">IF(A3514="","",DATE(YEAR(A3514),MONTH(A3514),1))</f>
        <v/>
      </c>
    </row>
    <row r="3515" customFormat="false" ht="15" hidden="false" customHeight="false" outlineLevel="0" collapsed="false">
      <c r="A3515" s="21"/>
      <c r="B3515" s="4"/>
      <c r="C3515" s="22"/>
      <c r="D3515" s="5" t="str">
        <f aca="false">IF(B3515="","",IFERROR(INDEX(DE_PARA!$B$6:$B$205,MATCH(B3515,DE_PARA!$A$6:$A$205,0)),"SEM DE-PARA"))</f>
        <v/>
      </c>
      <c r="E3515" s="23" t="str">
        <f aca="false">IF(A3515="","",DATE(YEAR(A3515),MONTH(A3515),1))</f>
        <v/>
      </c>
    </row>
    <row r="3516" customFormat="false" ht="15" hidden="false" customHeight="false" outlineLevel="0" collapsed="false">
      <c r="A3516" s="21"/>
      <c r="B3516" s="4"/>
      <c r="C3516" s="22"/>
      <c r="D3516" s="5" t="str">
        <f aca="false">IF(B3516="","",IFERROR(INDEX(DE_PARA!$B$6:$B$205,MATCH(B3516,DE_PARA!$A$6:$A$205,0)),"SEM DE-PARA"))</f>
        <v/>
      </c>
      <c r="E3516" s="23" t="str">
        <f aca="false">IF(A3516="","",DATE(YEAR(A3516),MONTH(A3516),1))</f>
        <v/>
      </c>
    </row>
    <row r="3517" customFormat="false" ht="15" hidden="false" customHeight="false" outlineLevel="0" collapsed="false">
      <c r="A3517" s="21"/>
      <c r="B3517" s="4"/>
      <c r="C3517" s="22"/>
      <c r="D3517" s="5" t="str">
        <f aca="false">IF(B3517="","",IFERROR(INDEX(DE_PARA!$B$6:$B$205,MATCH(B3517,DE_PARA!$A$6:$A$205,0)),"SEM DE-PARA"))</f>
        <v/>
      </c>
      <c r="E3517" s="23" t="str">
        <f aca="false">IF(A3517="","",DATE(YEAR(A3517),MONTH(A3517),1))</f>
        <v/>
      </c>
    </row>
    <row r="3518" customFormat="false" ht="15" hidden="false" customHeight="false" outlineLevel="0" collapsed="false">
      <c r="A3518" s="21"/>
      <c r="B3518" s="4"/>
      <c r="C3518" s="22"/>
      <c r="D3518" s="5" t="str">
        <f aca="false">IF(B3518="","",IFERROR(INDEX(DE_PARA!$B$6:$B$205,MATCH(B3518,DE_PARA!$A$6:$A$205,0)),"SEM DE-PARA"))</f>
        <v/>
      </c>
      <c r="E3518" s="23" t="str">
        <f aca="false">IF(A3518="","",DATE(YEAR(A3518),MONTH(A3518),1))</f>
        <v/>
      </c>
    </row>
    <row r="3519" customFormat="false" ht="15" hidden="false" customHeight="false" outlineLevel="0" collapsed="false">
      <c r="A3519" s="21"/>
      <c r="B3519" s="4"/>
      <c r="C3519" s="22"/>
      <c r="D3519" s="5" t="str">
        <f aca="false">IF(B3519="","",IFERROR(INDEX(DE_PARA!$B$6:$B$205,MATCH(B3519,DE_PARA!$A$6:$A$205,0)),"SEM DE-PARA"))</f>
        <v/>
      </c>
      <c r="E3519" s="23" t="str">
        <f aca="false">IF(A3519="","",DATE(YEAR(A3519),MONTH(A3519),1))</f>
        <v/>
      </c>
    </row>
    <row r="3520" customFormat="false" ht="15" hidden="false" customHeight="false" outlineLevel="0" collapsed="false">
      <c r="A3520" s="21"/>
      <c r="B3520" s="4"/>
      <c r="C3520" s="22"/>
      <c r="D3520" s="5" t="str">
        <f aca="false">IF(B3520="","",IFERROR(INDEX(DE_PARA!$B$6:$B$205,MATCH(B3520,DE_PARA!$A$6:$A$205,0)),"SEM DE-PARA"))</f>
        <v/>
      </c>
      <c r="E3520" s="23" t="str">
        <f aca="false">IF(A3520="","",DATE(YEAR(A3520),MONTH(A3520),1))</f>
        <v/>
      </c>
    </row>
    <row r="3521" customFormat="false" ht="15" hidden="false" customHeight="false" outlineLevel="0" collapsed="false">
      <c r="A3521" s="21"/>
      <c r="B3521" s="4"/>
      <c r="C3521" s="22"/>
      <c r="D3521" s="5" t="str">
        <f aca="false">IF(B3521="","",IFERROR(INDEX(DE_PARA!$B$6:$B$205,MATCH(B3521,DE_PARA!$A$6:$A$205,0)),"SEM DE-PARA"))</f>
        <v/>
      </c>
      <c r="E3521" s="23" t="str">
        <f aca="false">IF(A3521="","",DATE(YEAR(A3521),MONTH(A3521),1))</f>
        <v/>
      </c>
    </row>
    <row r="3522" customFormat="false" ht="15" hidden="false" customHeight="false" outlineLevel="0" collapsed="false">
      <c r="A3522" s="21"/>
      <c r="B3522" s="4"/>
      <c r="C3522" s="22"/>
      <c r="D3522" s="5" t="str">
        <f aca="false">IF(B3522="","",IFERROR(INDEX(DE_PARA!$B$6:$B$205,MATCH(B3522,DE_PARA!$A$6:$A$205,0)),"SEM DE-PARA"))</f>
        <v/>
      </c>
      <c r="E3522" s="23" t="str">
        <f aca="false">IF(A3522="","",DATE(YEAR(A3522),MONTH(A3522),1))</f>
        <v/>
      </c>
    </row>
    <row r="3523" customFormat="false" ht="15" hidden="false" customHeight="false" outlineLevel="0" collapsed="false">
      <c r="A3523" s="21"/>
      <c r="B3523" s="4"/>
      <c r="C3523" s="22"/>
      <c r="D3523" s="5" t="str">
        <f aca="false">IF(B3523="","",IFERROR(INDEX(DE_PARA!$B$6:$B$205,MATCH(B3523,DE_PARA!$A$6:$A$205,0)),"SEM DE-PARA"))</f>
        <v/>
      </c>
      <c r="E3523" s="23" t="str">
        <f aca="false">IF(A3523="","",DATE(YEAR(A3523),MONTH(A3523),1))</f>
        <v/>
      </c>
    </row>
    <row r="3524" customFormat="false" ht="15" hidden="false" customHeight="false" outlineLevel="0" collapsed="false">
      <c r="A3524" s="21"/>
      <c r="B3524" s="4"/>
      <c r="C3524" s="22"/>
      <c r="D3524" s="5" t="str">
        <f aca="false">IF(B3524="","",IFERROR(INDEX(DE_PARA!$B$6:$B$205,MATCH(B3524,DE_PARA!$A$6:$A$205,0)),"SEM DE-PARA"))</f>
        <v/>
      </c>
      <c r="E3524" s="23" t="str">
        <f aca="false">IF(A3524="","",DATE(YEAR(A3524),MONTH(A3524),1))</f>
        <v/>
      </c>
    </row>
    <row r="3525" customFormat="false" ht="15" hidden="false" customHeight="false" outlineLevel="0" collapsed="false">
      <c r="A3525" s="21"/>
      <c r="B3525" s="4"/>
      <c r="C3525" s="22"/>
      <c r="D3525" s="5" t="str">
        <f aca="false">IF(B3525="","",IFERROR(INDEX(DE_PARA!$B$6:$B$205,MATCH(B3525,DE_PARA!$A$6:$A$205,0)),"SEM DE-PARA"))</f>
        <v/>
      </c>
      <c r="E3525" s="23" t="str">
        <f aca="false">IF(A3525="","",DATE(YEAR(A3525),MONTH(A3525),1))</f>
        <v/>
      </c>
    </row>
    <row r="3526" customFormat="false" ht="15" hidden="false" customHeight="false" outlineLevel="0" collapsed="false">
      <c r="A3526" s="21"/>
      <c r="B3526" s="4"/>
      <c r="C3526" s="22"/>
      <c r="D3526" s="5" t="str">
        <f aca="false">IF(B3526="","",IFERROR(INDEX(DE_PARA!$B$6:$B$205,MATCH(B3526,DE_PARA!$A$6:$A$205,0)),"SEM DE-PARA"))</f>
        <v/>
      </c>
      <c r="E3526" s="23" t="str">
        <f aca="false">IF(A3526="","",DATE(YEAR(A3526),MONTH(A3526),1))</f>
        <v/>
      </c>
    </row>
    <row r="3527" customFormat="false" ht="15" hidden="false" customHeight="false" outlineLevel="0" collapsed="false">
      <c r="A3527" s="21"/>
      <c r="B3527" s="4"/>
      <c r="C3527" s="22"/>
      <c r="D3527" s="5" t="str">
        <f aca="false">IF(B3527="","",IFERROR(INDEX(DE_PARA!$B$6:$B$205,MATCH(B3527,DE_PARA!$A$6:$A$205,0)),"SEM DE-PARA"))</f>
        <v/>
      </c>
      <c r="E3527" s="23" t="str">
        <f aca="false">IF(A3527="","",DATE(YEAR(A3527),MONTH(A3527),1))</f>
        <v/>
      </c>
    </row>
    <row r="3528" customFormat="false" ht="15" hidden="false" customHeight="false" outlineLevel="0" collapsed="false">
      <c r="A3528" s="21"/>
      <c r="B3528" s="4"/>
      <c r="C3528" s="22"/>
      <c r="D3528" s="5" t="str">
        <f aca="false">IF(B3528="","",IFERROR(INDEX(DE_PARA!$B$6:$B$205,MATCH(B3528,DE_PARA!$A$6:$A$205,0)),"SEM DE-PARA"))</f>
        <v/>
      </c>
      <c r="E3528" s="23" t="str">
        <f aca="false">IF(A3528="","",DATE(YEAR(A3528),MONTH(A3528),1))</f>
        <v/>
      </c>
    </row>
    <row r="3529" customFormat="false" ht="15" hidden="false" customHeight="false" outlineLevel="0" collapsed="false">
      <c r="A3529" s="21"/>
      <c r="B3529" s="4"/>
      <c r="C3529" s="22"/>
      <c r="D3529" s="5" t="str">
        <f aca="false">IF(B3529="","",IFERROR(INDEX(DE_PARA!$B$6:$B$205,MATCH(B3529,DE_PARA!$A$6:$A$205,0)),"SEM DE-PARA"))</f>
        <v/>
      </c>
      <c r="E3529" s="23" t="str">
        <f aca="false">IF(A3529="","",DATE(YEAR(A3529),MONTH(A3529),1))</f>
        <v/>
      </c>
    </row>
    <row r="3530" customFormat="false" ht="15" hidden="false" customHeight="false" outlineLevel="0" collapsed="false">
      <c r="A3530" s="21"/>
      <c r="B3530" s="4"/>
      <c r="C3530" s="22"/>
      <c r="D3530" s="5" t="str">
        <f aca="false">IF(B3530="","",IFERROR(INDEX(DE_PARA!$B$6:$B$205,MATCH(B3530,DE_PARA!$A$6:$A$205,0)),"SEM DE-PARA"))</f>
        <v/>
      </c>
      <c r="E3530" s="23" t="str">
        <f aca="false">IF(A3530="","",DATE(YEAR(A3530),MONTH(A3530),1))</f>
        <v/>
      </c>
    </row>
    <row r="3531" customFormat="false" ht="15" hidden="false" customHeight="false" outlineLevel="0" collapsed="false">
      <c r="A3531" s="21"/>
      <c r="B3531" s="4"/>
      <c r="C3531" s="22"/>
      <c r="D3531" s="5" t="str">
        <f aca="false">IF(B3531="","",IFERROR(INDEX(DE_PARA!$B$6:$B$205,MATCH(B3531,DE_PARA!$A$6:$A$205,0)),"SEM DE-PARA"))</f>
        <v/>
      </c>
      <c r="E3531" s="23" t="str">
        <f aca="false">IF(A3531="","",DATE(YEAR(A3531),MONTH(A3531),1))</f>
        <v/>
      </c>
    </row>
    <row r="3532" customFormat="false" ht="15" hidden="false" customHeight="false" outlineLevel="0" collapsed="false">
      <c r="A3532" s="21"/>
      <c r="B3532" s="4"/>
      <c r="C3532" s="22"/>
      <c r="D3532" s="5" t="str">
        <f aca="false">IF(B3532="","",IFERROR(INDEX(DE_PARA!$B$6:$B$205,MATCH(B3532,DE_PARA!$A$6:$A$205,0)),"SEM DE-PARA"))</f>
        <v/>
      </c>
      <c r="E3532" s="23" t="str">
        <f aca="false">IF(A3532="","",DATE(YEAR(A3532),MONTH(A3532),1))</f>
        <v/>
      </c>
    </row>
    <row r="3533" customFormat="false" ht="15" hidden="false" customHeight="false" outlineLevel="0" collapsed="false">
      <c r="A3533" s="21"/>
      <c r="B3533" s="4"/>
      <c r="C3533" s="22"/>
      <c r="D3533" s="5" t="str">
        <f aca="false">IF(B3533="","",IFERROR(INDEX(DE_PARA!$B$6:$B$205,MATCH(B3533,DE_PARA!$A$6:$A$205,0)),"SEM DE-PARA"))</f>
        <v/>
      </c>
      <c r="E3533" s="23" t="str">
        <f aca="false">IF(A3533="","",DATE(YEAR(A3533),MONTH(A3533),1))</f>
        <v/>
      </c>
    </row>
    <row r="3534" customFormat="false" ht="15" hidden="false" customHeight="false" outlineLevel="0" collapsed="false">
      <c r="A3534" s="21"/>
      <c r="B3534" s="4"/>
      <c r="C3534" s="22"/>
      <c r="D3534" s="5" t="str">
        <f aca="false">IF(B3534="","",IFERROR(INDEX(DE_PARA!$B$6:$B$205,MATCH(B3534,DE_PARA!$A$6:$A$205,0)),"SEM DE-PARA"))</f>
        <v/>
      </c>
      <c r="E3534" s="23" t="str">
        <f aca="false">IF(A3534="","",DATE(YEAR(A3534),MONTH(A3534),1))</f>
        <v/>
      </c>
    </row>
    <row r="3535" customFormat="false" ht="15" hidden="false" customHeight="false" outlineLevel="0" collapsed="false">
      <c r="A3535" s="21"/>
      <c r="B3535" s="4"/>
      <c r="C3535" s="22"/>
      <c r="D3535" s="5" t="str">
        <f aca="false">IF(B3535="","",IFERROR(INDEX(DE_PARA!$B$6:$B$205,MATCH(B3535,DE_PARA!$A$6:$A$205,0)),"SEM DE-PARA"))</f>
        <v/>
      </c>
      <c r="E3535" s="23" t="str">
        <f aca="false">IF(A3535="","",DATE(YEAR(A3535),MONTH(A3535),1))</f>
        <v/>
      </c>
    </row>
    <row r="3536" customFormat="false" ht="15" hidden="false" customHeight="false" outlineLevel="0" collapsed="false">
      <c r="A3536" s="21"/>
      <c r="B3536" s="4"/>
      <c r="C3536" s="22"/>
      <c r="D3536" s="5" t="str">
        <f aca="false">IF(B3536="","",IFERROR(INDEX(DE_PARA!$B$6:$B$205,MATCH(B3536,DE_PARA!$A$6:$A$205,0)),"SEM DE-PARA"))</f>
        <v/>
      </c>
      <c r="E3536" s="23" t="str">
        <f aca="false">IF(A3536="","",DATE(YEAR(A3536),MONTH(A3536),1))</f>
        <v/>
      </c>
    </row>
    <row r="3537" customFormat="false" ht="15" hidden="false" customHeight="false" outlineLevel="0" collapsed="false">
      <c r="A3537" s="21"/>
      <c r="B3537" s="4"/>
      <c r="C3537" s="22"/>
      <c r="D3537" s="5" t="str">
        <f aca="false">IF(B3537="","",IFERROR(INDEX(DE_PARA!$B$6:$B$205,MATCH(B3537,DE_PARA!$A$6:$A$205,0)),"SEM DE-PARA"))</f>
        <v/>
      </c>
      <c r="E3537" s="23" t="str">
        <f aca="false">IF(A3537="","",DATE(YEAR(A3537),MONTH(A3537),1))</f>
        <v/>
      </c>
    </row>
    <row r="3538" customFormat="false" ht="15" hidden="false" customHeight="false" outlineLevel="0" collapsed="false">
      <c r="A3538" s="21"/>
      <c r="B3538" s="4"/>
      <c r="C3538" s="22"/>
      <c r="D3538" s="5" t="str">
        <f aca="false">IF(B3538="","",IFERROR(INDEX(DE_PARA!$B$6:$B$205,MATCH(B3538,DE_PARA!$A$6:$A$205,0)),"SEM DE-PARA"))</f>
        <v/>
      </c>
      <c r="E3538" s="23" t="str">
        <f aca="false">IF(A3538="","",DATE(YEAR(A3538),MONTH(A3538),1))</f>
        <v/>
      </c>
    </row>
    <row r="3539" customFormat="false" ht="15" hidden="false" customHeight="false" outlineLevel="0" collapsed="false">
      <c r="A3539" s="21"/>
      <c r="B3539" s="4"/>
      <c r="C3539" s="22"/>
      <c r="D3539" s="5" t="str">
        <f aca="false">IF(B3539="","",IFERROR(INDEX(DE_PARA!$B$6:$B$205,MATCH(B3539,DE_PARA!$A$6:$A$205,0)),"SEM DE-PARA"))</f>
        <v/>
      </c>
      <c r="E3539" s="23" t="str">
        <f aca="false">IF(A3539="","",DATE(YEAR(A3539),MONTH(A3539),1))</f>
        <v/>
      </c>
    </row>
    <row r="3540" customFormat="false" ht="15" hidden="false" customHeight="false" outlineLevel="0" collapsed="false">
      <c r="A3540" s="21"/>
      <c r="B3540" s="4"/>
      <c r="C3540" s="22"/>
      <c r="D3540" s="5" t="str">
        <f aca="false">IF(B3540="","",IFERROR(INDEX(DE_PARA!$B$6:$B$205,MATCH(B3540,DE_PARA!$A$6:$A$205,0)),"SEM DE-PARA"))</f>
        <v/>
      </c>
      <c r="E3540" s="23" t="str">
        <f aca="false">IF(A3540="","",DATE(YEAR(A3540),MONTH(A3540),1))</f>
        <v/>
      </c>
    </row>
    <row r="3541" customFormat="false" ht="15" hidden="false" customHeight="false" outlineLevel="0" collapsed="false">
      <c r="A3541" s="21"/>
      <c r="B3541" s="4"/>
      <c r="C3541" s="22"/>
      <c r="D3541" s="5" t="str">
        <f aca="false">IF(B3541="","",IFERROR(INDEX(DE_PARA!$B$6:$B$205,MATCH(B3541,DE_PARA!$A$6:$A$205,0)),"SEM DE-PARA"))</f>
        <v/>
      </c>
      <c r="E3541" s="23" t="str">
        <f aca="false">IF(A3541="","",DATE(YEAR(A3541),MONTH(A3541),1))</f>
        <v/>
      </c>
    </row>
    <row r="3542" customFormat="false" ht="15" hidden="false" customHeight="false" outlineLevel="0" collapsed="false">
      <c r="A3542" s="21"/>
      <c r="B3542" s="4"/>
      <c r="C3542" s="22"/>
      <c r="D3542" s="5" t="str">
        <f aca="false">IF(B3542="","",IFERROR(INDEX(DE_PARA!$B$6:$B$205,MATCH(B3542,DE_PARA!$A$6:$A$205,0)),"SEM DE-PARA"))</f>
        <v/>
      </c>
      <c r="E3542" s="23" t="str">
        <f aca="false">IF(A3542="","",DATE(YEAR(A3542),MONTH(A3542),1))</f>
        <v/>
      </c>
    </row>
    <row r="3543" customFormat="false" ht="15" hidden="false" customHeight="false" outlineLevel="0" collapsed="false">
      <c r="A3543" s="21"/>
      <c r="B3543" s="4"/>
      <c r="C3543" s="22"/>
      <c r="D3543" s="5" t="str">
        <f aca="false">IF(B3543="","",IFERROR(INDEX(DE_PARA!$B$6:$B$205,MATCH(B3543,DE_PARA!$A$6:$A$205,0)),"SEM DE-PARA"))</f>
        <v/>
      </c>
      <c r="E3543" s="23" t="str">
        <f aca="false">IF(A3543="","",DATE(YEAR(A3543),MONTH(A3543),1))</f>
        <v/>
      </c>
    </row>
    <row r="3544" customFormat="false" ht="15" hidden="false" customHeight="false" outlineLevel="0" collapsed="false">
      <c r="A3544" s="21"/>
      <c r="B3544" s="4"/>
      <c r="C3544" s="22"/>
      <c r="D3544" s="5" t="str">
        <f aca="false">IF(B3544="","",IFERROR(INDEX(DE_PARA!$B$6:$B$205,MATCH(B3544,DE_PARA!$A$6:$A$205,0)),"SEM DE-PARA"))</f>
        <v/>
      </c>
      <c r="E3544" s="23" t="str">
        <f aca="false">IF(A3544="","",DATE(YEAR(A3544),MONTH(A3544),1))</f>
        <v/>
      </c>
    </row>
    <row r="3545" customFormat="false" ht="15" hidden="false" customHeight="false" outlineLevel="0" collapsed="false">
      <c r="A3545" s="21"/>
      <c r="B3545" s="4"/>
      <c r="C3545" s="22"/>
      <c r="D3545" s="5" t="str">
        <f aca="false">IF(B3545="","",IFERROR(INDEX(DE_PARA!$B$6:$B$205,MATCH(B3545,DE_PARA!$A$6:$A$205,0)),"SEM DE-PARA"))</f>
        <v/>
      </c>
      <c r="E3545" s="23" t="str">
        <f aca="false">IF(A3545="","",DATE(YEAR(A3545),MONTH(A3545),1))</f>
        <v/>
      </c>
    </row>
    <row r="3546" customFormat="false" ht="15" hidden="false" customHeight="false" outlineLevel="0" collapsed="false">
      <c r="A3546" s="21"/>
      <c r="B3546" s="4"/>
      <c r="C3546" s="22"/>
      <c r="D3546" s="5" t="str">
        <f aca="false">IF(B3546="","",IFERROR(INDEX(DE_PARA!$B$6:$B$205,MATCH(B3546,DE_PARA!$A$6:$A$205,0)),"SEM DE-PARA"))</f>
        <v/>
      </c>
      <c r="E3546" s="23" t="str">
        <f aca="false">IF(A3546="","",DATE(YEAR(A3546),MONTH(A3546),1))</f>
        <v/>
      </c>
    </row>
    <row r="3547" customFormat="false" ht="15" hidden="false" customHeight="false" outlineLevel="0" collapsed="false">
      <c r="A3547" s="21"/>
      <c r="B3547" s="4"/>
      <c r="C3547" s="22"/>
      <c r="D3547" s="5" t="str">
        <f aca="false">IF(B3547="","",IFERROR(INDEX(DE_PARA!$B$6:$B$205,MATCH(B3547,DE_PARA!$A$6:$A$205,0)),"SEM DE-PARA"))</f>
        <v/>
      </c>
      <c r="E3547" s="23" t="str">
        <f aca="false">IF(A3547="","",DATE(YEAR(A3547),MONTH(A3547),1))</f>
        <v/>
      </c>
    </row>
    <row r="3548" customFormat="false" ht="15" hidden="false" customHeight="false" outlineLevel="0" collapsed="false">
      <c r="A3548" s="21"/>
      <c r="B3548" s="4"/>
      <c r="C3548" s="22"/>
      <c r="D3548" s="5" t="str">
        <f aca="false">IF(B3548="","",IFERROR(INDEX(DE_PARA!$B$6:$B$205,MATCH(B3548,DE_PARA!$A$6:$A$205,0)),"SEM DE-PARA"))</f>
        <v/>
      </c>
      <c r="E3548" s="23" t="str">
        <f aca="false">IF(A3548="","",DATE(YEAR(A3548),MONTH(A3548),1))</f>
        <v/>
      </c>
    </row>
    <row r="3549" customFormat="false" ht="15" hidden="false" customHeight="false" outlineLevel="0" collapsed="false">
      <c r="A3549" s="21"/>
      <c r="B3549" s="4"/>
      <c r="C3549" s="22"/>
      <c r="D3549" s="5" t="str">
        <f aca="false">IF(B3549="","",IFERROR(INDEX(DE_PARA!$B$6:$B$205,MATCH(B3549,DE_PARA!$A$6:$A$205,0)),"SEM DE-PARA"))</f>
        <v/>
      </c>
      <c r="E3549" s="23" t="str">
        <f aca="false">IF(A3549="","",DATE(YEAR(A3549),MONTH(A3549),1))</f>
        <v/>
      </c>
    </row>
    <row r="3550" customFormat="false" ht="15" hidden="false" customHeight="false" outlineLevel="0" collapsed="false">
      <c r="A3550" s="21"/>
      <c r="B3550" s="4"/>
      <c r="C3550" s="22"/>
      <c r="D3550" s="5" t="str">
        <f aca="false">IF(B3550="","",IFERROR(INDEX(DE_PARA!$B$6:$B$205,MATCH(B3550,DE_PARA!$A$6:$A$205,0)),"SEM DE-PARA"))</f>
        <v/>
      </c>
      <c r="E3550" s="23" t="str">
        <f aca="false">IF(A3550="","",DATE(YEAR(A3550),MONTH(A3550),1))</f>
        <v/>
      </c>
    </row>
    <row r="3551" customFormat="false" ht="15" hidden="false" customHeight="false" outlineLevel="0" collapsed="false">
      <c r="A3551" s="21"/>
      <c r="B3551" s="4"/>
      <c r="C3551" s="22"/>
      <c r="D3551" s="5" t="str">
        <f aca="false">IF(B3551="","",IFERROR(INDEX(DE_PARA!$B$6:$B$205,MATCH(B3551,DE_PARA!$A$6:$A$205,0)),"SEM DE-PARA"))</f>
        <v/>
      </c>
      <c r="E3551" s="23" t="str">
        <f aca="false">IF(A3551="","",DATE(YEAR(A3551),MONTH(A3551),1))</f>
        <v/>
      </c>
    </row>
    <row r="3552" customFormat="false" ht="15" hidden="false" customHeight="false" outlineLevel="0" collapsed="false">
      <c r="A3552" s="21"/>
      <c r="B3552" s="4"/>
      <c r="C3552" s="22"/>
      <c r="D3552" s="5" t="str">
        <f aca="false">IF(B3552="","",IFERROR(INDEX(DE_PARA!$B$6:$B$205,MATCH(B3552,DE_PARA!$A$6:$A$205,0)),"SEM DE-PARA"))</f>
        <v/>
      </c>
      <c r="E3552" s="23" t="str">
        <f aca="false">IF(A3552="","",DATE(YEAR(A3552),MONTH(A3552),1))</f>
        <v/>
      </c>
    </row>
    <row r="3553" customFormat="false" ht="15" hidden="false" customHeight="false" outlineLevel="0" collapsed="false">
      <c r="A3553" s="21"/>
      <c r="B3553" s="4"/>
      <c r="C3553" s="22"/>
      <c r="D3553" s="5" t="str">
        <f aca="false">IF(B3553="","",IFERROR(INDEX(DE_PARA!$B$6:$B$205,MATCH(B3553,DE_PARA!$A$6:$A$205,0)),"SEM DE-PARA"))</f>
        <v/>
      </c>
      <c r="E3553" s="23" t="str">
        <f aca="false">IF(A3553="","",DATE(YEAR(A3553),MONTH(A3553),1))</f>
        <v/>
      </c>
    </row>
    <row r="3554" customFormat="false" ht="15" hidden="false" customHeight="false" outlineLevel="0" collapsed="false">
      <c r="A3554" s="21"/>
      <c r="B3554" s="4"/>
      <c r="C3554" s="22"/>
      <c r="D3554" s="5" t="str">
        <f aca="false">IF(B3554="","",IFERROR(INDEX(DE_PARA!$B$6:$B$205,MATCH(B3554,DE_PARA!$A$6:$A$205,0)),"SEM DE-PARA"))</f>
        <v/>
      </c>
      <c r="E3554" s="23" t="str">
        <f aca="false">IF(A3554="","",DATE(YEAR(A3554),MONTH(A3554),1))</f>
        <v/>
      </c>
    </row>
    <row r="3555" customFormat="false" ht="15" hidden="false" customHeight="false" outlineLevel="0" collapsed="false">
      <c r="A3555" s="21"/>
      <c r="B3555" s="4"/>
      <c r="C3555" s="22"/>
      <c r="D3555" s="5" t="str">
        <f aca="false">IF(B3555="","",IFERROR(INDEX(DE_PARA!$B$6:$B$205,MATCH(B3555,DE_PARA!$A$6:$A$205,0)),"SEM DE-PARA"))</f>
        <v/>
      </c>
      <c r="E3555" s="23" t="str">
        <f aca="false">IF(A3555="","",DATE(YEAR(A3555),MONTH(A3555),1))</f>
        <v/>
      </c>
    </row>
    <row r="3556" customFormat="false" ht="15" hidden="false" customHeight="false" outlineLevel="0" collapsed="false">
      <c r="A3556" s="21"/>
      <c r="B3556" s="4"/>
      <c r="C3556" s="22"/>
      <c r="D3556" s="5" t="str">
        <f aca="false">IF(B3556="","",IFERROR(INDEX(DE_PARA!$B$6:$B$205,MATCH(B3556,DE_PARA!$A$6:$A$205,0)),"SEM DE-PARA"))</f>
        <v/>
      </c>
      <c r="E3556" s="23" t="str">
        <f aca="false">IF(A3556="","",DATE(YEAR(A3556),MONTH(A3556),1))</f>
        <v/>
      </c>
    </row>
    <row r="3557" customFormat="false" ht="15" hidden="false" customHeight="false" outlineLevel="0" collapsed="false">
      <c r="A3557" s="21"/>
      <c r="B3557" s="4"/>
      <c r="C3557" s="22"/>
      <c r="D3557" s="5" t="str">
        <f aca="false">IF(B3557="","",IFERROR(INDEX(DE_PARA!$B$6:$B$205,MATCH(B3557,DE_PARA!$A$6:$A$205,0)),"SEM DE-PARA"))</f>
        <v/>
      </c>
      <c r="E3557" s="23" t="str">
        <f aca="false">IF(A3557="","",DATE(YEAR(A3557),MONTH(A3557),1))</f>
        <v/>
      </c>
    </row>
    <row r="3558" customFormat="false" ht="15" hidden="false" customHeight="false" outlineLevel="0" collapsed="false">
      <c r="A3558" s="21"/>
      <c r="B3558" s="4"/>
      <c r="C3558" s="22"/>
      <c r="D3558" s="5" t="str">
        <f aca="false">IF(B3558="","",IFERROR(INDEX(DE_PARA!$B$6:$B$205,MATCH(B3558,DE_PARA!$A$6:$A$205,0)),"SEM DE-PARA"))</f>
        <v/>
      </c>
      <c r="E3558" s="23" t="str">
        <f aca="false">IF(A3558="","",DATE(YEAR(A3558),MONTH(A3558),1))</f>
        <v/>
      </c>
    </row>
    <row r="3559" customFormat="false" ht="15" hidden="false" customHeight="false" outlineLevel="0" collapsed="false">
      <c r="A3559" s="21"/>
      <c r="B3559" s="4"/>
      <c r="C3559" s="22"/>
      <c r="D3559" s="5" t="str">
        <f aca="false">IF(B3559="","",IFERROR(INDEX(DE_PARA!$B$6:$B$205,MATCH(B3559,DE_PARA!$A$6:$A$205,0)),"SEM DE-PARA"))</f>
        <v/>
      </c>
      <c r="E3559" s="23" t="str">
        <f aca="false">IF(A3559="","",DATE(YEAR(A3559),MONTH(A3559),1))</f>
        <v/>
      </c>
    </row>
    <row r="3560" customFormat="false" ht="15" hidden="false" customHeight="false" outlineLevel="0" collapsed="false">
      <c r="A3560" s="21"/>
      <c r="B3560" s="4"/>
      <c r="C3560" s="22"/>
      <c r="D3560" s="5" t="str">
        <f aca="false">IF(B3560="","",IFERROR(INDEX(DE_PARA!$B$6:$B$205,MATCH(B3560,DE_PARA!$A$6:$A$205,0)),"SEM DE-PARA"))</f>
        <v/>
      </c>
      <c r="E3560" s="23" t="str">
        <f aca="false">IF(A3560="","",DATE(YEAR(A3560),MONTH(A3560),1))</f>
        <v/>
      </c>
    </row>
    <row r="3561" customFormat="false" ht="15" hidden="false" customHeight="false" outlineLevel="0" collapsed="false">
      <c r="A3561" s="21"/>
      <c r="B3561" s="4"/>
      <c r="C3561" s="22"/>
      <c r="D3561" s="5" t="str">
        <f aca="false">IF(B3561="","",IFERROR(INDEX(DE_PARA!$B$6:$B$205,MATCH(B3561,DE_PARA!$A$6:$A$205,0)),"SEM DE-PARA"))</f>
        <v/>
      </c>
      <c r="E3561" s="23" t="str">
        <f aca="false">IF(A3561="","",DATE(YEAR(A3561),MONTH(A3561),1))</f>
        <v/>
      </c>
    </row>
    <row r="3562" customFormat="false" ht="15" hidden="false" customHeight="false" outlineLevel="0" collapsed="false">
      <c r="A3562" s="21"/>
      <c r="B3562" s="4"/>
      <c r="C3562" s="22"/>
      <c r="D3562" s="5" t="str">
        <f aca="false">IF(B3562="","",IFERROR(INDEX(DE_PARA!$B$6:$B$205,MATCH(B3562,DE_PARA!$A$6:$A$205,0)),"SEM DE-PARA"))</f>
        <v/>
      </c>
      <c r="E3562" s="23" t="str">
        <f aca="false">IF(A3562="","",DATE(YEAR(A3562),MONTH(A3562),1))</f>
        <v/>
      </c>
    </row>
    <row r="3563" customFormat="false" ht="15" hidden="false" customHeight="false" outlineLevel="0" collapsed="false">
      <c r="A3563" s="21"/>
      <c r="B3563" s="4"/>
      <c r="C3563" s="22"/>
      <c r="D3563" s="5" t="str">
        <f aca="false">IF(B3563="","",IFERROR(INDEX(DE_PARA!$B$6:$B$205,MATCH(B3563,DE_PARA!$A$6:$A$205,0)),"SEM DE-PARA"))</f>
        <v/>
      </c>
      <c r="E3563" s="23" t="str">
        <f aca="false">IF(A3563="","",DATE(YEAR(A3563),MONTH(A3563),1))</f>
        <v/>
      </c>
    </row>
    <row r="3564" customFormat="false" ht="15" hidden="false" customHeight="false" outlineLevel="0" collapsed="false">
      <c r="A3564" s="21"/>
      <c r="B3564" s="4"/>
      <c r="C3564" s="22"/>
      <c r="D3564" s="5" t="str">
        <f aca="false">IF(B3564="","",IFERROR(INDEX(DE_PARA!$B$6:$B$205,MATCH(B3564,DE_PARA!$A$6:$A$205,0)),"SEM DE-PARA"))</f>
        <v/>
      </c>
      <c r="E3564" s="23" t="str">
        <f aca="false">IF(A3564="","",DATE(YEAR(A3564),MONTH(A3564),1))</f>
        <v/>
      </c>
    </row>
    <row r="3565" customFormat="false" ht="15" hidden="false" customHeight="false" outlineLevel="0" collapsed="false">
      <c r="A3565" s="21"/>
      <c r="B3565" s="4"/>
      <c r="C3565" s="22"/>
      <c r="D3565" s="5" t="str">
        <f aca="false">IF(B3565="","",IFERROR(INDEX(DE_PARA!$B$6:$B$205,MATCH(B3565,DE_PARA!$A$6:$A$205,0)),"SEM DE-PARA"))</f>
        <v/>
      </c>
      <c r="E3565" s="23" t="str">
        <f aca="false">IF(A3565="","",DATE(YEAR(A3565),MONTH(A3565),1))</f>
        <v/>
      </c>
    </row>
    <row r="3566" customFormat="false" ht="15" hidden="false" customHeight="false" outlineLevel="0" collapsed="false">
      <c r="A3566" s="21"/>
      <c r="B3566" s="4"/>
      <c r="C3566" s="22"/>
      <c r="D3566" s="5" t="str">
        <f aca="false">IF(B3566="","",IFERROR(INDEX(DE_PARA!$B$6:$B$205,MATCH(B3566,DE_PARA!$A$6:$A$205,0)),"SEM DE-PARA"))</f>
        <v/>
      </c>
      <c r="E3566" s="23" t="str">
        <f aca="false">IF(A3566="","",DATE(YEAR(A3566),MONTH(A3566),1))</f>
        <v/>
      </c>
    </row>
    <row r="3567" customFormat="false" ht="15" hidden="false" customHeight="false" outlineLevel="0" collapsed="false">
      <c r="A3567" s="21"/>
      <c r="B3567" s="4"/>
      <c r="C3567" s="22"/>
      <c r="D3567" s="5" t="str">
        <f aca="false">IF(B3567="","",IFERROR(INDEX(DE_PARA!$B$6:$B$205,MATCH(B3567,DE_PARA!$A$6:$A$205,0)),"SEM DE-PARA"))</f>
        <v/>
      </c>
      <c r="E3567" s="23" t="str">
        <f aca="false">IF(A3567="","",DATE(YEAR(A3567),MONTH(A3567),1))</f>
        <v/>
      </c>
    </row>
    <row r="3568" customFormat="false" ht="15" hidden="false" customHeight="false" outlineLevel="0" collapsed="false">
      <c r="A3568" s="21"/>
      <c r="B3568" s="4"/>
      <c r="C3568" s="22"/>
      <c r="D3568" s="5" t="str">
        <f aca="false">IF(B3568="","",IFERROR(INDEX(DE_PARA!$B$6:$B$205,MATCH(B3568,DE_PARA!$A$6:$A$205,0)),"SEM DE-PARA"))</f>
        <v/>
      </c>
      <c r="E3568" s="23" t="str">
        <f aca="false">IF(A3568="","",DATE(YEAR(A3568),MONTH(A3568),1))</f>
        <v/>
      </c>
    </row>
    <row r="3569" customFormat="false" ht="15" hidden="false" customHeight="false" outlineLevel="0" collapsed="false">
      <c r="A3569" s="21"/>
      <c r="B3569" s="4"/>
      <c r="C3569" s="22"/>
      <c r="D3569" s="5" t="str">
        <f aca="false">IF(B3569="","",IFERROR(INDEX(DE_PARA!$B$6:$B$205,MATCH(B3569,DE_PARA!$A$6:$A$205,0)),"SEM DE-PARA"))</f>
        <v/>
      </c>
      <c r="E3569" s="23" t="str">
        <f aca="false">IF(A3569="","",DATE(YEAR(A3569),MONTH(A3569),1))</f>
        <v/>
      </c>
    </row>
    <row r="3570" customFormat="false" ht="15" hidden="false" customHeight="false" outlineLevel="0" collapsed="false">
      <c r="A3570" s="21"/>
      <c r="B3570" s="4"/>
      <c r="C3570" s="22"/>
      <c r="D3570" s="5" t="str">
        <f aca="false">IF(B3570="","",IFERROR(INDEX(DE_PARA!$B$6:$B$205,MATCH(B3570,DE_PARA!$A$6:$A$205,0)),"SEM DE-PARA"))</f>
        <v/>
      </c>
      <c r="E3570" s="23" t="str">
        <f aca="false">IF(A3570="","",DATE(YEAR(A3570),MONTH(A3570),1))</f>
        <v/>
      </c>
    </row>
    <row r="3571" customFormat="false" ht="15" hidden="false" customHeight="false" outlineLevel="0" collapsed="false">
      <c r="A3571" s="21"/>
      <c r="B3571" s="4"/>
      <c r="C3571" s="22"/>
      <c r="D3571" s="5" t="str">
        <f aca="false">IF(B3571="","",IFERROR(INDEX(DE_PARA!$B$6:$B$205,MATCH(B3571,DE_PARA!$A$6:$A$205,0)),"SEM DE-PARA"))</f>
        <v/>
      </c>
      <c r="E3571" s="23" t="str">
        <f aca="false">IF(A3571="","",DATE(YEAR(A3571),MONTH(A3571),1))</f>
        <v/>
      </c>
    </row>
    <row r="3572" customFormat="false" ht="15" hidden="false" customHeight="false" outlineLevel="0" collapsed="false">
      <c r="A3572" s="21"/>
      <c r="B3572" s="4"/>
      <c r="C3572" s="22"/>
      <c r="D3572" s="5" t="str">
        <f aca="false">IF(B3572="","",IFERROR(INDEX(DE_PARA!$B$6:$B$205,MATCH(B3572,DE_PARA!$A$6:$A$205,0)),"SEM DE-PARA"))</f>
        <v/>
      </c>
      <c r="E3572" s="23" t="str">
        <f aca="false">IF(A3572="","",DATE(YEAR(A3572),MONTH(A3572),1))</f>
        <v/>
      </c>
    </row>
    <row r="3573" customFormat="false" ht="15" hidden="false" customHeight="false" outlineLevel="0" collapsed="false">
      <c r="A3573" s="21"/>
      <c r="B3573" s="4"/>
      <c r="C3573" s="22"/>
      <c r="D3573" s="5" t="str">
        <f aca="false">IF(B3573="","",IFERROR(INDEX(DE_PARA!$B$6:$B$205,MATCH(B3573,DE_PARA!$A$6:$A$205,0)),"SEM DE-PARA"))</f>
        <v/>
      </c>
      <c r="E3573" s="23" t="str">
        <f aca="false">IF(A3573="","",DATE(YEAR(A3573),MONTH(A3573),1))</f>
        <v/>
      </c>
    </row>
    <row r="3574" customFormat="false" ht="15" hidden="false" customHeight="false" outlineLevel="0" collapsed="false">
      <c r="A3574" s="21"/>
      <c r="B3574" s="4"/>
      <c r="C3574" s="22"/>
      <c r="D3574" s="5" t="str">
        <f aca="false">IF(B3574="","",IFERROR(INDEX(DE_PARA!$B$6:$B$205,MATCH(B3574,DE_PARA!$A$6:$A$205,0)),"SEM DE-PARA"))</f>
        <v/>
      </c>
      <c r="E3574" s="23" t="str">
        <f aca="false">IF(A3574="","",DATE(YEAR(A3574),MONTH(A3574),1))</f>
        <v/>
      </c>
    </row>
    <row r="3575" customFormat="false" ht="15" hidden="false" customHeight="false" outlineLevel="0" collapsed="false">
      <c r="A3575" s="21"/>
      <c r="B3575" s="4"/>
      <c r="C3575" s="22"/>
      <c r="D3575" s="5" t="str">
        <f aca="false">IF(B3575="","",IFERROR(INDEX(DE_PARA!$B$6:$B$205,MATCH(B3575,DE_PARA!$A$6:$A$205,0)),"SEM DE-PARA"))</f>
        <v/>
      </c>
      <c r="E3575" s="23" t="str">
        <f aca="false">IF(A3575="","",DATE(YEAR(A3575),MONTH(A3575),1))</f>
        <v/>
      </c>
    </row>
    <row r="3576" customFormat="false" ht="15" hidden="false" customHeight="false" outlineLevel="0" collapsed="false">
      <c r="A3576" s="21"/>
      <c r="B3576" s="4"/>
      <c r="C3576" s="22"/>
      <c r="D3576" s="5" t="str">
        <f aca="false">IF(B3576="","",IFERROR(INDEX(DE_PARA!$B$6:$B$205,MATCH(B3576,DE_PARA!$A$6:$A$205,0)),"SEM DE-PARA"))</f>
        <v/>
      </c>
      <c r="E3576" s="23" t="str">
        <f aca="false">IF(A3576="","",DATE(YEAR(A3576),MONTH(A3576),1))</f>
        <v/>
      </c>
    </row>
    <row r="3577" customFormat="false" ht="15" hidden="false" customHeight="false" outlineLevel="0" collapsed="false">
      <c r="A3577" s="21"/>
      <c r="B3577" s="4"/>
      <c r="C3577" s="22"/>
      <c r="D3577" s="5" t="str">
        <f aca="false">IF(B3577="","",IFERROR(INDEX(DE_PARA!$B$6:$B$205,MATCH(B3577,DE_PARA!$A$6:$A$205,0)),"SEM DE-PARA"))</f>
        <v/>
      </c>
      <c r="E3577" s="23" t="str">
        <f aca="false">IF(A3577="","",DATE(YEAR(A3577),MONTH(A3577),1))</f>
        <v/>
      </c>
    </row>
    <row r="3578" customFormat="false" ht="15" hidden="false" customHeight="false" outlineLevel="0" collapsed="false">
      <c r="A3578" s="21"/>
      <c r="B3578" s="4"/>
      <c r="C3578" s="22"/>
      <c r="D3578" s="5" t="str">
        <f aca="false">IF(B3578="","",IFERROR(INDEX(DE_PARA!$B$6:$B$205,MATCH(B3578,DE_PARA!$A$6:$A$205,0)),"SEM DE-PARA"))</f>
        <v/>
      </c>
      <c r="E3578" s="23" t="str">
        <f aca="false">IF(A3578="","",DATE(YEAR(A3578),MONTH(A3578),1))</f>
        <v/>
      </c>
    </row>
    <row r="3579" customFormat="false" ht="15" hidden="false" customHeight="false" outlineLevel="0" collapsed="false">
      <c r="A3579" s="21"/>
      <c r="B3579" s="4"/>
      <c r="C3579" s="22"/>
      <c r="D3579" s="5" t="str">
        <f aca="false">IF(B3579="","",IFERROR(INDEX(DE_PARA!$B$6:$B$205,MATCH(B3579,DE_PARA!$A$6:$A$205,0)),"SEM DE-PARA"))</f>
        <v/>
      </c>
      <c r="E3579" s="23" t="str">
        <f aca="false">IF(A3579="","",DATE(YEAR(A3579),MONTH(A3579),1))</f>
        <v/>
      </c>
    </row>
    <row r="3580" customFormat="false" ht="15" hidden="false" customHeight="false" outlineLevel="0" collapsed="false">
      <c r="A3580" s="21"/>
      <c r="B3580" s="4"/>
      <c r="C3580" s="22"/>
      <c r="D3580" s="5" t="str">
        <f aca="false">IF(B3580="","",IFERROR(INDEX(DE_PARA!$B$6:$B$205,MATCH(B3580,DE_PARA!$A$6:$A$205,0)),"SEM DE-PARA"))</f>
        <v/>
      </c>
      <c r="E3580" s="23" t="str">
        <f aca="false">IF(A3580="","",DATE(YEAR(A3580),MONTH(A3580),1))</f>
        <v/>
      </c>
    </row>
    <row r="3581" customFormat="false" ht="15" hidden="false" customHeight="false" outlineLevel="0" collapsed="false">
      <c r="A3581" s="21"/>
      <c r="B3581" s="4"/>
      <c r="C3581" s="22"/>
      <c r="D3581" s="5" t="str">
        <f aca="false">IF(B3581="","",IFERROR(INDEX(DE_PARA!$B$6:$B$205,MATCH(B3581,DE_PARA!$A$6:$A$205,0)),"SEM DE-PARA"))</f>
        <v/>
      </c>
      <c r="E3581" s="23" t="str">
        <f aca="false">IF(A3581="","",DATE(YEAR(A3581),MONTH(A3581),1))</f>
        <v/>
      </c>
    </row>
    <row r="3582" customFormat="false" ht="15" hidden="false" customHeight="false" outlineLevel="0" collapsed="false">
      <c r="A3582" s="21"/>
      <c r="B3582" s="4"/>
      <c r="C3582" s="22"/>
      <c r="D3582" s="5" t="str">
        <f aca="false">IF(B3582="","",IFERROR(INDEX(DE_PARA!$B$6:$B$205,MATCH(B3582,DE_PARA!$A$6:$A$205,0)),"SEM DE-PARA"))</f>
        <v/>
      </c>
      <c r="E3582" s="23" t="str">
        <f aca="false">IF(A3582="","",DATE(YEAR(A3582),MONTH(A3582),1))</f>
        <v/>
      </c>
    </row>
    <row r="3583" customFormat="false" ht="15" hidden="false" customHeight="false" outlineLevel="0" collapsed="false">
      <c r="A3583" s="21"/>
      <c r="B3583" s="4"/>
      <c r="C3583" s="22"/>
      <c r="D3583" s="5" t="str">
        <f aca="false">IF(B3583="","",IFERROR(INDEX(DE_PARA!$B$6:$B$205,MATCH(B3583,DE_PARA!$A$6:$A$205,0)),"SEM DE-PARA"))</f>
        <v/>
      </c>
      <c r="E3583" s="23" t="str">
        <f aca="false">IF(A3583="","",DATE(YEAR(A3583),MONTH(A3583),1))</f>
        <v/>
      </c>
    </row>
    <row r="3584" customFormat="false" ht="15" hidden="false" customHeight="false" outlineLevel="0" collapsed="false">
      <c r="A3584" s="21"/>
      <c r="B3584" s="4"/>
      <c r="C3584" s="22"/>
      <c r="D3584" s="5" t="str">
        <f aca="false">IF(B3584="","",IFERROR(INDEX(DE_PARA!$B$6:$B$205,MATCH(B3584,DE_PARA!$A$6:$A$205,0)),"SEM DE-PARA"))</f>
        <v/>
      </c>
      <c r="E3584" s="23" t="str">
        <f aca="false">IF(A3584="","",DATE(YEAR(A3584),MONTH(A3584),1))</f>
        <v/>
      </c>
    </row>
    <row r="3585" customFormat="false" ht="15" hidden="false" customHeight="false" outlineLevel="0" collapsed="false">
      <c r="A3585" s="21"/>
      <c r="B3585" s="4"/>
      <c r="C3585" s="22"/>
      <c r="D3585" s="5" t="str">
        <f aca="false">IF(B3585="","",IFERROR(INDEX(DE_PARA!$B$6:$B$205,MATCH(B3585,DE_PARA!$A$6:$A$205,0)),"SEM DE-PARA"))</f>
        <v/>
      </c>
      <c r="E3585" s="23" t="str">
        <f aca="false">IF(A3585="","",DATE(YEAR(A3585),MONTH(A3585),1))</f>
        <v/>
      </c>
    </row>
    <row r="3586" customFormat="false" ht="15" hidden="false" customHeight="false" outlineLevel="0" collapsed="false">
      <c r="A3586" s="21"/>
      <c r="B3586" s="4"/>
      <c r="C3586" s="22"/>
      <c r="D3586" s="5" t="str">
        <f aca="false">IF(B3586="","",IFERROR(INDEX(DE_PARA!$B$6:$B$205,MATCH(B3586,DE_PARA!$A$6:$A$205,0)),"SEM DE-PARA"))</f>
        <v/>
      </c>
      <c r="E3586" s="23" t="str">
        <f aca="false">IF(A3586="","",DATE(YEAR(A3586),MONTH(A3586),1))</f>
        <v/>
      </c>
    </row>
    <row r="3587" customFormat="false" ht="15" hidden="false" customHeight="false" outlineLevel="0" collapsed="false">
      <c r="A3587" s="21"/>
      <c r="B3587" s="4"/>
      <c r="C3587" s="22"/>
      <c r="D3587" s="5" t="str">
        <f aca="false">IF(B3587="","",IFERROR(INDEX(DE_PARA!$B$6:$B$205,MATCH(B3587,DE_PARA!$A$6:$A$205,0)),"SEM DE-PARA"))</f>
        <v/>
      </c>
      <c r="E3587" s="23" t="str">
        <f aca="false">IF(A3587="","",DATE(YEAR(A3587),MONTH(A3587),1))</f>
        <v/>
      </c>
    </row>
    <row r="3588" customFormat="false" ht="15" hidden="false" customHeight="false" outlineLevel="0" collapsed="false">
      <c r="A3588" s="21"/>
      <c r="B3588" s="4"/>
      <c r="C3588" s="22"/>
      <c r="D3588" s="5" t="str">
        <f aca="false">IF(B3588="","",IFERROR(INDEX(DE_PARA!$B$6:$B$205,MATCH(B3588,DE_PARA!$A$6:$A$205,0)),"SEM DE-PARA"))</f>
        <v/>
      </c>
      <c r="E3588" s="23" t="str">
        <f aca="false">IF(A3588="","",DATE(YEAR(A3588),MONTH(A3588),1))</f>
        <v/>
      </c>
    </row>
    <row r="3589" customFormat="false" ht="15" hidden="false" customHeight="false" outlineLevel="0" collapsed="false">
      <c r="A3589" s="21"/>
      <c r="B3589" s="4"/>
      <c r="C3589" s="22"/>
      <c r="D3589" s="5" t="str">
        <f aca="false">IF(B3589="","",IFERROR(INDEX(DE_PARA!$B$6:$B$205,MATCH(B3589,DE_PARA!$A$6:$A$205,0)),"SEM DE-PARA"))</f>
        <v/>
      </c>
      <c r="E3589" s="23" t="str">
        <f aca="false">IF(A3589="","",DATE(YEAR(A3589),MONTH(A3589),1))</f>
        <v/>
      </c>
    </row>
    <row r="3590" customFormat="false" ht="15" hidden="false" customHeight="false" outlineLevel="0" collapsed="false">
      <c r="A3590" s="21"/>
      <c r="B3590" s="4"/>
      <c r="C3590" s="22"/>
      <c r="D3590" s="5" t="str">
        <f aca="false">IF(B3590="","",IFERROR(INDEX(DE_PARA!$B$6:$B$205,MATCH(B3590,DE_PARA!$A$6:$A$205,0)),"SEM DE-PARA"))</f>
        <v/>
      </c>
      <c r="E3590" s="23" t="str">
        <f aca="false">IF(A3590="","",DATE(YEAR(A3590),MONTH(A3590),1))</f>
        <v/>
      </c>
    </row>
    <row r="3591" customFormat="false" ht="15" hidden="false" customHeight="false" outlineLevel="0" collapsed="false">
      <c r="A3591" s="21"/>
      <c r="B3591" s="4"/>
      <c r="C3591" s="22"/>
      <c r="D3591" s="5" t="str">
        <f aca="false">IF(B3591="","",IFERROR(INDEX(DE_PARA!$B$6:$B$205,MATCH(B3591,DE_PARA!$A$6:$A$205,0)),"SEM DE-PARA"))</f>
        <v/>
      </c>
      <c r="E3591" s="23" t="str">
        <f aca="false">IF(A3591="","",DATE(YEAR(A3591),MONTH(A3591),1))</f>
        <v/>
      </c>
    </row>
    <row r="3592" customFormat="false" ht="15" hidden="false" customHeight="false" outlineLevel="0" collapsed="false">
      <c r="A3592" s="21"/>
      <c r="B3592" s="4"/>
      <c r="C3592" s="22"/>
      <c r="D3592" s="5" t="str">
        <f aca="false">IF(B3592="","",IFERROR(INDEX(DE_PARA!$B$6:$B$205,MATCH(B3592,DE_PARA!$A$6:$A$205,0)),"SEM DE-PARA"))</f>
        <v/>
      </c>
      <c r="E3592" s="23" t="str">
        <f aca="false">IF(A3592="","",DATE(YEAR(A3592),MONTH(A3592),1))</f>
        <v/>
      </c>
    </row>
    <row r="3593" customFormat="false" ht="15" hidden="false" customHeight="false" outlineLevel="0" collapsed="false">
      <c r="A3593" s="21"/>
      <c r="B3593" s="4"/>
      <c r="C3593" s="22"/>
      <c r="D3593" s="5" t="str">
        <f aca="false">IF(B3593="","",IFERROR(INDEX(DE_PARA!$B$6:$B$205,MATCH(B3593,DE_PARA!$A$6:$A$205,0)),"SEM DE-PARA"))</f>
        <v/>
      </c>
      <c r="E3593" s="23" t="str">
        <f aca="false">IF(A3593="","",DATE(YEAR(A3593),MONTH(A3593),1))</f>
        <v/>
      </c>
    </row>
    <row r="3594" customFormat="false" ht="15" hidden="false" customHeight="false" outlineLevel="0" collapsed="false">
      <c r="A3594" s="21"/>
      <c r="B3594" s="4"/>
      <c r="C3594" s="22"/>
      <c r="D3594" s="5" t="str">
        <f aca="false">IF(B3594="","",IFERROR(INDEX(DE_PARA!$B$6:$B$205,MATCH(B3594,DE_PARA!$A$6:$A$205,0)),"SEM DE-PARA"))</f>
        <v/>
      </c>
      <c r="E3594" s="23" t="str">
        <f aca="false">IF(A3594="","",DATE(YEAR(A3594),MONTH(A3594),1))</f>
        <v/>
      </c>
    </row>
    <row r="3595" customFormat="false" ht="15" hidden="false" customHeight="false" outlineLevel="0" collapsed="false">
      <c r="A3595" s="21"/>
      <c r="B3595" s="4"/>
      <c r="C3595" s="22"/>
      <c r="D3595" s="5" t="str">
        <f aca="false">IF(B3595="","",IFERROR(INDEX(DE_PARA!$B$6:$B$205,MATCH(B3595,DE_PARA!$A$6:$A$205,0)),"SEM DE-PARA"))</f>
        <v/>
      </c>
      <c r="E3595" s="23" t="str">
        <f aca="false">IF(A3595="","",DATE(YEAR(A3595),MONTH(A3595),1))</f>
        <v/>
      </c>
    </row>
    <row r="3596" customFormat="false" ht="15" hidden="false" customHeight="false" outlineLevel="0" collapsed="false">
      <c r="A3596" s="21"/>
      <c r="B3596" s="4"/>
      <c r="C3596" s="22"/>
      <c r="D3596" s="5" t="str">
        <f aca="false">IF(B3596="","",IFERROR(INDEX(DE_PARA!$B$6:$B$205,MATCH(B3596,DE_PARA!$A$6:$A$205,0)),"SEM DE-PARA"))</f>
        <v/>
      </c>
      <c r="E3596" s="23" t="str">
        <f aca="false">IF(A3596="","",DATE(YEAR(A3596),MONTH(A3596),1))</f>
        <v/>
      </c>
    </row>
    <row r="3597" customFormat="false" ht="15" hidden="false" customHeight="false" outlineLevel="0" collapsed="false">
      <c r="A3597" s="21"/>
      <c r="B3597" s="4"/>
      <c r="C3597" s="22"/>
      <c r="D3597" s="5" t="str">
        <f aca="false">IF(B3597="","",IFERROR(INDEX(DE_PARA!$B$6:$B$205,MATCH(B3597,DE_PARA!$A$6:$A$205,0)),"SEM DE-PARA"))</f>
        <v/>
      </c>
      <c r="E3597" s="23" t="str">
        <f aca="false">IF(A3597="","",DATE(YEAR(A3597),MONTH(A3597),1))</f>
        <v/>
      </c>
    </row>
    <row r="3598" customFormat="false" ht="15" hidden="false" customHeight="false" outlineLevel="0" collapsed="false">
      <c r="A3598" s="21"/>
      <c r="B3598" s="4"/>
      <c r="C3598" s="22"/>
      <c r="D3598" s="5" t="str">
        <f aca="false">IF(B3598="","",IFERROR(INDEX(DE_PARA!$B$6:$B$205,MATCH(B3598,DE_PARA!$A$6:$A$205,0)),"SEM DE-PARA"))</f>
        <v/>
      </c>
      <c r="E3598" s="23" t="str">
        <f aca="false">IF(A3598="","",DATE(YEAR(A3598),MONTH(A3598),1))</f>
        <v/>
      </c>
    </row>
    <row r="3599" customFormat="false" ht="15" hidden="false" customHeight="false" outlineLevel="0" collapsed="false">
      <c r="A3599" s="21"/>
      <c r="B3599" s="4"/>
      <c r="C3599" s="22"/>
      <c r="D3599" s="5" t="str">
        <f aca="false">IF(B3599="","",IFERROR(INDEX(DE_PARA!$B$6:$B$205,MATCH(B3599,DE_PARA!$A$6:$A$205,0)),"SEM DE-PARA"))</f>
        <v/>
      </c>
      <c r="E3599" s="23" t="str">
        <f aca="false">IF(A3599="","",DATE(YEAR(A3599),MONTH(A3599),1))</f>
        <v/>
      </c>
    </row>
    <row r="3600" customFormat="false" ht="15" hidden="false" customHeight="false" outlineLevel="0" collapsed="false">
      <c r="A3600" s="21"/>
      <c r="B3600" s="4"/>
      <c r="C3600" s="22"/>
      <c r="D3600" s="5" t="str">
        <f aca="false">IF(B3600="","",IFERROR(INDEX(DE_PARA!$B$6:$B$205,MATCH(B3600,DE_PARA!$A$6:$A$205,0)),"SEM DE-PARA"))</f>
        <v/>
      </c>
      <c r="E3600" s="23" t="str">
        <f aca="false">IF(A3600="","",DATE(YEAR(A3600),MONTH(A3600),1))</f>
        <v/>
      </c>
    </row>
    <row r="3601" customFormat="false" ht="15" hidden="false" customHeight="false" outlineLevel="0" collapsed="false">
      <c r="A3601" s="21"/>
      <c r="B3601" s="4"/>
      <c r="C3601" s="22"/>
      <c r="D3601" s="5" t="str">
        <f aca="false">IF(B3601="","",IFERROR(INDEX(DE_PARA!$B$6:$B$205,MATCH(B3601,DE_PARA!$A$6:$A$205,0)),"SEM DE-PARA"))</f>
        <v/>
      </c>
      <c r="E3601" s="23" t="str">
        <f aca="false">IF(A3601="","",DATE(YEAR(A3601),MONTH(A3601),1))</f>
        <v/>
      </c>
    </row>
    <row r="3602" customFormat="false" ht="15" hidden="false" customHeight="false" outlineLevel="0" collapsed="false">
      <c r="A3602" s="21"/>
      <c r="B3602" s="4"/>
      <c r="C3602" s="22"/>
      <c r="D3602" s="5" t="str">
        <f aca="false">IF(B3602="","",IFERROR(INDEX(DE_PARA!$B$6:$B$205,MATCH(B3602,DE_PARA!$A$6:$A$205,0)),"SEM DE-PARA"))</f>
        <v/>
      </c>
      <c r="E3602" s="23" t="str">
        <f aca="false">IF(A3602="","",DATE(YEAR(A3602),MONTH(A3602),1))</f>
        <v/>
      </c>
    </row>
    <row r="3603" customFormat="false" ht="15" hidden="false" customHeight="false" outlineLevel="0" collapsed="false">
      <c r="A3603" s="21"/>
      <c r="B3603" s="4"/>
      <c r="C3603" s="22"/>
      <c r="D3603" s="5" t="str">
        <f aca="false">IF(B3603="","",IFERROR(INDEX(DE_PARA!$B$6:$B$205,MATCH(B3603,DE_PARA!$A$6:$A$205,0)),"SEM DE-PARA"))</f>
        <v/>
      </c>
      <c r="E3603" s="23" t="str">
        <f aca="false">IF(A3603="","",DATE(YEAR(A3603),MONTH(A3603),1))</f>
        <v/>
      </c>
    </row>
    <row r="3604" customFormat="false" ht="15" hidden="false" customHeight="false" outlineLevel="0" collapsed="false">
      <c r="A3604" s="21"/>
      <c r="B3604" s="4"/>
      <c r="C3604" s="22"/>
      <c r="D3604" s="5" t="str">
        <f aca="false">IF(B3604="","",IFERROR(INDEX(DE_PARA!$B$6:$B$205,MATCH(B3604,DE_PARA!$A$6:$A$205,0)),"SEM DE-PARA"))</f>
        <v/>
      </c>
      <c r="E3604" s="23" t="str">
        <f aca="false">IF(A3604="","",DATE(YEAR(A3604),MONTH(A3604),1))</f>
        <v/>
      </c>
    </row>
    <row r="3605" customFormat="false" ht="15" hidden="false" customHeight="false" outlineLevel="0" collapsed="false">
      <c r="A3605" s="21"/>
      <c r="B3605" s="4"/>
      <c r="C3605" s="22"/>
      <c r="D3605" s="5" t="str">
        <f aca="false">IF(B3605="","",IFERROR(INDEX(DE_PARA!$B$6:$B$205,MATCH(B3605,DE_PARA!$A$6:$A$205,0)),"SEM DE-PARA"))</f>
        <v/>
      </c>
      <c r="E3605" s="23" t="str">
        <f aca="false">IF(A3605="","",DATE(YEAR(A3605),MONTH(A3605),1))</f>
        <v/>
      </c>
    </row>
    <row r="3606" customFormat="false" ht="15" hidden="false" customHeight="false" outlineLevel="0" collapsed="false">
      <c r="A3606" s="21"/>
      <c r="B3606" s="4"/>
      <c r="C3606" s="22"/>
      <c r="D3606" s="5" t="str">
        <f aca="false">IF(B3606="","",IFERROR(INDEX(DE_PARA!$B$6:$B$205,MATCH(B3606,DE_PARA!$A$6:$A$205,0)),"SEM DE-PARA"))</f>
        <v/>
      </c>
      <c r="E3606" s="23" t="str">
        <f aca="false">IF(A3606="","",DATE(YEAR(A3606),MONTH(A3606),1))</f>
        <v/>
      </c>
    </row>
    <row r="3607" customFormat="false" ht="15" hidden="false" customHeight="false" outlineLevel="0" collapsed="false">
      <c r="A3607" s="21"/>
      <c r="B3607" s="4"/>
      <c r="C3607" s="22"/>
      <c r="D3607" s="5" t="str">
        <f aca="false">IF(B3607="","",IFERROR(INDEX(DE_PARA!$B$6:$B$205,MATCH(B3607,DE_PARA!$A$6:$A$205,0)),"SEM DE-PARA"))</f>
        <v/>
      </c>
      <c r="E3607" s="23" t="str">
        <f aca="false">IF(A3607="","",DATE(YEAR(A3607),MONTH(A3607),1))</f>
        <v/>
      </c>
    </row>
    <row r="3608" customFormat="false" ht="15" hidden="false" customHeight="false" outlineLevel="0" collapsed="false">
      <c r="A3608" s="21"/>
      <c r="B3608" s="4"/>
      <c r="C3608" s="22"/>
      <c r="D3608" s="5" t="str">
        <f aca="false">IF(B3608="","",IFERROR(INDEX(DE_PARA!$B$6:$B$205,MATCH(B3608,DE_PARA!$A$6:$A$205,0)),"SEM DE-PARA"))</f>
        <v/>
      </c>
      <c r="E3608" s="23" t="str">
        <f aca="false">IF(A3608="","",DATE(YEAR(A3608),MONTH(A3608),1))</f>
        <v/>
      </c>
    </row>
    <row r="3609" customFormat="false" ht="15" hidden="false" customHeight="false" outlineLevel="0" collapsed="false">
      <c r="A3609" s="21"/>
      <c r="B3609" s="4"/>
      <c r="C3609" s="22"/>
      <c r="D3609" s="5" t="str">
        <f aca="false">IF(B3609="","",IFERROR(INDEX(DE_PARA!$B$6:$B$205,MATCH(B3609,DE_PARA!$A$6:$A$205,0)),"SEM DE-PARA"))</f>
        <v/>
      </c>
      <c r="E3609" s="23" t="str">
        <f aca="false">IF(A3609="","",DATE(YEAR(A3609),MONTH(A3609),1))</f>
        <v/>
      </c>
    </row>
    <row r="3610" customFormat="false" ht="15" hidden="false" customHeight="false" outlineLevel="0" collapsed="false">
      <c r="A3610" s="21"/>
      <c r="B3610" s="4"/>
      <c r="C3610" s="22"/>
      <c r="D3610" s="5" t="str">
        <f aca="false">IF(B3610="","",IFERROR(INDEX(DE_PARA!$B$6:$B$205,MATCH(B3610,DE_PARA!$A$6:$A$205,0)),"SEM DE-PARA"))</f>
        <v/>
      </c>
      <c r="E3610" s="23" t="str">
        <f aca="false">IF(A3610="","",DATE(YEAR(A3610),MONTH(A3610),1))</f>
        <v/>
      </c>
    </row>
    <row r="3611" customFormat="false" ht="15" hidden="false" customHeight="false" outlineLevel="0" collapsed="false">
      <c r="A3611" s="21"/>
      <c r="B3611" s="4"/>
      <c r="C3611" s="22"/>
      <c r="D3611" s="5" t="str">
        <f aca="false">IF(B3611="","",IFERROR(INDEX(DE_PARA!$B$6:$B$205,MATCH(B3611,DE_PARA!$A$6:$A$205,0)),"SEM DE-PARA"))</f>
        <v/>
      </c>
      <c r="E3611" s="23" t="str">
        <f aca="false">IF(A3611="","",DATE(YEAR(A3611),MONTH(A3611),1))</f>
        <v/>
      </c>
    </row>
    <row r="3612" customFormat="false" ht="15" hidden="false" customHeight="false" outlineLevel="0" collapsed="false">
      <c r="A3612" s="21"/>
      <c r="B3612" s="4"/>
      <c r="C3612" s="22"/>
      <c r="D3612" s="5" t="str">
        <f aca="false">IF(B3612="","",IFERROR(INDEX(DE_PARA!$B$6:$B$205,MATCH(B3612,DE_PARA!$A$6:$A$205,0)),"SEM DE-PARA"))</f>
        <v/>
      </c>
      <c r="E3612" s="23" t="str">
        <f aca="false">IF(A3612="","",DATE(YEAR(A3612),MONTH(A3612),1))</f>
        <v/>
      </c>
    </row>
    <row r="3613" customFormat="false" ht="15" hidden="false" customHeight="false" outlineLevel="0" collapsed="false">
      <c r="A3613" s="21"/>
      <c r="B3613" s="4"/>
      <c r="C3613" s="22"/>
      <c r="D3613" s="5" t="str">
        <f aca="false">IF(B3613="","",IFERROR(INDEX(DE_PARA!$B$6:$B$205,MATCH(B3613,DE_PARA!$A$6:$A$205,0)),"SEM DE-PARA"))</f>
        <v/>
      </c>
      <c r="E3613" s="23" t="str">
        <f aca="false">IF(A3613="","",DATE(YEAR(A3613),MONTH(A3613),1))</f>
        <v/>
      </c>
    </row>
    <row r="3614" customFormat="false" ht="15" hidden="false" customHeight="false" outlineLevel="0" collapsed="false">
      <c r="A3614" s="21"/>
      <c r="B3614" s="4"/>
      <c r="C3614" s="22"/>
      <c r="D3614" s="5" t="str">
        <f aca="false">IF(B3614="","",IFERROR(INDEX(DE_PARA!$B$6:$B$205,MATCH(B3614,DE_PARA!$A$6:$A$205,0)),"SEM DE-PARA"))</f>
        <v/>
      </c>
      <c r="E3614" s="23" t="str">
        <f aca="false">IF(A3614="","",DATE(YEAR(A3614),MONTH(A3614),1))</f>
        <v/>
      </c>
    </row>
    <row r="3615" customFormat="false" ht="15" hidden="false" customHeight="false" outlineLevel="0" collapsed="false">
      <c r="A3615" s="21"/>
      <c r="B3615" s="4"/>
      <c r="C3615" s="22"/>
      <c r="D3615" s="5" t="str">
        <f aca="false">IF(B3615="","",IFERROR(INDEX(DE_PARA!$B$6:$B$205,MATCH(B3615,DE_PARA!$A$6:$A$205,0)),"SEM DE-PARA"))</f>
        <v/>
      </c>
      <c r="E3615" s="23" t="str">
        <f aca="false">IF(A3615="","",DATE(YEAR(A3615),MONTH(A3615),1))</f>
        <v/>
      </c>
    </row>
    <row r="3616" customFormat="false" ht="15" hidden="false" customHeight="false" outlineLevel="0" collapsed="false">
      <c r="A3616" s="21"/>
      <c r="B3616" s="4"/>
      <c r="C3616" s="22"/>
      <c r="D3616" s="5" t="str">
        <f aca="false">IF(B3616="","",IFERROR(INDEX(DE_PARA!$B$6:$B$205,MATCH(B3616,DE_PARA!$A$6:$A$205,0)),"SEM DE-PARA"))</f>
        <v/>
      </c>
      <c r="E3616" s="23" t="str">
        <f aca="false">IF(A3616="","",DATE(YEAR(A3616),MONTH(A3616),1))</f>
        <v/>
      </c>
    </row>
    <row r="3617" customFormat="false" ht="15" hidden="false" customHeight="false" outlineLevel="0" collapsed="false">
      <c r="A3617" s="21"/>
      <c r="B3617" s="4"/>
      <c r="C3617" s="22"/>
      <c r="D3617" s="5" t="str">
        <f aca="false">IF(B3617="","",IFERROR(INDEX(DE_PARA!$B$6:$B$205,MATCH(B3617,DE_PARA!$A$6:$A$205,0)),"SEM DE-PARA"))</f>
        <v/>
      </c>
      <c r="E3617" s="23" t="str">
        <f aca="false">IF(A3617="","",DATE(YEAR(A3617),MONTH(A3617),1))</f>
        <v/>
      </c>
    </row>
    <row r="3618" customFormat="false" ht="15" hidden="false" customHeight="false" outlineLevel="0" collapsed="false">
      <c r="A3618" s="21"/>
      <c r="B3618" s="4"/>
      <c r="C3618" s="22"/>
      <c r="D3618" s="5" t="str">
        <f aca="false">IF(B3618="","",IFERROR(INDEX(DE_PARA!$B$6:$B$205,MATCH(B3618,DE_PARA!$A$6:$A$205,0)),"SEM DE-PARA"))</f>
        <v/>
      </c>
      <c r="E3618" s="23" t="str">
        <f aca="false">IF(A3618="","",DATE(YEAR(A3618),MONTH(A3618),1))</f>
        <v/>
      </c>
    </row>
    <row r="3619" customFormat="false" ht="15" hidden="false" customHeight="false" outlineLevel="0" collapsed="false">
      <c r="A3619" s="21"/>
      <c r="B3619" s="4"/>
      <c r="C3619" s="22"/>
      <c r="D3619" s="5" t="str">
        <f aca="false">IF(B3619="","",IFERROR(INDEX(DE_PARA!$B$6:$B$205,MATCH(B3619,DE_PARA!$A$6:$A$205,0)),"SEM DE-PARA"))</f>
        <v/>
      </c>
      <c r="E3619" s="23" t="str">
        <f aca="false">IF(A3619="","",DATE(YEAR(A3619),MONTH(A3619),1))</f>
        <v/>
      </c>
    </row>
    <row r="3620" customFormat="false" ht="15" hidden="false" customHeight="false" outlineLevel="0" collapsed="false">
      <c r="A3620" s="21"/>
      <c r="B3620" s="4"/>
      <c r="C3620" s="22"/>
      <c r="D3620" s="5" t="str">
        <f aca="false">IF(B3620="","",IFERROR(INDEX(DE_PARA!$B$6:$B$205,MATCH(B3620,DE_PARA!$A$6:$A$205,0)),"SEM DE-PARA"))</f>
        <v/>
      </c>
      <c r="E3620" s="23" t="str">
        <f aca="false">IF(A3620="","",DATE(YEAR(A3620),MONTH(A3620),1))</f>
        <v/>
      </c>
    </row>
    <row r="3621" customFormat="false" ht="15" hidden="false" customHeight="false" outlineLevel="0" collapsed="false">
      <c r="A3621" s="21"/>
      <c r="B3621" s="4"/>
      <c r="C3621" s="22"/>
      <c r="D3621" s="5" t="str">
        <f aca="false">IF(B3621="","",IFERROR(INDEX(DE_PARA!$B$6:$B$205,MATCH(B3621,DE_PARA!$A$6:$A$205,0)),"SEM DE-PARA"))</f>
        <v/>
      </c>
      <c r="E3621" s="23" t="str">
        <f aca="false">IF(A3621="","",DATE(YEAR(A3621),MONTH(A3621),1))</f>
        <v/>
      </c>
    </row>
    <row r="3622" customFormat="false" ht="15" hidden="false" customHeight="false" outlineLevel="0" collapsed="false">
      <c r="A3622" s="21"/>
      <c r="B3622" s="4"/>
      <c r="C3622" s="22"/>
      <c r="D3622" s="5" t="str">
        <f aca="false">IF(B3622="","",IFERROR(INDEX(DE_PARA!$B$6:$B$205,MATCH(B3622,DE_PARA!$A$6:$A$205,0)),"SEM DE-PARA"))</f>
        <v/>
      </c>
      <c r="E3622" s="23" t="str">
        <f aca="false">IF(A3622="","",DATE(YEAR(A3622),MONTH(A3622),1))</f>
        <v/>
      </c>
    </row>
    <row r="3623" customFormat="false" ht="15" hidden="false" customHeight="false" outlineLevel="0" collapsed="false">
      <c r="A3623" s="21"/>
      <c r="B3623" s="4"/>
      <c r="C3623" s="22"/>
      <c r="D3623" s="5" t="str">
        <f aca="false">IF(B3623="","",IFERROR(INDEX(DE_PARA!$B$6:$B$205,MATCH(B3623,DE_PARA!$A$6:$A$205,0)),"SEM DE-PARA"))</f>
        <v/>
      </c>
      <c r="E3623" s="23" t="str">
        <f aca="false">IF(A3623="","",DATE(YEAR(A3623),MONTH(A3623),1))</f>
        <v/>
      </c>
    </row>
    <row r="3624" customFormat="false" ht="15" hidden="false" customHeight="false" outlineLevel="0" collapsed="false">
      <c r="A3624" s="21"/>
      <c r="B3624" s="4"/>
      <c r="C3624" s="22"/>
      <c r="D3624" s="5" t="str">
        <f aca="false">IF(B3624="","",IFERROR(INDEX(DE_PARA!$B$6:$B$205,MATCH(B3624,DE_PARA!$A$6:$A$205,0)),"SEM DE-PARA"))</f>
        <v/>
      </c>
      <c r="E3624" s="23" t="str">
        <f aca="false">IF(A3624="","",DATE(YEAR(A3624),MONTH(A3624),1))</f>
        <v/>
      </c>
    </row>
    <row r="3625" customFormat="false" ht="15" hidden="false" customHeight="false" outlineLevel="0" collapsed="false">
      <c r="A3625" s="21"/>
      <c r="B3625" s="4"/>
      <c r="C3625" s="22"/>
      <c r="D3625" s="5" t="str">
        <f aca="false">IF(B3625="","",IFERROR(INDEX(DE_PARA!$B$6:$B$205,MATCH(B3625,DE_PARA!$A$6:$A$205,0)),"SEM DE-PARA"))</f>
        <v/>
      </c>
      <c r="E3625" s="23" t="str">
        <f aca="false">IF(A3625="","",DATE(YEAR(A3625),MONTH(A3625),1))</f>
        <v/>
      </c>
    </row>
    <row r="3626" customFormat="false" ht="15" hidden="false" customHeight="false" outlineLevel="0" collapsed="false">
      <c r="A3626" s="21"/>
      <c r="B3626" s="4"/>
      <c r="C3626" s="22"/>
      <c r="D3626" s="5" t="str">
        <f aca="false">IF(B3626="","",IFERROR(INDEX(DE_PARA!$B$6:$B$205,MATCH(B3626,DE_PARA!$A$6:$A$205,0)),"SEM DE-PARA"))</f>
        <v/>
      </c>
      <c r="E3626" s="23" t="str">
        <f aca="false">IF(A3626="","",DATE(YEAR(A3626),MONTH(A3626),1))</f>
        <v/>
      </c>
    </row>
    <row r="3627" customFormat="false" ht="15" hidden="false" customHeight="false" outlineLevel="0" collapsed="false">
      <c r="A3627" s="21"/>
      <c r="B3627" s="4"/>
      <c r="C3627" s="22"/>
      <c r="D3627" s="5" t="str">
        <f aca="false">IF(B3627="","",IFERROR(INDEX(DE_PARA!$B$6:$B$205,MATCH(B3627,DE_PARA!$A$6:$A$205,0)),"SEM DE-PARA"))</f>
        <v/>
      </c>
      <c r="E3627" s="23" t="str">
        <f aca="false">IF(A3627="","",DATE(YEAR(A3627),MONTH(A3627),1))</f>
        <v/>
      </c>
    </row>
    <row r="3628" customFormat="false" ht="15" hidden="false" customHeight="false" outlineLevel="0" collapsed="false">
      <c r="A3628" s="21"/>
      <c r="B3628" s="4"/>
      <c r="C3628" s="22"/>
      <c r="D3628" s="5" t="str">
        <f aca="false">IF(B3628="","",IFERROR(INDEX(DE_PARA!$B$6:$B$205,MATCH(B3628,DE_PARA!$A$6:$A$205,0)),"SEM DE-PARA"))</f>
        <v/>
      </c>
      <c r="E3628" s="23" t="str">
        <f aca="false">IF(A3628="","",DATE(YEAR(A3628),MONTH(A3628),1))</f>
        <v/>
      </c>
    </row>
    <row r="3629" customFormat="false" ht="15" hidden="false" customHeight="false" outlineLevel="0" collapsed="false">
      <c r="A3629" s="21"/>
      <c r="B3629" s="4"/>
      <c r="C3629" s="22"/>
      <c r="D3629" s="5" t="str">
        <f aca="false">IF(B3629="","",IFERROR(INDEX(DE_PARA!$B$6:$B$205,MATCH(B3629,DE_PARA!$A$6:$A$205,0)),"SEM DE-PARA"))</f>
        <v/>
      </c>
      <c r="E3629" s="23" t="str">
        <f aca="false">IF(A3629="","",DATE(YEAR(A3629),MONTH(A3629),1))</f>
        <v/>
      </c>
    </row>
    <row r="3630" customFormat="false" ht="15" hidden="false" customHeight="false" outlineLevel="0" collapsed="false">
      <c r="A3630" s="21"/>
      <c r="B3630" s="4"/>
      <c r="C3630" s="22"/>
      <c r="D3630" s="5" t="str">
        <f aca="false">IF(B3630="","",IFERROR(INDEX(DE_PARA!$B$6:$B$205,MATCH(B3630,DE_PARA!$A$6:$A$205,0)),"SEM DE-PARA"))</f>
        <v/>
      </c>
      <c r="E3630" s="23" t="str">
        <f aca="false">IF(A3630="","",DATE(YEAR(A3630),MONTH(A3630),1))</f>
        <v/>
      </c>
    </row>
    <row r="3631" customFormat="false" ht="15" hidden="false" customHeight="false" outlineLevel="0" collapsed="false">
      <c r="A3631" s="21"/>
      <c r="B3631" s="4"/>
      <c r="C3631" s="22"/>
      <c r="D3631" s="5" t="str">
        <f aca="false">IF(B3631="","",IFERROR(INDEX(DE_PARA!$B$6:$B$205,MATCH(B3631,DE_PARA!$A$6:$A$205,0)),"SEM DE-PARA"))</f>
        <v/>
      </c>
      <c r="E3631" s="23" t="str">
        <f aca="false">IF(A3631="","",DATE(YEAR(A3631),MONTH(A3631),1))</f>
        <v/>
      </c>
    </row>
    <row r="3632" customFormat="false" ht="15" hidden="false" customHeight="false" outlineLevel="0" collapsed="false">
      <c r="A3632" s="21"/>
      <c r="B3632" s="4"/>
      <c r="C3632" s="22"/>
      <c r="D3632" s="5" t="str">
        <f aca="false">IF(B3632="","",IFERROR(INDEX(DE_PARA!$B$6:$B$205,MATCH(B3632,DE_PARA!$A$6:$A$205,0)),"SEM DE-PARA"))</f>
        <v/>
      </c>
      <c r="E3632" s="23" t="str">
        <f aca="false">IF(A3632="","",DATE(YEAR(A3632),MONTH(A3632),1))</f>
        <v/>
      </c>
    </row>
    <row r="3633" customFormat="false" ht="15" hidden="false" customHeight="false" outlineLevel="0" collapsed="false">
      <c r="A3633" s="21"/>
      <c r="B3633" s="4"/>
      <c r="C3633" s="22"/>
      <c r="D3633" s="5" t="str">
        <f aca="false">IF(B3633="","",IFERROR(INDEX(DE_PARA!$B$6:$B$205,MATCH(B3633,DE_PARA!$A$6:$A$205,0)),"SEM DE-PARA"))</f>
        <v/>
      </c>
      <c r="E3633" s="23" t="str">
        <f aca="false">IF(A3633="","",DATE(YEAR(A3633),MONTH(A3633),1))</f>
        <v/>
      </c>
    </row>
    <row r="3634" customFormat="false" ht="15" hidden="false" customHeight="false" outlineLevel="0" collapsed="false">
      <c r="A3634" s="21"/>
      <c r="B3634" s="4"/>
      <c r="C3634" s="22"/>
      <c r="D3634" s="5" t="str">
        <f aca="false">IF(B3634="","",IFERROR(INDEX(DE_PARA!$B$6:$B$205,MATCH(B3634,DE_PARA!$A$6:$A$205,0)),"SEM DE-PARA"))</f>
        <v/>
      </c>
      <c r="E3634" s="23" t="str">
        <f aca="false">IF(A3634="","",DATE(YEAR(A3634),MONTH(A3634),1))</f>
        <v/>
      </c>
    </row>
    <row r="3635" customFormat="false" ht="15" hidden="false" customHeight="false" outlineLevel="0" collapsed="false">
      <c r="A3635" s="21"/>
      <c r="B3635" s="4"/>
      <c r="C3635" s="22"/>
      <c r="D3635" s="5" t="str">
        <f aca="false">IF(B3635="","",IFERROR(INDEX(DE_PARA!$B$6:$B$205,MATCH(B3635,DE_PARA!$A$6:$A$205,0)),"SEM DE-PARA"))</f>
        <v/>
      </c>
      <c r="E3635" s="23" t="str">
        <f aca="false">IF(A3635="","",DATE(YEAR(A3635),MONTH(A3635),1))</f>
        <v/>
      </c>
    </row>
    <row r="3636" customFormat="false" ht="15" hidden="false" customHeight="false" outlineLevel="0" collapsed="false">
      <c r="A3636" s="21"/>
      <c r="B3636" s="4"/>
      <c r="C3636" s="22"/>
      <c r="D3636" s="5" t="str">
        <f aca="false">IF(B3636="","",IFERROR(INDEX(DE_PARA!$B$6:$B$205,MATCH(B3636,DE_PARA!$A$6:$A$205,0)),"SEM DE-PARA"))</f>
        <v/>
      </c>
      <c r="E3636" s="23" t="str">
        <f aca="false">IF(A3636="","",DATE(YEAR(A3636),MONTH(A3636),1))</f>
        <v/>
      </c>
    </row>
    <row r="3637" customFormat="false" ht="15" hidden="false" customHeight="false" outlineLevel="0" collapsed="false">
      <c r="A3637" s="21"/>
      <c r="B3637" s="4"/>
      <c r="C3637" s="22"/>
      <c r="D3637" s="5" t="str">
        <f aca="false">IF(B3637="","",IFERROR(INDEX(DE_PARA!$B$6:$B$205,MATCH(B3637,DE_PARA!$A$6:$A$205,0)),"SEM DE-PARA"))</f>
        <v/>
      </c>
      <c r="E3637" s="23" t="str">
        <f aca="false">IF(A3637="","",DATE(YEAR(A3637),MONTH(A3637),1))</f>
        <v/>
      </c>
    </row>
    <row r="3638" customFormat="false" ht="15" hidden="false" customHeight="false" outlineLevel="0" collapsed="false">
      <c r="A3638" s="21"/>
      <c r="B3638" s="4"/>
      <c r="C3638" s="22"/>
      <c r="D3638" s="5" t="str">
        <f aca="false">IF(B3638="","",IFERROR(INDEX(DE_PARA!$B$6:$B$205,MATCH(B3638,DE_PARA!$A$6:$A$205,0)),"SEM DE-PARA"))</f>
        <v/>
      </c>
      <c r="E3638" s="23" t="str">
        <f aca="false">IF(A3638="","",DATE(YEAR(A3638),MONTH(A3638),1))</f>
        <v/>
      </c>
    </row>
    <row r="3639" customFormat="false" ht="15" hidden="false" customHeight="false" outlineLevel="0" collapsed="false">
      <c r="A3639" s="21"/>
      <c r="B3639" s="4"/>
      <c r="C3639" s="22"/>
      <c r="D3639" s="5" t="str">
        <f aca="false">IF(B3639="","",IFERROR(INDEX(DE_PARA!$B$6:$B$205,MATCH(B3639,DE_PARA!$A$6:$A$205,0)),"SEM DE-PARA"))</f>
        <v/>
      </c>
      <c r="E3639" s="23" t="str">
        <f aca="false">IF(A3639="","",DATE(YEAR(A3639),MONTH(A3639),1))</f>
        <v/>
      </c>
    </row>
    <row r="3640" customFormat="false" ht="15" hidden="false" customHeight="false" outlineLevel="0" collapsed="false">
      <c r="A3640" s="21"/>
      <c r="B3640" s="4"/>
      <c r="C3640" s="22"/>
      <c r="D3640" s="5" t="str">
        <f aca="false">IF(B3640="","",IFERROR(INDEX(DE_PARA!$B$6:$B$205,MATCH(B3640,DE_PARA!$A$6:$A$205,0)),"SEM DE-PARA"))</f>
        <v/>
      </c>
      <c r="E3640" s="23" t="str">
        <f aca="false">IF(A3640="","",DATE(YEAR(A3640),MONTH(A3640),1))</f>
        <v/>
      </c>
    </row>
    <row r="3641" customFormat="false" ht="15" hidden="false" customHeight="false" outlineLevel="0" collapsed="false">
      <c r="A3641" s="21"/>
      <c r="B3641" s="4"/>
      <c r="C3641" s="22"/>
      <c r="D3641" s="5" t="str">
        <f aca="false">IF(B3641="","",IFERROR(INDEX(DE_PARA!$B$6:$B$205,MATCH(B3641,DE_PARA!$A$6:$A$205,0)),"SEM DE-PARA"))</f>
        <v/>
      </c>
      <c r="E3641" s="23" t="str">
        <f aca="false">IF(A3641="","",DATE(YEAR(A3641),MONTH(A3641),1))</f>
        <v/>
      </c>
    </row>
    <row r="3642" customFormat="false" ht="15" hidden="false" customHeight="false" outlineLevel="0" collapsed="false">
      <c r="A3642" s="21"/>
      <c r="B3642" s="4"/>
      <c r="C3642" s="22"/>
      <c r="D3642" s="5" t="str">
        <f aca="false">IF(B3642="","",IFERROR(INDEX(DE_PARA!$B$6:$B$205,MATCH(B3642,DE_PARA!$A$6:$A$205,0)),"SEM DE-PARA"))</f>
        <v/>
      </c>
      <c r="E3642" s="23" t="str">
        <f aca="false">IF(A3642="","",DATE(YEAR(A3642),MONTH(A3642),1))</f>
        <v/>
      </c>
    </row>
    <row r="3643" customFormat="false" ht="15" hidden="false" customHeight="false" outlineLevel="0" collapsed="false">
      <c r="A3643" s="21"/>
      <c r="B3643" s="4"/>
      <c r="C3643" s="22"/>
      <c r="D3643" s="5" t="str">
        <f aca="false">IF(B3643="","",IFERROR(INDEX(DE_PARA!$B$6:$B$205,MATCH(B3643,DE_PARA!$A$6:$A$205,0)),"SEM DE-PARA"))</f>
        <v/>
      </c>
      <c r="E3643" s="23" t="str">
        <f aca="false">IF(A3643="","",DATE(YEAR(A3643),MONTH(A3643),1))</f>
        <v/>
      </c>
    </row>
    <row r="3644" customFormat="false" ht="15" hidden="false" customHeight="false" outlineLevel="0" collapsed="false">
      <c r="A3644" s="21"/>
      <c r="B3644" s="4"/>
      <c r="C3644" s="22"/>
      <c r="D3644" s="5" t="str">
        <f aca="false">IF(B3644="","",IFERROR(INDEX(DE_PARA!$B$6:$B$205,MATCH(B3644,DE_PARA!$A$6:$A$205,0)),"SEM DE-PARA"))</f>
        <v/>
      </c>
      <c r="E3644" s="23" t="str">
        <f aca="false">IF(A3644="","",DATE(YEAR(A3644),MONTH(A3644),1))</f>
        <v/>
      </c>
    </row>
    <row r="3645" customFormat="false" ht="15" hidden="false" customHeight="false" outlineLevel="0" collapsed="false">
      <c r="A3645" s="21"/>
      <c r="B3645" s="4"/>
      <c r="C3645" s="22"/>
      <c r="D3645" s="5" t="str">
        <f aca="false">IF(B3645="","",IFERROR(INDEX(DE_PARA!$B$6:$B$205,MATCH(B3645,DE_PARA!$A$6:$A$205,0)),"SEM DE-PARA"))</f>
        <v/>
      </c>
      <c r="E3645" s="23" t="str">
        <f aca="false">IF(A3645="","",DATE(YEAR(A3645),MONTH(A3645),1))</f>
        <v/>
      </c>
    </row>
    <row r="3646" customFormat="false" ht="15" hidden="false" customHeight="false" outlineLevel="0" collapsed="false">
      <c r="A3646" s="21"/>
      <c r="B3646" s="4"/>
      <c r="C3646" s="22"/>
      <c r="D3646" s="5" t="str">
        <f aca="false">IF(B3646="","",IFERROR(INDEX(DE_PARA!$B$6:$B$205,MATCH(B3646,DE_PARA!$A$6:$A$205,0)),"SEM DE-PARA"))</f>
        <v/>
      </c>
      <c r="E3646" s="23" t="str">
        <f aca="false">IF(A3646="","",DATE(YEAR(A3646),MONTH(A3646),1))</f>
        <v/>
      </c>
    </row>
    <row r="3647" customFormat="false" ht="15" hidden="false" customHeight="false" outlineLevel="0" collapsed="false">
      <c r="A3647" s="21"/>
      <c r="B3647" s="4"/>
      <c r="C3647" s="22"/>
      <c r="D3647" s="5" t="str">
        <f aca="false">IF(B3647="","",IFERROR(INDEX(DE_PARA!$B$6:$B$205,MATCH(B3647,DE_PARA!$A$6:$A$205,0)),"SEM DE-PARA"))</f>
        <v/>
      </c>
      <c r="E3647" s="23" t="str">
        <f aca="false">IF(A3647="","",DATE(YEAR(A3647),MONTH(A3647),1))</f>
        <v/>
      </c>
    </row>
    <row r="3648" customFormat="false" ht="15" hidden="false" customHeight="false" outlineLevel="0" collapsed="false">
      <c r="A3648" s="21"/>
      <c r="B3648" s="4"/>
      <c r="C3648" s="22"/>
      <c r="D3648" s="5" t="str">
        <f aca="false">IF(B3648="","",IFERROR(INDEX(DE_PARA!$B$6:$B$205,MATCH(B3648,DE_PARA!$A$6:$A$205,0)),"SEM DE-PARA"))</f>
        <v/>
      </c>
      <c r="E3648" s="23" t="str">
        <f aca="false">IF(A3648="","",DATE(YEAR(A3648),MONTH(A3648),1))</f>
        <v/>
      </c>
    </row>
    <row r="3649" customFormat="false" ht="15" hidden="false" customHeight="false" outlineLevel="0" collapsed="false">
      <c r="A3649" s="21"/>
      <c r="B3649" s="4"/>
      <c r="C3649" s="22"/>
      <c r="D3649" s="5" t="str">
        <f aca="false">IF(B3649="","",IFERROR(INDEX(DE_PARA!$B$6:$B$205,MATCH(B3649,DE_PARA!$A$6:$A$205,0)),"SEM DE-PARA"))</f>
        <v/>
      </c>
      <c r="E3649" s="23" t="str">
        <f aca="false">IF(A3649="","",DATE(YEAR(A3649),MONTH(A3649),1))</f>
        <v/>
      </c>
    </row>
    <row r="3650" customFormat="false" ht="15" hidden="false" customHeight="false" outlineLevel="0" collapsed="false">
      <c r="A3650" s="21"/>
      <c r="B3650" s="4"/>
      <c r="C3650" s="22"/>
      <c r="D3650" s="5" t="str">
        <f aca="false">IF(B3650="","",IFERROR(INDEX(DE_PARA!$B$6:$B$205,MATCH(B3650,DE_PARA!$A$6:$A$205,0)),"SEM DE-PARA"))</f>
        <v/>
      </c>
      <c r="E3650" s="23" t="str">
        <f aca="false">IF(A3650="","",DATE(YEAR(A3650),MONTH(A3650),1))</f>
        <v/>
      </c>
    </row>
    <row r="3651" customFormat="false" ht="15" hidden="false" customHeight="false" outlineLevel="0" collapsed="false">
      <c r="A3651" s="21"/>
      <c r="B3651" s="4"/>
      <c r="C3651" s="22"/>
      <c r="D3651" s="5" t="str">
        <f aca="false">IF(B3651="","",IFERROR(INDEX(DE_PARA!$B$6:$B$205,MATCH(B3651,DE_PARA!$A$6:$A$205,0)),"SEM DE-PARA"))</f>
        <v/>
      </c>
      <c r="E3651" s="23" t="str">
        <f aca="false">IF(A3651="","",DATE(YEAR(A3651),MONTH(A3651),1))</f>
        <v/>
      </c>
    </row>
    <row r="3652" customFormat="false" ht="15" hidden="false" customHeight="false" outlineLevel="0" collapsed="false">
      <c r="A3652" s="21"/>
      <c r="B3652" s="4"/>
      <c r="C3652" s="22"/>
      <c r="D3652" s="5" t="str">
        <f aca="false">IF(B3652="","",IFERROR(INDEX(DE_PARA!$B$6:$B$205,MATCH(B3652,DE_PARA!$A$6:$A$205,0)),"SEM DE-PARA"))</f>
        <v/>
      </c>
      <c r="E3652" s="23" t="str">
        <f aca="false">IF(A3652="","",DATE(YEAR(A3652),MONTH(A3652),1))</f>
        <v/>
      </c>
    </row>
    <row r="3653" customFormat="false" ht="15" hidden="false" customHeight="false" outlineLevel="0" collapsed="false">
      <c r="A3653" s="21"/>
      <c r="B3653" s="4"/>
      <c r="C3653" s="22"/>
      <c r="D3653" s="5" t="str">
        <f aca="false">IF(B3653="","",IFERROR(INDEX(DE_PARA!$B$6:$B$205,MATCH(B3653,DE_PARA!$A$6:$A$205,0)),"SEM DE-PARA"))</f>
        <v/>
      </c>
      <c r="E3653" s="23" t="str">
        <f aca="false">IF(A3653="","",DATE(YEAR(A3653),MONTH(A3653),1))</f>
        <v/>
      </c>
    </row>
    <row r="3654" customFormat="false" ht="15" hidden="false" customHeight="false" outlineLevel="0" collapsed="false">
      <c r="A3654" s="21"/>
      <c r="B3654" s="4"/>
      <c r="C3654" s="22"/>
      <c r="D3654" s="5" t="str">
        <f aca="false">IF(B3654="","",IFERROR(INDEX(DE_PARA!$B$6:$B$205,MATCH(B3654,DE_PARA!$A$6:$A$205,0)),"SEM DE-PARA"))</f>
        <v/>
      </c>
      <c r="E3654" s="23" t="str">
        <f aca="false">IF(A3654="","",DATE(YEAR(A3654),MONTH(A3654),1))</f>
        <v/>
      </c>
    </row>
    <row r="3655" customFormat="false" ht="15" hidden="false" customHeight="false" outlineLevel="0" collapsed="false">
      <c r="A3655" s="21"/>
      <c r="B3655" s="4"/>
      <c r="C3655" s="22"/>
      <c r="D3655" s="5" t="str">
        <f aca="false">IF(B3655="","",IFERROR(INDEX(DE_PARA!$B$6:$B$205,MATCH(B3655,DE_PARA!$A$6:$A$205,0)),"SEM DE-PARA"))</f>
        <v/>
      </c>
      <c r="E3655" s="23" t="str">
        <f aca="false">IF(A3655="","",DATE(YEAR(A3655),MONTH(A3655),1))</f>
        <v/>
      </c>
    </row>
    <row r="3656" customFormat="false" ht="15" hidden="false" customHeight="false" outlineLevel="0" collapsed="false">
      <c r="A3656" s="21"/>
      <c r="B3656" s="4"/>
      <c r="C3656" s="22"/>
      <c r="D3656" s="5" t="str">
        <f aca="false">IF(B3656="","",IFERROR(INDEX(DE_PARA!$B$6:$B$205,MATCH(B3656,DE_PARA!$A$6:$A$205,0)),"SEM DE-PARA"))</f>
        <v/>
      </c>
      <c r="E3656" s="23" t="str">
        <f aca="false">IF(A3656="","",DATE(YEAR(A3656),MONTH(A3656),1))</f>
        <v/>
      </c>
    </row>
    <row r="3657" customFormat="false" ht="15" hidden="false" customHeight="false" outlineLevel="0" collapsed="false">
      <c r="A3657" s="21"/>
      <c r="B3657" s="4"/>
      <c r="C3657" s="22"/>
      <c r="D3657" s="5" t="str">
        <f aca="false">IF(B3657="","",IFERROR(INDEX(DE_PARA!$B$6:$B$205,MATCH(B3657,DE_PARA!$A$6:$A$205,0)),"SEM DE-PARA"))</f>
        <v/>
      </c>
      <c r="E3657" s="23" t="str">
        <f aca="false">IF(A3657="","",DATE(YEAR(A3657),MONTH(A3657),1))</f>
        <v/>
      </c>
    </row>
    <row r="3658" customFormat="false" ht="15" hidden="false" customHeight="false" outlineLevel="0" collapsed="false">
      <c r="A3658" s="21"/>
      <c r="B3658" s="4"/>
      <c r="C3658" s="22"/>
      <c r="D3658" s="5" t="str">
        <f aca="false">IF(B3658="","",IFERROR(INDEX(DE_PARA!$B$6:$B$205,MATCH(B3658,DE_PARA!$A$6:$A$205,0)),"SEM DE-PARA"))</f>
        <v/>
      </c>
      <c r="E3658" s="23" t="str">
        <f aca="false">IF(A3658="","",DATE(YEAR(A3658),MONTH(A3658),1))</f>
        <v/>
      </c>
    </row>
    <row r="3659" customFormat="false" ht="15" hidden="false" customHeight="false" outlineLevel="0" collapsed="false">
      <c r="A3659" s="21"/>
      <c r="B3659" s="4"/>
      <c r="C3659" s="22"/>
      <c r="D3659" s="5" t="str">
        <f aca="false">IF(B3659="","",IFERROR(INDEX(DE_PARA!$B$6:$B$205,MATCH(B3659,DE_PARA!$A$6:$A$205,0)),"SEM DE-PARA"))</f>
        <v/>
      </c>
      <c r="E3659" s="23" t="str">
        <f aca="false">IF(A3659="","",DATE(YEAR(A3659),MONTH(A3659),1))</f>
        <v/>
      </c>
    </row>
    <row r="3660" customFormat="false" ht="15" hidden="false" customHeight="false" outlineLevel="0" collapsed="false">
      <c r="A3660" s="21"/>
      <c r="B3660" s="4"/>
      <c r="C3660" s="22"/>
      <c r="D3660" s="5" t="str">
        <f aca="false">IF(B3660="","",IFERROR(INDEX(DE_PARA!$B$6:$B$205,MATCH(B3660,DE_PARA!$A$6:$A$205,0)),"SEM DE-PARA"))</f>
        <v/>
      </c>
      <c r="E3660" s="23" t="str">
        <f aca="false">IF(A3660="","",DATE(YEAR(A3660),MONTH(A3660),1))</f>
        <v/>
      </c>
    </row>
    <row r="3661" customFormat="false" ht="15" hidden="false" customHeight="false" outlineLevel="0" collapsed="false">
      <c r="A3661" s="21"/>
      <c r="B3661" s="4"/>
      <c r="C3661" s="22"/>
      <c r="D3661" s="5" t="str">
        <f aca="false">IF(B3661="","",IFERROR(INDEX(DE_PARA!$B$6:$B$205,MATCH(B3661,DE_PARA!$A$6:$A$205,0)),"SEM DE-PARA"))</f>
        <v/>
      </c>
      <c r="E3661" s="23" t="str">
        <f aca="false">IF(A3661="","",DATE(YEAR(A3661),MONTH(A3661),1))</f>
        <v/>
      </c>
    </row>
    <row r="3662" customFormat="false" ht="15" hidden="false" customHeight="false" outlineLevel="0" collapsed="false">
      <c r="A3662" s="21"/>
      <c r="B3662" s="4"/>
      <c r="C3662" s="22"/>
      <c r="D3662" s="5" t="str">
        <f aca="false">IF(B3662="","",IFERROR(INDEX(DE_PARA!$B$6:$B$205,MATCH(B3662,DE_PARA!$A$6:$A$205,0)),"SEM DE-PARA"))</f>
        <v/>
      </c>
      <c r="E3662" s="23" t="str">
        <f aca="false">IF(A3662="","",DATE(YEAR(A3662),MONTH(A3662),1))</f>
        <v/>
      </c>
    </row>
    <row r="3663" customFormat="false" ht="15" hidden="false" customHeight="false" outlineLevel="0" collapsed="false">
      <c r="A3663" s="21"/>
      <c r="B3663" s="4"/>
      <c r="C3663" s="22"/>
      <c r="D3663" s="5" t="str">
        <f aca="false">IF(B3663="","",IFERROR(INDEX(DE_PARA!$B$6:$B$205,MATCH(B3663,DE_PARA!$A$6:$A$205,0)),"SEM DE-PARA"))</f>
        <v/>
      </c>
      <c r="E3663" s="23" t="str">
        <f aca="false">IF(A3663="","",DATE(YEAR(A3663),MONTH(A3663),1))</f>
        <v/>
      </c>
    </row>
    <row r="3664" customFormat="false" ht="15" hidden="false" customHeight="false" outlineLevel="0" collapsed="false">
      <c r="A3664" s="21"/>
      <c r="B3664" s="4"/>
      <c r="C3664" s="22"/>
      <c r="D3664" s="5" t="str">
        <f aca="false">IF(B3664="","",IFERROR(INDEX(DE_PARA!$B$6:$B$205,MATCH(B3664,DE_PARA!$A$6:$A$205,0)),"SEM DE-PARA"))</f>
        <v/>
      </c>
      <c r="E3664" s="23" t="str">
        <f aca="false">IF(A3664="","",DATE(YEAR(A3664),MONTH(A3664),1))</f>
        <v/>
      </c>
    </row>
    <row r="3665" customFormat="false" ht="15" hidden="false" customHeight="false" outlineLevel="0" collapsed="false">
      <c r="A3665" s="21"/>
      <c r="B3665" s="4"/>
      <c r="C3665" s="22"/>
      <c r="D3665" s="5" t="str">
        <f aca="false">IF(B3665="","",IFERROR(INDEX(DE_PARA!$B$6:$B$205,MATCH(B3665,DE_PARA!$A$6:$A$205,0)),"SEM DE-PARA"))</f>
        <v/>
      </c>
      <c r="E3665" s="23" t="str">
        <f aca="false">IF(A3665="","",DATE(YEAR(A3665),MONTH(A3665),1))</f>
        <v/>
      </c>
    </row>
    <row r="3666" customFormat="false" ht="15" hidden="false" customHeight="false" outlineLevel="0" collapsed="false">
      <c r="A3666" s="21"/>
      <c r="B3666" s="4"/>
      <c r="C3666" s="22"/>
      <c r="D3666" s="5" t="str">
        <f aca="false">IF(B3666="","",IFERROR(INDEX(DE_PARA!$B$6:$B$205,MATCH(B3666,DE_PARA!$A$6:$A$205,0)),"SEM DE-PARA"))</f>
        <v/>
      </c>
      <c r="E3666" s="23" t="str">
        <f aca="false">IF(A3666="","",DATE(YEAR(A3666),MONTH(A3666),1))</f>
        <v/>
      </c>
    </row>
    <row r="3667" customFormat="false" ht="15" hidden="false" customHeight="false" outlineLevel="0" collapsed="false">
      <c r="A3667" s="21"/>
      <c r="B3667" s="4"/>
      <c r="C3667" s="22"/>
      <c r="D3667" s="5" t="str">
        <f aca="false">IF(B3667="","",IFERROR(INDEX(DE_PARA!$B$6:$B$205,MATCH(B3667,DE_PARA!$A$6:$A$205,0)),"SEM DE-PARA"))</f>
        <v/>
      </c>
      <c r="E3667" s="23" t="str">
        <f aca="false">IF(A3667="","",DATE(YEAR(A3667),MONTH(A3667),1))</f>
        <v/>
      </c>
    </row>
    <row r="3668" customFormat="false" ht="15" hidden="false" customHeight="false" outlineLevel="0" collapsed="false">
      <c r="A3668" s="21"/>
      <c r="B3668" s="4"/>
      <c r="C3668" s="22"/>
      <c r="D3668" s="5" t="str">
        <f aca="false">IF(B3668="","",IFERROR(INDEX(DE_PARA!$B$6:$B$205,MATCH(B3668,DE_PARA!$A$6:$A$205,0)),"SEM DE-PARA"))</f>
        <v/>
      </c>
      <c r="E3668" s="23" t="str">
        <f aca="false">IF(A3668="","",DATE(YEAR(A3668),MONTH(A3668),1))</f>
        <v/>
      </c>
    </row>
    <row r="3669" customFormat="false" ht="15" hidden="false" customHeight="false" outlineLevel="0" collapsed="false">
      <c r="A3669" s="21"/>
      <c r="B3669" s="4"/>
      <c r="C3669" s="22"/>
      <c r="D3669" s="5" t="str">
        <f aca="false">IF(B3669="","",IFERROR(INDEX(DE_PARA!$B$6:$B$205,MATCH(B3669,DE_PARA!$A$6:$A$205,0)),"SEM DE-PARA"))</f>
        <v/>
      </c>
      <c r="E3669" s="23" t="str">
        <f aca="false">IF(A3669="","",DATE(YEAR(A3669),MONTH(A3669),1))</f>
        <v/>
      </c>
    </row>
    <row r="3670" customFormat="false" ht="15" hidden="false" customHeight="false" outlineLevel="0" collapsed="false">
      <c r="A3670" s="21"/>
      <c r="B3670" s="4"/>
      <c r="C3670" s="22"/>
      <c r="D3670" s="5" t="str">
        <f aca="false">IF(B3670="","",IFERROR(INDEX(DE_PARA!$B$6:$B$205,MATCH(B3670,DE_PARA!$A$6:$A$205,0)),"SEM DE-PARA"))</f>
        <v/>
      </c>
      <c r="E3670" s="23" t="str">
        <f aca="false">IF(A3670="","",DATE(YEAR(A3670),MONTH(A3670),1))</f>
        <v/>
      </c>
    </row>
    <row r="3671" customFormat="false" ht="15" hidden="false" customHeight="false" outlineLevel="0" collapsed="false">
      <c r="A3671" s="21"/>
      <c r="B3671" s="4"/>
      <c r="C3671" s="22"/>
      <c r="D3671" s="5" t="str">
        <f aca="false">IF(B3671="","",IFERROR(INDEX(DE_PARA!$B$6:$B$205,MATCH(B3671,DE_PARA!$A$6:$A$205,0)),"SEM DE-PARA"))</f>
        <v/>
      </c>
      <c r="E3671" s="23" t="str">
        <f aca="false">IF(A3671="","",DATE(YEAR(A3671),MONTH(A3671),1))</f>
        <v/>
      </c>
    </row>
    <row r="3672" customFormat="false" ht="15" hidden="false" customHeight="false" outlineLevel="0" collapsed="false">
      <c r="A3672" s="21"/>
      <c r="B3672" s="4"/>
      <c r="C3672" s="22"/>
      <c r="D3672" s="5" t="str">
        <f aca="false">IF(B3672="","",IFERROR(INDEX(DE_PARA!$B$6:$B$205,MATCH(B3672,DE_PARA!$A$6:$A$205,0)),"SEM DE-PARA"))</f>
        <v/>
      </c>
      <c r="E3672" s="23" t="str">
        <f aca="false">IF(A3672="","",DATE(YEAR(A3672),MONTH(A3672),1))</f>
        <v/>
      </c>
    </row>
    <row r="3673" customFormat="false" ht="15" hidden="false" customHeight="false" outlineLevel="0" collapsed="false">
      <c r="A3673" s="21"/>
      <c r="B3673" s="4"/>
      <c r="C3673" s="22"/>
      <c r="D3673" s="5" t="str">
        <f aca="false">IF(B3673="","",IFERROR(INDEX(DE_PARA!$B$6:$B$205,MATCH(B3673,DE_PARA!$A$6:$A$205,0)),"SEM DE-PARA"))</f>
        <v/>
      </c>
      <c r="E3673" s="23" t="str">
        <f aca="false">IF(A3673="","",DATE(YEAR(A3673),MONTH(A3673),1))</f>
        <v/>
      </c>
    </row>
    <row r="3674" customFormat="false" ht="15" hidden="false" customHeight="false" outlineLevel="0" collapsed="false">
      <c r="A3674" s="21"/>
      <c r="B3674" s="4"/>
      <c r="C3674" s="22"/>
      <c r="D3674" s="5" t="str">
        <f aca="false">IF(B3674="","",IFERROR(INDEX(DE_PARA!$B$6:$B$205,MATCH(B3674,DE_PARA!$A$6:$A$205,0)),"SEM DE-PARA"))</f>
        <v/>
      </c>
      <c r="E3674" s="23" t="str">
        <f aca="false">IF(A3674="","",DATE(YEAR(A3674),MONTH(A3674),1))</f>
        <v/>
      </c>
    </row>
    <row r="3675" customFormat="false" ht="15" hidden="false" customHeight="false" outlineLevel="0" collapsed="false">
      <c r="A3675" s="21"/>
      <c r="B3675" s="4"/>
      <c r="C3675" s="22"/>
      <c r="D3675" s="5" t="str">
        <f aca="false">IF(B3675="","",IFERROR(INDEX(DE_PARA!$B$6:$B$205,MATCH(B3675,DE_PARA!$A$6:$A$205,0)),"SEM DE-PARA"))</f>
        <v/>
      </c>
      <c r="E3675" s="23" t="str">
        <f aca="false">IF(A3675="","",DATE(YEAR(A3675),MONTH(A3675),1))</f>
        <v/>
      </c>
    </row>
    <row r="3676" customFormat="false" ht="15" hidden="false" customHeight="false" outlineLevel="0" collapsed="false">
      <c r="A3676" s="21"/>
      <c r="B3676" s="4"/>
      <c r="C3676" s="22"/>
      <c r="D3676" s="5" t="str">
        <f aca="false">IF(B3676="","",IFERROR(INDEX(DE_PARA!$B$6:$B$205,MATCH(B3676,DE_PARA!$A$6:$A$205,0)),"SEM DE-PARA"))</f>
        <v/>
      </c>
      <c r="E3676" s="23" t="str">
        <f aca="false">IF(A3676="","",DATE(YEAR(A3676),MONTH(A3676),1))</f>
        <v/>
      </c>
    </row>
    <row r="3677" customFormat="false" ht="15" hidden="false" customHeight="false" outlineLevel="0" collapsed="false">
      <c r="A3677" s="21"/>
      <c r="B3677" s="4"/>
      <c r="C3677" s="22"/>
      <c r="D3677" s="5" t="str">
        <f aca="false">IF(B3677="","",IFERROR(INDEX(DE_PARA!$B$6:$B$205,MATCH(B3677,DE_PARA!$A$6:$A$205,0)),"SEM DE-PARA"))</f>
        <v/>
      </c>
      <c r="E3677" s="23" t="str">
        <f aca="false">IF(A3677="","",DATE(YEAR(A3677),MONTH(A3677),1))</f>
        <v/>
      </c>
    </row>
    <row r="3678" customFormat="false" ht="15" hidden="false" customHeight="false" outlineLevel="0" collapsed="false">
      <c r="A3678" s="21"/>
      <c r="B3678" s="4"/>
      <c r="C3678" s="22"/>
      <c r="D3678" s="5" t="str">
        <f aca="false">IF(B3678="","",IFERROR(INDEX(DE_PARA!$B$6:$B$205,MATCH(B3678,DE_PARA!$A$6:$A$205,0)),"SEM DE-PARA"))</f>
        <v/>
      </c>
      <c r="E3678" s="23" t="str">
        <f aca="false">IF(A3678="","",DATE(YEAR(A3678),MONTH(A3678),1))</f>
        <v/>
      </c>
    </row>
    <row r="3679" customFormat="false" ht="15" hidden="false" customHeight="false" outlineLevel="0" collapsed="false">
      <c r="A3679" s="21"/>
      <c r="B3679" s="4"/>
      <c r="C3679" s="22"/>
      <c r="D3679" s="5" t="str">
        <f aca="false">IF(B3679="","",IFERROR(INDEX(DE_PARA!$B$6:$B$205,MATCH(B3679,DE_PARA!$A$6:$A$205,0)),"SEM DE-PARA"))</f>
        <v/>
      </c>
      <c r="E3679" s="23" t="str">
        <f aca="false">IF(A3679="","",DATE(YEAR(A3679),MONTH(A3679),1))</f>
        <v/>
      </c>
    </row>
    <row r="3680" customFormat="false" ht="15" hidden="false" customHeight="false" outlineLevel="0" collapsed="false">
      <c r="A3680" s="21"/>
      <c r="B3680" s="4"/>
      <c r="C3680" s="22"/>
      <c r="D3680" s="5" t="str">
        <f aca="false">IF(B3680="","",IFERROR(INDEX(DE_PARA!$B$6:$B$205,MATCH(B3680,DE_PARA!$A$6:$A$205,0)),"SEM DE-PARA"))</f>
        <v/>
      </c>
      <c r="E3680" s="23" t="str">
        <f aca="false">IF(A3680="","",DATE(YEAR(A3680),MONTH(A3680),1))</f>
        <v/>
      </c>
    </row>
    <row r="3681" customFormat="false" ht="15" hidden="false" customHeight="false" outlineLevel="0" collapsed="false">
      <c r="A3681" s="21"/>
      <c r="B3681" s="4"/>
      <c r="C3681" s="22"/>
      <c r="D3681" s="5" t="str">
        <f aca="false">IF(B3681="","",IFERROR(INDEX(DE_PARA!$B$6:$B$205,MATCH(B3681,DE_PARA!$A$6:$A$205,0)),"SEM DE-PARA"))</f>
        <v/>
      </c>
      <c r="E3681" s="23" t="str">
        <f aca="false">IF(A3681="","",DATE(YEAR(A3681),MONTH(A3681),1))</f>
        <v/>
      </c>
    </row>
    <row r="3682" customFormat="false" ht="15" hidden="false" customHeight="false" outlineLevel="0" collapsed="false">
      <c r="A3682" s="21"/>
      <c r="B3682" s="4"/>
      <c r="C3682" s="22"/>
      <c r="D3682" s="5" t="str">
        <f aca="false">IF(B3682="","",IFERROR(INDEX(DE_PARA!$B$6:$B$205,MATCH(B3682,DE_PARA!$A$6:$A$205,0)),"SEM DE-PARA"))</f>
        <v/>
      </c>
      <c r="E3682" s="23" t="str">
        <f aca="false">IF(A3682="","",DATE(YEAR(A3682),MONTH(A3682),1))</f>
        <v/>
      </c>
    </row>
    <row r="3683" customFormat="false" ht="15" hidden="false" customHeight="false" outlineLevel="0" collapsed="false">
      <c r="A3683" s="21"/>
      <c r="B3683" s="4"/>
      <c r="C3683" s="22"/>
      <c r="D3683" s="5" t="str">
        <f aca="false">IF(B3683="","",IFERROR(INDEX(DE_PARA!$B$6:$B$205,MATCH(B3683,DE_PARA!$A$6:$A$205,0)),"SEM DE-PARA"))</f>
        <v/>
      </c>
      <c r="E3683" s="23" t="str">
        <f aca="false">IF(A3683="","",DATE(YEAR(A3683),MONTH(A3683),1))</f>
        <v/>
      </c>
    </row>
    <row r="3684" customFormat="false" ht="15" hidden="false" customHeight="false" outlineLevel="0" collapsed="false">
      <c r="A3684" s="21"/>
      <c r="B3684" s="4"/>
      <c r="C3684" s="22"/>
      <c r="D3684" s="5" t="str">
        <f aca="false">IF(B3684="","",IFERROR(INDEX(DE_PARA!$B$6:$B$205,MATCH(B3684,DE_PARA!$A$6:$A$205,0)),"SEM DE-PARA"))</f>
        <v/>
      </c>
      <c r="E3684" s="23" t="str">
        <f aca="false">IF(A3684="","",DATE(YEAR(A3684),MONTH(A3684),1))</f>
        <v/>
      </c>
    </row>
    <row r="3685" customFormat="false" ht="15" hidden="false" customHeight="false" outlineLevel="0" collapsed="false">
      <c r="A3685" s="21"/>
      <c r="B3685" s="4"/>
      <c r="C3685" s="22"/>
      <c r="D3685" s="5" t="str">
        <f aca="false">IF(B3685="","",IFERROR(INDEX(DE_PARA!$B$6:$B$205,MATCH(B3685,DE_PARA!$A$6:$A$205,0)),"SEM DE-PARA"))</f>
        <v/>
      </c>
      <c r="E3685" s="23" t="str">
        <f aca="false">IF(A3685="","",DATE(YEAR(A3685),MONTH(A3685),1))</f>
        <v/>
      </c>
    </row>
    <row r="3686" customFormat="false" ht="15" hidden="false" customHeight="false" outlineLevel="0" collapsed="false">
      <c r="A3686" s="21"/>
      <c r="B3686" s="4"/>
      <c r="C3686" s="22"/>
      <c r="D3686" s="5" t="str">
        <f aca="false">IF(B3686="","",IFERROR(INDEX(DE_PARA!$B$6:$B$205,MATCH(B3686,DE_PARA!$A$6:$A$205,0)),"SEM DE-PARA"))</f>
        <v/>
      </c>
      <c r="E3686" s="23" t="str">
        <f aca="false">IF(A3686="","",DATE(YEAR(A3686),MONTH(A3686),1))</f>
        <v/>
      </c>
    </row>
    <row r="3687" customFormat="false" ht="15" hidden="false" customHeight="false" outlineLevel="0" collapsed="false">
      <c r="A3687" s="21"/>
      <c r="B3687" s="4"/>
      <c r="C3687" s="22"/>
      <c r="D3687" s="5" t="str">
        <f aca="false">IF(B3687="","",IFERROR(INDEX(DE_PARA!$B$6:$B$205,MATCH(B3687,DE_PARA!$A$6:$A$205,0)),"SEM DE-PARA"))</f>
        <v/>
      </c>
      <c r="E3687" s="23" t="str">
        <f aca="false">IF(A3687="","",DATE(YEAR(A3687),MONTH(A3687),1))</f>
        <v/>
      </c>
    </row>
    <row r="3688" customFormat="false" ht="15" hidden="false" customHeight="false" outlineLevel="0" collapsed="false">
      <c r="A3688" s="21"/>
      <c r="B3688" s="4"/>
      <c r="C3688" s="22"/>
      <c r="D3688" s="5" t="str">
        <f aca="false">IF(B3688="","",IFERROR(INDEX(DE_PARA!$B$6:$B$205,MATCH(B3688,DE_PARA!$A$6:$A$205,0)),"SEM DE-PARA"))</f>
        <v/>
      </c>
      <c r="E3688" s="23" t="str">
        <f aca="false">IF(A3688="","",DATE(YEAR(A3688),MONTH(A3688),1))</f>
        <v/>
      </c>
    </row>
    <row r="3689" customFormat="false" ht="15" hidden="false" customHeight="false" outlineLevel="0" collapsed="false">
      <c r="A3689" s="21"/>
      <c r="B3689" s="4"/>
      <c r="C3689" s="22"/>
      <c r="D3689" s="5" t="str">
        <f aca="false">IF(B3689="","",IFERROR(INDEX(DE_PARA!$B$6:$B$205,MATCH(B3689,DE_PARA!$A$6:$A$205,0)),"SEM DE-PARA"))</f>
        <v/>
      </c>
      <c r="E3689" s="23" t="str">
        <f aca="false">IF(A3689="","",DATE(YEAR(A3689),MONTH(A3689),1))</f>
        <v/>
      </c>
    </row>
    <row r="3690" customFormat="false" ht="15" hidden="false" customHeight="false" outlineLevel="0" collapsed="false">
      <c r="A3690" s="21"/>
      <c r="B3690" s="4"/>
      <c r="C3690" s="22"/>
      <c r="D3690" s="5" t="str">
        <f aca="false">IF(B3690="","",IFERROR(INDEX(DE_PARA!$B$6:$B$205,MATCH(B3690,DE_PARA!$A$6:$A$205,0)),"SEM DE-PARA"))</f>
        <v/>
      </c>
      <c r="E3690" s="23" t="str">
        <f aca="false">IF(A3690="","",DATE(YEAR(A3690),MONTH(A3690),1))</f>
        <v/>
      </c>
    </row>
    <row r="3691" customFormat="false" ht="15" hidden="false" customHeight="false" outlineLevel="0" collapsed="false">
      <c r="A3691" s="21"/>
      <c r="B3691" s="4"/>
      <c r="C3691" s="22"/>
      <c r="D3691" s="5" t="str">
        <f aca="false">IF(B3691="","",IFERROR(INDEX(DE_PARA!$B$6:$B$205,MATCH(B3691,DE_PARA!$A$6:$A$205,0)),"SEM DE-PARA"))</f>
        <v/>
      </c>
      <c r="E3691" s="23" t="str">
        <f aca="false">IF(A3691="","",DATE(YEAR(A3691),MONTH(A3691),1))</f>
        <v/>
      </c>
    </row>
    <row r="3692" customFormat="false" ht="15" hidden="false" customHeight="false" outlineLevel="0" collapsed="false">
      <c r="A3692" s="21"/>
      <c r="B3692" s="4"/>
      <c r="C3692" s="22"/>
      <c r="D3692" s="5" t="str">
        <f aca="false">IF(B3692="","",IFERROR(INDEX(DE_PARA!$B$6:$B$205,MATCH(B3692,DE_PARA!$A$6:$A$205,0)),"SEM DE-PARA"))</f>
        <v/>
      </c>
      <c r="E3692" s="23" t="str">
        <f aca="false">IF(A3692="","",DATE(YEAR(A3692),MONTH(A3692),1))</f>
        <v/>
      </c>
    </row>
    <row r="3693" customFormat="false" ht="15" hidden="false" customHeight="false" outlineLevel="0" collapsed="false">
      <c r="A3693" s="21"/>
      <c r="B3693" s="4"/>
      <c r="C3693" s="22"/>
      <c r="D3693" s="5" t="str">
        <f aca="false">IF(B3693="","",IFERROR(INDEX(DE_PARA!$B$6:$B$205,MATCH(B3693,DE_PARA!$A$6:$A$205,0)),"SEM DE-PARA"))</f>
        <v/>
      </c>
      <c r="E3693" s="23" t="str">
        <f aca="false">IF(A3693="","",DATE(YEAR(A3693),MONTH(A3693),1))</f>
        <v/>
      </c>
    </row>
    <row r="3694" customFormat="false" ht="15" hidden="false" customHeight="false" outlineLevel="0" collapsed="false">
      <c r="A3694" s="21"/>
      <c r="B3694" s="4"/>
      <c r="C3694" s="22"/>
      <c r="D3694" s="5" t="str">
        <f aca="false">IF(B3694="","",IFERROR(INDEX(DE_PARA!$B$6:$B$205,MATCH(B3694,DE_PARA!$A$6:$A$205,0)),"SEM DE-PARA"))</f>
        <v/>
      </c>
      <c r="E3694" s="23" t="str">
        <f aca="false">IF(A3694="","",DATE(YEAR(A3694),MONTH(A3694),1))</f>
        <v/>
      </c>
    </row>
    <row r="3695" customFormat="false" ht="15" hidden="false" customHeight="false" outlineLevel="0" collapsed="false">
      <c r="A3695" s="21"/>
      <c r="B3695" s="4"/>
      <c r="C3695" s="22"/>
      <c r="D3695" s="5" t="str">
        <f aca="false">IF(B3695="","",IFERROR(INDEX(DE_PARA!$B$6:$B$205,MATCH(B3695,DE_PARA!$A$6:$A$205,0)),"SEM DE-PARA"))</f>
        <v/>
      </c>
      <c r="E3695" s="23" t="str">
        <f aca="false">IF(A3695="","",DATE(YEAR(A3695),MONTH(A3695),1))</f>
        <v/>
      </c>
    </row>
    <row r="3696" customFormat="false" ht="15" hidden="false" customHeight="false" outlineLevel="0" collapsed="false">
      <c r="A3696" s="21"/>
      <c r="B3696" s="4"/>
      <c r="C3696" s="22"/>
      <c r="D3696" s="5" t="str">
        <f aca="false">IF(B3696="","",IFERROR(INDEX(DE_PARA!$B$6:$B$205,MATCH(B3696,DE_PARA!$A$6:$A$205,0)),"SEM DE-PARA"))</f>
        <v/>
      </c>
      <c r="E3696" s="23" t="str">
        <f aca="false">IF(A3696="","",DATE(YEAR(A3696),MONTH(A3696),1))</f>
        <v/>
      </c>
    </row>
    <row r="3697" customFormat="false" ht="15" hidden="false" customHeight="false" outlineLevel="0" collapsed="false">
      <c r="A3697" s="21"/>
      <c r="B3697" s="4"/>
      <c r="C3697" s="22"/>
      <c r="D3697" s="5" t="str">
        <f aca="false">IF(B3697="","",IFERROR(INDEX(DE_PARA!$B$6:$B$205,MATCH(B3697,DE_PARA!$A$6:$A$205,0)),"SEM DE-PARA"))</f>
        <v/>
      </c>
      <c r="E3697" s="23" t="str">
        <f aca="false">IF(A3697="","",DATE(YEAR(A3697),MONTH(A3697),1))</f>
        <v/>
      </c>
    </row>
    <row r="3698" customFormat="false" ht="15" hidden="false" customHeight="false" outlineLevel="0" collapsed="false">
      <c r="A3698" s="21"/>
      <c r="B3698" s="4"/>
      <c r="C3698" s="22"/>
      <c r="D3698" s="5" t="str">
        <f aca="false">IF(B3698="","",IFERROR(INDEX(DE_PARA!$B$6:$B$205,MATCH(B3698,DE_PARA!$A$6:$A$205,0)),"SEM DE-PARA"))</f>
        <v/>
      </c>
      <c r="E3698" s="23" t="str">
        <f aca="false">IF(A3698="","",DATE(YEAR(A3698),MONTH(A3698),1))</f>
        <v/>
      </c>
    </row>
    <row r="3699" customFormat="false" ht="15" hidden="false" customHeight="false" outlineLevel="0" collapsed="false">
      <c r="A3699" s="21"/>
      <c r="B3699" s="4"/>
      <c r="C3699" s="22"/>
      <c r="D3699" s="5" t="str">
        <f aca="false">IF(B3699="","",IFERROR(INDEX(DE_PARA!$B$6:$B$205,MATCH(B3699,DE_PARA!$A$6:$A$205,0)),"SEM DE-PARA"))</f>
        <v/>
      </c>
      <c r="E3699" s="23" t="str">
        <f aca="false">IF(A3699="","",DATE(YEAR(A3699),MONTH(A3699),1))</f>
        <v/>
      </c>
    </row>
    <row r="3700" customFormat="false" ht="15" hidden="false" customHeight="false" outlineLevel="0" collapsed="false">
      <c r="A3700" s="21"/>
      <c r="B3700" s="4"/>
      <c r="C3700" s="22"/>
      <c r="D3700" s="5" t="str">
        <f aca="false">IF(B3700="","",IFERROR(INDEX(DE_PARA!$B$6:$B$205,MATCH(B3700,DE_PARA!$A$6:$A$205,0)),"SEM DE-PARA"))</f>
        <v/>
      </c>
      <c r="E3700" s="23" t="str">
        <f aca="false">IF(A3700="","",DATE(YEAR(A3700),MONTH(A3700),1))</f>
        <v/>
      </c>
    </row>
    <row r="3701" customFormat="false" ht="15" hidden="false" customHeight="false" outlineLevel="0" collapsed="false">
      <c r="A3701" s="21"/>
      <c r="B3701" s="4"/>
      <c r="C3701" s="22"/>
      <c r="D3701" s="5" t="str">
        <f aca="false">IF(B3701="","",IFERROR(INDEX(DE_PARA!$B$6:$B$205,MATCH(B3701,DE_PARA!$A$6:$A$205,0)),"SEM DE-PARA"))</f>
        <v/>
      </c>
      <c r="E3701" s="23" t="str">
        <f aca="false">IF(A3701="","",DATE(YEAR(A3701),MONTH(A3701),1))</f>
        <v/>
      </c>
    </row>
    <row r="3702" customFormat="false" ht="15" hidden="false" customHeight="false" outlineLevel="0" collapsed="false">
      <c r="A3702" s="21"/>
      <c r="B3702" s="4"/>
      <c r="C3702" s="22"/>
      <c r="D3702" s="5" t="str">
        <f aca="false">IF(B3702="","",IFERROR(INDEX(DE_PARA!$B$6:$B$205,MATCH(B3702,DE_PARA!$A$6:$A$205,0)),"SEM DE-PARA"))</f>
        <v/>
      </c>
      <c r="E3702" s="23" t="str">
        <f aca="false">IF(A3702="","",DATE(YEAR(A3702),MONTH(A3702),1))</f>
        <v/>
      </c>
    </row>
    <row r="3703" customFormat="false" ht="15" hidden="false" customHeight="false" outlineLevel="0" collapsed="false">
      <c r="A3703" s="21"/>
      <c r="B3703" s="4"/>
      <c r="C3703" s="22"/>
      <c r="D3703" s="5" t="str">
        <f aca="false">IF(B3703="","",IFERROR(INDEX(DE_PARA!$B$6:$B$205,MATCH(B3703,DE_PARA!$A$6:$A$205,0)),"SEM DE-PARA"))</f>
        <v/>
      </c>
      <c r="E3703" s="23" t="str">
        <f aca="false">IF(A3703="","",DATE(YEAR(A3703),MONTH(A3703),1))</f>
        <v/>
      </c>
    </row>
    <row r="3704" customFormat="false" ht="15" hidden="false" customHeight="false" outlineLevel="0" collapsed="false">
      <c r="A3704" s="21"/>
      <c r="B3704" s="4"/>
      <c r="C3704" s="22"/>
      <c r="D3704" s="5" t="str">
        <f aca="false">IF(B3704="","",IFERROR(INDEX(DE_PARA!$B$6:$B$205,MATCH(B3704,DE_PARA!$A$6:$A$205,0)),"SEM DE-PARA"))</f>
        <v/>
      </c>
      <c r="E3704" s="23" t="str">
        <f aca="false">IF(A3704="","",DATE(YEAR(A3704),MONTH(A3704),1))</f>
        <v/>
      </c>
    </row>
    <row r="3705" customFormat="false" ht="15" hidden="false" customHeight="false" outlineLevel="0" collapsed="false">
      <c r="A3705" s="21"/>
      <c r="B3705" s="4"/>
      <c r="C3705" s="22"/>
      <c r="D3705" s="5" t="str">
        <f aca="false">IF(B3705="","",IFERROR(INDEX(DE_PARA!$B$6:$B$205,MATCH(B3705,DE_PARA!$A$6:$A$205,0)),"SEM DE-PARA"))</f>
        <v/>
      </c>
      <c r="E3705" s="23" t="str">
        <f aca="false">IF(A3705="","",DATE(YEAR(A3705),MONTH(A3705),1))</f>
        <v/>
      </c>
    </row>
    <row r="3706" customFormat="false" ht="15" hidden="false" customHeight="false" outlineLevel="0" collapsed="false">
      <c r="A3706" s="21"/>
      <c r="B3706" s="4"/>
      <c r="C3706" s="22"/>
      <c r="D3706" s="5" t="str">
        <f aca="false">IF(B3706="","",IFERROR(INDEX(DE_PARA!$B$6:$B$205,MATCH(B3706,DE_PARA!$A$6:$A$205,0)),"SEM DE-PARA"))</f>
        <v/>
      </c>
      <c r="E3706" s="23" t="str">
        <f aca="false">IF(A3706="","",DATE(YEAR(A3706),MONTH(A3706),1))</f>
        <v/>
      </c>
    </row>
    <row r="3707" customFormat="false" ht="15" hidden="false" customHeight="false" outlineLevel="0" collapsed="false">
      <c r="A3707" s="21"/>
      <c r="B3707" s="4"/>
      <c r="C3707" s="22"/>
      <c r="D3707" s="5" t="str">
        <f aca="false">IF(B3707="","",IFERROR(INDEX(DE_PARA!$B$6:$B$205,MATCH(B3707,DE_PARA!$A$6:$A$205,0)),"SEM DE-PARA"))</f>
        <v/>
      </c>
      <c r="E3707" s="23" t="str">
        <f aca="false">IF(A3707="","",DATE(YEAR(A3707),MONTH(A3707),1))</f>
        <v/>
      </c>
    </row>
    <row r="3708" customFormat="false" ht="15" hidden="false" customHeight="false" outlineLevel="0" collapsed="false">
      <c r="A3708" s="21"/>
      <c r="B3708" s="4"/>
      <c r="C3708" s="22"/>
      <c r="D3708" s="5" t="str">
        <f aca="false">IF(B3708="","",IFERROR(INDEX(DE_PARA!$B$6:$B$205,MATCH(B3708,DE_PARA!$A$6:$A$205,0)),"SEM DE-PARA"))</f>
        <v/>
      </c>
      <c r="E3708" s="23" t="str">
        <f aca="false">IF(A3708="","",DATE(YEAR(A3708),MONTH(A3708),1))</f>
        <v/>
      </c>
    </row>
    <row r="3709" customFormat="false" ht="15" hidden="false" customHeight="false" outlineLevel="0" collapsed="false">
      <c r="A3709" s="21"/>
      <c r="B3709" s="4"/>
      <c r="C3709" s="22"/>
      <c r="D3709" s="5" t="str">
        <f aca="false">IF(B3709="","",IFERROR(INDEX(DE_PARA!$B$6:$B$205,MATCH(B3709,DE_PARA!$A$6:$A$205,0)),"SEM DE-PARA"))</f>
        <v/>
      </c>
      <c r="E3709" s="23" t="str">
        <f aca="false">IF(A3709="","",DATE(YEAR(A3709),MONTH(A3709),1))</f>
        <v/>
      </c>
    </row>
    <row r="3710" customFormat="false" ht="15" hidden="false" customHeight="false" outlineLevel="0" collapsed="false">
      <c r="A3710" s="21"/>
      <c r="B3710" s="4"/>
      <c r="C3710" s="22"/>
      <c r="D3710" s="5" t="str">
        <f aca="false">IF(B3710="","",IFERROR(INDEX(DE_PARA!$B$6:$B$205,MATCH(B3710,DE_PARA!$A$6:$A$205,0)),"SEM DE-PARA"))</f>
        <v/>
      </c>
      <c r="E3710" s="23" t="str">
        <f aca="false">IF(A3710="","",DATE(YEAR(A3710),MONTH(A3710),1))</f>
        <v/>
      </c>
    </row>
    <row r="3711" customFormat="false" ht="15" hidden="false" customHeight="false" outlineLevel="0" collapsed="false">
      <c r="A3711" s="21"/>
      <c r="B3711" s="4"/>
      <c r="C3711" s="22"/>
      <c r="D3711" s="5" t="str">
        <f aca="false">IF(B3711="","",IFERROR(INDEX(DE_PARA!$B$6:$B$205,MATCH(B3711,DE_PARA!$A$6:$A$205,0)),"SEM DE-PARA"))</f>
        <v/>
      </c>
      <c r="E3711" s="23" t="str">
        <f aca="false">IF(A3711="","",DATE(YEAR(A3711),MONTH(A3711),1))</f>
        <v/>
      </c>
    </row>
    <row r="3712" customFormat="false" ht="15" hidden="false" customHeight="false" outlineLevel="0" collapsed="false">
      <c r="A3712" s="21"/>
      <c r="B3712" s="4"/>
      <c r="C3712" s="22"/>
      <c r="D3712" s="5" t="str">
        <f aca="false">IF(B3712="","",IFERROR(INDEX(DE_PARA!$B$6:$B$205,MATCH(B3712,DE_PARA!$A$6:$A$205,0)),"SEM DE-PARA"))</f>
        <v/>
      </c>
      <c r="E3712" s="23" t="str">
        <f aca="false">IF(A3712="","",DATE(YEAR(A3712),MONTH(A3712),1))</f>
        <v/>
      </c>
    </row>
    <row r="3713" customFormat="false" ht="15" hidden="false" customHeight="false" outlineLevel="0" collapsed="false">
      <c r="A3713" s="21"/>
      <c r="B3713" s="4"/>
      <c r="C3713" s="22"/>
      <c r="D3713" s="5" t="str">
        <f aca="false">IF(B3713="","",IFERROR(INDEX(DE_PARA!$B$6:$B$205,MATCH(B3713,DE_PARA!$A$6:$A$205,0)),"SEM DE-PARA"))</f>
        <v/>
      </c>
      <c r="E3713" s="23" t="str">
        <f aca="false">IF(A3713="","",DATE(YEAR(A3713),MONTH(A3713),1))</f>
        <v/>
      </c>
    </row>
    <row r="3714" customFormat="false" ht="15" hidden="false" customHeight="false" outlineLevel="0" collapsed="false">
      <c r="A3714" s="21"/>
      <c r="B3714" s="4"/>
      <c r="C3714" s="22"/>
      <c r="D3714" s="5" t="str">
        <f aca="false">IF(B3714="","",IFERROR(INDEX(DE_PARA!$B$6:$B$205,MATCH(B3714,DE_PARA!$A$6:$A$205,0)),"SEM DE-PARA"))</f>
        <v/>
      </c>
      <c r="E3714" s="23" t="str">
        <f aca="false">IF(A3714="","",DATE(YEAR(A3714),MONTH(A3714),1))</f>
        <v/>
      </c>
    </row>
    <row r="3715" customFormat="false" ht="15" hidden="false" customHeight="false" outlineLevel="0" collapsed="false">
      <c r="A3715" s="21"/>
      <c r="B3715" s="4"/>
      <c r="C3715" s="22"/>
      <c r="D3715" s="5" t="str">
        <f aca="false">IF(B3715="","",IFERROR(INDEX(DE_PARA!$B$6:$B$205,MATCH(B3715,DE_PARA!$A$6:$A$205,0)),"SEM DE-PARA"))</f>
        <v/>
      </c>
      <c r="E3715" s="23" t="str">
        <f aca="false">IF(A3715="","",DATE(YEAR(A3715),MONTH(A3715),1))</f>
        <v/>
      </c>
    </row>
    <row r="3716" customFormat="false" ht="15" hidden="false" customHeight="false" outlineLevel="0" collapsed="false">
      <c r="A3716" s="21"/>
      <c r="B3716" s="4"/>
      <c r="C3716" s="22"/>
      <c r="D3716" s="5" t="str">
        <f aca="false">IF(B3716="","",IFERROR(INDEX(DE_PARA!$B$6:$B$205,MATCH(B3716,DE_PARA!$A$6:$A$205,0)),"SEM DE-PARA"))</f>
        <v/>
      </c>
      <c r="E3716" s="23" t="str">
        <f aca="false">IF(A3716="","",DATE(YEAR(A3716),MONTH(A3716),1))</f>
        <v/>
      </c>
    </row>
    <row r="3717" customFormat="false" ht="15" hidden="false" customHeight="false" outlineLevel="0" collapsed="false">
      <c r="A3717" s="21"/>
      <c r="B3717" s="4"/>
      <c r="C3717" s="22"/>
      <c r="D3717" s="5" t="str">
        <f aca="false">IF(B3717="","",IFERROR(INDEX(DE_PARA!$B$6:$B$205,MATCH(B3717,DE_PARA!$A$6:$A$205,0)),"SEM DE-PARA"))</f>
        <v/>
      </c>
      <c r="E3717" s="23" t="str">
        <f aca="false">IF(A3717="","",DATE(YEAR(A3717),MONTH(A3717),1))</f>
        <v/>
      </c>
    </row>
    <row r="3718" customFormat="false" ht="15" hidden="false" customHeight="false" outlineLevel="0" collapsed="false">
      <c r="A3718" s="21"/>
      <c r="B3718" s="4"/>
      <c r="C3718" s="22"/>
      <c r="D3718" s="5" t="str">
        <f aca="false">IF(B3718="","",IFERROR(INDEX(DE_PARA!$B$6:$B$205,MATCH(B3718,DE_PARA!$A$6:$A$205,0)),"SEM DE-PARA"))</f>
        <v/>
      </c>
      <c r="E3718" s="23" t="str">
        <f aca="false">IF(A3718="","",DATE(YEAR(A3718),MONTH(A3718),1))</f>
        <v/>
      </c>
    </row>
    <row r="3719" customFormat="false" ht="15" hidden="false" customHeight="false" outlineLevel="0" collapsed="false">
      <c r="A3719" s="21"/>
      <c r="B3719" s="4"/>
      <c r="C3719" s="22"/>
      <c r="D3719" s="5" t="str">
        <f aca="false">IF(B3719="","",IFERROR(INDEX(DE_PARA!$B$6:$B$205,MATCH(B3719,DE_PARA!$A$6:$A$205,0)),"SEM DE-PARA"))</f>
        <v/>
      </c>
      <c r="E3719" s="23" t="str">
        <f aca="false">IF(A3719="","",DATE(YEAR(A3719),MONTH(A3719),1))</f>
        <v/>
      </c>
    </row>
    <row r="3720" customFormat="false" ht="15" hidden="false" customHeight="false" outlineLevel="0" collapsed="false">
      <c r="A3720" s="21"/>
      <c r="B3720" s="4"/>
      <c r="C3720" s="22"/>
      <c r="D3720" s="5" t="str">
        <f aca="false">IF(B3720="","",IFERROR(INDEX(DE_PARA!$B$6:$B$205,MATCH(B3720,DE_PARA!$A$6:$A$205,0)),"SEM DE-PARA"))</f>
        <v/>
      </c>
      <c r="E3720" s="23" t="str">
        <f aca="false">IF(A3720="","",DATE(YEAR(A3720),MONTH(A3720),1))</f>
        <v/>
      </c>
    </row>
    <row r="3721" customFormat="false" ht="15" hidden="false" customHeight="false" outlineLevel="0" collapsed="false">
      <c r="A3721" s="21"/>
      <c r="B3721" s="4"/>
      <c r="C3721" s="22"/>
      <c r="D3721" s="5" t="str">
        <f aca="false">IF(B3721="","",IFERROR(INDEX(DE_PARA!$B$6:$B$205,MATCH(B3721,DE_PARA!$A$6:$A$205,0)),"SEM DE-PARA"))</f>
        <v/>
      </c>
      <c r="E3721" s="23" t="str">
        <f aca="false">IF(A3721="","",DATE(YEAR(A3721),MONTH(A3721),1))</f>
        <v/>
      </c>
    </row>
    <row r="3722" customFormat="false" ht="15" hidden="false" customHeight="false" outlineLevel="0" collapsed="false">
      <c r="A3722" s="21"/>
      <c r="B3722" s="4"/>
      <c r="C3722" s="22"/>
      <c r="D3722" s="5" t="str">
        <f aca="false">IF(B3722="","",IFERROR(INDEX(DE_PARA!$B$6:$B$205,MATCH(B3722,DE_PARA!$A$6:$A$205,0)),"SEM DE-PARA"))</f>
        <v/>
      </c>
      <c r="E3722" s="23" t="str">
        <f aca="false">IF(A3722="","",DATE(YEAR(A3722),MONTH(A3722),1))</f>
        <v/>
      </c>
    </row>
    <row r="3723" customFormat="false" ht="15" hidden="false" customHeight="false" outlineLevel="0" collapsed="false">
      <c r="A3723" s="21"/>
      <c r="B3723" s="4"/>
      <c r="C3723" s="22"/>
      <c r="D3723" s="5" t="str">
        <f aca="false">IF(B3723="","",IFERROR(INDEX(DE_PARA!$B$6:$B$205,MATCH(B3723,DE_PARA!$A$6:$A$205,0)),"SEM DE-PARA"))</f>
        <v/>
      </c>
      <c r="E3723" s="23" t="str">
        <f aca="false">IF(A3723="","",DATE(YEAR(A3723),MONTH(A3723),1))</f>
        <v/>
      </c>
    </row>
    <row r="3724" customFormat="false" ht="15" hidden="false" customHeight="false" outlineLevel="0" collapsed="false">
      <c r="A3724" s="21"/>
      <c r="B3724" s="4"/>
      <c r="C3724" s="22"/>
      <c r="D3724" s="5" t="str">
        <f aca="false">IF(B3724="","",IFERROR(INDEX(DE_PARA!$B$6:$B$205,MATCH(B3724,DE_PARA!$A$6:$A$205,0)),"SEM DE-PARA"))</f>
        <v/>
      </c>
      <c r="E3724" s="23" t="str">
        <f aca="false">IF(A3724="","",DATE(YEAR(A3724),MONTH(A3724),1))</f>
        <v/>
      </c>
    </row>
    <row r="3725" customFormat="false" ht="15" hidden="false" customHeight="false" outlineLevel="0" collapsed="false">
      <c r="A3725" s="21"/>
      <c r="B3725" s="4"/>
      <c r="C3725" s="22"/>
      <c r="D3725" s="5" t="str">
        <f aca="false">IF(B3725="","",IFERROR(INDEX(DE_PARA!$B$6:$B$205,MATCH(B3725,DE_PARA!$A$6:$A$205,0)),"SEM DE-PARA"))</f>
        <v/>
      </c>
      <c r="E3725" s="23" t="str">
        <f aca="false">IF(A3725="","",DATE(YEAR(A3725),MONTH(A3725),1))</f>
        <v/>
      </c>
    </row>
    <row r="3726" customFormat="false" ht="15" hidden="false" customHeight="false" outlineLevel="0" collapsed="false">
      <c r="A3726" s="21"/>
      <c r="B3726" s="4"/>
      <c r="C3726" s="22"/>
      <c r="D3726" s="5" t="str">
        <f aca="false">IF(B3726="","",IFERROR(INDEX(DE_PARA!$B$6:$B$205,MATCH(B3726,DE_PARA!$A$6:$A$205,0)),"SEM DE-PARA"))</f>
        <v/>
      </c>
      <c r="E3726" s="23" t="str">
        <f aca="false">IF(A3726="","",DATE(YEAR(A3726),MONTH(A3726),1))</f>
        <v/>
      </c>
    </row>
    <row r="3727" customFormat="false" ht="15" hidden="false" customHeight="false" outlineLevel="0" collapsed="false">
      <c r="A3727" s="21"/>
      <c r="B3727" s="4"/>
      <c r="C3727" s="22"/>
      <c r="D3727" s="5" t="str">
        <f aca="false">IF(B3727="","",IFERROR(INDEX(DE_PARA!$B$6:$B$205,MATCH(B3727,DE_PARA!$A$6:$A$205,0)),"SEM DE-PARA"))</f>
        <v/>
      </c>
      <c r="E3727" s="23" t="str">
        <f aca="false">IF(A3727="","",DATE(YEAR(A3727),MONTH(A3727),1))</f>
        <v/>
      </c>
    </row>
    <row r="3728" customFormat="false" ht="15" hidden="false" customHeight="false" outlineLevel="0" collapsed="false">
      <c r="A3728" s="21"/>
      <c r="B3728" s="4"/>
      <c r="C3728" s="22"/>
      <c r="D3728" s="5" t="str">
        <f aca="false">IF(B3728="","",IFERROR(INDEX(DE_PARA!$B$6:$B$205,MATCH(B3728,DE_PARA!$A$6:$A$205,0)),"SEM DE-PARA"))</f>
        <v/>
      </c>
      <c r="E3728" s="23" t="str">
        <f aca="false">IF(A3728="","",DATE(YEAR(A3728),MONTH(A3728),1))</f>
        <v/>
      </c>
    </row>
    <row r="3729" customFormat="false" ht="15" hidden="false" customHeight="false" outlineLevel="0" collapsed="false">
      <c r="A3729" s="21"/>
      <c r="B3729" s="4"/>
      <c r="C3729" s="22"/>
      <c r="D3729" s="5" t="str">
        <f aca="false">IF(B3729="","",IFERROR(INDEX(DE_PARA!$B$6:$B$205,MATCH(B3729,DE_PARA!$A$6:$A$205,0)),"SEM DE-PARA"))</f>
        <v/>
      </c>
      <c r="E3729" s="23" t="str">
        <f aca="false">IF(A3729="","",DATE(YEAR(A3729),MONTH(A3729),1))</f>
        <v/>
      </c>
    </row>
    <row r="3730" customFormat="false" ht="15" hidden="false" customHeight="false" outlineLevel="0" collapsed="false">
      <c r="A3730" s="21"/>
      <c r="B3730" s="4"/>
      <c r="C3730" s="22"/>
      <c r="D3730" s="5" t="str">
        <f aca="false">IF(B3730="","",IFERROR(INDEX(DE_PARA!$B$6:$B$205,MATCH(B3730,DE_PARA!$A$6:$A$205,0)),"SEM DE-PARA"))</f>
        <v/>
      </c>
      <c r="E3730" s="23" t="str">
        <f aca="false">IF(A3730="","",DATE(YEAR(A3730),MONTH(A3730),1))</f>
        <v/>
      </c>
    </row>
    <row r="3731" customFormat="false" ht="15" hidden="false" customHeight="false" outlineLevel="0" collapsed="false">
      <c r="A3731" s="21"/>
      <c r="B3731" s="4"/>
      <c r="C3731" s="22"/>
      <c r="D3731" s="5" t="str">
        <f aca="false">IF(B3731="","",IFERROR(INDEX(DE_PARA!$B$6:$B$205,MATCH(B3731,DE_PARA!$A$6:$A$205,0)),"SEM DE-PARA"))</f>
        <v/>
      </c>
      <c r="E3731" s="23" t="str">
        <f aca="false">IF(A3731="","",DATE(YEAR(A3731),MONTH(A3731),1))</f>
        <v/>
      </c>
    </row>
    <row r="3732" customFormat="false" ht="15" hidden="false" customHeight="false" outlineLevel="0" collapsed="false">
      <c r="A3732" s="21"/>
      <c r="B3732" s="4"/>
      <c r="C3732" s="22"/>
      <c r="D3732" s="5" t="str">
        <f aca="false">IF(B3732="","",IFERROR(INDEX(DE_PARA!$B$6:$B$205,MATCH(B3732,DE_PARA!$A$6:$A$205,0)),"SEM DE-PARA"))</f>
        <v/>
      </c>
      <c r="E3732" s="23" t="str">
        <f aca="false">IF(A3732="","",DATE(YEAR(A3732),MONTH(A3732),1))</f>
        <v/>
      </c>
    </row>
    <row r="3733" customFormat="false" ht="15" hidden="false" customHeight="false" outlineLevel="0" collapsed="false">
      <c r="A3733" s="21"/>
      <c r="B3733" s="4"/>
      <c r="C3733" s="22"/>
      <c r="D3733" s="5" t="str">
        <f aca="false">IF(B3733="","",IFERROR(INDEX(DE_PARA!$B$6:$B$205,MATCH(B3733,DE_PARA!$A$6:$A$205,0)),"SEM DE-PARA"))</f>
        <v/>
      </c>
      <c r="E3733" s="23" t="str">
        <f aca="false">IF(A3733="","",DATE(YEAR(A3733),MONTH(A3733),1))</f>
        <v/>
      </c>
    </row>
    <row r="3734" customFormat="false" ht="15" hidden="false" customHeight="false" outlineLevel="0" collapsed="false">
      <c r="A3734" s="21"/>
      <c r="B3734" s="4"/>
      <c r="C3734" s="22"/>
      <c r="D3734" s="5" t="str">
        <f aca="false">IF(B3734="","",IFERROR(INDEX(DE_PARA!$B$6:$B$205,MATCH(B3734,DE_PARA!$A$6:$A$205,0)),"SEM DE-PARA"))</f>
        <v/>
      </c>
      <c r="E3734" s="23" t="str">
        <f aca="false">IF(A3734="","",DATE(YEAR(A3734),MONTH(A3734),1))</f>
        <v/>
      </c>
    </row>
    <row r="3735" customFormat="false" ht="15" hidden="false" customHeight="false" outlineLevel="0" collapsed="false">
      <c r="A3735" s="21"/>
      <c r="B3735" s="4"/>
      <c r="C3735" s="22"/>
      <c r="D3735" s="5" t="str">
        <f aca="false">IF(B3735="","",IFERROR(INDEX(DE_PARA!$B$6:$B$205,MATCH(B3735,DE_PARA!$A$6:$A$205,0)),"SEM DE-PARA"))</f>
        <v/>
      </c>
      <c r="E3735" s="23" t="str">
        <f aca="false">IF(A3735="","",DATE(YEAR(A3735),MONTH(A3735),1))</f>
        <v/>
      </c>
    </row>
    <row r="3736" customFormat="false" ht="15" hidden="false" customHeight="false" outlineLevel="0" collapsed="false">
      <c r="A3736" s="21"/>
      <c r="B3736" s="4"/>
      <c r="C3736" s="22"/>
      <c r="D3736" s="5" t="str">
        <f aca="false">IF(B3736="","",IFERROR(INDEX(DE_PARA!$B$6:$B$205,MATCH(B3736,DE_PARA!$A$6:$A$205,0)),"SEM DE-PARA"))</f>
        <v/>
      </c>
      <c r="E3736" s="23" t="str">
        <f aca="false">IF(A3736="","",DATE(YEAR(A3736),MONTH(A3736),1))</f>
        <v/>
      </c>
    </row>
    <row r="3737" customFormat="false" ht="15" hidden="false" customHeight="false" outlineLevel="0" collapsed="false">
      <c r="A3737" s="21"/>
      <c r="B3737" s="4"/>
      <c r="C3737" s="22"/>
      <c r="D3737" s="5" t="str">
        <f aca="false">IF(B3737="","",IFERROR(INDEX(DE_PARA!$B$6:$B$205,MATCH(B3737,DE_PARA!$A$6:$A$205,0)),"SEM DE-PARA"))</f>
        <v/>
      </c>
      <c r="E3737" s="23" t="str">
        <f aca="false">IF(A3737="","",DATE(YEAR(A3737),MONTH(A3737),1))</f>
        <v/>
      </c>
    </row>
    <row r="3738" customFormat="false" ht="15" hidden="false" customHeight="false" outlineLevel="0" collapsed="false">
      <c r="A3738" s="21"/>
      <c r="B3738" s="4"/>
      <c r="C3738" s="22"/>
      <c r="D3738" s="5" t="str">
        <f aca="false">IF(B3738="","",IFERROR(INDEX(DE_PARA!$B$6:$B$205,MATCH(B3738,DE_PARA!$A$6:$A$205,0)),"SEM DE-PARA"))</f>
        <v/>
      </c>
      <c r="E3738" s="23" t="str">
        <f aca="false">IF(A3738="","",DATE(YEAR(A3738),MONTH(A3738),1))</f>
        <v/>
      </c>
    </row>
    <row r="3739" customFormat="false" ht="15" hidden="false" customHeight="false" outlineLevel="0" collapsed="false">
      <c r="A3739" s="21"/>
      <c r="B3739" s="4"/>
      <c r="C3739" s="22"/>
      <c r="D3739" s="5" t="str">
        <f aca="false">IF(B3739="","",IFERROR(INDEX(DE_PARA!$B$6:$B$205,MATCH(B3739,DE_PARA!$A$6:$A$205,0)),"SEM DE-PARA"))</f>
        <v/>
      </c>
      <c r="E3739" s="23" t="str">
        <f aca="false">IF(A3739="","",DATE(YEAR(A3739),MONTH(A3739),1))</f>
        <v/>
      </c>
    </row>
    <row r="3740" customFormat="false" ht="15" hidden="false" customHeight="false" outlineLevel="0" collapsed="false">
      <c r="A3740" s="21"/>
      <c r="B3740" s="4"/>
      <c r="C3740" s="22"/>
      <c r="D3740" s="5" t="str">
        <f aca="false">IF(B3740="","",IFERROR(INDEX(DE_PARA!$B$6:$B$205,MATCH(B3740,DE_PARA!$A$6:$A$205,0)),"SEM DE-PARA"))</f>
        <v/>
      </c>
      <c r="E3740" s="23" t="str">
        <f aca="false">IF(A3740="","",DATE(YEAR(A3740),MONTH(A3740),1))</f>
        <v/>
      </c>
    </row>
    <row r="3741" customFormat="false" ht="15" hidden="false" customHeight="false" outlineLevel="0" collapsed="false">
      <c r="A3741" s="21"/>
      <c r="B3741" s="4"/>
      <c r="C3741" s="22"/>
      <c r="D3741" s="5" t="str">
        <f aca="false">IF(B3741="","",IFERROR(INDEX(DE_PARA!$B$6:$B$205,MATCH(B3741,DE_PARA!$A$6:$A$205,0)),"SEM DE-PARA"))</f>
        <v/>
      </c>
      <c r="E3741" s="23" t="str">
        <f aca="false">IF(A3741="","",DATE(YEAR(A3741),MONTH(A3741),1))</f>
        <v/>
      </c>
    </row>
    <row r="3742" customFormat="false" ht="15" hidden="false" customHeight="false" outlineLevel="0" collapsed="false">
      <c r="A3742" s="21"/>
      <c r="B3742" s="4"/>
      <c r="C3742" s="22"/>
      <c r="D3742" s="5" t="str">
        <f aca="false">IF(B3742="","",IFERROR(INDEX(DE_PARA!$B$6:$B$205,MATCH(B3742,DE_PARA!$A$6:$A$205,0)),"SEM DE-PARA"))</f>
        <v/>
      </c>
      <c r="E3742" s="23" t="str">
        <f aca="false">IF(A3742="","",DATE(YEAR(A3742),MONTH(A3742),1))</f>
        <v/>
      </c>
    </row>
    <row r="3743" customFormat="false" ht="15" hidden="false" customHeight="false" outlineLevel="0" collapsed="false">
      <c r="A3743" s="21"/>
      <c r="B3743" s="4"/>
      <c r="C3743" s="22"/>
      <c r="D3743" s="5" t="str">
        <f aca="false">IF(B3743="","",IFERROR(INDEX(DE_PARA!$B$6:$B$205,MATCH(B3743,DE_PARA!$A$6:$A$205,0)),"SEM DE-PARA"))</f>
        <v/>
      </c>
      <c r="E3743" s="23" t="str">
        <f aca="false">IF(A3743="","",DATE(YEAR(A3743),MONTH(A3743),1))</f>
        <v/>
      </c>
    </row>
    <row r="3744" customFormat="false" ht="15" hidden="false" customHeight="false" outlineLevel="0" collapsed="false">
      <c r="A3744" s="21"/>
      <c r="B3744" s="4"/>
      <c r="C3744" s="22"/>
      <c r="D3744" s="5" t="str">
        <f aca="false">IF(B3744="","",IFERROR(INDEX(DE_PARA!$B$6:$B$205,MATCH(B3744,DE_PARA!$A$6:$A$205,0)),"SEM DE-PARA"))</f>
        <v/>
      </c>
      <c r="E3744" s="23" t="str">
        <f aca="false">IF(A3744="","",DATE(YEAR(A3744),MONTH(A3744),1))</f>
        <v/>
      </c>
    </row>
    <row r="3745" customFormat="false" ht="15" hidden="false" customHeight="false" outlineLevel="0" collapsed="false">
      <c r="A3745" s="21"/>
      <c r="B3745" s="4"/>
      <c r="C3745" s="22"/>
      <c r="D3745" s="5" t="str">
        <f aca="false">IF(B3745="","",IFERROR(INDEX(DE_PARA!$B$6:$B$205,MATCH(B3745,DE_PARA!$A$6:$A$205,0)),"SEM DE-PARA"))</f>
        <v/>
      </c>
      <c r="E3745" s="23" t="str">
        <f aca="false">IF(A3745="","",DATE(YEAR(A3745),MONTH(A3745),1))</f>
        <v/>
      </c>
    </row>
    <row r="3746" customFormat="false" ht="15" hidden="false" customHeight="false" outlineLevel="0" collapsed="false">
      <c r="A3746" s="21"/>
      <c r="B3746" s="4"/>
      <c r="C3746" s="22"/>
      <c r="D3746" s="5" t="str">
        <f aca="false">IF(B3746="","",IFERROR(INDEX(DE_PARA!$B$6:$B$205,MATCH(B3746,DE_PARA!$A$6:$A$205,0)),"SEM DE-PARA"))</f>
        <v/>
      </c>
      <c r="E3746" s="23" t="str">
        <f aca="false">IF(A3746="","",DATE(YEAR(A3746),MONTH(A3746),1))</f>
        <v/>
      </c>
    </row>
    <row r="3747" customFormat="false" ht="15" hidden="false" customHeight="false" outlineLevel="0" collapsed="false">
      <c r="A3747" s="21"/>
      <c r="B3747" s="4"/>
      <c r="C3747" s="22"/>
      <c r="D3747" s="5" t="str">
        <f aca="false">IF(B3747="","",IFERROR(INDEX(DE_PARA!$B$6:$B$205,MATCH(B3747,DE_PARA!$A$6:$A$205,0)),"SEM DE-PARA"))</f>
        <v/>
      </c>
      <c r="E3747" s="23" t="str">
        <f aca="false">IF(A3747="","",DATE(YEAR(A3747),MONTH(A3747),1))</f>
        <v/>
      </c>
    </row>
    <row r="3748" customFormat="false" ht="15" hidden="false" customHeight="false" outlineLevel="0" collapsed="false">
      <c r="A3748" s="21"/>
      <c r="B3748" s="4"/>
      <c r="C3748" s="22"/>
      <c r="D3748" s="5" t="str">
        <f aca="false">IF(B3748="","",IFERROR(INDEX(DE_PARA!$B$6:$B$205,MATCH(B3748,DE_PARA!$A$6:$A$205,0)),"SEM DE-PARA"))</f>
        <v/>
      </c>
      <c r="E3748" s="23" t="str">
        <f aca="false">IF(A3748="","",DATE(YEAR(A3748),MONTH(A3748),1))</f>
        <v/>
      </c>
    </row>
    <row r="3749" customFormat="false" ht="15" hidden="false" customHeight="false" outlineLevel="0" collapsed="false">
      <c r="A3749" s="21"/>
      <c r="B3749" s="4"/>
      <c r="C3749" s="22"/>
      <c r="D3749" s="5" t="str">
        <f aca="false">IF(B3749="","",IFERROR(INDEX(DE_PARA!$B$6:$B$205,MATCH(B3749,DE_PARA!$A$6:$A$205,0)),"SEM DE-PARA"))</f>
        <v/>
      </c>
      <c r="E3749" s="23" t="str">
        <f aca="false">IF(A3749="","",DATE(YEAR(A3749),MONTH(A3749),1))</f>
        <v/>
      </c>
    </row>
    <row r="3750" customFormat="false" ht="15" hidden="false" customHeight="false" outlineLevel="0" collapsed="false">
      <c r="A3750" s="21"/>
      <c r="B3750" s="4"/>
      <c r="C3750" s="22"/>
      <c r="D3750" s="5" t="str">
        <f aca="false">IF(B3750="","",IFERROR(INDEX(DE_PARA!$B$6:$B$205,MATCH(B3750,DE_PARA!$A$6:$A$205,0)),"SEM DE-PARA"))</f>
        <v/>
      </c>
      <c r="E3750" s="23" t="str">
        <f aca="false">IF(A3750="","",DATE(YEAR(A3750),MONTH(A3750),1))</f>
        <v/>
      </c>
    </row>
    <row r="3751" customFormat="false" ht="15" hidden="false" customHeight="false" outlineLevel="0" collapsed="false">
      <c r="A3751" s="21"/>
      <c r="B3751" s="4"/>
      <c r="C3751" s="22"/>
      <c r="D3751" s="5" t="str">
        <f aca="false">IF(B3751="","",IFERROR(INDEX(DE_PARA!$B$6:$B$205,MATCH(B3751,DE_PARA!$A$6:$A$205,0)),"SEM DE-PARA"))</f>
        <v/>
      </c>
      <c r="E3751" s="23" t="str">
        <f aca="false">IF(A3751="","",DATE(YEAR(A3751),MONTH(A3751),1))</f>
        <v/>
      </c>
    </row>
    <row r="3752" customFormat="false" ht="15" hidden="false" customHeight="false" outlineLevel="0" collapsed="false">
      <c r="A3752" s="21"/>
      <c r="B3752" s="4"/>
      <c r="C3752" s="22"/>
      <c r="D3752" s="5" t="str">
        <f aca="false">IF(B3752="","",IFERROR(INDEX(DE_PARA!$B$6:$B$205,MATCH(B3752,DE_PARA!$A$6:$A$205,0)),"SEM DE-PARA"))</f>
        <v/>
      </c>
      <c r="E3752" s="23" t="str">
        <f aca="false">IF(A3752="","",DATE(YEAR(A3752),MONTH(A3752),1))</f>
        <v/>
      </c>
    </row>
    <row r="3753" customFormat="false" ht="15" hidden="false" customHeight="false" outlineLevel="0" collapsed="false">
      <c r="A3753" s="21"/>
      <c r="B3753" s="4"/>
      <c r="C3753" s="22"/>
      <c r="D3753" s="5" t="str">
        <f aca="false">IF(B3753="","",IFERROR(INDEX(DE_PARA!$B$6:$B$205,MATCH(B3753,DE_PARA!$A$6:$A$205,0)),"SEM DE-PARA"))</f>
        <v/>
      </c>
      <c r="E3753" s="23" t="str">
        <f aca="false">IF(A3753="","",DATE(YEAR(A3753),MONTH(A3753),1))</f>
        <v/>
      </c>
    </row>
    <row r="3754" customFormat="false" ht="15" hidden="false" customHeight="false" outlineLevel="0" collapsed="false">
      <c r="A3754" s="21"/>
      <c r="B3754" s="4"/>
      <c r="C3754" s="22"/>
      <c r="D3754" s="5" t="str">
        <f aca="false">IF(B3754="","",IFERROR(INDEX(DE_PARA!$B$6:$B$205,MATCH(B3754,DE_PARA!$A$6:$A$205,0)),"SEM DE-PARA"))</f>
        <v/>
      </c>
      <c r="E3754" s="23" t="str">
        <f aca="false">IF(A3754="","",DATE(YEAR(A3754),MONTH(A3754),1))</f>
        <v/>
      </c>
    </row>
    <row r="3755" customFormat="false" ht="15" hidden="false" customHeight="false" outlineLevel="0" collapsed="false">
      <c r="A3755" s="21"/>
      <c r="B3755" s="4"/>
      <c r="C3755" s="22"/>
      <c r="D3755" s="5" t="str">
        <f aca="false">IF(B3755="","",IFERROR(INDEX(DE_PARA!$B$6:$B$205,MATCH(B3755,DE_PARA!$A$6:$A$205,0)),"SEM DE-PARA"))</f>
        <v/>
      </c>
      <c r="E3755" s="23" t="str">
        <f aca="false">IF(A3755="","",DATE(YEAR(A3755),MONTH(A3755),1))</f>
        <v/>
      </c>
    </row>
    <row r="3756" customFormat="false" ht="15" hidden="false" customHeight="false" outlineLevel="0" collapsed="false">
      <c r="A3756" s="21"/>
      <c r="B3756" s="4"/>
      <c r="C3756" s="22"/>
      <c r="D3756" s="5" t="str">
        <f aca="false">IF(B3756="","",IFERROR(INDEX(DE_PARA!$B$6:$B$205,MATCH(B3756,DE_PARA!$A$6:$A$205,0)),"SEM DE-PARA"))</f>
        <v/>
      </c>
      <c r="E3756" s="23" t="str">
        <f aca="false">IF(A3756="","",DATE(YEAR(A3756),MONTH(A3756),1))</f>
        <v/>
      </c>
    </row>
    <row r="3757" customFormat="false" ht="15" hidden="false" customHeight="false" outlineLevel="0" collapsed="false">
      <c r="A3757" s="21"/>
      <c r="B3757" s="4"/>
      <c r="C3757" s="22"/>
      <c r="D3757" s="5" t="str">
        <f aca="false">IF(B3757="","",IFERROR(INDEX(DE_PARA!$B$6:$B$205,MATCH(B3757,DE_PARA!$A$6:$A$205,0)),"SEM DE-PARA"))</f>
        <v/>
      </c>
      <c r="E3757" s="23" t="str">
        <f aca="false">IF(A3757="","",DATE(YEAR(A3757),MONTH(A3757),1))</f>
        <v/>
      </c>
    </row>
    <row r="3758" customFormat="false" ht="15" hidden="false" customHeight="false" outlineLevel="0" collapsed="false">
      <c r="A3758" s="21"/>
      <c r="B3758" s="4"/>
      <c r="C3758" s="22"/>
      <c r="D3758" s="5" t="str">
        <f aca="false">IF(B3758="","",IFERROR(INDEX(DE_PARA!$B$6:$B$205,MATCH(B3758,DE_PARA!$A$6:$A$205,0)),"SEM DE-PARA"))</f>
        <v/>
      </c>
      <c r="E3758" s="23" t="str">
        <f aca="false">IF(A3758="","",DATE(YEAR(A3758),MONTH(A3758),1))</f>
        <v/>
      </c>
    </row>
    <row r="3759" customFormat="false" ht="15" hidden="false" customHeight="false" outlineLevel="0" collapsed="false">
      <c r="A3759" s="21"/>
      <c r="B3759" s="4"/>
      <c r="C3759" s="22"/>
      <c r="D3759" s="5" t="str">
        <f aca="false">IF(B3759="","",IFERROR(INDEX(DE_PARA!$B$6:$B$205,MATCH(B3759,DE_PARA!$A$6:$A$205,0)),"SEM DE-PARA"))</f>
        <v/>
      </c>
      <c r="E3759" s="23" t="str">
        <f aca="false">IF(A3759="","",DATE(YEAR(A3759),MONTH(A3759),1))</f>
        <v/>
      </c>
    </row>
    <row r="3760" customFormat="false" ht="15" hidden="false" customHeight="false" outlineLevel="0" collapsed="false">
      <c r="A3760" s="21"/>
      <c r="B3760" s="4"/>
      <c r="C3760" s="22"/>
      <c r="D3760" s="5" t="str">
        <f aca="false">IF(B3760="","",IFERROR(INDEX(DE_PARA!$B$6:$B$205,MATCH(B3760,DE_PARA!$A$6:$A$205,0)),"SEM DE-PARA"))</f>
        <v/>
      </c>
      <c r="E3760" s="23" t="str">
        <f aca="false">IF(A3760="","",DATE(YEAR(A3760),MONTH(A3760),1))</f>
        <v/>
      </c>
    </row>
    <row r="3761" customFormat="false" ht="15" hidden="false" customHeight="false" outlineLevel="0" collapsed="false">
      <c r="A3761" s="21"/>
      <c r="B3761" s="4"/>
      <c r="C3761" s="22"/>
      <c r="D3761" s="5" t="str">
        <f aca="false">IF(B3761="","",IFERROR(INDEX(DE_PARA!$B$6:$B$205,MATCH(B3761,DE_PARA!$A$6:$A$205,0)),"SEM DE-PARA"))</f>
        <v/>
      </c>
      <c r="E3761" s="23" t="str">
        <f aca="false">IF(A3761="","",DATE(YEAR(A3761),MONTH(A3761),1))</f>
        <v/>
      </c>
    </row>
    <row r="3762" customFormat="false" ht="15" hidden="false" customHeight="false" outlineLevel="0" collapsed="false">
      <c r="A3762" s="21"/>
      <c r="B3762" s="4"/>
      <c r="C3762" s="22"/>
      <c r="D3762" s="5" t="str">
        <f aca="false">IF(B3762="","",IFERROR(INDEX(DE_PARA!$B$6:$B$205,MATCH(B3762,DE_PARA!$A$6:$A$205,0)),"SEM DE-PARA"))</f>
        <v/>
      </c>
      <c r="E3762" s="23" t="str">
        <f aca="false">IF(A3762="","",DATE(YEAR(A3762),MONTH(A3762),1))</f>
        <v/>
      </c>
    </row>
    <row r="3763" customFormat="false" ht="15" hidden="false" customHeight="false" outlineLevel="0" collapsed="false">
      <c r="A3763" s="21"/>
      <c r="B3763" s="4"/>
      <c r="C3763" s="22"/>
      <c r="D3763" s="5" t="str">
        <f aca="false">IF(B3763="","",IFERROR(INDEX(DE_PARA!$B$6:$B$205,MATCH(B3763,DE_PARA!$A$6:$A$205,0)),"SEM DE-PARA"))</f>
        <v/>
      </c>
      <c r="E3763" s="23" t="str">
        <f aca="false">IF(A3763="","",DATE(YEAR(A3763),MONTH(A3763),1))</f>
        <v/>
      </c>
    </row>
    <row r="3764" customFormat="false" ht="15" hidden="false" customHeight="false" outlineLevel="0" collapsed="false">
      <c r="A3764" s="21"/>
      <c r="B3764" s="4"/>
      <c r="C3764" s="22"/>
      <c r="D3764" s="5" t="str">
        <f aca="false">IF(B3764="","",IFERROR(INDEX(DE_PARA!$B$6:$B$205,MATCH(B3764,DE_PARA!$A$6:$A$205,0)),"SEM DE-PARA"))</f>
        <v/>
      </c>
      <c r="E3764" s="23" t="str">
        <f aca="false">IF(A3764="","",DATE(YEAR(A3764),MONTH(A3764),1))</f>
        <v/>
      </c>
    </row>
    <row r="3765" customFormat="false" ht="15" hidden="false" customHeight="false" outlineLevel="0" collapsed="false">
      <c r="A3765" s="21"/>
      <c r="B3765" s="4"/>
      <c r="C3765" s="22"/>
      <c r="D3765" s="5" t="str">
        <f aca="false">IF(B3765="","",IFERROR(INDEX(DE_PARA!$B$6:$B$205,MATCH(B3765,DE_PARA!$A$6:$A$205,0)),"SEM DE-PARA"))</f>
        <v/>
      </c>
      <c r="E3765" s="23" t="str">
        <f aca="false">IF(A3765="","",DATE(YEAR(A3765),MONTH(A3765),1))</f>
        <v/>
      </c>
    </row>
    <row r="3766" customFormat="false" ht="15" hidden="false" customHeight="false" outlineLevel="0" collapsed="false">
      <c r="A3766" s="21"/>
      <c r="B3766" s="4"/>
      <c r="C3766" s="22"/>
      <c r="D3766" s="5" t="str">
        <f aca="false">IF(B3766="","",IFERROR(INDEX(DE_PARA!$B$6:$B$205,MATCH(B3766,DE_PARA!$A$6:$A$205,0)),"SEM DE-PARA"))</f>
        <v/>
      </c>
      <c r="E3766" s="23" t="str">
        <f aca="false">IF(A3766="","",DATE(YEAR(A3766),MONTH(A3766),1))</f>
        <v/>
      </c>
    </row>
    <row r="3767" customFormat="false" ht="15" hidden="false" customHeight="false" outlineLevel="0" collapsed="false">
      <c r="A3767" s="21"/>
      <c r="B3767" s="4"/>
      <c r="C3767" s="22"/>
      <c r="D3767" s="5" t="str">
        <f aca="false">IF(B3767="","",IFERROR(INDEX(DE_PARA!$B$6:$B$205,MATCH(B3767,DE_PARA!$A$6:$A$205,0)),"SEM DE-PARA"))</f>
        <v/>
      </c>
      <c r="E3767" s="23" t="str">
        <f aca="false">IF(A3767="","",DATE(YEAR(A3767),MONTH(A3767),1))</f>
        <v/>
      </c>
    </row>
    <row r="3768" customFormat="false" ht="15" hidden="false" customHeight="false" outlineLevel="0" collapsed="false">
      <c r="A3768" s="21"/>
      <c r="B3768" s="4"/>
      <c r="C3768" s="22"/>
      <c r="D3768" s="5" t="str">
        <f aca="false">IF(B3768="","",IFERROR(INDEX(DE_PARA!$B$6:$B$205,MATCH(B3768,DE_PARA!$A$6:$A$205,0)),"SEM DE-PARA"))</f>
        <v/>
      </c>
      <c r="E3768" s="23" t="str">
        <f aca="false">IF(A3768="","",DATE(YEAR(A3768),MONTH(A3768),1))</f>
        <v/>
      </c>
    </row>
    <row r="3769" customFormat="false" ht="15" hidden="false" customHeight="false" outlineLevel="0" collapsed="false">
      <c r="A3769" s="21"/>
      <c r="B3769" s="4"/>
      <c r="C3769" s="22"/>
      <c r="D3769" s="5" t="str">
        <f aca="false">IF(B3769="","",IFERROR(INDEX(DE_PARA!$B$6:$B$205,MATCH(B3769,DE_PARA!$A$6:$A$205,0)),"SEM DE-PARA"))</f>
        <v/>
      </c>
      <c r="E3769" s="23" t="str">
        <f aca="false">IF(A3769="","",DATE(YEAR(A3769),MONTH(A3769),1))</f>
        <v/>
      </c>
    </row>
    <row r="3770" customFormat="false" ht="15" hidden="false" customHeight="false" outlineLevel="0" collapsed="false">
      <c r="A3770" s="21"/>
      <c r="B3770" s="4"/>
      <c r="C3770" s="22"/>
      <c r="D3770" s="5" t="str">
        <f aca="false">IF(B3770="","",IFERROR(INDEX(DE_PARA!$B$6:$B$205,MATCH(B3770,DE_PARA!$A$6:$A$205,0)),"SEM DE-PARA"))</f>
        <v/>
      </c>
      <c r="E3770" s="23" t="str">
        <f aca="false">IF(A3770="","",DATE(YEAR(A3770),MONTH(A3770),1))</f>
        <v/>
      </c>
    </row>
    <row r="3771" customFormat="false" ht="15" hidden="false" customHeight="false" outlineLevel="0" collapsed="false">
      <c r="A3771" s="21"/>
      <c r="B3771" s="4"/>
      <c r="C3771" s="22"/>
      <c r="D3771" s="5" t="str">
        <f aca="false">IF(B3771="","",IFERROR(INDEX(DE_PARA!$B$6:$B$205,MATCH(B3771,DE_PARA!$A$6:$A$205,0)),"SEM DE-PARA"))</f>
        <v/>
      </c>
      <c r="E3771" s="23" t="str">
        <f aca="false">IF(A3771="","",DATE(YEAR(A3771),MONTH(A3771),1))</f>
        <v/>
      </c>
    </row>
    <row r="3772" customFormat="false" ht="15" hidden="false" customHeight="false" outlineLevel="0" collapsed="false">
      <c r="A3772" s="21"/>
      <c r="B3772" s="4"/>
      <c r="C3772" s="22"/>
      <c r="D3772" s="5" t="str">
        <f aca="false">IF(B3772="","",IFERROR(INDEX(DE_PARA!$B$6:$B$205,MATCH(B3772,DE_PARA!$A$6:$A$205,0)),"SEM DE-PARA"))</f>
        <v/>
      </c>
      <c r="E3772" s="23" t="str">
        <f aca="false">IF(A3772="","",DATE(YEAR(A3772),MONTH(A3772),1))</f>
        <v/>
      </c>
    </row>
    <row r="3773" customFormat="false" ht="15" hidden="false" customHeight="false" outlineLevel="0" collapsed="false">
      <c r="A3773" s="21"/>
      <c r="B3773" s="4"/>
      <c r="C3773" s="22"/>
      <c r="D3773" s="5" t="str">
        <f aca="false">IF(B3773="","",IFERROR(INDEX(DE_PARA!$B$6:$B$205,MATCH(B3773,DE_PARA!$A$6:$A$205,0)),"SEM DE-PARA"))</f>
        <v/>
      </c>
      <c r="E3773" s="23" t="str">
        <f aca="false">IF(A3773="","",DATE(YEAR(A3773),MONTH(A3773),1))</f>
        <v/>
      </c>
    </row>
    <row r="3774" customFormat="false" ht="15" hidden="false" customHeight="false" outlineLevel="0" collapsed="false">
      <c r="A3774" s="21"/>
      <c r="B3774" s="4"/>
      <c r="C3774" s="22"/>
      <c r="D3774" s="5" t="str">
        <f aca="false">IF(B3774="","",IFERROR(INDEX(DE_PARA!$B$6:$B$205,MATCH(B3774,DE_PARA!$A$6:$A$205,0)),"SEM DE-PARA"))</f>
        <v/>
      </c>
      <c r="E3774" s="23" t="str">
        <f aca="false">IF(A3774="","",DATE(YEAR(A3774),MONTH(A3774),1))</f>
        <v/>
      </c>
    </row>
    <row r="3775" customFormat="false" ht="15" hidden="false" customHeight="false" outlineLevel="0" collapsed="false">
      <c r="A3775" s="21"/>
      <c r="B3775" s="4"/>
      <c r="C3775" s="22"/>
      <c r="D3775" s="5" t="str">
        <f aca="false">IF(B3775="","",IFERROR(INDEX(DE_PARA!$B$6:$B$205,MATCH(B3775,DE_PARA!$A$6:$A$205,0)),"SEM DE-PARA"))</f>
        <v/>
      </c>
      <c r="E3775" s="23" t="str">
        <f aca="false">IF(A3775="","",DATE(YEAR(A3775),MONTH(A3775),1))</f>
        <v/>
      </c>
    </row>
    <row r="3776" customFormat="false" ht="15" hidden="false" customHeight="false" outlineLevel="0" collapsed="false">
      <c r="A3776" s="21"/>
      <c r="B3776" s="4"/>
      <c r="C3776" s="22"/>
      <c r="D3776" s="5" t="str">
        <f aca="false">IF(B3776="","",IFERROR(INDEX(DE_PARA!$B$6:$B$205,MATCH(B3776,DE_PARA!$A$6:$A$205,0)),"SEM DE-PARA"))</f>
        <v/>
      </c>
      <c r="E3776" s="23" t="str">
        <f aca="false">IF(A3776="","",DATE(YEAR(A3776),MONTH(A3776),1))</f>
        <v/>
      </c>
    </row>
    <row r="3777" customFormat="false" ht="15" hidden="false" customHeight="false" outlineLevel="0" collapsed="false">
      <c r="A3777" s="21"/>
      <c r="B3777" s="4"/>
      <c r="C3777" s="22"/>
      <c r="D3777" s="5" t="str">
        <f aca="false">IF(B3777="","",IFERROR(INDEX(DE_PARA!$B$6:$B$205,MATCH(B3777,DE_PARA!$A$6:$A$205,0)),"SEM DE-PARA"))</f>
        <v/>
      </c>
      <c r="E3777" s="23" t="str">
        <f aca="false">IF(A3777="","",DATE(YEAR(A3777),MONTH(A3777),1))</f>
        <v/>
      </c>
    </row>
    <row r="3778" customFormat="false" ht="15" hidden="false" customHeight="false" outlineLevel="0" collapsed="false">
      <c r="A3778" s="21"/>
      <c r="B3778" s="4"/>
      <c r="C3778" s="22"/>
      <c r="D3778" s="5" t="str">
        <f aca="false">IF(B3778="","",IFERROR(INDEX(DE_PARA!$B$6:$B$205,MATCH(B3778,DE_PARA!$A$6:$A$205,0)),"SEM DE-PARA"))</f>
        <v/>
      </c>
      <c r="E3778" s="23" t="str">
        <f aca="false">IF(A3778="","",DATE(YEAR(A3778),MONTH(A3778),1))</f>
        <v/>
      </c>
    </row>
    <row r="3779" customFormat="false" ht="15" hidden="false" customHeight="false" outlineLevel="0" collapsed="false">
      <c r="A3779" s="21"/>
      <c r="B3779" s="4"/>
      <c r="C3779" s="22"/>
      <c r="D3779" s="5" t="str">
        <f aca="false">IF(B3779="","",IFERROR(INDEX(DE_PARA!$B$6:$B$205,MATCH(B3779,DE_PARA!$A$6:$A$205,0)),"SEM DE-PARA"))</f>
        <v/>
      </c>
      <c r="E3779" s="23" t="str">
        <f aca="false">IF(A3779="","",DATE(YEAR(A3779),MONTH(A3779),1))</f>
        <v/>
      </c>
    </row>
    <row r="3780" customFormat="false" ht="15" hidden="false" customHeight="false" outlineLevel="0" collapsed="false">
      <c r="A3780" s="21"/>
      <c r="B3780" s="4"/>
      <c r="C3780" s="22"/>
      <c r="D3780" s="5" t="str">
        <f aca="false">IF(B3780="","",IFERROR(INDEX(DE_PARA!$B$6:$B$205,MATCH(B3780,DE_PARA!$A$6:$A$205,0)),"SEM DE-PARA"))</f>
        <v/>
      </c>
      <c r="E3780" s="23" t="str">
        <f aca="false">IF(A3780="","",DATE(YEAR(A3780),MONTH(A3780),1))</f>
        <v/>
      </c>
    </row>
    <row r="3781" customFormat="false" ht="15" hidden="false" customHeight="false" outlineLevel="0" collapsed="false">
      <c r="A3781" s="21"/>
      <c r="B3781" s="4"/>
      <c r="C3781" s="22"/>
      <c r="D3781" s="5" t="str">
        <f aca="false">IF(B3781="","",IFERROR(INDEX(DE_PARA!$B$6:$B$205,MATCH(B3781,DE_PARA!$A$6:$A$205,0)),"SEM DE-PARA"))</f>
        <v/>
      </c>
      <c r="E3781" s="23" t="str">
        <f aca="false">IF(A3781="","",DATE(YEAR(A3781),MONTH(A3781),1))</f>
        <v/>
      </c>
    </row>
    <row r="3782" customFormat="false" ht="15" hidden="false" customHeight="false" outlineLevel="0" collapsed="false">
      <c r="A3782" s="21"/>
      <c r="B3782" s="4"/>
      <c r="C3782" s="22"/>
      <c r="D3782" s="5" t="str">
        <f aca="false">IF(B3782="","",IFERROR(INDEX(DE_PARA!$B$6:$B$205,MATCH(B3782,DE_PARA!$A$6:$A$205,0)),"SEM DE-PARA"))</f>
        <v/>
      </c>
      <c r="E3782" s="23" t="str">
        <f aca="false">IF(A3782="","",DATE(YEAR(A3782),MONTH(A3782),1))</f>
        <v/>
      </c>
    </row>
    <row r="3783" customFormat="false" ht="15" hidden="false" customHeight="false" outlineLevel="0" collapsed="false">
      <c r="A3783" s="21"/>
      <c r="B3783" s="4"/>
      <c r="C3783" s="22"/>
      <c r="D3783" s="5" t="str">
        <f aca="false">IF(B3783="","",IFERROR(INDEX(DE_PARA!$B$6:$B$205,MATCH(B3783,DE_PARA!$A$6:$A$205,0)),"SEM DE-PARA"))</f>
        <v/>
      </c>
      <c r="E3783" s="23" t="str">
        <f aca="false">IF(A3783="","",DATE(YEAR(A3783),MONTH(A3783),1))</f>
        <v/>
      </c>
    </row>
    <row r="3784" customFormat="false" ht="15" hidden="false" customHeight="false" outlineLevel="0" collapsed="false">
      <c r="A3784" s="21"/>
      <c r="B3784" s="4"/>
      <c r="C3784" s="22"/>
      <c r="D3784" s="5" t="str">
        <f aca="false">IF(B3784="","",IFERROR(INDEX(DE_PARA!$B$6:$B$205,MATCH(B3784,DE_PARA!$A$6:$A$205,0)),"SEM DE-PARA"))</f>
        <v/>
      </c>
      <c r="E3784" s="23" t="str">
        <f aca="false">IF(A3784="","",DATE(YEAR(A3784),MONTH(A3784),1))</f>
        <v/>
      </c>
    </row>
    <row r="3785" customFormat="false" ht="15" hidden="false" customHeight="false" outlineLevel="0" collapsed="false">
      <c r="A3785" s="21"/>
      <c r="B3785" s="4"/>
      <c r="C3785" s="22"/>
      <c r="D3785" s="5" t="str">
        <f aca="false">IF(B3785="","",IFERROR(INDEX(DE_PARA!$B$6:$B$205,MATCH(B3785,DE_PARA!$A$6:$A$205,0)),"SEM DE-PARA"))</f>
        <v/>
      </c>
      <c r="E3785" s="23" t="str">
        <f aca="false">IF(A3785="","",DATE(YEAR(A3785),MONTH(A3785),1))</f>
        <v/>
      </c>
    </row>
    <row r="3786" customFormat="false" ht="15" hidden="false" customHeight="false" outlineLevel="0" collapsed="false">
      <c r="A3786" s="21"/>
      <c r="B3786" s="4"/>
      <c r="C3786" s="22"/>
      <c r="D3786" s="5" t="str">
        <f aca="false">IF(B3786="","",IFERROR(INDEX(DE_PARA!$B$6:$B$205,MATCH(B3786,DE_PARA!$A$6:$A$205,0)),"SEM DE-PARA"))</f>
        <v/>
      </c>
      <c r="E3786" s="23" t="str">
        <f aca="false">IF(A3786="","",DATE(YEAR(A3786),MONTH(A3786),1))</f>
        <v/>
      </c>
    </row>
    <row r="3787" customFormat="false" ht="15" hidden="false" customHeight="false" outlineLevel="0" collapsed="false">
      <c r="A3787" s="21"/>
      <c r="B3787" s="4"/>
      <c r="C3787" s="22"/>
      <c r="D3787" s="5" t="str">
        <f aca="false">IF(B3787="","",IFERROR(INDEX(DE_PARA!$B$6:$B$205,MATCH(B3787,DE_PARA!$A$6:$A$205,0)),"SEM DE-PARA"))</f>
        <v/>
      </c>
      <c r="E3787" s="23" t="str">
        <f aca="false">IF(A3787="","",DATE(YEAR(A3787),MONTH(A3787),1))</f>
        <v/>
      </c>
    </row>
    <row r="3788" customFormat="false" ht="15" hidden="false" customHeight="false" outlineLevel="0" collapsed="false">
      <c r="A3788" s="21"/>
      <c r="B3788" s="4"/>
      <c r="C3788" s="22"/>
      <c r="D3788" s="5" t="str">
        <f aca="false">IF(B3788="","",IFERROR(INDEX(DE_PARA!$B$6:$B$205,MATCH(B3788,DE_PARA!$A$6:$A$205,0)),"SEM DE-PARA"))</f>
        <v/>
      </c>
      <c r="E3788" s="23" t="str">
        <f aca="false">IF(A3788="","",DATE(YEAR(A3788),MONTH(A3788),1))</f>
        <v/>
      </c>
    </row>
    <row r="3789" customFormat="false" ht="15" hidden="false" customHeight="false" outlineLevel="0" collapsed="false">
      <c r="A3789" s="21"/>
      <c r="B3789" s="4"/>
      <c r="C3789" s="22"/>
      <c r="D3789" s="5" t="str">
        <f aca="false">IF(B3789="","",IFERROR(INDEX(DE_PARA!$B$6:$B$205,MATCH(B3789,DE_PARA!$A$6:$A$205,0)),"SEM DE-PARA"))</f>
        <v/>
      </c>
      <c r="E3789" s="23" t="str">
        <f aca="false">IF(A3789="","",DATE(YEAR(A3789),MONTH(A3789),1))</f>
        <v/>
      </c>
    </row>
    <row r="3790" customFormat="false" ht="15" hidden="false" customHeight="false" outlineLevel="0" collapsed="false">
      <c r="A3790" s="21"/>
      <c r="B3790" s="4"/>
      <c r="C3790" s="22"/>
      <c r="D3790" s="5" t="str">
        <f aca="false">IF(B3790="","",IFERROR(INDEX(DE_PARA!$B$6:$B$205,MATCH(B3790,DE_PARA!$A$6:$A$205,0)),"SEM DE-PARA"))</f>
        <v/>
      </c>
      <c r="E3790" s="23" t="str">
        <f aca="false">IF(A3790="","",DATE(YEAR(A3790),MONTH(A3790),1))</f>
        <v/>
      </c>
    </row>
    <row r="3791" customFormat="false" ht="15" hidden="false" customHeight="false" outlineLevel="0" collapsed="false">
      <c r="A3791" s="21"/>
      <c r="B3791" s="4"/>
      <c r="C3791" s="22"/>
      <c r="D3791" s="5" t="str">
        <f aca="false">IF(B3791="","",IFERROR(INDEX(DE_PARA!$B$6:$B$205,MATCH(B3791,DE_PARA!$A$6:$A$205,0)),"SEM DE-PARA"))</f>
        <v/>
      </c>
      <c r="E3791" s="23" t="str">
        <f aca="false">IF(A3791="","",DATE(YEAR(A3791),MONTH(A3791),1))</f>
        <v/>
      </c>
    </row>
    <row r="3792" customFormat="false" ht="15" hidden="false" customHeight="false" outlineLevel="0" collapsed="false">
      <c r="A3792" s="21"/>
      <c r="B3792" s="4"/>
      <c r="C3792" s="22"/>
      <c r="D3792" s="5" t="str">
        <f aca="false">IF(B3792="","",IFERROR(INDEX(DE_PARA!$B$6:$B$205,MATCH(B3792,DE_PARA!$A$6:$A$205,0)),"SEM DE-PARA"))</f>
        <v/>
      </c>
      <c r="E3792" s="23" t="str">
        <f aca="false">IF(A3792="","",DATE(YEAR(A3792),MONTH(A3792),1))</f>
        <v/>
      </c>
    </row>
    <row r="3793" customFormat="false" ht="15" hidden="false" customHeight="false" outlineLevel="0" collapsed="false">
      <c r="A3793" s="21"/>
      <c r="B3793" s="4"/>
      <c r="C3793" s="22"/>
      <c r="D3793" s="5" t="str">
        <f aca="false">IF(B3793="","",IFERROR(INDEX(DE_PARA!$B$6:$B$205,MATCH(B3793,DE_PARA!$A$6:$A$205,0)),"SEM DE-PARA"))</f>
        <v/>
      </c>
      <c r="E3793" s="23" t="str">
        <f aca="false">IF(A3793="","",DATE(YEAR(A3793),MONTH(A3793),1))</f>
        <v/>
      </c>
    </row>
    <row r="3794" customFormat="false" ht="15" hidden="false" customHeight="false" outlineLevel="0" collapsed="false">
      <c r="A3794" s="21"/>
      <c r="B3794" s="4"/>
      <c r="C3794" s="22"/>
      <c r="D3794" s="5" t="str">
        <f aca="false">IF(B3794="","",IFERROR(INDEX(DE_PARA!$B$6:$B$205,MATCH(B3794,DE_PARA!$A$6:$A$205,0)),"SEM DE-PARA"))</f>
        <v/>
      </c>
      <c r="E3794" s="23" t="str">
        <f aca="false">IF(A3794="","",DATE(YEAR(A3794),MONTH(A3794),1))</f>
        <v/>
      </c>
    </row>
    <row r="3795" customFormat="false" ht="15" hidden="false" customHeight="false" outlineLevel="0" collapsed="false">
      <c r="A3795" s="21"/>
      <c r="B3795" s="4"/>
      <c r="C3795" s="22"/>
      <c r="D3795" s="5" t="str">
        <f aca="false">IF(B3795="","",IFERROR(INDEX(DE_PARA!$B$6:$B$205,MATCH(B3795,DE_PARA!$A$6:$A$205,0)),"SEM DE-PARA"))</f>
        <v/>
      </c>
      <c r="E3795" s="23" t="str">
        <f aca="false">IF(A3795="","",DATE(YEAR(A3795),MONTH(A3795),1))</f>
        <v/>
      </c>
    </row>
    <row r="3796" customFormat="false" ht="15" hidden="false" customHeight="false" outlineLevel="0" collapsed="false">
      <c r="A3796" s="21"/>
      <c r="B3796" s="4"/>
      <c r="C3796" s="22"/>
      <c r="D3796" s="5" t="str">
        <f aca="false">IF(B3796="","",IFERROR(INDEX(DE_PARA!$B$6:$B$205,MATCH(B3796,DE_PARA!$A$6:$A$205,0)),"SEM DE-PARA"))</f>
        <v/>
      </c>
      <c r="E3796" s="23" t="str">
        <f aca="false">IF(A3796="","",DATE(YEAR(A3796),MONTH(A3796),1))</f>
        <v/>
      </c>
    </row>
    <row r="3797" customFormat="false" ht="15" hidden="false" customHeight="false" outlineLevel="0" collapsed="false">
      <c r="A3797" s="21"/>
      <c r="B3797" s="4"/>
      <c r="C3797" s="22"/>
      <c r="D3797" s="5" t="str">
        <f aca="false">IF(B3797="","",IFERROR(INDEX(DE_PARA!$B$6:$B$205,MATCH(B3797,DE_PARA!$A$6:$A$205,0)),"SEM DE-PARA"))</f>
        <v/>
      </c>
      <c r="E3797" s="23" t="str">
        <f aca="false">IF(A3797="","",DATE(YEAR(A3797),MONTH(A3797),1))</f>
        <v/>
      </c>
    </row>
    <row r="3798" customFormat="false" ht="15" hidden="false" customHeight="false" outlineLevel="0" collapsed="false">
      <c r="A3798" s="21"/>
      <c r="B3798" s="4"/>
      <c r="C3798" s="22"/>
      <c r="D3798" s="5" t="str">
        <f aca="false">IF(B3798="","",IFERROR(INDEX(DE_PARA!$B$6:$B$205,MATCH(B3798,DE_PARA!$A$6:$A$205,0)),"SEM DE-PARA"))</f>
        <v/>
      </c>
      <c r="E3798" s="23" t="str">
        <f aca="false">IF(A3798="","",DATE(YEAR(A3798),MONTH(A3798),1))</f>
        <v/>
      </c>
    </row>
    <row r="3799" customFormat="false" ht="15" hidden="false" customHeight="false" outlineLevel="0" collapsed="false">
      <c r="A3799" s="21"/>
      <c r="B3799" s="4"/>
      <c r="C3799" s="22"/>
      <c r="D3799" s="5" t="str">
        <f aca="false">IF(B3799="","",IFERROR(INDEX(DE_PARA!$B$6:$B$205,MATCH(B3799,DE_PARA!$A$6:$A$205,0)),"SEM DE-PARA"))</f>
        <v/>
      </c>
      <c r="E3799" s="23" t="str">
        <f aca="false">IF(A3799="","",DATE(YEAR(A3799),MONTH(A3799),1))</f>
        <v/>
      </c>
    </row>
    <row r="3800" customFormat="false" ht="15" hidden="false" customHeight="false" outlineLevel="0" collapsed="false">
      <c r="A3800" s="21"/>
      <c r="B3800" s="4"/>
      <c r="C3800" s="22"/>
      <c r="D3800" s="5" t="str">
        <f aca="false">IF(B3800="","",IFERROR(INDEX(DE_PARA!$B$6:$B$205,MATCH(B3800,DE_PARA!$A$6:$A$205,0)),"SEM DE-PARA"))</f>
        <v/>
      </c>
      <c r="E3800" s="23" t="str">
        <f aca="false">IF(A3800="","",DATE(YEAR(A3800),MONTH(A3800),1))</f>
        <v/>
      </c>
    </row>
    <row r="3801" customFormat="false" ht="15" hidden="false" customHeight="false" outlineLevel="0" collapsed="false">
      <c r="A3801" s="21"/>
      <c r="B3801" s="4"/>
      <c r="C3801" s="22"/>
      <c r="D3801" s="5" t="str">
        <f aca="false">IF(B3801="","",IFERROR(INDEX(DE_PARA!$B$6:$B$205,MATCH(B3801,DE_PARA!$A$6:$A$205,0)),"SEM DE-PARA"))</f>
        <v/>
      </c>
      <c r="E3801" s="23" t="str">
        <f aca="false">IF(A3801="","",DATE(YEAR(A3801),MONTH(A3801),1))</f>
        <v/>
      </c>
    </row>
    <row r="3802" customFormat="false" ht="15" hidden="false" customHeight="false" outlineLevel="0" collapsed="false">
      <c r="A3802" s="21"/>
      <c r="B3802" s="4"/>
      <c r="C3802" s="22"/>
      <c r="D3802" s="5" t="str">
        <f aca="false">IF(B3802="","",IFERROR(INDEX(DE_PARA!$B$6:$B$205,MATCH(B3802,DE_PARA!$A$6:$A$205,0)),"SEM DE-PARA"))</f>
        <v/>
      </c>
      <c r="E3802" s="23" t="str">
        <f aca="false">IF(A3802="","",DATE(YEAR(A3802),MONTH(A3802),1))</f>
        <v/>
      </c>
    </row>
    <row r="3803" customFormat="false" ht="15" hidden="false" customHeight="false" outlineLevel="0" collapsed="false">
      <c r="A3803" s="21"/>
      <c r="B3803" s="4"/>
      <c r="C3803" s="22"/>
      <c r="D3803" s="5" t="str">
        <f aca="false">IF(B3803="","",IFERROR(INDEX(DE_PARA!$B$6:$B$205,MATCH(B3803,DE_PARA!$A$6:$A$205,0)),"SEM DE-PARA"))</f>
        <v/>
      </c>
      <c r="E3803" s="23" t="str">
        <f aca="false">IF(A3803="","",DATE(YEAR(A3803),MONTH(A3803),1))</f>
        <v/>
      </c>
    </row>
    <row r="3804" customFormat="false" ht="15" hidden="false" customHeight="false" outlineLevel="0" collapsed="false">
      <c r="A3804" s="21"/>
      <c r="B3804" s="4"/>
      <c r="C3804" s="22"/>
      <c r="D3804" s="5" t="str">
        <f aca="false">IF(B3804="","",IFERROR(INDEX(DE_PARA!$B$6:$B$205,MATCH(B3804,DE_PARA!$A$6:$A$205,0)),"SEM DE-PARA"))</f>
        <v/>
      </c>
      <c r="E3804" s="23" t="str">
        <f aca="false">IF(A3804="","",DATE(YEAR(A3804),MONTH(A3804),1))</f>
        <v/>
      </c>
    </row>
    <row r="3805" customFormat="false" ht="15" hidden="false" customHeight="false" outlineLevel="0" collapsed="false">
      <c r="A3805" s="21"/>
      <c r="B3805" s="4"/>
      <c r="C3805" s="22"/>
      <c r="D3805" s="5" t="str">
        <f aca="false">IF(B3805="","",IFERROR(INDEX(DE_PARA!$B$6:$B$205,MATCH(B3805,DE_PARA!$A$6:$A$205,0)),"SEM DE-PARA"))</f>
        <v/>
      </c>
      <c r="E3805" s="23" t="str">
        <f aca="false">IF(A3805="","",DATE(YEAR(A3805),MONTH(A3805),1))</f>
        <v/>
      </c>
    </row>
    <row r="3806" customFormat="false" ht="15" hidden="false" customHeight="false" outlineLevel="0" collapsed="false">
      <c r="A3806" s="21"/>
      <c r="B3806" s="4"/>
      <c r="C3806" s="22"/>
      <c r="D3806" s="5" t="str">
        <f aca="false">IF(B3806="","",IFERROR(INDEX(DE_PARA!$B$6:$B$205,MATCH(B3806,DE_PARA!$A$6:$A$205,0)),"SEM DE-PARA"))</f>
        <v/>
      </c>
      <c r="E3806" s="23" t="str">
        <f aca="false">IF(A3806="","",DATE(YEAR(A3806),MONTH(A3806),1))</f>
        <v/>
      </c>
    </row>
    <row r="3807" customFormat="false" ht="15" hidden="false" customHeight="false" outlineLevel="0" collapsed="false">
      <c r="A3807" s="21"/>
      <c r="B3807" s="4"/>
      <c r="C3807" s="22"/>
      <c r="D3807" s="5" t="str">
        <f aca="false">IF(B3807="","",IFERROR(INDEX(DE_PARA!$B$6:$B$205,MATCH(B3807,DE_PARA!$A$6:$A$205,0)),"SEM DE-PARA"))</f>
        <v/>
      </c>
      <c r="E3807" s="23" t="str">
        <f aca="false">IF(A3807="","",DATE(YEAR(A3807),MONTH(A3807),1))</f>
        <v/>
      </c>
    </row>
    <row r="3808" customFormat="false" ht="15" hidden="false" customHeight="false" outlineLevel="0" collapsed="false">
      <c r="A3808" s="21"/>
      <c r="B3808" s="4"/>
      <c r="C3808" s="22"/>
      <c r="D3808" s="5" t="str">
        <f aca="false">IF(B3808="","",IFERROR(INDEX(DE_PARA!$B$6:$B$205,MATCH(B3808,DE_PARA!$A$6:$A$205,0)),"SEM DE-PARA"))</f>
        <v/>
      </c>
      <c r="E3808" s="23" t="str">
        <f aca="false">IF(A3808="","",DATE(YEAR(A3808),MONTH(A3808),1))</f>
        <v/>
      </c>
    </row>
    <row r="3809" customFormat="false" ht="15" hidden="false" customHeight="false" outlineLevel="0" collapsed="false">
      <c r="A3809" s="21"/>
      <c r="B3809" s="4"/>
      <c r="C3809" s="22"/>
      <c r="D3809" s="5" t="str">
        <f aca="false">IF(B3809="","",IFERROR(INDEX(DE_PARA!$B$6:$B$205,MATCH(B3809,DE_PARA!$A$6:$A$205,0)),"SEM DE-PARA"))</f>
        <v/>
      </c>
      <c r="E3809" s="23" t="str">
        <f aca="false">IF(A3809="","",DATE(YEAR(A3809),MONTH(A3809),1))</f>
        <v/>
      </c>
    </row>
    <row r="3810" customFormat="false" ht="15" hidden="false" customHeight="false" outlineLevel="0" collapsed="false">
      <c r="A3810" s="21"/>
      <c r="B3810" s="4"/>
      <c r="C3810" s="22"/>
      <c r="D3810" s="5" t="str">
        <f aca="false">IF(B3810="","",IFERROR(INDEX(DE_PARA!$B$6:$B$205,MATCH(B3810,DE_PARA!$A$6:$A$205,0)),"SEM DE-PARA"))</f>
        <v/>
      </c>
      <c r="E3810" s="23" t="str">
        <f aca="false">IF(A3810="","",DATE(YEAR(A3810),MONTH(A3810),1))</f>
        <v/>
      </c>
    </row>
    <row r="3811" customFormat="false" ht="15" hidden="false" customHeight="false" outlineLevel="0" collapsed="false">
      <c r="A3811" s="21"/>
      <c r="B3811" s="4"/>
      <c r="C3811" s="22"/>
      <c r="D3811" s="5" t="str">
        <f aca="false">IF(B3811="","",IFERROR(INDEX(DE_PARA!$B$6:$B$205,MATCH(B3811,DE_PARA!$A$6:$A$205,0)),"SEM DE-PARA"))</f>
        <v/>
      </c>
      <c r="E3811" s="23" t="str">
        <f aca="false">IF(A3811="","",DATE(YEAR(A3811),MONTH(A3811),1))</f>
        <v/>
      </c>
    </row>
    <row r="3812" customFormat="false" ht="15" hidden="false" customHeight="false" outlineLevel="0" collapsed="false">
      <c r="A3812" s="21"/>
      <c r="B3812" s="4"/>
      <c r="C3812" s="22"/>
      <c r="D3812" s="5" t="str">
        <f aca="false">IF(B3812="","",IFERROR(INDEX(DE_PARA!$B$6:$B$205,MATCH(B3812,DE_PARA!$A$6:$A$205,0)),"SEM DE-PARA"))</f>
        <v/>
      </c>
      <c r="E3812" s="23" t="str">
        <f aca="false">IF(A3812="","",DATE(YEAR(A3812),MONTH(A3812),1))</f>
        <v/>
      </c>
    </row>
    <row r="3813" customFormat="false" ht="15" hidden="false" customHeight="false" outlineLevel="0" collapsed="false">
      <c r="A3813" s="21"/>
      <c r="B3813" s="4"/>
      <c r="C3813" s="22"/>
      <c r="D3813" s="5" t="str">
        <f aca="false">IF(B3813="","",IFERROR(INDEX(DE_PARA!$B$6:$B$205,MATCH(B3813,DE_PARA!$A$6:$A$205,0)),"SEM DE-PARA"))</f>
        <v/>
      </c>
      <c r="E3813" s="23" t="str">
        <f aca="false">IF(A3813="","",DATE(YEAR(A3813),MONTH(A3813),1))</f>
        <v/>
      </c>
    </row>
    <row r="3814" customFormat="false" ht="15" hidden="false" customHeight="false" outlineLevel="0" collapsed="false">
      <c r="A3814" s="21"/>
      <c r="B3814" s="4"/>
      <c r="C3814" s="22"/>
      <c r="D3814" s="5" t="str">
        <f aca="false">IF(B3814="","",IFERROR(INDEX(DE_PARA!$B$6:$B$205,MATCH(B3814,DE_PARA!$A$6:$A$205,0)),"SEM DE-PARA"))</f>
        <v/>
      </c>
      <c r="E3814" s="23" t="str">
        <f aca="false">IF(A3814="","",DATE(YEAR(A3814),MONTH(A3814),1))</f>
        <v/>
      </c>
    </row>
    <row r="3815" customFormat="false" ht="15" hidden="false" customHeight="false" outlineLevel="0" collapsed="false">
      <c r="A3815" s="21"/>
      <c r="B3815" s="4"/>
      <c r="C3815" s="22"/>
      <c r="D3815" s="5" t="str">
        <f aca="false">IF(B3815="","",IFERROR(INDEX(DE_PARA!$B$6:$B$205,MATCH(B3815,DE_PARA!$A$6:$A$205,0)),"SEM DE-PARA"))</f>
        <v/>
      </c>
      <c r="E3815" s="23" t="str">
        <f aca="false">IF(A3815="","",DATE(YEAR(A3815),MONTH(A3815),1))</f>
        <v/>
      </c>
    </row>
    <row r="3816" customFormat="false" ht="15" hidden="false" customHeight="false" outlineLevel="0" collapsed="false">
      <c r="A3816" s="21"/>
      <c r="B3816" s="4"/>
      <c r="C3816" s="22"/>
      <c r="D3816" s="5" t="str">
        <f aca="false">IF(B3816="","",IFERROR(INDEX(DE_PARA!$B$6:$B$205,MATCH(B3816,DE_PARA!$A$6:$A$205,0)),"SEM DE-PARA"))</f>
        <v/>
      </c>
      <c r="E3816" s="23" t="str">
        <f aca="false">IF(A3816="","",DATE(YEAR(A3816),MONTH(A3816),1))</f>
        <v/>
      </c>
    </row>
    <row r="3817" customFormat="false" ht="15" hidden="false" customHeight="false" outlineLevel="0" collapsed="false">
      <c r="A3817" s="21"/>
      <c r="B3817" s="4"/>
      <c r="C3817" s="22"/>
      <c r="D3817" s="5" t="str">
        <f aca="false">IF(B3817="","",IFERROR(INDEX(DE_PARA!$B$6:$B$205,MATCH(B3817,DE_PARA!$A$6:$A$205,0)),"SEM DE-PARA"))</f>
        <v/>
      </c>
      <c r="E3817" s="23" t="str">
        <f aca="false">IF(A3817="","",DATE(YEAR(A3817),MONTH(A3817),1))</f>
        <v/>
      </c>
    </row>
    <row r="3818" customFormat="false" ht="15" hidden="false" customHeight="false" outlineLevel="0" collapsed="false">
      <c r="A3818" s="21"/>
      <c r="B3818" s="4"/>
      <c r="C3818" s="22"/>
      <c r="D3818" s="5" t="str">
        <f aca="false">IF(B3818="","",IFERROR(INDEX(DE_PARA!$B$6:$B$205,MATCH(B3818,DE_PARA!$A$6:$A$205,0)),"SEM DE-PARA"))</f>
        <v/>
      </c>
      <c r="E3818" s="23" t="str">
        <f aca="false">IF(A3818="","",DATE(YEAR(A3818),MONTH(A3818),1))</f>
        <v/>
      </c>
    </row>
    <row r="3819" customFormat="false" ht="15" hidden="false" customHeight="false" outlineLevel="0" collapsed="false">
      <c r="A3819" s="21"/>
      <c r="B3819" s="4"/>
      <c r="C3819" s="22"/>
      <c r="D3819" s="5" t="str">
        <f aca="false">IF(B3819="","",IFERROR(INDEX(DE_PARA!$B$6:$B$205,MATCH(B3819,DE_PARA!$A$6:$A$205,0)),"SEM DE-PARA"))</f>
        <v/>
      </c>
      <c r="E3819" s="23" t="str">
        <f aca="false">IF(A3819="","",DATE(YEAR(A3819),MONTH(A3819),1))</f>
        <v/>
      </c>
    </row>
    <row r="3820" customFormat="false" ht="15" hidden="false" customHeight="false" outlineLevel="0" collapsed="false">
      <c r="A3820" s="21"/>
      <c r="B3820" s="4"/>
      <c r="C3820" s="22"/>
      <c r="D3820" s="5" t="str">
        <f aca="false">IF(B3820="","",IFERROR(INDEX(DE_PARA!$B$6:$B$205,MATCH(B3820,DE_PARA!$A$6:$A$205,0)),"SEM DE-PARA"))</f>
        <v/>
      </c>
      <c r="E3820" s="23" t="str">
        <f aca="false">IF(A3820="","",DATE(YEAR(A3820),MONTH(A3820),1))</f>
        <v/>
      </c>
    </row>
    <row r="3821" customFormat="false" ht="15" hidden="false" customHeight="false" outlineLevel="0" collapsed="false">
      <c r="A3821" s="21"/>
      <c r="B3821" s="4"/>
      <c r="C3821" s="22"/>
      <c r="D3821" s="5" t="str">
        <f aca="false">IF(B3821="","",IFERROR(INDEX(DE_PARA!$B$6:$B$205,MATCH(B3821,DE_PARA!$A$6:$A$205,0)),"SEM DE-PARA"))</f>
        <v/>
      </c>
      <c r="E3821" s="23" t="str">
        <f aca="false">IF(A3821="","",DATE(YEAR(A3821),MONTH(A3821),1))</f>
        <v/>
      </c>
    </row>
    <row r="3822" customFormat="false" ht="15" hidden="false" customHeight="false" outlineLevel="0" collapsed="false">
      <c r="A3822" s="21"/>
      <c r="B3822" s="4"/>
      <c r="C3822" s="22"/>
      <c r="D3822" s="5" t="str">
        <f aca="false">IF(B3822="","",IFERROR(INDEX(DE_PARA!$B$6:$B$205,MATCH(B3822,DE_PARA!$A$6:$A$205,0)),"SEM DE-PARA"))</f>
        <v/>
      </c>
      <c r="E3822" s="23" t="str">
        <f aca="false">IF(A3822="","",DATE(YEAR(A3822),MONTH(A3822),1))</f>
        <v/>
      </c>
    </row>
    <row r="3823" customFormat="false" ht="15" hidden="false" customHeight="false" outlineLevel="0" collapsed="false">
      <c r="A3823" s="21"/>
      <c r="B3823" s="4"/>
      <c r="C3823" s="22"/>
      <c r="D3823" s="5" t="str">
        <f aca="false">IF(B3823="","",IFERROR(INDEX(DE_PARA!$B$6:$B$205,MATCH(B3823,DE_PARA!$A$6:$A$205,0)),"SEM DE-PARA"))</f>
        <v/>
      </c>
      <c r="E3823" s="23" t="str">
        <f aca="false">IF(A3823="","",DATE(YEAR(A3823),MONTH(A3823),1))</f>
        <v/>
      </c>
    </row>
    <row r="3824" customFormat="false" ht="15" hidden="false" customHeight="false" outlineLevel="0" collapsed="false">
      <c r="A3824" s="21"/>
      <c r="B3824" s="4"/>
      <c r="C3824" s="22"/>
      <c r="D3824" s="5" t="str">
        <f aca="false">IF(B3824="","",IFERROR(INDEX(DE_PARA!$B$6:$B$205,MATCH(B3824,DE_PARA!$A$6:$A$205,0)),"SEM DE-PARA"))</f>
        <v/>
      </c>
      <c r="E3824" s="23" t="str">
        <f aca="false">IF(A3824="","",DATE(YEAR(A3824),MONTH(A3824),1))</f>
        <v/>
      </c>
    </row>
    <row r="3825" customFormat="false" ht="15" hidden="false" customHeight="false" outlineLevel="0" collapsed="false">
      <c r="A3825" s="21"/>
      <c r="B3825" s="4"/>
      <c r="C3825" s="22"/>
      <c r="D3825" s="5" t="str">
        <f aca="false">IF(B3825="","",IFERROR(INDEX(DE_PARA!$B$6:$B$205,MATCH(B3825,DE_PARA!$A$6:$A$205,0)),"SEM DE-PARA"))</f>
        <v/>
      </c>
      <c r="E3825" s="23" t="str">
        <f aca="false">IF(A3825="","",DATE(YEAR(A3825),MONTH(A3825),1))</f>
        <v/>
      </c>
    </row>
    <row r="3826" customFormat="false" ht="15" hidden="false" customHeight="false" outlineLevel="0" collapsed="false">
      <c r="A3826" s="21"/>
      <c r="B3826" s="4"/>
      <c r="C3826" s="22"/>
      <c r="D3826" s="5" t="str">
        <f aca="false">IF(B3826="","",IFERROR(INDEX(DE_PARA!$B$6:$B$205,MATCH(B3826,DE_PARA!$A$6:$A$205,0)),"SEM DE-PARA"))</f>
        <v/>
      </c>
      <c r="E3826" s="23" t="str">
        <f aca="false">IF(A3826="","",DATE(YEAR(A3826),MONTH(A3826),1))</f>
        <v/>
      </c>
    </row>
    <row r="3827" customFormat="false" ht="15" hidden="false" customHeight="false" outlineLevel="0" collapsed="false">
      <c r="A3827" s="21"/>
      <c r="B3827" s="4"/>
      <c r="C3827" s="22"/>
      <c r="D3827" s="5" t="str">
        <f aca="false">IF(B3827="","",IFERROR(INDEX(DE_PARA!$B$6:$B$205,MATCH(B3827,DE_PARA!$A$6:$A$205,0)),"SEM DE-PARA"))</f>
        <v/>
      </c>
      <c r="E3827" s="23" t="str">
        <f aca="false">IF(A3827="","",DATE(YEAR(A3827),MONTH(A3827),1))</f>
        <v/>
      </c>
    </row>
    <row r="3828" customFormat="false" ht="15" hidden="false" customHeight="false" outlineLevel="0" collapsed="false">
      <c r="A3828" s="21"/>
      <c r="B3828" s="4"/>
      <c r="C3828" s="22"/>
      <c r="D3828" s="5" t="str">
        <f aca="false">IF(B3828="","",IFERROR(INDEX(DE_PARA!$B$6:$B$205,MATCH(B3828,DE_PARA!$A$6:$A$205,0)),"SEM DE-PARA"))</f>
        <v/>
      </c>
      <c r="E3828" s="23" t="str">
        <f aca="false">IF(A3828="","",DATE(YEAR(A3828),MONTH(A3828),1))</f>
        <v/>
      </c>
    </row>
    <row r="3829" customFormat="false" ht="15" hidden="false" customHeight="false" outlineLevel="0" collapsed="false">
      <c r="A3829" s="21"/>
      <c r="B3829" s="4"/>
      <c r="C3829" s="22"/>
      <c r="D3829" s="5" t="str">
        <f aca="false">IF(B3829="","",IFERROR(INDEX(DE_PARA!$B$6:$B$205,MATCH(B3829,DE_PARA!$A$6:$A$205,0)),"SEM DE-PARA"))</f>
        <v/>
      </c>
      <c r="E3829" s="23" t="str">
        <f aca="false">IF(A3829="","",DATE(YEAR(A3829),MONTH(A3829),1))</f>
        <v/>
      </c>
    </row>
    <row r="3830" customFormat="false" ht="15" hidden="false" customHeight="false" outlineLevel="0" collapsed="false">
      <c r="A3830" s="21"/>
      <c r="B3830" s="4"/>
      <c r="C3830" s="22"/>
      <c r="D3830" s="5" t="str">
        <f aca="false">IF(B3830="","",IFERROR(INDEX(DE_PARA!$B$6:$B$205,MATCH(B3830,DE_PARA!$A$6:$A$205,0)),"SEM DE-PARA"))</f>
        <v/>
      </c>
      <c r="E3830" s="23" t="str">
        <f aca="false">IF(A3830="","",DATE(YEAR(A3830),MONTH(A3830),1))</f>
        <v/>
      </c>
    </row>
    <row r="3831" customFormat="false" ht="15" hidden="false" customHeight="false" outlineLevel="0" collapsed="false">
      <c r="A3831" s="21"/>
      <c r="B3831" s="4"/>
      <c r="C3831" s="22"/>
      <c r="D3831" s="5" t="str">
        <f aca="false">IF(B3831="","",IFERROR(INDEX(DE_PARA!$B$6:$B$205,MATCH(B3831,DE_PARA!$A$6:$A$205,0)),"SEM DE-PARA"))</f>
        <v/>
      </c>
      <c r="E3831" s="23" t="str">
        <f aca="false">IF(A3831="","",DATE(YEAR(A3831),MONTH(A3831),1))</f>
        <v/>
      </c>
    </row>
    <row r="3832" customFormat="false" ht="15" hidden="false" customHeight="false" outlineLevel="0" collapsed="false">
      <c r="A3832" s="21"/>
      <c r="B3832" s="4"/>
      <c r="C3832" s="22"/>
      <c r="D3832" s="5" t="str">
        <f aca="false">IF(B3832="","",IFERROR(INDEX(DE_PARA!$B$6:$B$205,MATCH(B3832,DE_PARA!$A$6:$A$205,0)),"SEM DE-PARA"))</f>
        <v/>
      </c>
      <c r="E3832" s="23" t="str">
        <f aca="false">IF(A3832="","",DATE(YEAR(A3832),MONTH(A3832),1))</f>
        <v/>
      </c>
    </row>
    <row r="3833" customFormat="false" ht="15" hidden="false" customHeight="false" outlineLevel="0" collapsed="false">
      <c r="A3833" s="21"/>
      <c r="B3833" s="4"/>
      <c r="C3833" s="22"/>
      <c r="D3833" s="5" t="str">
        <f aca="false">IF(B3833="","",IFERROR(INDEX(DE_PARA!$B$6:$B$205,MATCH(B3833,DE_PARA!$A$6:$A$205,0)),"SEM DE-PARA"))</f>
        <v/>
      </c>
      <c r="E3833" s="23" t="str">
        <f aca="false">IF(A3833="","",DATE(YEAR(A3833),MONTH(A3833),1))</f>
        <v/>
      </c>
    </row>
    <row r="3834" customFormat="false" ht="15" hidden="false" customHeight="false" outlineLevel="0" collapsed="false">
      <c r="A3834" s="21"/>
      <c r="B3834" s="4"/>
      <c r="C3834" s="22"/>
      <c r="D3834" s="5" t="str">
        <f aca="false">IF(B3834="","",IFERROR(INDEX(DE_PARA!$B$6:$B$205,MATCH(B3834,DE_PARA!$A$6:$A$205,0)),"SEM DE-PARA"))</f>
        <v/>
      </c>
      <c r="E3834" s="23" t="str">
        <f aca="false">IF(A3834="","",DATE(YEAR(A3834),MONTH(A3834),1))</f>
        <v/>
      </c>
    </row>
    <row r="3835" customFormat="false" ht="15" hidden="false" customHeight="false" outlineLevel="0" collapsed="false">
      <c r="A3835" s="21"/>
      <c r="B3835" s="4"/>
      <c r="C3835" s="22"/>
      <c r="D3835" s="5" t="str">
        <f aca="false">IF(B3835="","",IFERROR(INDEX(DE_PARA!$B$6:$B$205,MATCH(B3835,DE_PARA!$A$6:$A$205,0)),"SEM DE-PARA"))</f>
        <v/>
      </c>
      <c r="E3835" s="23" t="str">
        <f aca="false">IF(A3835="","",DATE(YEAR(A3835),MONTH(A3835),1))</f>
        <v/>
      </c>
    </row>
    <row r="3836" customFormat="false" ht="15" hidden="false" customHeight="false" outlineLevel="0" collapsed="false">
      <c r="A3836" s="21"/>
      <c r="B3836" s="4"/>
      <c r="C3836" s="22"/>
      <c r="D3836" s="5" t="str">
        <f aca="false">IF(B3836="","",IFERROR(INDEX(DE_PARA!$B$6:$B$205,MATCH(B3836,DE_PARA!$A$6:$A$205,0)),"SEM DE-PARA"))</f>
        <v/>
      </c>
      <c r="E3836" s="23" t="str">
        <f aca="false">IF(A3836="","",DATE(YEAR(A3836),MONTH(A3836),1))</f>
        <v/>
      </c>
    </row>
    <row r="3837" customFormat="false" ht="15" hidden="false" customHeight="false" outlineLevel="0" collapsed="false">
      <c r="A3837" s="21"/>
      <c r="B3837" s="4"/>
      <c r="C3837" s="22"/>
      <c r="D3837" s="5" t="str">
        <f aca="false">IF(B3837="","",IFERROR(INDEX(DE_PARA!$B$6:$B$205,MATCH(B3837,DE_PARA!$A$6:$A$205,0)),"SEM DE-PARA"))</f>
        <v/>
      </c>
      <c r="E3837" s="23" t="str">
        <f aca="false">IF(A3837="","",DATE(YEAR(A3837),MONTH(A3837),1))</f>
        <v/>
      </c>
    </row>
    <row r="3838" customFormat="false" ht="15" hidden="false" customHeight="false" outlineLevel="0" collapsed="false">
      <c r="A3838" s="21"/>
      <c r="B3838" s="4"/>
      <c r="C3838" s="22"/>
      <c r="D3838" s="5" t="str">
        <f aca="false">IF(B3838="","",IFERROR(INDEX(DE_PARA!$B$6:$B$205,MATCH(B3838,DE_PARA!$A$6:$A$205,0)),"SEM DE-PARA"))</f>
        <v/>
      </c>
      <c r="E3838" s="23" t="str">
        <f aca="false">IF(A3838="","",DATE(YEAR(A3838),MONTH(A3838),1))</f>
        <v/>
      </c>
    </row>
    <row r="3839" customFormat="false" ht="15" hidden="false" customHeight="false" outlineLevel="0" collapsed="false">
      <c r="A3839" s="21"/>
      <c r="B3839" s="4"/>
      <c r="C3839" s="22"/>
      <c r="D3839" s="5" t="str">
        <f aca="false">IF(B3839="","",IFERROR(INDEX(DE_PARA!$B$6:$B$205,MATCH(B3839,DE_PARA!$A$6:$A$205,0)),"SEM DE-PARA"))</f>
        <v/>
      </c>
      <c r="E3839" s="23" t="str">
        <f aca="false">IF(A3839="","",DATE(YEAR(A3839),MONTH(A3839),1))</f>
        <v/>
      </c>
    </row>
    <row r="3840" customFormat="false" ht="15" hidden="false" customHeight="false" outlineLevel="0" collapsed="false">
      <c r="A3840" s="21"/>
      <c r="B3840" s="4"/>
      <c r="C3840" s="22"/>
      <c r="D3840" s="5" t="str">
        <f aca="false">IF(B3840="","",IFERROR(INDEX(DE_PARA!$B$6:$B$205,MATCH(B3840,DE_PARA!$A$6:$A$205,0)),"SEM DE-PARA"))</f>
        <v/>
      </c>
      <c r="E3840" s="23" t="str">
        <f aca="false">IF(A3840="","",DATE(YEAR(A3840),MONTH(A3840),1))</f>
        <v/>
      </c>
    </row>
    <row r="3841" customFormat="false" ht="15" hidden="false" customHeight="false" outlineLevel="0" collapsed="false">
      <c r="A3841" s="21"/>
      <c r="B3841" s="4"/>
      <c r="C3841" s="22"/>
      <c r="D3841" s="5" t="str">
        <f aca="false">IF(B3841="","",IFERROR(INDEX(DE_PARA!$B$6:$B$205,MATCH(B3841,DE_PARA!$A$6:$A$205,0)),"SEM DE-PARA"))</f>
        <v/>
      </c>
      <c r="E3841" s="23" t="str">
        <f aca="false">IF(A3841="","",DATE(YEAR(A3841),MONTH(A3841),1))</f>
        <v/>
      </c>
    </row>
    <row r="3842" customFormat="false" ht="15" hidden="false" customHeight="false" outlineLevel="0" collapsed="false">
      <c r="A3842" s="21"/>
      <c r="B3842" s="4"/>
      <c r="C3842" s="22"/>
      <c r="D3842" s="5" t="str">
        <f aca="false">IF(B3842="","",IFERROR(INDEX(DE_PARA!$B$6:$B$205,MATCH(B3842,DE_PARA!$A$6:$A$205,0)),"SEM DE-PARA"))</f>
        <v/>
      </c>
      <c r="E3842" s="23" t="str">
        <f aca="false">IF(A3842="","",DATE(YEAR(A3842),MONTH(A3842),1))</f>
        <v/>
      </c>
    </row>
    <row r="3843" customFormat="false" ht="15" hidden="false" customHeight="false" outlineLevel="0" collapsed="false">
      <c r="A3843" s="21"/>
      <c r="B3843" s="4"/>
      <c r="C3843" s="22"/>
      <c r="D3843" s="5" t="str">
        <f aca="false">IF(B3843="","",IFERROR(INDEX(DE_PARA!$B$6:$B$205,MATCH(B3843,DE_PARA!$A$6:$A$205,0)),"SEM DE-PARA"))</f>
        <v/>
      </c>
      <c r="E3843" s="23" t="str">
        <f aca="false">IF(A3843="","",DATE(YEAR(A3843),MONTH(A3843),1))</f>
        <v/>
      </c>
    </row>
    <row r="3844" customFormat="false" ht="15" hidden="false" customHeight="false" outlineLevel="0" collapsed="false">
      <c r="A3844" s="21"/>
      <c r="B3844" s="4"/>
      <c r="C3844" s="22"/>
      <c r="D3844" s="5" t="str">
        <f aca="false">IF(B3844="","",IFERROR(INDEX(DE_PARA!$B$6:$B$205,MATCH(B3844,DE_PARA!$A$6:$A$205,0)),"SEM DE-PARA"))</f>
        <v/>
      </c>
      <c r="E3844" s="23" t="str">
        <f aca="false">IF(A3844="","",DATE(YEAR(A3844),MONTH(A3844),1))</f>
        <v/>
      </c>
    </row>
    <row r="3845" customFormat="false" ht="15" hidden="false" customHeight="false" outlineLevel="0" collapsed="false">
      <c r="A3845" s="21"/>
      <c r="B3845" s="4"/>
      <c r="C3845" s="22"/>
      <c r="D3845" s="5" t="str">
        <f aca="false">IF(B3845="","",IFERROR(INDEX(DE_PARA!$B$6:$B$205,MATCH(B3845,DE_PARA!$A$6:$A$205,0)),"SEM DE-PARA"))</f>
        <v/>
      </c>
      <c r="E3845" s="23" t="str">
        <f aca="false">IF(A3845="","",DATE(YEAR(A3845),MONTH(A3845),1))</f>
        <v/>
      </c>
    </row>
    <row r="3846" customFormat="false" ht="15" hidden="false" customHeight="false" outlineLevel="0" collapsed="false">
      <c r="A3846" s="21"/>
      <c r="B3846" s="4"/>
      <c r="C3846" s="22"/>
      <c r="D3846" s="5" t="str">
        <f aca="false">IF(B3846="","",IFERROR(INDEX(DE_PARA!$B$6:$B$205,MATCH(B3846,DE_PARA!$A$6:$A$205,0)),"SEM DE-PARA"))</f>
        <v/>
      </c>
      <c r="E3846" s="23" t="str">
        <f aca="false">IF(A3846="","",DATE(YEAR(A3846),MONTH(A3846),1))</f>
        <v/>
      </c>
    </row>
    <row r="3847" customFormat="false" ht="15" hidden="false" customHeight="false" outlineLevel="0" collapsed="false">
      <c r="A3847" s="21"/>
      <c r="B3847" s="4"/>
      <c r="C3847" s="22"/>
      <c r="D3847" s="5" t="str">
        <f aca="false">IF(B3847="","",IFERROR(INDEX(DE_PARA!$B$6:$B$205,MATCH(B3847,DE_PARA!$A$6:$A$205,0)),"SEM DE-PARA"))</f>
        <v/>
      </c>
      <c r="E3847" s="23" t="str">
        <f aca="false">IF(A3847="","",DATE(YEAR(A3847),MONTH(A3847),1))</f>
        <v/>
      </c>
    </row>
    <row r="3848" customFormat="false" ht="15" hidden="false" customHeight="false" outlineLevel="0" collapsed="false">
      <c r="A3848" s="21"/>
      <c r="B3848" s="4"/>
      <c r="C3848" s="22"/>
      <c r="D3848" s="5" t="str">
        <f aca="false">IF(B3848="","",IFERROR(INDEX(DE_PARA!$B$6:$B$205,MATCH(B3848,DE_PARA!$A$6:$A$205,0)),"SEM DE-PARA"))</f>
        <v/>
      </c>
      <c r="E3848" s="23" t="str">
        <f aca="false">IF(A3848="","",DATE(YEAR(A3848),MONTH(A3848),1))</f>
        <v/>
      </c>
    </row>
    <row r="3849" customFormat="false" ht="15" hidden="false" customHeight="false" outlineLevel="0" collapsed="false">
      <c r="A3849" s="21"/>
      <c r="B3849" s="4"/>
      <c r="C3849" s="22"/>
      <c r="D3849" s="5" t="str">
        <f aca="false">IF(B3849="","",IFERROR(INDEX(DE_PARA!$B$6:$B$205,MATCH(B3849,DE_PARA!$A$6:$A$205,0)),"SEM DE-PARA"))</f>
        <v/>
      </c>
      <c r="E3849" s="23" t="str">
        <f aca="false">IF(A3849="","",DATE(YEAR(A3849),MONTH(A3849),1))</f>
        <v/>
      </c>
    </row>
    <row r="3850" customFormat="false" ht="15" hidden="false" customHeight="false" outlineLevel="0" collapsed="false">
      <c r="A3850" s="21"/>
      <c r="B3850" s="4"/>
      <c r="C3850" s="22"/>
      <c r="D3850" s="5" t="str">
        <f aca="false">IF(B3850="","",IFERROR(INDEX(DE_PARA!$B$6:$B$205,MATCH(B3850,DE_PARA!$A$6:$A$205,0)),"SEM DE-PARA"))</f>
        <v/>
      </c>
      <c r="E3850" s="23" t="str">
        <f aca="false">IF(A3850="","",DATE(YEAR(A3850),MONTH(A3850),1))</f>
        <v/>
      </c>
    </row>
    <row r="3851" customFormat="false" ht="15" hidden="false" customHeight="false" outlineLevel="0" collapsed="false">
      <c r="A3851" s="21"/>
      <c r="B3851" s="4"/>
      <c r="C3851" s="22"/>
      <c r="D3851" s="5" t="str">
        <f aca="false">IF(B3851="","",IFERROR(INDEX(DE_PARA!$B$6:$B$205,MATCH(B3851,DE_PARA!$A$6:$A$205,0)),"SEM DE-PARA"))</f>
        <v/>
      </c>
      <c r="E3851" s="23" t="str">
        <f aca="false">IF(A3851="","",DATE(YEAR(A3851),MONTH(A3851),1))</f>
        <v/>
      </c>
    </row>
    <row r="3852" customFormat="false" ht="15" hidden="false" customHeight="false" outlineLevel="0" collapsed="false">
      <c r="A3852" s="21"/>
      <c r="B3852" s="4"/>
      <c r="C3852" s="22"/>
      <c r="D3852" s="5" t="str">
        <f aca="false">IF(B3852="","",IFERROR(INDEX(DE_PARA!$B$6:$B$205,MATCH(B3852,DE_PARA!$A$6:$A$205,0)),"SEM DE-PARA"))</f>
        <v/>
      </c>
      <c r="E3852" s="23" t="str">
        <f aca="false">IF(A3852="","",DATE(YEAR(A3852),MONTH(A3852),1))</f>
        <v/>
      </c>
    </row>
    <row r="3853" customFormat="false" ht="15" hidden="false" customHeight="false" outlineLevel="0" collapsed="false">
      <c r="A3853" s="21"/>
      <c r="B3853" s="4"/>
      <c r="C3853" s="22"/>
      <c r="D3853" s="5" t="str">
        <f aca="false">IF(B3853="","",IFERROR(INDEX(DE_PARA!$B$6:$B$205,MATCH(B3853,DE_PARA!$A$6:$A$205,0)),"SEM DE-PARA"))</f>
        <v/>
      </c>
      <c r="E3853" s="23" t="str">
        <f aca="false">IF(A3853="","",DATE(YEAR(A3853),MONTH(A3853),1))</f>
        <v/>
      </c>
    </row>
    <row r="3854" customFormat="false" ht="15" hidden="false" customHeight="false" outlineLevel="0" collapsed="false">
      <c r="A3854" s="21"/>
      <c r="B3854" s="4"/>
      <c r="C3854" s="22"/>
      <c r="D3854" s="5" t="str">
        <f aca="false">IF(B3854="","",IFERROR(INDEX(DE_PARA!$B$6:$B$205,MATCH(B3854,DE_PARA!$A$6:$A$205,0)),"SEM DE-PARA"))</f>
        <v/>
      </c>
      <c r="E3854" s="23" t="str">
        <f aca="false">IF(A3854="","",DATE(YEAR(A3854),MONTH(A3854),1))</f>
        <v/>
      </c>
    </row>
    <row r="3855" customFormat="false" ht="15" hidden="false" customHeight="false" outlineLevel="0" collapsed="false">
      <c r="A3855" s="21"/>
      <c r="B3855" s="4"/>
      <c r="C3855" s="22"/>
      <c r="D3855" s="5" t="str">
        <f aca="false">IF(B3855="","",IFERROR(INDEX(DE_PARA!$B$6:$B$205,MATCH(B3855,DE_PARA!$A$6:$A$205,0)),"SEM DE-PARA"))</f>
        <v/>
      </c>
      <c r="E3855" s="23" t="str">
        <f aca="false">IF(A3855="","",DATE(YEAR(A3855),MONTH(A3855),1))</f>
        <v/>
      </c>
    </row>
    <row r="3856" customFormat="false" ht="15" hidden="false" customHeight="false" outlineLevel="0" collapsed="false">
      <c r="A3856" s="21"/>
      <c r="B3856" s="4"/>
      <c r="C3856" s="22"/>
      <c r="D3856" s="5" t="str">
        <f aca="false">IF(B3856="","",IFERROR(INDEX(DE_PARA!$B$6:$B$205,MATCH(B3856,DE_PARA!$A$6:$A$205,0)),"SEM DE-PARA"))</f>
        <v/>
      </c>
      <c r="E3856" s="23" t="str">
        <f aca="false">IF(A3856="","",DATE(YEAR(A3856),MONTH(A3856),1))</f>
        <v/>
      </c>
    </row>
    <row r="3857" customFormat="false" ht="15" hidden="false" customHeight="false" outlineLevel="0" collapsed="false">
      <c r="A3857" s="21"/>
      <c r="B3857" s="4"/>
      <c r="C3857" s="22"/>
      <c r="D3857" s="5" t="str">
        <f aca="false">IF(B3857="","",IFERROR(INDEX(DE_PARA!$B$6:$B$205,MATCH(B3857,DE_PARA!$A$6:$A$205,0)),"SEM DE-PARA"))</f>
        <v/>
      </c>
      <c r="E3857" s="23" t="str">
        <f aca="false">IF(A3857="","",DATE(YEAR(A3857),MONTH(A3857),1))</f>
        <v/>
      </c>
    </row>
    <row r="3858" customFormat="false" ht="15" hidden="false" customHeight="false" outlineLevel="0" collapsed="false">
      <c r="A3858" s="21"/>
      <c r="B3858" s="4"/>
      <c r="C3858" s="22"/>
      <c r="D3858" s="5" t="str">
        <f aca="false">IF(B3858="","",IFERROR(INDEX(DE_PARA!$B$6:$B$205,MATCH(B3858,DE_PARA!$A$6:$A$205,0)),"SEM DE-PARA"))</f>
        <v/>
      </c>
      <c r="E3858" s="23" t="str">
        <f aca="false">IF(A3858="","",DATE(YEAR(A3858),MONTH(A3858),1))</f>
        <v/>
      </c>
    </row>
    <row r="3859" customFormat="false" ht="15" hidden="false" customHeight="false" outlineLevel="0" collapsed="false">
      <c r="A3859" s="21"/>
      <c r="B3859" s="4"/>
      <c r="C3859" s="22"/>
      <c r="D3859" s="5" t="str">
        <f aca="false">IF(B3859="","",IFERROR(INDEX(DE_PARA!$B$6:$B$205,MATCH(B3859,DE_PARA!$A$6:$A$205,0)),"SEM DE-PARA"))</f>
        <v/>
      </c>
      <c r="E3859" s="23" t="str">
        <f aca="false">IF(A3859="","",DATE(YEAR(A3859),MONTH(A3859),1))</f>
        <v/>
      </c>
    </row>
    <row r="3860" customFormat="false" ht="15" hidden="false" customHeight="false" outlineLevel="0" collapsed="false">
      <c r="A3860" s="21"/>
      <c r="B3860" s="4"/>
      <c r="C3860" s="22"/>
      <c r="D3860" s="5" t="str">
        <f aca="false">IF(B3860="","",IFERROR(INDEX(DE_PARA!$B$6:$B$205,MATCH(B3860,DE_PARA!$A$6:$A$205,0)),"SEM DE-PARA"))</f>
        <v/>
      </c>
      <c r="E3860" s="23" t="str">
        <f aca="false">IF(A3860="","",DATE(YEAR(A3860),MONTH(A3860),1))</f>
        <v/>
      </c>
    </row>
    <row r="3861" customFormat="false" ht="15" hidden="false" customHeight="false" outlineLevel="0" collapsed="false">
      <c r="A3861" s="21"/>
      <c r="B3861" s="4"/>
      <c r="C3861" s="22"/>
      <c r="D3861" s="5" t="str">
        <f aca="false">IF(B3861="","",IFERROR(INDEX(DE_PARA!$B$6:$B$205,MATCH(B3861,DE_PARA!$A$6:$A$205,0)),"SEM DE-PARA"))</f>
        <v/>
      </c>
      <c r="E3861" s="23" t="str">
        <f aca="false">IF(A3861="","",DATE(YEAR(A3861),MONTH(A3861),1))</f>
        <v/>
      </c>
    </row>
    <row r="3862" customFormat="false" ht="15" hidden="false" customHeight="false" outlineLevel="0" collapsed="false">
      <c r="A3862" s="21"/>
      <c r="B3862" s="4"/>
      <c r="C3862" s="22"/>
      <c r="D3862" s="5" t="str">
        <f aca="false">IF(B3862="","",IFERROR(INDEX(DE_PARA!$B$6:$B$205,MATCH(B3862,DE_PARA!$A$6:$A$205,0)),"SEM DE-PARA"))</f>
        <v/>
      </c>
      <c r="E3862" s="23" t="str">
        <f aca="false">IF(A3862="","",DATE(YEAR(A3862),MONTH(A3862),1))</f>
        <v/>
      </c>
    </row>
    <row r="3863" customFormat="false" ht="15" hidden="false" customHeight="false" outlineLevel="0" collapsed="false">
      <c r="A3863" s="21"/>
      <c r="B3863" s="4"/>
      <c r="C3863" s="22"/>
      <c r="D3863" s="5" t="str">
        <f aca="false">IF(B3863="","",IFERROR(INDEX(DE_PARA!$B$6:$B$205,MATCH(B3863,DE_PARA!$A$6:$A$205,0)),"SEM DE-PARA"))</f>
        <v/>
      </c>
      <c r="E3863" s="23" t="str">
        <f aca="false">IF(A3863="","",DATE(YEAR(A3863),MONTH(A3863),1))</f>
        <v/>
      </c>
    </row>
    <row r="3864" customFormat="false" ht="15" hidden="false" customHeight="false" outlineLevel="0" collapsed="false">
      <c r="A3864" s="21"/>
      <c r="B3864" s="4"/>
      <c r="C3864" s="22"/>
      <c r="D3864" s="5" t="str">
        <f aca="false">IF(B3864="","",IFERROR(INDEX(DE_PARA!$B$6:$B$205,MATCH(B3864,DE_PARA!$A$6:$A$205,0)),"SEM DE-PARA"))</f>
        <v/>
      </c>
      <c r="E3864" s="23" t="str">
        <f aca="false">IF(A3864="","",DATE(YEAR(A3864),MONTH(A3864),1))</f>
        <v/>
      </c>
    </row>
    <row r="3865" customFormat="false" ht="15" hidden="false" customHeight="false" outlineLevel="0" collapsed="false">
      <c r="A3865" s="21"/>
      <c r="B3865" s="4"/>
      <c r="C3865" s="22"/>
      <c r="D3865" s="5" t="str">
        <f aca="false">IF(B3865="","",IFERROR(INDEX(DE_PARA!$B$6:$B$205,MATCH(B3865,DE_PARA!$A$6:$A$205,0)),"SEM DE-PARA"))</f>
        <v/>
      </c>
      <c r="E3865" s="23" t="str">
        <f aca="false">IF(A3865="","",DATE(YEAR(A3865),MONTH(A3865),1))</f>
        <v/>
      </c>
    </row>
    <row r="3866" customFormat="false" ht="15" hidden="false" customHeight="false" outlineLevel="0" collapsed="false">
      <c r="A3866" s="21"/>
      <c r="B3866" s="4"/>
      <c r="C3866" s="22"/>
      <c r="D3866" s="5" t="str">
        <f aca="false">IF(B3866="","",IFERROR(INDEX(DE_PARA!$B$6:$B$205,MATCH(B3866,DE_PARA!$A$6:$A$205,0)),"SEM DE-PARA"))</f>
        <v/>
      </c>
      <c r="E3866" s="23" t="str">
        <f aca="false">IF(A3866="","",DATE(YEAR(A3866),MONTH(A3866),1))</f>
        <v/>
      </c>
    </row>
    <row r="3867" customFormat="false" ht="15" hidden="false" customHeight="false" outlineLevel="0" collapsed="false">
      <c r="A3867" s="21"/>
      <c r="B3867" s="4"/>
      <c r="C3867" s="22"/>
      <c r="D3867" s="5" t="str">
        <f aca="false">IF(B3867="","",IFERROR(INDEX(DE_PARA!$B$6:$B$205,MATCH(B3867,DE_PARA!$A$6:$A$205,0)),"SEM DE-PARA"))</f>
        <v/>
      </c>
      <c r="E3867" s="23" t="str">
        <f aca="false">IF(A3867="","",DATE(YEAR(A3867),MONTH(A3867),1))</f>
        <v/>
      </c>
    </row>
    <row r="3868" customFormat="false" ht="15" hidden="false" customHeight="false" outlineLevel="0" collapsed="false">
      <c r="A3868" s="21"/>
      <c r="B3868" s="4"/>
      <c r="C3868" s="22"/>
      <c r="D3868" s="5" t="str">
        <f aca="false">IF(B3868="","",IFERROR(INDEX(DE_PARA!$B$6:$B$205,MATCH(B3868,DE_PARA!$A$6:$A$205,0)),"SEM DE-PARA"))</f>
        <v/>
      </c>
      <c r="E3868" s="23" t="str">
        <f aca="false">IF(A3868="","",DATE(YEAR(A3868),MONTH(A3868),1))</f>
        <v/>
      </c>
    </row>
    <row r="3869" customFormat="false" ht="15" hidden="false" customHeight="false" outlineLevel="0" collapsed="false">
      <c r="A3869" s="21"/>
      <c r="B3869" s="4"/>
      <c r="C3869" s="22"/>
      <c r="D3869" s="5" t="str">
        <f aca="false">IF(B3869="","",IFERROR(INDEX(DE_PARA!$B$6:$B$205,MATCH(B3869,DE_PARA!$A$6:$A$205,0)),"SEM DE-PARA"))</f>
        <v/>
      </c>
      <c r="E3869" s="23" t="str">
        <f aca="false">IF(A3869="","",DATE(YEAR(A3869),MONTH(A3869),1))</f>
        <v/>
      </c>
    </row>
    <row r="3870" customFormat="false" ht="15" hidden="false" customHeight="false" outlineLevel="0" collapsed="false">
      <c r="A3870" s="21"/>
      <c r="B3870" s="4"/>
      <c r="C3870" s="22"/>
      <c r="D3870" s="5" t="str">
        <f aca="false">IF(B3870="","",IFERROR(INDEX(DE_PARA!$B$6:$B$205,MATCH(B3870,DE_PARA!$A$6:$A$205,0)),"SEM DE-PARA"))</f>
        <v/>
      </c>
      <c r="E3870" s="23" t="str">
        <f aca="false">IF(A3870="","",DATE(YEAR(A3870),MONTH(A3870),1))</f>
        <v/>
      </c>
    </row>
    <row r="3871" customFormat="false" ht="15" hidden="false" customHeight="false" outlineLevel="0" collapsed="false">
      <c r="A3871" s="21"/>
      <c r="B3871" s="4"/>
      <c r="C3871" s="22"/>
      <c r="D3871" s="5" t="str">
        <f aca="false">IF(B3871="","",IFERROR(INDEX(DE_PARA!$B$6:$B$205,MATCH(B3871,DE_PARA!$A$6:$A$205,0)),"SEM DE-PARA"))</f>
        <v/>
      </c>
      <c r="E3871" s="23" t="str">
        <f aca="false">IF(A3871="","",DATE(YEAR(A3871),MONTH(A3871),1))</f>
        <v/>
      </c>
    </row>
    <row r="3872" customFormat="false" ht="15" hidden="false" customHeight="false" outlineLevel="0" collapsed="false">
      <c r="A3872" s="21"/>
      <c r="B3872" s="4"/>
      <c r="C3872" s="22"/>
      <c r="D3872" s="5" t="str">
        <f aca="false">IF(B3872="","",IFERROR(INDEX(DE_PARA!$B$6:$B$205,MATCH(B3872,DE_PARA!$A$6:$A$205,0)),"SEM DE-PARA"))</f>
        <v/>
      </c>
      <c r="E3872" s="23" t="str">
        <f aca="false">IF(A3872="","",DATE(YEAR(A3872),MONTH(A3872),1))</f>
        <v/>
      </c>
    </row>
    <row r="3873" customFormat="false" ht="15" hidden="false" customHeight="false" outlineLevel="0" collapsed="false">
      <c r="A3873" s="21"/>
      <c r="B3873" s="4"/>
      <c r="C3873" s="22"/>
      <c r="D3873" s="5" t="str">
        <f aca="false">IF(B3873="","",IFERROR(INDEX(DE_PARA!$B$6:$B$205,MATCH(B3873,DE_PARA!$A$6:$A$205,0)),"SEM DE-PARA"))</f>
        <v/>
      </c>
      <c r="E3873" s="23" t="str">
        <f aca="false">IF(A3873="","",DATE(YEAR(A3873),MONTH(A3873),1))</f>
        <v/>
      </c>
    </row>
    <row r="3874" customFormat="false" ht="15" hidden="false" customHeight="false" outlineLevel="0" collapsed="false">
      <c r="A3874" s="21"/>
      <c r="B3874" s="4"/>
      <c r="C3874" s="22"/>
      <c r="D3874" s="5" t="str">
        <f aca="false">IF(B3874="","",IFERROR(INDEX(DE_PARA!$B$6:$B$205,MATCH(B3874,DE_PARA!$A$6:$A$205,0)),"SEM DE-PARA"))</f>
        <v/>
      </c>
      <c r="E3874" s="23" t="str">
        <f aca="false">IF(A3874="","",DATE(YEAR(A3874),MONTH(A3874),1))</f>
        <v/>
      </c>
    </row>
    <row r="3875" customFormat="false" ht="15" hidden="false" customHeight="false" outlineLevel="0" collapsed="false">
      <c r="A3875" s="21"/>
      <c r="B3875" s="4"/>
      <c r="C3875" s="22"/>
      <c r="D3875" s="5" t="str">
        <f aca="false">IF(B3875="","",IFERROR(INDEX(DE_PARA!$B$6:$B$205,MATCH(B3875,DE_PARA!$A$6:$A$205,0)),"SEM DE-PARA"))</f>
        <v/>
      </c>
      <c r="E3875" s="23" t="str">
        <f aca="false">IF(A3875="","",DATE(YEAR(A3875),MONTH(A3875),1))</f>
        <v/>
      </c>
    </row>
    <row r="3876" customFormat="false" ht="15" hidden="false" customHeight="false" outlineLevel="0" collapsed="false">
      <c r="A3876" s="21"/>
      <c r="B3876" s="4"/>
      <c r="C3876" s="22"/>
      <c r="D3876" s="5" t="str">
        <f aca="false">IF(B3876="","",IFERROR(INDEX(DE_PARA!$B$6:$B$205,MATCH(B3876,DE_PARA!$A$6:$A$205,0)),"SEM DE-PARA"))</f>
        <v/>
      </c>
      <c r="E3876" s="23" t="str">
        <f aca="false">IF(A3876="","",DATE(YEAR(A3876),MONTH(A3876),1))</f>
        <v/>
      </c>
    </row>
    <row r="3877" customFormat="false" ht="15" hidden="false" customHeight="false" outlineLevel="0" collapsed="false">
      <c r="A3877" s="21"/>
      <c r="B3877" s="4"/>
      <c r="C3877" s="22"/>
      <c r="D3877" s="5" t="str">
        <f aca="false">IF(B3877="","",IFERROR(INDEX(DE_PARA!$B$6:$B$205,MATCH(B3877,DE_PARA!$A$6:$A$205,0)),"SEM DE-PARA"))</f>
        <v/>
      </c>
      <c r="E3877" s="23" t="str">
        <f aca="false">IF(A3877="","",DATE(YEAR(A3877),MONTH(A3877),1))</f>
        <v/>
      </c>
    </row>
    <row r="3878" customFormat="false" ht="15" hidden="false" customHeight="false" outlineLevel="0" collapsed="false">
      <c r="A3878" s="21"/>
      <c r="B3878" s="4"/>
      <c r="C3878" s="22"/>
      <c r="D3878" s="5" t="str">
        <f aca="false">IF(B3878="","",IFERROR(INDEX(DE_PARA!$B$6:$B$205,MATCH(B3878,DE_PARA!$A$6:$A$205,0)),"SEM DE-PARA"))</f>
        <v/>
      </c>
      <c r="E3878" s="23" t="str">
        <f aca="false">IF(A3878="","",DATE(YEAR(A3878),MONTH(A3878),1))</f>
        <v/>
      </c>
    </row>
    <row r="3879" customFormat="false" ht="15" hidden="false" customHeight="false" outlineLevel="0" collapsed="false">
      <c r="A3879" s="21"/>
      <c r="B3879" s="4"/>
      <c r="C3879" s="22"/>
      <c r="D3879" s="5" t="str">
        <f aca="false">IF(B3879="","",IFERROR(INDEX(DE_PARA!$B$6:$B$205,MATCH(B3879,DE_PARA!$A$6:$A$205,0)),"SEM DE-PARA"))</f>
        <v/>
      </c>
      <c r="E3879" s="23" t="str">
        <f aca="false">IF(A3879="","",DATE(YEAR(A3879),MONTH(A3879),1))</f>
        <v/>
      </c>
    </row>
    <row r="3880" customFormat="false" ht="15" hidden="false" customHeight="false" outlineLevel="0" collapsed="false">
      <c r="A3880" s="21"/>
      <c r="B3880" s="4"/>
      <c r="C3880" s="22"/>
      <c r="D3880" s="5" t="str">
        <f aca="false">IF(B3880="","",IFERROR(INDEX(DE_PARA!$B$6:$B$205,MATCH(B3880,DE_PARA!$A$6:$A$205,0)),"SEM DE-PARA"))</f>
        <v/>
      </c>
      <c r="E3880" s="23" t="str">
        <f aca="false">IF(A3880="","",DATE(YEAR(A3880),MONTH(A3880),1))</f>
        <v/>
      </c>
    </row>
    <row r="3881" customFormat="false" ht="15" hidden="false" customHeight="false" outlineLevel="0" collapsed="false">
      <c r="A3881" s="21"/>
      <c r="B3881" s="4"/>
      <c r="C3881" s="22"/>
      <c r="D3881" s="5" t="str">
        <f aca="false">IF(B3881="","",IFERROR(INDEX(DE_PARA!$B$6:$B$205,MATCH(B3881,DE_PARA!$A$6:$A$205,0)),"SEM DE-PARA"))</f>
        <v/>
      </c>
      <c r="E3881" s="23" t="str">
        <f aca="false">IF(A3881="","",DATE(YEAR(A3881),MONTH(A3881),1))</f>
        <v/>
      </c>
    </row>
    <row r="3882" customFormat="false" ht="15" hidden="false" customHeight="false" outlineLevel="0" collapsed="false">
      <c r="A3882" s="21"/>
      <c r="B3882" s="4"/>
      <c r="C3882" s="22"/>
      <c r="D3882" s="5" t="str">
        <f aca="false">IF(B3882="","",IFERROR(INDEX(DE_PARA!$B$6:$B$205,MATCH(B3882,DE_PARA!$A$6:$A$205,0)),"SEM DE-PARA"))</f>
        <v/>
      </c>
      <c r="E3882" s="23" t="str">
        <f aca="false">IF(A3882="","",DATE(YEAR(A3882),MONTH(A3882),1))</f>
        <v/>
      </c>
    </row>
    <row r="3883" customFormat="false" ht="15" hidden="false" customHeight="false" outlineLevel="0" collapsed="false">
      <c r="A3883" s="21"/>
      <c r="B3883" s="4"/>
      <c r="C3883" s="22"/>
      <c r="D3883" s="5" t="str">
        <f aca="false">IF(B3883="","",IFERROR(INDEX(DE_PARA!$B$6:$B$205,MATCH(B3883,DE_PARA!$A$6:$A$205,0)),"SEM DE-PARA"))</f>
        <v/>
      </c>
      <c r="E3883" s="23" t="str">
        <f aca="false">IF(A3883="","",DATE(YEAR(A3883),MONTH(A3883),1))</f>
        <v/>
      </c>
    </row>
    <row r="3884" customFormat="false" ht="15" hidden="false" customHeight="false" outlineLevel="0" collapsed="false">
      <c r="A3884" s="21"/>
      <c r="B3884" s="4"/>
      <c r="C3884" s="22"/>
      <c r="D3884" s="5" t="str">
        <f aca="false">IF(B3884="","",IFERROR(INDEX(DE_PARA!$B$6:$B$205,MATCH(B3884,DE_PARA!$A$6:$A$205,0)),"SEM DE-PARA"))</f>
        <v/>
      </c>
      <c r="E3884" s="23" t="str">
        <f aca="false">IF(A3884="","",DATE(YEAR(A3884),MONTH(A3884),1))</f>
        <v/>
      </c>
    </row>
    <row r="3885" customFormat="false" ht="15" hidden="false" customHeight="false" outlineLevel="0" collapsed="false">
      <c r="A3885" s="21"/>
      <c r="B3885" s="4"/>
      <c r="C3885" s="22"/>
      <c r="D3885" s="5" t="str">
        <f aca="false">IF(B3885="","",IFERROR(INDEX(DE_PARA!$B$6:$B$205,MATCH(B3885,DE_PARA!$A$6:$A$205,0)),"SEM DE-PARA"))</f>
        <v/>
      </c>
      <c r="E3885" s="23" t="str">
        <f aca="false">IF(A3885="","",DATE(YEAR(A3885),MONTH(A3885),1))</f>
        <v/>
      </c>
    </row>
    <row r="3886" customFormat="false" ht="15" hidden="false" customHeight="false" outlineLevel="0" collapsed="false">
      <c r="A3886" s="21"/>
      <c r="B3886" s="4"/>
      <c r="C3886" s="22"/>
      <c r="D3886" s="5" t="str">
        <f aca="false">IF(B3886="","",IFERROR(INDEX(DE_PARA!$B$6:$B$205,MATCH(B3886,DE_PARA!$A$6:$A$205,0)),"SEM DE-PARA"))</f>
        <v/>
      </c>
      <c r="E3886" s="23" t="str">
        <f aca="false">IF(A3886="","",DATE(YEAR(A3886),MONTH(A3886),1))</f>
        <v/>
      </c>
    </row>
    <row r="3887" customFormat="false" ht="15" hidden="false" customHeight="false" outlineLevel="0" collapsed="false">
      <c r="A3887" s="21"/>
      <c r="B3887" s="4"/>
      <c r="C3887" s="22"/>
      <c r="D3887" s="5" t="str">
        <f aca="false">IF(B3887="","",IFERROR(INDEX(DE_PARA!$B$6:$B$205,MATCH(B3887,DE_PARA!$A$6:$A$205,0)),"SEM DE-PARA"))</f>
        <v/>
      </c>
      <c r="E3887" s="23" t="str">
        <f aca="false">IF(A3887="","",DATE(YEAR(A3887),MONTH(A3887),1))</f>
        <v/>
      </c>
    </row>
    <row r="3888" customFormat="false" ht="15" hidden="false" customHeight="false" outlineLevel="0" collapsed="false">
      <c r="A3888" s="21"/>
      <c r="B3888" s="4"/>
      <c r="C3888" s="22"/>
      <c r="D3888" s="5" t="str">
        <f aca="false">IF(B3888="","",IFERROR(INDEX(DE_PARA!$B$6:$B$205,MATCH(B3888,DE_PARA!$A$6:$A$205,0)),"SEM DE-PARA"))</f>
        <v/>
      </c>
      <c r="E3888" s="23" t="str">
        <f aca="false">IF(A3888="","",DATE(YEAR(A3888),MONTH(A3888),1))</f>
        <v/>
      </c>
    </row>
    <row r="3889" customFormat="false" ht="15" hidden="false" customHeight="false" outlineLevel="0" collapsed="false">
      <c r="A3889" s="21"/>
      <c r="B3889" s="4"/>
      <c r="C3889" s="22"/>
      <c r="D3889" s="5" t="str">
        <f aca="false">IF(B3889="","",IFERROR(INDEX(DE_PARA!$B$6:$B$205,MATCH(B3889,DE_PARA!$A$6:$A$205,0)),"SEM DE-PARA"))</f>
        <v/>
      </c>
      <c r="E3889" s="23" t="str">
        <f aca="false">IF(A3889="","",DATE(YEAR(A3889),MONTH(A3889),1))</f>
        <v/>
      </c>
    </row>
    <row r="3890" customFormat="false" ht="15" hidden="false" customHeight="false" outlineLevel="0" collapsed="false">
      <c r="A3890" s="21"/>
      <c r="B3890" s="4"/>
      <c r="C3890" s="22"/>
      <c r="D3890" s="5" t="str">
        <f aca="false">IF(B3890="","",IFERROR(INDEX(DE_PARA!$B$6:$B$205,MATCH(B3890,DE_PARA!$A$6:$A$205,0)),"SEM DE-PARA"))</f>
        <v/>
      </c>
      <c r="E3890" s="23" t="str">
        <f aca="false">IF(A3890="","",DATE(YEAR(A3890),MONTH(A3890),1))</f>
        <v/>
      </c>
    </row>
    <row r="3891" customFormat="false" ht="15" hidden="false" customHeight="false" outlineLevel="0" collapsed="false">
      <c r="A3891" s="21"/>
      <c r="B3891" s="4"/>
      <c r="C3891" s="22"/>
      <c r="D3891" s="5" t="str">
        <f aca="false">IF(B3891="","",IFERROR(INDEX(DE_PARA!$B$6:$B$205,MATCH(B3891,DE_PARA!$A$6:$A$205,0)),"SEM DE-PARA"))</f>
        <v/>
      </c>
      <c r="E3891" s="23" t="str">
        <f aca="false">IF(A3891="","",DATE(YEAR(A3891),MONTH(A3891),1))</f>
        <v/>
      </c>
    </row>
    <row r="3892" customFormat="false" ht="15" hidden="false" customHeight="false" outlineLevel="0" collapsed="false">
      <c r="A3892" s="21"/>
      <c r="B3892" s="4"/>
      <c r="C3892" s="22"/>
      <c r="D3892" s="5" t="str">
        <f aca="false">IF(B3892="","",IFERROR(INDEX(DE_PARA!$B$6:$B$205,MATCH(B3892,DE_PARA!$A$6:$A$205,0)),"SEM DE-PARA"))</f>
        <v/>
      </c>
      <c r="E3892" s="23" t="str">
        <f aca="false">IF(A3892="","",DATE(YEAR(A3892),MONTH(A3892),1))</f>
        <v/>
      </c>
    </row>
    <row r="3893" customFormat="false" ht="15" hidden="false" customHeight="false" outlineLevel="0" collapsed="false">
      <c r="A3893" s="21"/>
      <c r="B3893" s="4"/>
      <c r="C3893" s="22"/>
      <c r="D3893" s="5" t="str">
        <f aca="false">IF(B3893="","",IFERROR(INDEX(DE_PARA!$B$6:$B$205,MATCH(B3893,DE_PARA!$A$6:$A$205,0)),"SEM DE-PARA"))</f>
        <v/>
      </c>
      <c r="E3893" s="23" t="str">
        <f aca="false">IF(A3893="","",DATE(YEAR(A3893),MONTH(A3893),1))</f>
        <v/>
      </c>
    </row>
    <row r="3894" customFormat="false" ht="15" hidden="false" customHeight="false" outlineLevel="0" collapsed="false">
      <c r="A3894" s="21"/>
      <c r="B3894" s="4"/>
      <c r="C3894" s="22"/>
      <c r="D3894" s="5" t="str">
        <f aca="false">IF(B3894="","",IFERROR(INDEX(DE_PARA!$B$6:$B$205,MATCH(B3894,DE_PARA!$A$6:$A$205,0)),"SEM DE-PARA"))</f>
        <v/>
      </c>
      <c r="E3894" s="23" t="str">
        <f aca="false">IF(A3894="","",DATE(YEAR(A3894),MONTH(A3894),1))</f>
        <v/>
      </c>
    </row>
    <row r="3895" customFormat="false" ht="15" hidden="false" customHeight="false" outlineLevel="0" collapsed="false">
      <c r="A3895" s="21"/>
      <c r="B3895" s="4"/>
      <c r="C3895" s="22"/>
      <c r="D3895" s="5" t="str">
        <f aca="false">IF(B3895="","",IFERROR(INDEX(DE_PARA!$B$6:$B$205,MATCH(B3895,DE_PARA!$A$6:$A$205,0)),"SEM DE-PARA"))</f>
        <v/>
      </c>
      <c r="E3895" s="23" t="str">
        <f aca="false">IF(A3895="","",DATE(YEAR(A3895),MONTH(A3895),1))</f>
        <v/>
      </c>
    </row>
    <row r="3896" customFormat="false" ht="15" hidden="false" customHeight="false" outlineLevel="0" collapsed="false">
      <c r="A3896" s="21"/>
      <c r="B3896" s="4"/>
      <c r="C3896" s="22"/>
      <c r="D3896" s="5" t="str">
        <f aca="false">IF(B3896="","",IFERROR(INDEX(DE_PARA!$B$6:$B$205,MATCH(B3896,DE_PARA!$A$6:$A$205,0)),"SEM DE-PARA"))</f>
        <v/>
      </c>
      <c r="E3896" s="23" t="str">
        <f aca="false">IF(A3896="","",DATE(YEAR(A3896),MONTH(A3896),1))</f>
        <v/>
      </c>
    </row>
    <row r="3897" customFormat="false" ht="15" hidden="false" customHeight="false" outlineLevel="0" collapsed="false">
      <c r="A3897" s="21"/>
      <c r="B3897" s="4"/>
      <c r="C3897" s="22"/>
      <c r="D3897" s="5" t="str">
        <f aca="false">IF(B3897="","",IFERROR(INDEX(DE_PARA!$B$6:$B$205,MATCH(B3897,DE_PARA!$A$6:$A$205,0)),"SEM DE-PARA"))</f>
        <v/>
      </c>
      <c r="E3897" s="23" t="str">
        <f aca="false">IF(A3897="","",DATE(YEAR(A3897),MONTH(A3897),1))</f>
        <v/>
      </c>
    </row>
    <row r="3898" customFormat="false" ht="15" hidden="false" customHeight="false" outlineLevel="0" collapsed="false">
      <c r="A3898" s="21"/>
      <c r="B3898" s="4"/>
      <c r="C3898" s="22"/>
      <c r="D3898" s="5" t="str">
        <f aca="false">IF(B3898="","",IFERROR(INDEX(DE_PARA!$B$6:$B$205,MATCH(B3898,DE_PARA!$A$6:$A$205,0)),"SEM DE-PARA"))</f>
        <v/>
      </c>
      <c r="E3898" s="23" t="str">
        <f aca="false">IF(A3898="","",DATE(YEAR(A3898),MONTH(A3898),1))</f>
        <v/>
      </c>
    </row>
    <row r="3899" customFormat="false" ht="15" hidden="false" customHeight="false" outlineLevel="0" collapsed="false">
      <c r="A3899" s="21"/>
      <c r="B3899" s="4"/>
      <c r="C3899" s="22"/>
      <c r="D3899" s="5" t="str">
        <f aca="false">IF(B3899="","",IFERROR(INDEX(DE_PARA!$B$6:$B$205,MATCH(B3899,DE_PARA!$A$6:$A$205,0)),"SEM DE-PARA"))</f>
        <v/>
      </c>
      <c r="E3899" s="23" t="str">
        <f aca="false">IF(A3899="","",DATE(YEAR(A3899),MONTH(A3899),1))</f>
        <v/>
      </c>
    </row>
    <row r="3900" customFormat="false" ht="15" hidden="false" customHeight="false" outlineLevel="0" collapsed="false">
      <c r="A3900" s="21"/>
      <c r="B3900" s="4"/>
      <c r="C3900" s="22"/>
      <c r="D3900" s="5" t="str">
        <f aca="false">IF(B3900="","",IFERROR(INDEX(DE_PARA!$B$6:$B$205,MATCH(B3900,DE_PARA!$A$6:$A$205,0)),"SEM DE-PARA"))</f>
        <v/>
      </c>
      <c r="E3900" s="23" t="str">
        <f aca="false">IF(A3900="","",DATE(YEAR(A3900),MONTH(A3900),1))</f>
        <v/>
      </c>
    </row>
    <row r="3901" customFormat="false" ht="15" hidden="false" customHeight="false" outlineLevel="0" collapsed="false">
      <c r="A3901" s="21"/>
      <c r="B3901" s="4"/>
      <c r="C3901" s="22"/>
      <c r="D3901" s="5" t="str">
        <f aca="false">IF(B3901="","",IFERROR(INDEX(DE_PARA!$B$6:$B$205,MATCH(B3901,DE_PARA!$A$6:$A$205,0)),"SEM DE-PARA"))</f>
        <v/>
      </c>
      <c r="E3901" s="23" t="str">
        <f aca="false">IF(A3901="","",DATE(YEAR(A3901),MONTH(A3901),1))</f>
        <v/>
      </c>
    </row>
    <row r="3902" customFormat="false" ht="15" hidden="false" customHeight="false" outlineLevel="0" collapsed="false">
      <c r="A3902" s="21"/>
      <c r="B3902" s="4"/>
      <c r="C3902" s="22"/>
      <c r="D3902" s="5" t="str">
        <f aca="false">IF(B3902="","",IFERROR(INDEX(DE_PARA!$B$6:$B$205,MATCH(B3902,DE_PARA!$A$6:$A$205,0)),"SEM DE-PARA"))</f>
        <v/>
      </c>
      <c r="E3902" s="23" t="str">
        <f aca="false">IF(A3902="","",DATE(YEAR(A3902),MONTH(A3902),1))</f>
        <v/>
      </c>
    </row>
    <row r="3903" customFormat="false" ht="15" hidden="false" customHeight="false" outlineLevel="0" collapsed="false">
      <c r="A3903" s="21"/>
      <c r="B3903" s="4"/>
      <c r="C3903" s="22"/>
      <c r="D3903" s="5" t="str">
        <f aca="false">IF(B3903="","",IFERROR(INDEX(DE_PARA!$B$6:$B$205,MATCH(B3903,DE_PARA!$A$6:$A$205,0)),"SEM DE-PARA"))</f>
        <v/>
      </c>
      <c r="E3903" s="23" t="str">
        <f aca="false">IF(A3903="","",DATE(YEAR(A3903),MONTH(A3903),1))</f>
        <v/>
      </c>
    </row>
    <row r="3904" customFormat="false" ht="15" hidden="false" customHeight="false" outlineLevel="0" collapsed="false">
      <c r="A3904" s="21"/>
      <c r="B3904" s="4"/>
      <c r="C3904" s="22"/>
      <c r="D3904" s="5" t="str">
        <f aca="false">IF(B3904="","",IFERROR(INDEX(DE_PARA!$B$6:$B$205,MATCH(B3904,DE_PARA!$A$6:$A$205,0)),"SEM DE-PARA"))</f>
        <v/>
      </c>
      <c r="E3904" s="23" t="str">
        <f aca="false">IF(A3904="","",DATE(YEAR(A3904),MONTH(A3904),1))</f>
        <v/>
      </c>
    </row>
    <row r="3905" customFormat="false" ht="15" hidden="false" customHeight="false" outlineLevel="0" collapsed="false">
      <c r="A3905" s="21"/>
      <c r="B3905" s="4"/>
      <c r="C3905" s="22"/>
      <c r="D3905" s="5" t="str">
        <f aca="false">IF(B3905="","",IFERROR(INDEX(DE_PARA!$B$6:$B$205,MATCH(B3905,DE_PARA!$A$6:$A$205,0)),"SEM DE-PARA"))</f>
        <v/>
      </c>
      <c r="E3905" s="23" t="str">
        <f aca="false">IF(A3905="","",DATE(YEAR(A3905),MONTH(A3905),1))</f>
        <v/>
      </c>
    </row>
    <row r="3906" customFormat="false" ht="15" hidden="false" customHeight="false" outlineLevel="0" collapsed="false">
      <c r="A3906" s="21"/>
      <c r="B3906" s="4"/>
      <c r="C3906" s="22"/>
      <c r="D3906" s="5" t="str">
        <f aca="false">IF(B3906="","",IFERROR(INDEX(DE_PARA!$B$6:$B$205,MATCH(B3906,DE_PARA!$A$6:$A$205,0)),"SEM DE-PARA"))</f>
        <v/>
      </c>
      <c r="E3906" s="23" t="str">
        <f aca="false">IF(A3906="","",DATE(YEAR(A3906),MONTH(A3906),1))</f>
        <v/>
      </c>
    </row>
    <row r="3907" customFormat="false" ht="15" hidden="false" customHeight="false" outlineLevel="0" collapsed="false">
      <c r="A3907" s="21"/>
      <c r="B3907" s="4"/>
      <c r="C3907" s="22"/>
      <c r="D3907" s="5" t="str">
        <f aca="false">IF(B3907="","",IFERROR(INDEX(DE_PARA!$B$6:$B$205,MATCH(B3907,DE_PARA!$A$6:$A$205,0)),"SEM DE-PARA"))</f>
        <v/>
      </c>
      <c r="E3907" s="23" t="str">
        <f aca="false">IF(A3907="","",DATE(YEAR(A3907),MONTH(A3907),1))</f>
        <v/>
      </c>
    </row>
    <row r="3908" customFormat="false" ht="15" hidden="false" customHeight="false" outlineLevel="0" collapsed="false">
      <c r="A3908" s="21"/>
      <c r="B3908" s="4"/>
      <c r="C3908" s="22"/>
      <c r="D3908" s="5" t="str">
        <f aca="false">IF(B3908="","",IFERROR(INDEX(DE_PARA!$B$6:$B$205,MATCH(B3908,DE_PARA!$A$6:$A$205,0)),"SEM DE-PARA"))</f>
        <v/>
      </c>
      <c r="E3908" s="23" t="str">
        <f aca="false">IF(A3908="","",DATE(YEAR(A3908),MONTH(A3908),1))</f>
        <v/>
      </c>
    </row>
    <row r="3909" customFormat="false" ht="15" hidden="false" customHeight="false" outlineLevel="0" collapsed="false">
      <c r="A3909" s="21"/>
      <c r="B3909" s="4"/>
      <c r="C3909" s="22"/>
      <c r="D3909" s="5" t="str">
        <f aca="false">IF(B3909="","",IFERROR(INDEX(DE_PARA!$B$6:$B$205,MATCH(B3909,DE_PARA!$A$6:$A$205,0)),"SEM DE-PARA"))</f>
        <v/>
      </c>
      <c r="E3909" s="23" t="str">
        <f aca="false">IF(A3909="","",DATE(YEAR(A3909),MONTH(A3909),1))</f>
        <v/>
      </c>
    </row>
    <row r="3910" customFormat="false" ht="15" hidden="false" customHeight="false" outlineLevel="0" collapsed="false">
      <c r="A3910" s="21"/>
      <c r="B3910" s="4"/>
      <c r="C3910" s="22"/>
      <c r="D3910" s="5" t="str">
        <f aca="false">IF(B3910="","",IFERROR(INDEX(DE_PARA!$B$6:$B$205,MATCH(B3910,DE_PARA!$A$6:$A$205,0)),"SEM DE-PARA"))</f>
        <v/>
      </c>
      <c r="E3910" s="23" t="str">
        <f aca="false">IF(A3910="","",DATE(YEAR(A3910),MONTH(A3910),1))</f>
        <v/>
      </c>
    </row>
    <row r="3911" customFormat="false" ht="15" hidden="false" customHeight="false" outlineLevel="0" collapsed="false">
      <c r="A3911" s="21"/>
      <c r="B3911" s="4"/>
      <c r="C3911" s="22"/>
      <c r="D3911" s="5" t="str">
        <f aca="false">IF(B3911="","",IFERROR(INDEX(DE_PARA!$B$6:$B$205,MATCH(B3911,DE_PARA!$A$6:$A$205,0)),"SEM DE-PARA"))</f>
        <v/>
      </c>
      <c r="E3911" s="23" t="str">
        <f aca="false">IF(A3911="","",DATE(YEAR(A3911),MONTH(A3911),1))</f>
        <v/>
      </c>
    </row>
    <row r="3912" customFormat="false" ht="15" hidden="false" customHeight="false" outlineLevel="0" collapsed="false">
      <c r="A3912" s="21"/>
      <c r="B3912" s="4"/>
      <c r="C3912" s="22"/>
      <c r="D3912" s="5" t="str">
        <f aca="false">IF(B3912="","",IFERROR(INDEX(DE_PARA!$B$6:$B$205,MATCH(B3912,DE_PARA!$A$6:$A$205,0)),"SEM DE-PARA"))</f>
        <v/>
      </c>
      <c r="E3912" s="23" t="str">
        <f aca="false">IF(A3912="","",DATE(YEAR(A3912),MONTH(A3912),1))</f>
        <v/>
      </c>
    </row>
    <row r="3913" customFormat="false" ht="15" hidden="false" customHeight="false" outlineLevel="0" collapsed="false">
      <c r="A3913" s="21"/>
      <c r="B3913" s="4"/>
      <c r="C3913" s="22"/>
      <c r="D3913" s="5" t="str">
        <f aca="false">IF(B3913="","",IFERROR(INDEX(DE_PARA!$B$6:$B$205,MATCH(B3913,DE_PARA!$A$6:$A$205,0)),"SEM DE-PARA"))</f>
        <v/>
      </c>
      <c r="E3913" s="23" t="str">
        <f aca="false">IF(A3913="","",DATE(YEAR(A3913),MONTH(A3913),1))</f>
        <v/>
      </c>
    </row>
    <row r="3914" customFormat="false" ht="15" hidden="false" customHeight="false" outlineLevel="0" collapsed="false">
      <c r="A3914" s="21"/>
      <c r="B3914" s="4"/>
      <c r="C3914" s="22"/>
      <c r="D3914" s="5" t="str">
        <f aca="false">IF(B3914="","",IFERROR(INDEX(DE_PARA!$B$6:$B$205,MATCH(B3914,DE_PARA!$A$6:$A$205,0)),"SEM DE-PARA"))</f>
        <v/>
      </c>
      <c r="E3914" s="23" t="str">
        <f aca="false">IF(A3914="","",DATE(YEAR(A3914),MONTH(A3914),1))</f>
        <v/>
      </c>
    </row>
    <row r="3915" customFormat="false" ht="15" hidden="false" customHeight="false" outlineLevel="0" collapsed="false">
      <c r="A3915" s="21"/>
      <c r="B3915" s="4"/>
      <c r="C3915" s="22"/>
      <c r="D3915" s="5" t="str">
        <f aca="false">IF(B3915="","",IFERROR(INDEX(DE_PARA!$B$6:$B$205,MATCH(B3915,DE_PARA!$A$6:$A$205,0)),"SEM DE-PARA"))</f>
        <v/>
      </c>
      <c r="E3915" s="23" t="str">
        <f aca="false">IF(A3915="","",DATE(YEAR(A3915),MONTH(A3915),1))</f>
        <v/>
      </c>
    </row>
    <row r="3916" customFormat="false" ht="15" hidden="false" customHeight="false" outlineLevel="0" collapsed="false">
      <c r="A3916" s="21"/>
      <c r="B3916" s="4"/>
      <c r="C3916" s="22"/>
      <c r="D3916" s="5" t="str">
        <f aca="false">IF(B3916="","",IFERROR(INDEX(DE_PARA!$B$6:$B$205,MATCH(B3916,DE_PARA!$A$6:$A$205,0)),"SEM DE-PARA"))</f>
        <v/>
      </c>
      <c r="E3916" s="23" t="str">
        <f aca="false">IF(A3916="","",DATE(YEAR(A3916),MONTH(A3916),1))</f>
        <v/>
      </c>
    </row>
    <row r="3917" customFormat="false" ht="15" hidden="false" customHeight="false" outlineLevel="0" collapsed="false">
      <c r="A3917" s="21"/>
      <c r="B3917" s="4"/>
      <c r="C3917" s="22"/>
      <c r="D3917" s="5" t="str">
        <f aca="false">IF(B3917="","",IFERROR(INDEX(DE_PARA!$B$6:$B$205,MATCH(B3917,DE_PARA!$A$6:$A$205,0)),"SEM DE-PARA"))</f>
        <v/>
      </c>
      <c r="E3917" s="23" t="str">
        <f aca="false">IF(A3917="","",DATE(YEAR(A3917),MONTH(A3917),1))</f>
        <v/>
      </c>
    </row>
    <row r="3918" customFormat="false" ht="15" hidden="false" customHeight="false" outlineLevel="0" collapsed="false">
      <c r="A3918" s="21"/>
      <c r="B3918" s="4"/>
      <c r="C3918" s="22"/>
      <c r="D3918" s="5" t="str">
        <f aca="false">IF(B3918="","",IFERROR(INDEX(DE_PARA!$B$6:$B$205,MATCH(B3918,DE_PARA!$A$6:$A$205,0)),"SEM DE-PARA"))</f>
        <v/>
      </c>
      <c r="E3918" s="23" t="str">
        <f aca="false">IF(A3918="","",DATE(YEAR(A3918),MONTH(A3918),1))</f>
        <v/>
      </c>
    </row>
    <row r="3919" customFormat="false" ht="15" hidden="false" customHeight="false" outlineLevel="0" collapsed="false">
      <c r="A3919" s="21"/>
      <c r="B3919" s="4"/>
      <c r="C3919" s="22"/>
      <c r="D3919" s="5" t="str">
        <f aca="false">IF(B3919="","",IFERROR(INDEX(DE_PARA!$B$6:$B$205,MATCH(B3919,DE_PARA!$A$6:$A$205,0)),"SEM DE-PARA"))</f>
        <v/>
      </c>
      <c r="E3919" s="23" t="str">
        <f aca="false">IF(A3919="","",DATE(YEAR(A3919),MONTH(A3919),1))</f>
        <v/>
      </c>
    </row>
    <row r="3920" customFormat="false" ht="15" hidden="false" customHeight="false" outlineLevel="0" collapsed="false">
      <c r="A3920" s="21"/>
      <c r="B3920" s="4"/>
      <c r="C3920" s="22"/>
      <c r="D3920" s="5" t="str">
        <f aca="false">IF(B3920="","",IFERROR(INDEX(DE_PARA!$B$6:$B$205,MATCH(B3920,DE_PARA!$A$6:$A$205,0)),"SEM DE-PARA"))</f>
        <v/>
      </c>
      <c r="E3920" s="23" t="str">
        <f aca="false">IF(A3920="","",DATE(YEAR(A3920),MONTH(A3920),1))</f>
        <v/>
      </c>
    </row>
    <row r="3921" customFormat="false" ht="15" hidden="false" customHeight="false" outlineLevel="0" collapsed="false">
      <c r="A3921" s="21"/>
      <c r="B3921" s="4"/>
      <c r="C3921" s="22"/>
      <c r="D3921" s="5" t="str">
        <f aca="false">IF(B3921="","",IFERROR(INDEX(DE_PARA!$B$6:$B$205,MATCH(B3921,DE_PARA!$A$6:$A$205,0)),"SEM DE-PARA"))</f>
        <v/>
      </c>
      <c r="E3921" s="23" t="str">
        <f aca="false">IF(A3921="","",DATE(YEAR(A3921),MONTH(A3921),1))</f>
        <v/>
      </c>
    </row>
    <row r="3922" customFormat="false" ht="15" hidden="false" customHeight="false" outlineLevel="0" collapsed="false">
      <c r="A3922" s="21"/>
      <c r="B3922" s="4"/>
      <c r="C3922" s="22"/>
      <c r="D3922" s="5" t="str">
        <f aca="false">IF(B3922="","",IFERROR(INDEX(DE_PARA!$B$6:$B$205,MATCH(B3922,DE_PARA!$A$6:$A$205,0)),"SEM DE-PARA"))</f>
        <v/>
      </c>
      <c r="E3922" s="23" t="str">
        <f aca="false">IF(A3922="","",DATE(YEAR(A3922),MONTH(A3922),1))</f>
        <v/>
      </c>
    </row>
    <row r="3923" customFormat="false" ht="15" hidden="false" customHeight="false" outlineLevel="0" collapsed="false">
      <c r="A3923" s="21"/>
      <c r="B3923" s="4"/>
      <c r="C3923" s="22"/>
      <c r="D3923" s="5" t="str">
        <f aca="false">IF(B3923="","",IFERROR(INDEX(DE_PARA!$B$6:$B$205,MATCH(B3923,DE_PARA!$A$6:$A$205,0)),"SEM DE-PARA"))</f>
        <v/>
      </c>
      <c r="E3923" s="23" t="str">
        <f aca="false">IF(A3923="","",DATE(YEAR(A3923),MONTH(A3923),1))</f>
        <v/>
      </c>
    </row>
    <row r="3924" customFormat="false" ht="15" hidden="false" customHeight="false" outlineLevel="0" collapsed="false">
      <c r="A3924" s="21"/>
      <c r="B3924" s="4"/>
      <c r="C3924" s="22"/>
      <c r="D3924" s="5" t="str">
        <f aca="false">IF(B3924="","",IFERROR(INDEX(DE_PARA!$B$6:$B$205,MATCH(B3924,DE_PARA!$A$6:$A$205,0)),"SEM DE-PARA"))</f>
        <v/>
      </c>
      <c r="E3924" s="23" t="str">
        <f aca="false">IF(A3924="","",DATE(YEAR(A3924),MONTH(A3924),1))</f>
        <v/>
      </c>
    </row>
    <row r="3925" customFormat="false" ht="15" hidden="false" customHeight="false" outlineLevel="0" collapsed="false">
      <c r="A3925" s="21"/>
      <c r="B3925" s="4"/>
      <c r="C3925" s="22"/>
      <c r="D3925" s="5" t="str">
        <f aca="false">IF(B3925="","",IFERROR(INDEX(DE_PARA!$B$6:$B$205,MATCH(B3925,DE_PARA!$A$6:$A$205,0)),"SEM DE-PARA"))</f>
        <v/>
      </c>
      <c r="E3925" s="23" t="str">
        <f aca="false">IF(A3925="","",DATE(YEAR(A3925),MONTH(A3925),1))</f>
        <v/>
      </c>
    </row>
    <row r="3926" customFormat="false" ht="15" hidden="false" customHeight="false" outlineLevel="0" collapsed="false">
      <c r="A3926" s="21"/>
      <c r="B3926" s="4"/>
      <c r="C3926" s="22"/>
      <c r="D3926" s="5" t="str">
        <f aca="false">IF(B3926="","",IFERROR(INDEX(DE_PARA!$B$6:$B$205,MATCH(B3926,DE_PARA!$A$6:$A$205,0)),"SEM DE-PARA"))</f>
        <v/>
      </c>
      <c r="E3926" s="23" t="str">
        <f aca="false">IF(A3926="","",DATE(YEAR(A3926),MONTH(A3926),1))</f>
        <v/>
      </c>
    </row>
    <row r="3927" customFormat="false" ht="15" hidden="false" customHeight="false" outlineLevel="0" collapsed="false">
      <c r="A3927" s="21"/>
      <c r="B3927" s="4"/>
      <c r="C3927" s="22"/>
      <c r="D3927" s="5" t="str">
        <f aca="false">IF(B3927="","",IFERROR(INDEX(DE_PARA!$B$6:$B$205,MATCH(B3927,DE_PARA!$A$6:$A$205,0)),"SEM DE-PARA"))</f>
        <v/>
      </c>
      <c r="E3927" s="23" t="str">
        <f aca="false">IF(A3927="","",DATE(YEAR(A3927),MONTH(A3927),1))</f>
        <v/>
      </c>
    </row>
    <row r="3928" customFormat="false" ht="15" hidden="false" customHeight="false" outlineLevel="0" collapsed="false">
      <c r="A3928" s="21"/>
      <c r="B3928" s="4"/>
      <c r="C3928" s="22"/>
      <c r="D3928" s="5" t="str">
        <f aca="false">IF(B3928="","",IFERROR(INDEX(DE_PARA!$B$6:$B$205,MATCH(B3928,DE_PARA!$A$6:$A$205,0)),"SEM DE-PARA"))</f>
        <v/>
      </c>
      <c r="E3928" s="23" t="str">
        <f aca="false">IF(A3928="","",DATE(YEAR(A3928),MONTH(A3928),1))</f>
        <v/>
      </c>
    </row>
    <row r="3929" customFormat="false" ht="15" hidden="false" customHeight="false" outlineLevel="0" collapsed="false">
      <c r="A3929" s="21"/>
      <c r="B3929" s="4"/>
      <c r="C3929" s="22"/>
      <c r="D3929" s="5" t="str">
        <f aca="false">IF(B3929="","",IFERROR(INDEX(DE_PARA!$B$6:$B$205,MATCH(B3929,DE_PARA!$A$6:$A$205,0)),"SEM DE-PARA"))</f>
        <v/>
      </c>
      <c r="E3929" s="23" t="str">
        <f aca="false">IF(A3929="","",DATE(YEAR(A3929),MONTH(A3929),1))</f>
        <v/>
      </c>
    </row>
    <row r="3930" customFormat="false" ht="15" hidden="false" customHeight="false" outlineLevel="0" collapsed="false">
      <c r="A3930" s="21"/>
      <c r="B3930" s="4"/>
      <c r="C3930" s="22"/>
      <c r="D3930" s="5" t="str">
        <f aca="false">IF(B3930="","",IFERROR(INDEX(DE_PARA!$B$6:$B$205,MATCH(B3930,DE_PARA!$A$6:$A$205,0)),"SEM DE-PARA"))</f>
        <v/>
      </c>
      <c r="E3930" s="23" t="str">
        <f aca="false">IF(A3930="","",DATE(YEAR(A3930),MONTH(A3930),1))</f>
        <v/>
      </c>
    </row>
    <row r="3931" customFormat="false" ht="15" hidden="false" customHeight="false" outlineLevel="0" collapsed="false">
      <c r="A3931" s="21"/>
      <c r="B3931" s="4"/>
      <c r="C3931" s="22"/>
      <c r="D3931" s="5" t="str">
        <f aca="false">IF(B3931="","",IFERROR(INDEX(DE_PARA!$B$6:$B$205,MATCH(B3931,DE_PARA!$A$6:$A$205,0)),"SEM DE-PARA"))</f>
        <v/>
      </c>
      <c r="E3931" s="23" t="str">
        <f aca="false">IF(A3931="","",DATE(YEAR(A3931),MONTH(A3931),1))</f>
        <v/>
      </c>
    </row>
    <row r="3932" customFormat="false" ht="15" hidden="false" customHeight="false" outlineLevel="0" collapsed="false">
      <c r="A3932" s="21"/>
      <c r="B3932" s="4"/>
      <c r="C3932" s="22"/>
      <c r="D3932" s="5" t="str">
        <f aca="false">IF(B3932="","",IFERROR(INDEX(DE_PARA!$B$6:$B$205,MATCH(B3932,DE_PARA!$A$6:$A$205,0)),"SEM DE-PARA"))</f>
        <v/>
      </c>
      <c r="E3932" s="23" t="str">
        <f aca="false">IF(A3932="","",DATE(YEAR(A3932),MONTH(A3932),1))</f>
        <v/>
      </c>
    </row>
    <row r="3933" customFormat="false" ht="15" hidden="false" customHeight="false" outlineLevel="0" collapsed="false">
      <c r="A3933" s="21"/>
      <c r="B3933" s="4"/>
      <c r="C3933" s="22"/>
      <c r="D3933" s="5" t="str">
        <f aca="false">IF(B3933="","",IFERROR(INDEX(DE_PARA!$B$6:$B$205,MATCH(B3933,DE_PARA!$A$6:$A$205,0)),"SEM DE-PARA"))</f>
        <v/>
      </c>
      <c r="E3933" s="23" t="str">
        <f aca="false">IF(A3933="","",DATE(YEAR(A3933),MONTH(A3933),1))</f>
        <v/>
      </c>
    </row>
    <row r="3934" customFormat="false" ht="15" hidden="false" customHeight="false" outlineLevel="0" collapsed="false">
      <c r="A3934" s="21"/>
      <c r="B3934" s="4"/>
      <c r="C3934" s="22"/>
      <c r="D3934" s="5" t="str">
        <f aca="false">IF(B3934="","",IFERROR(INDEX(DE_PARA!$B$6:$B$205,MATCH(B3934,DE_PARA!$A$6:$A$205,0)),"SEM DE-PARA"))</f>
        <v/>
      </c>
      <c r="E3934" s="23" t="str">
        <f aca="false">IF(A3934="","",DATE(YEAR(A3934),MONTH(A3934),1))</f>
        <v/>
      </c>
    </row>
    <row r="3935" customFormat="false" ht="15" hidden="false" customHeight="false" outlineLevel="0" collapsed="false">
      <c r="A3935" s="21"/>
      <c r="B3935" s="4"/>
      <c r="C3935" s="22"/>
      <c r="D3935" s="5" t="str">
        <f aca="false">IF(B3935="","",IFERROR(INDEX(DE_PARA!$B$6:$B$205,MATCH(B3935,DE_PARA!$A$6:$A$205,0)),"SEM DE-PARA"))</f>
        <v/>
      </c>
      <c r="E3935" s="23" t="str">
        <f aca="false">IF(A3935="","",DATE(YEAR(A3935),MONTH(A3935),1))</f>
        <v/>
      </c>
    </row>
    <row r="3936" customFormat="false" ht="15" hidden="false" customHeight="false" outlineLevel="0" collapsed="false">
      <c r="A3936" s="21"/>
      <c r="B3936" s="4"/>
      <c r="C3936" s="22"/>
      <c r="D3936" s="5" t="str">
        <f aca="false">IF(B3936="","",IFERROR(INDEX(DE_PARA!$B$6:$B$205,MATCH(B3936,DE_PARA!$A$6:$A$205,0)),"SEM DE-PARA"))</f>
        <v/>
      </c>
      <c r="E3936" s="23" t="str">
        <f aca="false">IF(A3936="","",DATE(YEAR(A3936),MONTH(A3936),1))</f>
        <v/>
      </c>
    </row>
    <row r="3937" customFormat="false" ht="15" hidden="false" customHeight="false" outlineLevel="0" collapsed="false">
      <c r="A3937" s="21"/>
      <c r="B3937" s="4"/>
      <c r="C3937" s="22"/>
      <c r="D3937" s="5" t="str">
        <f aca="false">IF(B3937="","",IFERROR(INDEX(DE_PARA!$B$6:$B$205,MATCH(B3937,DE_PARA!$A$6:$A$205,0)),"SEM DE-PARA"))</f>
        <v/>
      </c>
      <c r="E3937" s="23" t="str">
        <f aca="false">IF(A3937="","",DATE(YEAR(A3937),MONTH(A3937),1))</f>
        <v/>
      </c>
    </row>
    <row r="3938" customFormat="false" ht="15" hidden="false" customHeight="false" outlineLevel="0" collapsed="false">
      <c r="A3938" s="21"/>
      <c r="B3938" s="4"/>
      <c r="C3938" s="22"/>
      <c r="D3938" s="5" t="str">
        <f aca="false">IF(B3938="","",IFERROR(INDEX(DE_PARA!$B$6:$B$205,MATCH(B3938,DE_PARA!$A$6:$A$205,0)),"SEM DE-PARA"))</f>
        <v/>
      </c>
      <c r="E3938" s="23" t="str">
        <f aca="false">IF(A3938="","",DATE(YEAR(A3938),MONTH(A3938),1))</f>
        <v/>
      </c>
    </row>
    <row r="3939" customFormat="false" ht="15" hidden="false" customHeight="false" outlineLevel="0" collapsed="false">
      <c r="A3939" s="21"/>
      <c r="B3939" s="4"/>
      <c r="C3939" s="22"/>
      <c r="D3939" s="5" t="str">
        <f aca="false">IF(B3939="","",IFERROR(INDEX(DE_PARA!$B$6:$B$205,MATCH(B3939,DE_PARA!$A$6:$A$205,0)),"SEM DE-PARA"))</f>
        <v/>
      </c>
      <c r="E3939" s="23" t="str">
        <f aca="false">IF(A3939="","",DATE(YEAR(A3939),MONTH(A3939),1))</f>
        <v/>
      </c>
    </row>
    <row r="3940" customFormat="false" ht="15" hidden="false" customHeight="false" outlineLevel="0" collapsed="false">
      <c r="A3940" s="21"/>
      <c r="B3940" s="4"/>
      <c r="C3940" s="22"/>
      <c r="D3940" s="5" t="str">
        <f aca="false">IF(B3940="","",IFERROR(INDEX(DE_PARA!$B$6:$B$205,MATCH(B3940,DE_PARA!$A$6:$A$205,0)),"SEM DE-PARA"))</f>
        <v/>
      </c>
      <c r="E3940" s="23" t="str">
        <f aca="false">IF(A3940="","",DATE(YEAR(A3940),MONTH(A3940),1))</f>
        <v/>
      </c>
    </row>
    <row r="3941" customFormat="false" ht="15" hidden="false" customHeight="false" outlineLevel="0" collapsed="false">
      <c r="A3941" s="21"/>
      <c r="B3941" s="4"/>
      <c r="C3941" s="22"/>
      <c r="D3941" s="5" t="str">
        <f aca="false">IF(B3941="","",IFERROR(INDEX(DE_PARA!$B$6:$B$205,MATCH(B3941,DE_PARA!$A$6:$A$205,0)),"SEM DE-PARA"))</f>
        <v/>
      </c>
      <c r="E3941" s="23" t="str">
        <f aca="false">IF(A3941="","",DATE(YEAR(A3941),MONTH(A3941),1))</f>
        <v/>
      </c>
    </row>
    <row r="3942" customFormat="false" ht="15" hidden="false" customHeight="false" outlineLevel="0" collapsed="false">
      <c r="A3942" s="21"/>
      <c r="B3942" s="4"/>
      <c r="C3942" s="22"/>
      <c r="D3942" s="5" t="str">
        <f aca="false">IF(B3942="","",IFERROR(INDEX(DE_PARA!$B$6:$B$205,MATCH(B3942,DE_PARA!$A$6:$A$205,0)),"SEM DE-PARA"))</f>
        <v/>
      </c>
      <c r="E3942" s="23" t="str">
        <f aca="false">IF(A3942="","",DATE(YEAR(A3942),MONTH(A3942),1))</f>
        <v/>
      </c>
    </row>
    <row r="3943" customFormat="false" ht="15" hidden="false" customHeight="false" outlineLevel="0" collapsed="false">
      <c r="A3943" s="21"/>
      <c r="B3943" s="4"/>
      <c r="C3943" s="22"/>
      <c r="D3943" s="5" t="str">
        <f aca="false">IF(B3943="","",IFERROR(INDEX(DE_PARA!$B$6:$B$205,MATCH(B3943,DE_PARA!$A$6:$A$205,0)),"SEM DE-PARA"))</f>
        <v/>
      </c>
      <c r="E3943" s="23" t="str">
        <f aca="false">IF(A3943="","",DATE(YEAR(A3943),MONTH(A3943),1))</f>
        <v/>
      </c>
    </row>
    <row r="3944" customFormat="false" ht="15" hidden="false" customHeight="false" outlineLevel="0" collapsed="false">
      <c r="A3944" s="21"/>
      <c r="B3944" s="4"/>
      <c r="C3944" s="22"/>
      <c r="D3944" s="5" t="str">
        <f aca="false">IF(B3944="","",IFERROR(INDEX(DE_PARA!$B$6:$B$205,MATCH(B3944,DE_PARA!$A$6:$A$205,0)),"SEM DE-PARA"))</f>
        <v/>
      </c>
      <c r="E3944" s="23" t="str">
        <f aca="false">IF(A3944="","",DATE(YEAR(A3944),MONTH(A3944),1))</f>
        <v/>
      </c>
    </row>
    <row r="3945" customFormat="false" ht="15" hidden="false" customHeight="false" outlineLevel="0" collapsed="false">
      <c r="A3945" s="21"/>
      <c r="B3945" s="4"/>
      <c r="C3945" s="22"/>
      <c r="D3945" s="5" t="str">
        <f aca="false">IF(B3945="","",IFERROR(INDEX(DE_PARA!$B$6:$B$205,MATCH(B3945,DE_PARA!$A$6:$A$205,0)),"SEM DE-PARA"))</f>
        <v/>
      </c>
      <c r="E3945" s="23" t="str">
        <f aca="false">IF(A3945="","",DATE(YEAR(A3945),MONTH(A3945),1))</f>
        <v/>
      </c>
    </row>
    <row r="3946" customFormat="false" ht="15" hidden="false" customHeight="false" outlineLevel="0" collapsed="false">
      <c r="A3946" s="21"/>
      <c r="B3946" s="4"/>
      <c r="C3946" s="22"/>
      <c r="D3946" s="5" t="str">
        <f aca="false">IF(B3946="","",IFERROR(INDEX(DE_PARA!$B$6:$B$205,MATCH(B3946,DE_PARA!$A$6:$A$205,0)),"SEM DE-PARA"))</f>
        <v/>
      </c>
      <c r="E3946" s="23" t="str">
        <f aca="false">IF(A3946="","",DATE(YEAR(A3946),MONTH(A3946),1))</f>
        <v/>
      </c>
    </row>
    <row r="3947" customFormat="false" ht="15" hidden="false" customHeight="false" outlineLevel="0" collapsed="false">
      <c r="A3947" s="21"/>
      <c r="B3947" s="4"/>
      <c r="C3947" s="22"/>
      <c r="D3947" s="5" t="str">
        <f aca="false">IF(B3947="","",IFERROR(INDEX(DE_PARA!$B$6:$B$205,MATCH(B3947,DE_PARA!$A$6:$A$205,0)),"SEM DE-PARA"))</f>
        <v/>
      </c>
      <c r="E3947" s="23" t="str">
        <f aca="false">IF(A3947="","",DATE(YEAR(A3947),MONTH(A3947),1))</f>
        <v/>
      </c>
    </row>
    <row r="3948" customFormat="false" ht="15" hidden="false" customHeight="false" outlineLevel="0" collapsed="false">
      <c r="A3948" s="21"/>
      <c r="B3948" s="4"/>
      <c r="C3948" s="22"/>
      <c r="D3948" s="5" t="str">
        <f aca="false">IF(B3948="","",IFERROR(INDEX(DE_PARA!$B$6:$B$205,MATCH(B3948,DE_PARA!$A$6:$A$205,0)),"SEM DE-PARA"))</f>
        <v/>
      </c>
      <c r="E3948" s="23" t="str">
        <f aca="false">IF(A3948="","",DATE(YEAR(A3948),MONTH(A3948),1))</f>
        <v/>
      </c>
    </row>
    <row r="3949" customFormat="false" ht="15" hidden="false" customHeight="false" outlineLevel="0" collapsed="false">
      <c r="A3949" s="21"/>
      <c r="B3949" s="4"/>
      <c r="C3949" s="22"/>
      <c r="D3949" s="5" t="str">
        <f aca="false">IF(B3949="","",IFERROR(INDEX(DE_PARA!$B$6:$B$205,MATCH(B3949,DE_PARA!$A$6:$A$205,0)),"SEM DE-PARA"))</f>
        <v/>
      </c>
      <c r="E3949" s="23" t="str">
        <f aca="false">IF(A3949="","",DATE(YEAR(A3949),MONTH(A3949),1))</f>
        <v/>
      </c>
    </row>
    <row r="3950" customFormat="false" ht="15" hidden="false" customHeight="false" outlineLevel="0" collapsed="false">
      <c r="A3950" s="21"/>
      <c r="B3950" s="4"/>
      <c r="C3950" s="22"/>
      <c r="D3950" s="5" t="str">
        <f aca="false">IF(B3950="","",IFERROR(INDEX(DE_PARA!$B$6:$B$205,MATCH(B3950,DE_PARA!$A$6:$A$205,0)),"SEM DE-PARA"))</f>
        <v/>
      </c>
      <c r="E3950" s="23" t="str">
        <f aca="false">IF(A3950="","",DATE(YEAR(A3950),MONTH(A3950),1))</f>
        <v/>
      </c>
    </row>
    <row r="3951" customFormat="false" ht="15" hidden="false" customHeight="false" outlineLevel="0" collapsed="false">
      <c r="A3951" s="21"/>
      <c r="B3951" s="4"/>
      <c r="C3951" s="22"/>
      <c r="D3951" s="5" t="str">
        <f aca="false">IF(B3951="","",IFERROR(INDEX(DE_PARA!$B$6:$B$205,MATCH(B3951,DE_PARA!$A$6:$A$205,0)),"SEM DE-PARA"))</f>
        <v/>
      </c>
      <c r="E3951" s="23" t="str">
        <f aca="false">IF(A3951="","",DATE(YEAR(A3951),MONTH(A3951),1))</f>
        <v/>
      </c>
    </row>
    <row r="3952" customFormat="false" ht="15" hidden="false" customHeight="false" outlineLevel="0" collapsed="false">
      <c r="A3952" s="21"/>
      <c r="B3952" s="4"/>
      <c r="C3952" s="22"/>
      <c r="D3952" s="5" t="str">
        <f aca="false">IF(B3952="","",IFERROR(INDEX(DE_PARA!$B$6:$B$205,MATCH(B3952,DE_PARA!$A$6:$A$205,0)),"SEM DE-PARA"))</f>
        <v/>
      </c>
      <c r="E3952" s="23" t="str">
        <f aca="false">IF(A3952="","",DATE(YEAR(A3952),MONTH(A3952),1))</f>
        <v/>
      </c>
    </row>
    <row r="3953" customFormat="false" ht="15" hidden="false" customHeight="false" outlineLevel="0" collapsed="false">
      <c r="A3953" s="21"/>
      <c r="B3953" s="4"/>
      <c r="C3953" s="22"/>
      <c r="D3953" s="5" t="str">
        <f aca="false">IF(B3953="","",IFERROR(INDEX(DE_PARA!$B$6:$B$205,MATCH(B3953,DE_PARA!$A$6:$A$205,0)),"SEM DE-PARA"))</f>
        <v/>
      </c>
      <c r="E3953" s="23" t="str">
        <f aca="false">IF(A3953="","",DATE(YEAR(A3953),MONTH(A3953),1))</f>
        <v/>
      </c>
    </row>
    <row r="3954" customFormat="false" ht="15" hidden="false" customHeight="false" outlineLevel="0" collapsed="false">
      <c r="A3954" s="21"/>
      <c r="B3954" s="4"/>
      <c r="C3954" s="22"/>
      <c r="D3954" s="5" t="str">
        <f aca="false">IF(B3954="","",IFERROR(INDEX(DE_PARA!$B$6:$B$205,MATCH(B3954,DE_PARA!$A$6:$A$205,0)),"SEM DE-PARA"))</f>
        <v/>
      </c>
      <c r="E3954" s="23" t="str">
        <f aca="false">IF(A3954="","",DATE(YEAR(A3954),MONTH(A3954),1))</f>
        <v/>
      </c>
    </row>
    <row r="3955" customFormat="false" ht="15" hidden="false" customHeight="false" outlineLevel="0" collapsed="false">
      <c r="A3955" s="21"/>
      <c r="B3955" s="4"/>
      <c r="C3955" s="22"/>
      <c r="D3955" s="5" t="str">
        <f aca="false">IF(B3955="","",IFERROR(INDEX(DE_PARA!$B$6:$B$205,MATCH(B3955,DE_PARA!$A$6:$A$205,0)),"SEM DE-PARA"))</f>
        <v/>
      </c>
      <c r="E3955" s="23" t="str">
        <f aca="false">IF(A3955="","",DATE(YEAR(A3955),MONTH(A3955),1))</f>
        <v/>
      </c>
    </row>
    <row r="3956" customFormat="false" ht="15" hidden="false" customHeight="false" outlineLevel="0" collapsed="false">
      <c r="A3956" s="21"/>
      <c r="B3956" s="4"/>
      <c r="C3956" s="22"/>
      <c r="D3956" s="5" t="str">
        <f aca="false">IF(B3956="","",IFERROR(INDEX(DE_PARA!$B$6:$B$205,MATCH(B3956,DE_PARA!$A$6:$A$205,0)),"SEM DE-PARA"))</f>
        <v/>
      </c>
      <c r="E3956" s="23" t="str">
        <f aca="false">IF(A3956="","",DATE(YEAR(A3956),MONTH(A3956),1))</f>
        <v/>
      </c>
    </row>
    <row r="3957" customFormat="false" ht="15" hidden="false" customHeight="false" outlineLevel="0" collapsed="false">
      <c r="A3957" s="21"/>
      <c r="B3957" s="4"/>
      <c r="C3957" s="22"/>
      <c r="D3957" s="5" t="str">
        <f aca="false">IF(B3957="","",IFERROR(INDEX(DE_PARA!$B$6:$B$205,MATCH(B3957,DE_PARA!$A$6:$A$205,0)),"SEM DE-PARA"))</f>
        <v/>
      </c>
      <c r="E3957" s="23" t="str">
        <f aca="false">IF(A3957="","",DATE(YEAR(A3957),MONTH(A3957),1))</f>
        <v/>
      </c>
    </row>
    <row r="3958" customFormat="false" ht="15" hidden="false" customHeight="false" outlineLevel="0" collapsed="false">
      <c r="A3958" s="21"/>
      <c r="B3958" s="4"/>
      <c r="C3958" s="22"/>
      <c r="D3958" s="5" t="str">
        <f aca="false">IF(B3958="","",IFERROR(INDEX(DE_PARA!$B$6:$B$205,MATCH(B3958,DE_PARA!$A$6:$A$205,0)),"SEM DE-PARA"))</f>
        <v/>
      </c>
      <c r="E3958" s="23" t="str">
        <f aca="false">IF(A3958="","",DATE(YEAR(A3958),MONTH(A3958),1))</f>
        <v/>
      </c>
    </row>
    <row r="3959" customFormat="false" ht="15" hidden="false" customHeight="false" outlineLevel="0" collapsed="false">
      <c r="A3959" s="21"/>
      <c r="B3959" s="4"/>
      <c r="C3959" s="22"/>
      <c r="D3959" s="5" t="str">
        <f aca="false">IF(B3959="","",IFERROR(INDEX(DE_PARA!$B$6:$B$205,MATCH(B3959,DE_PARA!$A$6:$A$205,0)),"SEM DE-PARA"))</f>
        <v/>
      </c>
      <c r="E3959" s="23" t="str">
        <f aca="false">IF(A3959="","",DATE(YEAR(A3959),MONTH(A3959),1))</f>
        <v/>
      </c>
    </row>
    <row r="3960" customFormat="false" ht="15" hidden="false" customHeight="false" outlineLevel="0" collapsed="false">
      <c r="A3960" s="21"/>
      <c r="B3960" s="4"/>
      <c r="C3960" s="22"/>
      <c r="D3960" s="5" t="str">
        <f aca="false">IF(B3960="","",IFERROR(INDEX(DE_PARA!$B$6:$B$205,MATCH(B3960,DE_PARA!$A$6:$A$205,0)),"SEM DE-PARA"))</f>
        <v/>
      </c>
      <c r="E3960" s="23" t="str">
        <f aca="false">IF(A3960="","",DATE(YEAR(A3960),MONTH(A3960),1))</f>
        <v/>
      </c>
    </row>
    <row r="3961" customFormat="false" ht="15" hidden="false" customHeight="false" outlineLevel="0" collapsed="false">
      <c r="A3961" s="21"/>
      <c r="B3961" s="4"/>
      <c r="C3961" s="22"/>
      <c r="D3961" s="5" t="str">
        <f aca="false">IF(B3961="","",IFERROR(INDEX(DE_PARA!$B$6:$B$205,MATCH(B3961,DE_PARA!$A$6:$A$205,0)),"SEM DE-PARA"))</f>
        <v/>
      </c>
      <c r="E3961" s="23" t="str">
        <f aca="false">IF(A3961="","",DATE(YEAR(A3961),MONTH(A3961),1))</f>
        <v/>
      </c>
    </row>
    <row r="3962" customFormat="false" ht="15" hidden="false" customHeight="false" outlineLevel="0" collapsed="false">
      <c r="A3962" s="21"/>
      <c r="B3962" s="4"/>
      <c r="C3962" s="22"/>
      <c r="D3962" s="5" t="str">
        <f aca="false">IF(B3962="","",IFERROR(INDEX(DE_PARA!$B$6:$B$205,MATCH(B3962,DE_PARA!$A$6:$A$205,0)),"SEM DE-PARA"))</f>
        <v/>
      </c>
      <c r="E3962" s="23" t="str">
        <f aca="false">IF(A3962="","",DATE(YEAR(A3962),MONTH(A3962),1))</f>
        <v/>
      </c>
    </row>
    <row r="3963" customFormat="false" ht="15" hidden="false" customHeight="false" outlineLevel="0" collapsed="false">
      <c r="A3963" s="21"/>
      <c r="B3963" s="4"/>
      <c r="C3963" s="22"/>
      <c r="D3963" s="5" t="str">
        <f aca="false">IF(B3963="","",IFERROR(INDEX(DE_PARA!$B$6:$B$205,MATCH(B3963,DE_PARA!$A$6:$A$205,0)),"SEM DE-PARA"))</f>
        <v/>
      </c>
      <c r="E3963" s="23" t="str">
        <f aca="false">IF(A3963="","",DATE(YEAR(A3963),MONTH(A3963),1))</f>
        <v/>
      </c>
    </row>
    <row r="3964" customFormat="false" ht="15" hidden="false" customHeight="false" outlineLevel="0" collapsed="false">
      <c r="A3964" s="21"/>
      <c r="B3964" s="4"/>
      <c r="C3964" s="22"/>
      <c r="D3964" s="5" t="str">
        <f aca="false">IF(B3964="","",IFERROR(INDEX(DE_PARA!$B$6:$B$205,MATCH(B3964,DE_PARA!$A$6:$A$205,0)),"SEM DE-PARA"))</f>
        <v/>
      </c>
      <c r="E3964" s="23" t="str">
        <f aca="false">IF(A3964="","",DATE(YEAR(A3964),MONTH(A3964),1))</f>
        <v/>
      </c>
    </row>
    <row r="3965" customFormat="false" ht="15" hidden="false" customHeight="false" outlineLevel="0" collapsed="false">
      <c r="A3965" s="21"/>
      <c r="B3965" s="4"/>
      <c r="C3965" s="22"/>
      <c r="D3965" s="5" t="str">
        <f aca="false">IF(B3965="","",IFERROR(INDEX(DE_PARA!$B$6:$B$205,MATCH(B3965,DE_PARA!$A$6:$A$205,0)),"SEM DE-PARA"))</f>
        <v/>
      </c>
      <c r="E3965" s="23" t="str">
        <f aca="false">IF(A3965="","",DATE(YEAR(A3965),MONTH(A3965),1))</f>
        <v/>
      </c>
    </row>
    <row r="3966" customFormat="false" ht="15" hidden="false" customHeight="false" outlineLevel="0" collapsed="false">
      <c r="A3966" s="21"/>
      <c r="B3966" s="4"/>
      <c r="C3966" s="22"/>
      <c r="D3966" s="5" t="str">
        <f aca="false">IF(B3966="","",IFERROR(INDEX(DE_PARA!$B$6:$B$205,MATCH(B3966,DE_PARA!$A$6:$A$205,0)),"SEM DE-PARA"))</f>
        <v/>
      </c>
      <c r="E3966" s="23" t="str">
        <f aca="false">IF(A3966="","",DATE(YEAR(A3966),MONTH(A3966),1))</f>
        <v/>
      </c>
    </row>
    <row r="3967" customFormat="false" ht="15" hidden="false" customHeight="false" outlineLevel="0" collapsed="false">
      <c r="A3967" s="21"/>
      <c r="B3967" s="4"/>
      <c r="C3967" s="22"/>
      <c r="D3967" s="5" t="str">
        <f aca="false">IF(B3967="","",IFERROR(INDEX(DE_PARA!$B$6:$B$205,MATCH(B3967,DE_PARA!$A$6:$A$205,0)),"SEM DE-PARA"))</f>
        <v/>
      </c>
      <c r="E3967" s="23" t="str">
        <f aca="false">IF(A3967="","",DATE(YEAR(A3967),MONTH(A3967),1))</f>
        <v/>
      </c>
    </row>
    <row r="3968" customFormat="false" ht="15" hidden="false" customHeight="false" outlineLevel="0" collapsed="false">
      <c r="A3968" s="21"/>
      <c r="B3968" s="4"/>
      <c r="C3968" s="22"/>
      <c r="D3968" s="5" t="str">
        <f aca="false">IF(B3968="","",IFERROR(INDEX(DE_PARA!$B$6:$B$205,MATCH(B3968,DE_PARA!$A$6:$A$205,0)),"SEM DE-PARA"))</f>
        <v/>
      </c>
      <c r="E3968" s="23" t="str">
        <f aca="false">IF(A3968="","",DATE(YEAR(A3968),MONTH(A3968),1))</f>
        <v/>
      </c>
    </row>
    <row r="3969" customFormat="false" ht="15" hidden="false" customHeight="false" outlineLevel="0" collapsed="false">
      <c r="A3969" s="21"/>
      <c r="B3969" s="4"/>
      <c r="C3969" s="22"/>
      <c r="D3969" s="5" t="str">
        <f aca="false">IF(B3969="","",IFERROR(INDEX(DE_PARA!$B$6:$B$205,MATCH(B3969,DE_PARA!$A$6:$A$205,0)),"SEM DE-PARA"))</f>
        <v/>
      </c>
      <c r="E3969" s="23" t="str">
        <f aca="false">IF(A3969="","",DATE(YEAR(A3969),MONTH(A3969),1))</f>
        <v/>
      </c>
    </row>
    <row r="3970" customFormat="false" ht="15" hidden="false" customHeight="false" outlineLevel="0" collapsed="false">
      <c r="A3970" s="21"/>
      <c r="B3970" s="4"/>
      <c r="C3970" s="22"/>
      <c r="D3970" s="5" t="str">
        <f aca="false">IF(B3970="","",IFERROR(INDEX(DE_PARA!$B$6:$B$205,MATCH(B3970,DE_PARA!$A$6:$A$205,0)),"SEM DE-PARA"))</f>
        <v/>
      </c>
      <c r="E3970" s="23" t="str">
        <f aca="false">IF(A3970="","",DATE(YEAR(A3970),MONTH(A3970),1))</f>
        <v/>
      </c>
    </row>
    <row r="3971" customFormat="false" ht="15" hidden="false" customHeight="false" outlineLevel="0" collapsed="false">
      <c r="A3971" s="21"/>
      <c r="B3971" s="4"/>
      <c r="C3971" s="22"/>
      <c r="D3971" s="5" t="str">
        <f aca="false">IF(B3971="","",IFERROR(INDEX(DE_PARA!$B$6:$B$205,MATCH(B3971,DE_PARA!$A$6:$A$205,0)),"SEM DE-PARA"))</f>
        <v/>
      </c>
      <c r="E3971" s="23" t="str">
        <f aca="false">IF(A3971="","",DATE(YEAR(A3971),MONTH(A3971),1))</f>
        <v/>
      </c>
    </row>
    <row r="3972" customFormat="false" ht="15" hidden="false" customHeight="false" outlineLevel="0" collapsed="false">
      <c r="A3972" s="21"/>
      <c r="B3972" s="4"/>
      <c r="C3972" s="22"/>
      <c r="D3972" s="5" t="str">
        <f aca="false">IF(B3972="","",IFERROR(INDEX(DE_PARA!$B$6:$B$205,MATCH(B3972,DE_PARA!$A$6:$A$205,0)),"SEM DE-PARA"))</f>
        <v/>
      </c>
      <c r="E3972" s="23" t="str">
        <f aca="false">IF(A3972="","",DATE(YEAR(A3972),MONTH(A3972),1))</f>
        <v/>
      </c>
    </row>
    <row r="3973" customFormat="false" ht="15" hidden="false" customHeight="false" outlineLevel="0" collapsed="false">
      <c r="A3973" s="21"/>
      <c r="B3973" s="4"/>
      <c r="C3973" s="22"/>
      <c r="D3973" s="5" t="str">
        <f aca="false">IF(B3973="","",IFERROR(INDEX(DE_PARA!$B$6:$B$205,MATCH(B3973,DE_PARA!$A$6:$A$205,0)),"SEM DE-PARA"))</f>
        <v/>
      </c>
      <c r="E3973" s="23" t="str">
        <f aca="false">IF(A3973="","",DATE(YEAR(A3973),MONTH(A3973),1))</f>
        <v/>
      </c>
    </row>
    <row r="3974" customFormat="false" ht="15" hidden="false" customHeight="false" outlineLevel="0" collapsed="false">
      <c r="A3974" s="21"/>
      <c r="B3974" s="4"/>
      <c r="C3974" s="22"/>
      <c r="D3974" s="5" t="str">
        <f aca="false">IF(B3974="","",IFERROR(INDEX(DE_PARA!$B$6:$B$205,MATCH(B3974,DE_PARA!$A$6:$A$205,0)),"SEM DE-PARA"))</f>
        <v/>
      </c>
      <c r="E3974" s="23" t="str">
        <f aca="false">IF(A3974="","",DATE(YEAR(A3974),MONTH(A3974),1))</f>
        <v/>
      </c>
    </row>
    <row r="3975" customFormat="false" ht="15" hidden="false" customHeight="false" outlineLevel="0" collapsed="false">
      <c r="A3975" s="21"/>
      <c r="B3975" s="4"/>
      <c r="C3975" s="22"/>
      <c r="D3975" s="5" t="str">
        <f aca="false">IF(B3975="","",IFERROR(INDEX(DE_PARA!$B$6:$B$205,MATCH(B3975,DE_PARA!$A$6:$A$205,0)),"SEM DE-PARA"))</f>
        <v/>
      </c>
      <c r="E3975" s="23" t="str">
        <f aca="false">IF(A3975="","",DATE(YEAR(A3975),MONTH(A3975),1))</f>
        <v/>
      </c>
    </row>
    <row r="3976" customFormat="false" ht="15" hidden="false" customHeight="false" outlineLevel="0" collapsed="false">
      <c r="A3976" s="21"/>
      <c r="B3976" s="4"/>
      <c r="C3976" s="22"/>
      <c r="D3976" s="5" t="str">
        <f aca="false">IF(B3976="","",IFERROR(INDEX(DE_PARA!$B$6:$B$205,MATCH(B3976,DE_PARA!$A$6:$A$205,0)),"SEM DE-PARA"))</f>
        <v/>
      </c>
      <c r="E3976" s="23" t="str">
        <f aca="false">IF(A3976="","",DATE(YEAR(A3976),MONTH(A3976),1))</f>
        <v/>
      </c>
    </row>
    <row r="3977" customFormat="false" ht="15" hidden="false" customHeight="false" outlineLevel="0" collapsed="false">
      <c r="A3977" s="21"/>
      <c r="B3977" s="4"/>
      <c r="C3977" s="22"/>
      <c r="D3977" s="5" t="str">
        <f aca="false">IF(B3977="","",IFERROR(INDEX(DE_PARA!$B$6:$B$205,MATCH(B3977,DE_PARA!$A$6:$A$205,0)),"SEM DE-PARA"))</f>
        <v/>
      </c>
      <c r="E3977" s="23" t="str">
        <f aca="false">IF(A3977="","",DATE(YEAR(A3977),MONTH(A3977),1))</f>
        <v/>
      </c>
    </row>
    <row r="3978" customFormat="false" ht="15" hidden="false" customHeight="false" outlineLevel="0" collapsed="false">
      <c r="A3978" s="21"/>
      <c r="B3978" s="4"/>
      <c r="C3978" s="22"/>
      <c r="D3978" s="5" t="str">
        <f aca="false">IF(B3978="","",IFERROR(INDEX(DE_PARA!$B$6:$B$205,MATCH(B3978,DE_PARA!$A$6:$A$205,0)),"SEM DE-PARA"))</f>
        <v/>
      </c>
      <c r="E3978" s="23" t="str">
        <f aca="false">IF(A3978="","",DATE(YEAR(A3978),MONTH(A3978),1))</f>
        <v/>
      </c>
    </row>
    <row r="3979" customFormat="false" ht="15" hidden="false" customHeight="false" outlineLevel="0" collapsed="false">
      <c r="A3979" s="21"/>
      <c r="B3979" s="4"/>
      <c r="C3979" s="22"/>
      <c r="D3979" s="5" t="str">
        <f aca="false">IF(B3979="","",IFERROR(INDEX(DE_PARA!$B$6:$B$205,MATCH(B3979,DE_PARA!$A$6:$A$205,0)),"SEM DE-PARA"))</f>
        <v/>
      </c>
      <c r="E3979" s="23" t="str">
        <f aca="false">IF(A3979="","",DATE(YEAR(A3979),MONTH(A3979),1))</f>
        <v/>
      </c>
    </row>
    <row r="3980" customFormat="false" ht="15" hidden="false" customHeight="false" outlineLevel="0" collapsed="false">
      <c r="A3980" s="21"/>
      <c r="B3980" s="4"/>
      <c r="C3980" s="22"/>
      <c r="D3980" s="5" t="str">
        <f aca="false">IF(B3980="","",IFERROR(INDEX(DE_PARA!$B$6:$B$205,MATCH(B3980,DE_PARA!$A$6:$A$205,0)),"SEM DE-PARA"))</f>
        <v/>
      </c>
      <c r="E3980" s="23" t="str">
        <f aca="false">IF(A3980="","",DATE(YEAR(A3980),MONTH(A3980),1))</f>
        <v/>
      </c>
    </row>
    <row r="3981" customFormat="false" ht="15" hidden="false" customHeight="false" outlineLevel="0" collapsed="false">
      <c r="A3981" s="21"/>
      <c r="B3981" s="4"/>
      <c r="C3981" s="22"/>
      <c r="D3981" s="5" t="str">
        <f aca="false">IF(B3981="","",IFERROR(INDEX(DE_PARA!$B$6:$B$205,MATCH(B3981,DE_PARA!$A$6:$A$205,0)),"SEM DE-PARA"))</f>
        <v/>
      </c>
      <c r="E3981" s="23" t="str">
        <f aca="false">IF(A3981="","",DATE(YEAR(A3981),MONTH(A3981),1))</f>
        <v/>
      </c>
    </row>
    <row r="3982" customFormat="false" ht="15" hidden="false" customHeight="false" outlineLevel="0" collapsed="false">
      <c r="A3982" s="21"/>
      <c r="B3982" s="4"/>
      <c r="C3982" s="22"/>
      <c r="D3982" s="5" t="str">
        <f aca="false">IF(B3982="","",IFERROR(INDEX(DE_PARA!$B$6:$B$205,MATCH(B3982,DE_PARA!$A$6:$A$205,0)),"SEM DE-PARA"))</f>
        <v/>
      </c>
      <c r="E3982" s="23" t="str">
        <f aca="false">IF(A3982="","",DATE(YEAR(A3982),MONTH(A3982),1))</f>
        <v/>
      </c>
    </row>
    <row r="3983" customFormat="false" ht="15" hidden="false" customHeight="false" outlineLevel="0" collapsed="false">
      <c r="A3983" s="21"/>
      <c r="B3983" s="4"/>
      <c r="C3983" s="22"/>
      <c r="D3983" s="5" t="str">
        <f aca="false">IF(B3983="","",IFERROR(INDEX(DE_PARA!$B$6:$B$205,MATCH(B3983,DE_PARA!$A$6:$A$205,0)),"SEM DE-PARA"))</f>
        <v/>
      </c>
      <c r="E3983" s="23" t="str">
        <f aca="false">IF(A3983="","",DATE(YEAR(A3983),MONTH(A3983),1))</f>
        <v/>
      </c>
    </row>
    <row r="3984" customFormat="false" ht="15" hidden="false" customHeight="false" outlineLevel="0" collapsed="false">
      <c r="A3984" s="21"/>
      <c r="B3984" s="4"/>
      <c r="C3984" s="22"/>
      <c r="D3984" s="5" t="str">
        <f aca="false">IF(B3984="","",IFERROR(INDEX(DE_PARA!$B$6:$B$205,MATCH(B3984,DE_PARA!$A$6:$A$205,0)),"SEM DE-PARA"))</f>
        <v/>
      </c>
      <c r="E3984" s="23" t="str">
        <f aca="false">IF(A3984="","",DATE(YEAR(A3984),MONTH(A3984),1))</f>
        <v/>
      </c>
    </row>
    <row r="3985" customFormat="false" ht="15" hidden="false" customHeight="false" outlineLevel="0" collapsed="false">
      <c r="A3985" s="21"/>
      <c r="B3985" s="4"/>
      <c r="C3985" s="22"/>
      <c r="D3985" s="5" t="str">
        <f aca="false">IF(B3985="","",IFERROR(INDEX(DE_PARA!$B$6:$B$205,MATCH(B3985,DE_PARA!$A$6:$A$205,0)),"SEM DE-PARA"))</f>
        <v/>
      </c>
      <c r="E3985" s="23" t="str">
        <f aca="false">IF(A3985="","",DATE(YEAR(A3985),MONTH(A3985),1))</f>
        <v/>
      </c>
    </row>
    <row r="3986" customFormat="false" ht="15" hidden="false" customHeight="false" outlineLevel="0" collapsed="false">
      <c r="A3986" s="21"/>
      <c r="B3986" s="4"/>
      <c r="C3986" s="22"/>
      <c r="D3986" s="5" t="str">
        <f aca="false">IF(B3986="","",IFERROR(INDEX(DE_PARA!$B$6:$B$205,MATCH(B3986,DE_PARA!$A$6:$A$205,0)),"SEM DE-PARA"))</f>
        <v/>
      </c>
      <c r="E3986" s="23" t="str">
        <f aca="false">IF(A3986="","",DATE(YEAR(A3986),MONTH(A3986),1))</f>
        <v/>
      </c>
    </row>
    <row r="3987" customFormat="false" ht="15" hidden="false" customHeight="false" outlineLevel="0" collapsed="false">
      <c r="A3987" s="21"/>
      <c r="B3987" s="4"/>
      <c r="C3987" s="22"/>
      <c r="D3987" s="5" t="str">
        <f aca="false">IF(B3987="","",IFERROR(INDEX(DE_PARA!$B$6:$B$205,MATCH(B3987,DE_PARA!$A$6:$A$205,0)),"SEM DE-PARA"))</f>
        <v/>
      </c>
      <c r="E3987" s="23" t="str">
        <f aca="false">IF(A3987="","",DATE(YEAR(A3987),MONTH(A3987),1))</f>
        <v/>
      </c>
    </row>
    <row r="3988" customFormat="false" ht="15" hidden="false" customHeight="false" outlineLevel="0" collapsed="false">
      <c r="A3988" s="21"/>
      <c r="B3988" s="4"/>
      <c r="C3988" s="22"/>
      <c r="D3988" s="5" t="str">
        <f aca="false">IF(B3988="","",IFERROR(INDEX(DE_PARA!$B$6:$B$205,MATCH(B3988,DE_PARA!$A$6:$A$205,0)),"SEM DE-PARA"))</f>
        <v/>
      </c>
      <c r="E3988" s="23" t="str">
        <f aca="false">IF(A3988="","",DATE(YEAR(A3988),MONTH(A3988),1))</f>
        <v/>
      </c>
    </row>
    <row r="3989" customFormat="false" ht="15" hidden="false" customHeight="false" outlineLevel="0" collapsed="false">
      <c r="A3989" s="21"/>
      <c r="B3989" s="4"/>
      <c r="C3989" s="22"/>
      <c r="D3989" s="5" t="str">
        <f aca="false">IF(B3989="","",IFERROR(INDEX(DE_PARA!$B$6:$B$205,MATCH(B3989,DE_PARA!$A$6:$A$205,0)),"SEM DE-PARA"))</f>
        <v/>
      </c>
      <c r="E3989" s="23" t="str">
        <f aca="false">IF(A3989="","",DATE(YEAR(A3989),MONTH(A3989),1))</f>
        <v/>
      </c>
    </row>
    <row r="3990" customFormat="false" ht="15" hidden="false" customHeight="false" outlineLevel="0" collapsed="false">
      <c r="A3990" s="21"/>
      <c r="B3990" s="4"/>
      <c r="C3990" s="22"/>
      <c r="D3990" s="5" t="str">
        <f aca="false">IF(B3990="","",IFERROR(INDEX(DE_PARA!$B$6:$B$205,MATCH(B3990,DE_PARA!$A$6:$A$205,0)),"SEM DE-PARA"))</f>
        <v/>
      </c>
      <c r="E3990" s="23" t="str">
        <f aca="false">IF(A3990="","",DATE(YEAR(A3990),MONTH(A3990),1))</f>
        <v/>
      </c>
    </row>
    <row r="3991" customFormat="false" ht="15" hidden="false" customHeight="false" outlineLevel="0" collapsed="false">
      <c r="A3991" s="21"/>
      <c r="B3991" s="4"/>
      <c r="C3991" s="22"/>
      <c r="D3991" s="5" t="str">
        <f aca="false">IF(B3991="","",IFERROR(INDEX(DE_PARA!$B$6:$B$205,MATCH(B3991,DE_PARA!$A$6:$A$205,0)),"SEM DE-PARA"))</f>
        <v/>
      </c>
      <c r="E3991" s="23" t="str">
        <f aca="false">IF(A3991="","",DATE(YEAR(A3991),MONTH(A3991),1))</f>
        <v/>
      </c>
    </row>
    <row r="3992" customFormat="false" ht="15" hidden="false" customHeight="false" outlineLevel="0" collapsed="false">
      <c r="A3992" s="21"/>
      <c r="B3992" s="4"/>
      <c r="C3992" s="22"/>
      <c r="D3992" s="5" t="str">
        <f aca="false">IF(B3992="","",IFERROR(INDEX(DE_PARA!$B$6:$B$205,MATCH(B3992,DE_PARA!$A$6:$A$205,0)),"SEM DE-PARA"))</f>
        <v/>
      </c>
      <c r="E3992" s="23" t="str">
        <f aca="false">IF(A3992="","",DATE(YEAR(A3992),MONTH(A3992),1))</f>
        <v/>
      </c>
    </row>
    <row r="3993" customFormat="false" ht="15" hidden="false" customHeight="false" outlineLevel="0" collapsed="false">
      <c r="A3993" s="21"/>
      <c r="B3993" s="4"/>
      <c r="C3993" s="22"/>
      <c r="D3993" s="5" t="str">
        <f aca="false">IF(B3993="","",IFERROR(INDEX(DE_PARA!$B$6:$B$205,MATCH(B3993,DE_PARA!$A$6:$A$205,0)),"SEM DE-PARA"))</f>
        <v/>
      </c>
      <c r="E3993" s="23" t="str">
        <f aca="false">IF(A3993="","",DATE(YEAR(A3993),MONTH(A3993),1))</f>
        <v/>
      </c>
    </row>
    <row r="3994" customFormat="false" ht="15" hidden="false" customHeight="false" outlineLevel="0" collapsed="false">
      <c r="A3994" s="21"/>
      <c r="B3994" s="4"/>
      <c r="C3994" s="22"/>
      <c r="D3994" s="5" t="str">
        <f aca="false">IF(B3994="","",IFERROR(INDEX(DE_PARA!$B$6:$B$205,MATCH(B3994,DE_PARA!$A$6:$A$205,0)),"SEM DE-PARA"))</f>
        <v/>
      </c>
      <c r="E3994" s="23" t="str">
        <f aca="false">IF(A3994="","",DATE(YEAR(A3994),MONTH(A3994),1))</f>
        <v/>
      </c>
    </row>
    <row r="3995" customFormat="false" ht="15" hidden="false" customHeight="false" outlineLevel="0" collapsed="false">
      <c r="A3995" s="21"/>
      <c r="B3995" s="4"/>
      <c r="C3995" s="22"/>
      <c r="D3995" s="5" t="str">
        <f aca="false">IF(B3995="","",IFERROR(INDEX(DE_PARA!$B$6:$B$205,MATCH(B3995,DE_PARA!$A$6:$A$205,0)),"SEM DE-PARA"))</f>
        <v/>
      </c>
      <c r="E3995" s="23" t="str">
        <f aca="false">IF(A3995="","",DATE(YEAR(A3995),MONTH(A3995),1))</f>
        <v/>
      </c>
    </row>
    <row r="3996" customFormat="false" ht="15" hidden="false" customHeight="false" outlineLevel="0" collapsed="false">
      <c r="A3996" s="21"/>
      <c r="B3996" s="4"/>
      <c r="C3996" s="22"/>
      <c r="D3996" s="5" t="str">
        <f aca="false">IF(B3996="","",IFERROR(INDEX(DE_PARA!$B$6:$B$205,MATCH(B3996,DE_PARA!$A$6:$A$205,0)),"SEM DE-PARA"))</f>
        <v/>
      </c>
      <c r="E3996" s="23" t="str">
        <f aca="false">IF(A3996="","",DATE(YEAR(A3996),MONTH(A3996),1))</f>
        <v/>
      </c>
    </row>
    <row r="3997" customFormat="false" ht="15" hidden="false" customHeight="false" outlineLevel="0" collapsed="false">
      <c r="A3997" s="21"/>
      <c r="B3997" s="4"/>
      <c r="C3997" s="22"/>
      <c r="D3997" s="5" t="str">
        <f aca="false">IF(B3997="","",IFERROR(INDEX(DE_PARA!$B$6:$B$205,MATCH(B3997,DE_PARA!$A$6:$A$205,0)),"SEM DE-PARA"))</f>
        <v/>
      </c>
      <c r="E3997" s="23" t="str">
        <f aca="false">IF(A3997="","",DATE(YEAR(A3997),MONTH(A3997),1))</f>
        <v/>
      </c>
    </row>
    <row r="3998" customFormat="false" ht="15" hidden="false" customHeight="false" outlineLevel="0" collapsed="false">
      <c r="A3998" s="21"/>
      <c r="B3998" s="4"/>
      <c r="C3998" s="22"/>
      <c r="D3998" s="5" t="str">
        <f aca="false">IF(B3998="","",IFERROR(INDEX(DE_PARA!$B$6:$B$205,MATCH(B3998,DE_PARA!$A$6:$A$205,0)),"SEM DE-PARA"))</f>
        <v/>
      </c>
      <c r="E3998" s="23" t="str">
        <f aca="false">IF(A3998="","",DATE(YEAR(A3998),MONTH(A3998),1))</f>
        <v/>
      </c>
    </row>
    <row r="3999" customFormat="false" ht="15" hidden="false" customHeight="false" outlineLevel="0" collapsed="false">
      <c r="A3999" s="21"/>
      <c r="B3999" s="4"/>
      <c r="C3999" s="22"/>
      <c r="D3999" s="5" t="str">
        <f aca="false">IF(B3999="","",IFERROR(INDEX(DE_PARA!$B$6:$B$205,MATCH(B3999,DE_PARA!$A$6:$A$205,0)),"SEM DE-PARA"))</f>
        <v/>
      </c>
      <c r="E3999" s="23" t="str">
        <f aca="false">IF(A3999="","",DATE(YEAR(A3999),MONTH(A3999),1))</f>
        <v/>
      </c>
    </row>
    <row r="4000" customFormat="false" ht="15" hidden="false" customHeight="false" outlineLevel="0" collapsed="false">
      <c r="A4000" s="21"/>
      <c r="B4000" s="4"/>
      <c r="C4000" s="22"/>
      <c r="D4000" s="5" t="str">
        <f aca="false">IF(B4000="","",IFERROR(INDEX(DE_PARA!$B$6:$B$205,MATCH(B4000,DE_PARA!$A$6:$A$205,0)),"SEM DE-PARA"))</f>
        <v/>
      </c>
      <c r="E4000" s="23" t="str">
        <f aca="false">IF(A4000="","",DATE(YEAR(A4000),MONTH(A4000),1))</f>
        <v/>
      </c>
    </row>
    <row r="4001" customFormat="false" ht="15" hidden="false" customHeight="false" outlineLevel="0" collapsed="false">
      <c r="A4001" s="21"/>
      <c r="B4001" s="4"/>
      <c r="C4001" s="22"/>
      <c r="D4001" s="5" t="str">
        <f aca="false">IF(B4001="","",IFERROR(INDEX(DE_PARA!$B$6:$B$205,MATCH(B4001,DE_PARA!$A$6:$A$205,0)),"SEM DE-PARA"))</f>
        <v/>
      </c>
      <c r="E4001" s="23" t="str">
        <f aca="false">IF(A4001="","",DATE(YEAR(A4001),MONTH(A4001),1))</f>
        <v/>
      </c>
    </row>
    <row r="4002" customFormat="false" ht="15" hidden="false" customHeight="false" outlineLevel="0" collapsed="false">
      <c r="A4002" s="21"/>
      <c r="B4002" s="4"/>
      <c r="C4002" s="22"/>
      <c r="D4002" s="5" t="str">
        <f aca="false">IF(B4002="","",IFERROR(INDEX(DE_PARA!$B$6:$B$205,MATCH(B4002,DE_PARA!$A$6:$A$205,0)),"SEM DE-PARA"))</f>
        <v/>
      </c>
      <c r="E4002" s="23" t="str">
        <f aca="false">IF(A4002="","",DATE(YEAR(A4002),MONTH(A4002),1))</f>
        <v/>
      </c>
    </row>
    <row r="4003" customFormat="false" ht="15" hidden="false" customHeight="false" outlineLevel="0" collapsed="false">
      <c r="A4003" s="21"/>
      <c r="B4003" s="4"/>
      <c r="C4003" s="22"/>
      <c r="D4003" s="5" t="str">
        <f aca="false">IF(B4003="","",IFERROR(INDEX(DE_PARA!$B$6:$B$205,MATCH(B4003,DE_PARA!$A$6:$A$205,0)),"SEM DE-PARA"))</f>
        <v/>
      </c>
      <c r="E4003" s="23" t="str">
        <f aca="false">IF(A4003="","",DATE(YEAR(A4003),MONTH(A4003),1))</f>
        <v/>
      </c>
    </row>
    <row r="4004" customFormat="false" ht="15" hidden="false" customHeight="false" outlineLevel="0" collapsed="false">
      <c r="A4004" s="21"/>
      <c r="B4004" s="4"/>
      <c r="C4004" s="22"/>
      <c r="D4004" s="5" t="str">
        <f aca="false">IF(B4004="","",IFERROR(INDEX(DE_PARA!$B$6:$B$205,MATCH(B4004,DE_PARA!$A$6:$A$205,0)),"SEM DE-PARA"))</f>
        <v/>
      </c>
      <c r="E4004" s="23" t="str">
        <f aca="false">IF(A4004="","",DATE(YEAR(A4004),MONTH(A4004),1))</f>
        <v/>
      </c>
    </row>
    <row r="4005" customFormat="false" ht="15" hidden="false" customHeight="false" outlineLevel="0" collapsed="false">
      <c r="A4005" s="21"/>
      <c r="B4005" s="4"/>
      <c r="C4005" s="22"/>
      <c r="D4005" s="5" t="str">
        <f aca="false">IF(B4005="","",IFERROR(INDEX(DE_PARA!$B$6:$B$205,MATCH(B4005,DE_PARA!$A$6:$A$205,0)),"SEM DE-PARA"))</f>
        <v/>
      </c>
      <c r="E4005" s="23" t="str">
        <f aca="false">IF(A4005="","",DATE(YEAR(A4005),MONTH(A4005),1))</f>
        <v/>
      </c>
    </row>
    <row r="4006" customFormat="false" ht="15" hidden="false" customHeight="false" outlineLevel="0" collapsed="false">
      <c r="A4006" s="21"/>
      <c r="B4006" s="4"/>
      <c r="C4006" s="22"/>
      <c r="D4006" s="5" t="str">
        <f aca="false">IF(B4006="","",IFERROR(INDEX(DE_PARA!$B$6:$B$205,MATCH(B4006,DE_PARA!$A$6:$A$205,0)),"SEM DE-PARA"))</f>
        <v/>
      </c>
      <c r="E4006" s="23" t="str">
        <f aca="false">IF(A4006="","",DATE(YEAR(A4006),MONTH(A4006),1))</f>
        <v/>
      </c>
    </row>
    <row r="4007" customFormat="false" ht="15" hidden="false" customHeight="false" outlineLevel="0" collapsed="false">
      <c r="A4007" s="21"/>
      <c r="B4007" s="4"/>
      <c r="C4007" s="22"/>
      <c r="D4007" s="5" t="str">
        <f aca="false">IF(B4007="","",IFERROR(INDEX(DE_PARA!$B$6:$B$205,MATCH(B4007,DE_PARA!$A$6:$A$205,0)),"SEM DE-PARA"))</f>
        <v/>
      </c>
      <c r="E4007" s="23" t="str">
        <f aca="false">IF(A4007="","",DATE(YEAR(A4007),MONTH(A4007),1))</f>
        <v/>
      </c>
    </row>
    <row r="4008" customFormat="false" ht="15" hidden="false" customHeight="false" outlineLevel="0" collapsed="false">
      <c r="A4008" s="21"/>
      <c r="B4008" s="4"/>
      <c r="C4008" s="22"/>
      <c r="D4008" s="5" t="str">
        <f aca="false">IF(B4008="","",IFERROR(INDEX(DE_PARA!$B$6:$B$205,MATCH(B4008,DE_PARA!$A$6:$A$205,0)),"SEM DE-PARA"))</f>
        <v/>
      </c>
      <c r="E4008" s="23" t="str">
        <f aca="false">IF(A4008="","",DATE(YEAR(A4008),MONTH(A4008),1))</f>
        <v/>
      </c>
    </row>
    <row r="4009" customFormat="false" ht="15" hidden="false" customHeight="false" outlineLevel="0" collapsed="false">
      <c r="A4009" s="21"/>
      <c r="B4009" s="4"/>
      <c r="C4009" s="22"/>
      <c r="D4009" s="5" t="str">
        <f aca="false">IF(B4009="","",IFERROR(INDEX(DE_PARA!$B$6:$B$205,MATCH(B4009,DE_PARA!$A$6:$A$205,0)),"SEM DE-PARA"))</f>
        <v/>
      </c>
      <c r="E4009" s="23" t="str">
        <f aca="false">IF(A4009="","",DATE(YEAR(A4009),MONTH(A4009),1))</f>
        <v/>
      </c>
    </row>
    <row r="4010" customFormat="false" ht="15" hidden="false" customHeight="false" outlineLevel="0" collapsed="false">
      <c r="A4010" s="21"/>
      <c r="B4010" s="4"/>
      <c r="C4010" s="22"/>
      <c r="D4010" s="5" t="str">
        <f aca="false">IF(B4010="","",IFERROR(INDEX(DE_PARA!$B$6:$B$205,MATCH(B4010,DE_PARA!$A$6:$A$205,0)),"SEM DE-PARA"))</f>
        <v/>
      </c>
      <c r="E4010" s="23" t="str">
        <f aca="false">IF(A4010="","",DATE(YEAR(A4010),MONTH(A4010),1))</f>
        <v/>
      </c>
    </row>
    <row r="4011" customFormat="false" ht="15" hidden="false" customHeight="false" outlineLevel="0" collapsed="false">
      <c r="A4011" s="21"/>
      <c r="B4011" s="4"/>
      <c r="C4011" s="22"/>
      <c r="D4011" s="5" t="str">
        <f aca="false">IF(B4011="","",IFERROR(INDEX(DE_PARA!$B$6:$B$205,MATCH(B4011,DE_PARA!$A$6:$A$205,0)),"SEM DE-PARA"))</f>
        <v/>
      </c>
      <c r="E4011" s="23" t="str">
        <f aca="false">IF(A4011="","",DATE(YEAR(A4011),MONTH(A4011),1))</f>
        <v/>
      </c>
    </row>
    <row r="4012" customFormat="false" ht="15" hidden="false" customHeight="false" outlineLevel="0" collapsed="false">
      <c r="A4012" s="21"/>
      <c r="B4012" s="4"/>
      <c r="C4012" s="22"/>
      <c r="D4012" s="5" t="str">
        <f aca="false">IF(B4012="","",IFERROR(INDEX(DE_PARA!$B$6:$B$205,MATCH(B4012,DE_PARA!$A$6:$A$205,0)),"SEM DE-PARA"))</f>
        <v/>
      </c>
      <c r="E4012" s="23" t="str">
        <f aca="false">IF(A4012="","",DATE(YEAR(A4012),MONTH(A4012),1))</f>
        <v/>
      </c>
    </row>
    <row r="4013" customFormat="false" ht="15" hidden="false" customHeight="false" outlineLevel="0" collapsed="false">
      <c r="A4013" s="21"/>
      <c r="B4013" s="4"/>
      <c r="C4013" s="22"/>
      <c r="D4013" s="5" t="str">
        <f aca="false">IF(B4013="","",IFERROR(INDEX(DE_PARA!$B$6:$B$205,MATCH(B4013,DE_PARA!$A$6:$A$205,0)),"SEM DE-PARA"))</f>
        <v/>
      </c>
      <c r="E4013" s="23" t="str">
        <f aca="false">IF(A4013="","",DATE(YEAR(A4013),MONTH(A4013),1))</f>
        <v/>
      </c>
    </row>
    <row r="4014" customFormat="false" ht="15" hidden="false" customHeight="false" outlineLevel="0" collapsed="false">
      <c r="A4014" s="21"/>
      <c r="B4014" s="4"/>
      <c r="C4014" s="22"/>
      <c r="D4014" s="5" t="str">
        <f aca="false">IF(B4014="","",IFERROR(INDEX(DE_PARA!$B$6:$B$205,MATCH(B4014,DE_PARA!$A$6:$A$205,0)),"SEM DE-PARA"))</f>
        <v/>
      </c>
      <c r="E4014" s="23" t="str">
        <f aca="false">IF(A4014="","",DATE(YEAR(A4014),MONTH(A4014),1))</f>
        <v/>
      </c>
    </row>
    <row r="4015" customFormat="false" ht="15" hidden="false" customHeight="false" outlineLevel="0" collapsed="false">
      <c r="A4015" s="21"/>
      <c r="B4015" s="4"/>
      <c r="C4015" s="22"/>
      <c r="D4015" s="5" t="str">
        <f aca="false">IF(B4015="","",IFERROR(INDEX(DE_PARA!$B$6:$B$205,MATCH(B4015,DE_PARA!$A$6:$A$205,0)),"SEM DE-PARA"))</f>
        <v/>
      </c>
      <c r="E4015" s="23" t="str">
        <f aca="false">IF(A4015="","",DATE(YEAR(A4015),MONTH(A4015),1))</f>
        <v/>
      </c>
    </row>
    <row r="4016" customFormat="false" ht="15" hidden="false" customHeight="false" outlineLevel="0" collapsed="false">
      <c r="A4016" s="21"/>
      <c r="B4016" s="4"/>
      <c r="C4016" s="22"/>
      <c r="D4016" s="5" t="str">
        <f aca="false">IF(B4016="","",IFERROR(INDEX(DE_PARA!$B$6:$B$205,MATCH(B4016,DE_PARA!$A$6:$A$205,0)),"SEM DE-PARA"))</f>
        <v/>
      </c>
      <c r="E4016" s="23" t="str">
        <f aca="false">IF(A4016="","",DATE(YEAR(A4016),MONTH(A4016),1))</f>
        <v/>
      </c>
    </row>
    <row r="4017" customFormat="false" ht="15" hidden="false" customHeight="false" outlineLevel="0" collapsed="false">
      <c r="A4017" s="21"/>
      <c r="B4017" s="4"/>
      <c r="C4017" s="22"/>
      <c r="D4017" s="5" t="str">
        <f aca="false">IF(B4017="","",IFERROR(INDEX(DE_PARA!$B$6:$B$205,MATCH(B4017,DE_PARA!$A$6:$A$205,0)),"SEM DE-PARA"))</f>
        <v/>
      </c>
      <c r="E4017" s="23" t="str">
        <f aca="false">IF(A4017="","",DATE(YEAR(A4017),MONTH(A4017),1))</f>
        <v/>
      </c>
    </row>
    <row r="4018" customFormat="false" ht="15" hidden="false" customHeight="false" outlineLevel="0" collapsed="false">
      <c r="A4018" s="21"/>
      <c r="B4018" s="4"/>
      <c r="C4018" s="22"/>
      <c r="D4018" s="5" t="str">
        <f aca="false">IF(B4018="","",IFERROR(INDEX(DE_PARA!$B$6:$B$205,MATCH(B4018,DE_PARA!$A$6:$A$205,0)),"SEM DE-PARA"))</f>
        <v/>
      </c>
      <c r="E4018" s="23" t="str">
        <f aca="false">IF(A4018="","",DATE(YEAR(A4018),MONTH(A4018),1))</f>
        <v/>
      </c>
    </row>
    <row r="4019" customFormat="false" ht="15" hidden="false" customHeight="false" outlineLevel="0" collapsed="false">
      <c r="A4019" s="21"/>
      <c r="B4019" s="4"/>
      <c r="C4019" s="22"/>
      <c r="D4019" s="5" t="str">
        <f aca="false">IF(B4019="","",IFERROR(INDEX(DE_PARA!$B$6:$B$205,MATCH(B4019,DE_PARA!$A$6:$A$205,0)),"SEM DE-PARA"))</f>
        <v/>
      </c>
      <c r="E4019" s="23" t="str">
        <f aca="false">IF(A4019="","",DATE(YEAR(A4019),MONTH(A4019),1))</f>
        <v/>
      </c>
    </row>
    <row r="4020" customFormat="false" ht="15" hidden="false" customHeight="false" outlineLevel="0" collapsed="false">
      <c r="A4020" s="21"/>
      <c r="B4020" s="4"/>
      <c r="C4020" s="22"/>
      <c r="D4020" s="5" t="str">
        <f aca="false">IF(B4020="","",IFERROR(INDEX(DE_PARA!$B$6:$B$205,MATCH(B4020,DE_PARA!$A$6:$A$205,0)),"SEM DE-PARA"))</f>
        <v/>
      </c>
      <c r="E4020" s="23" t="str">
        <f aca="false">IF(A4020="","",DATE(YEAR(A4020),MONTH(A4020),1))</f>
        <v/>
      </c>
    </row>
    <row r="4021" customFormat="false" ht="15" hidden="false" customHeight="false" outlineLevel="0" collapsed="false">
      <c r="A4021" s="21"/>
      <c r="B4021" s="4"/>
      <c r="C4021" s="22"/>
      <c r="D4021" s="5" t="str">
        <f aca="false">IF(B4021="","",IFERROR(INDEX(DE_PARA!$B$6:$B$205,MATCH(B4021,DE_PARA!$A$6:$A$205,0)),"SEM DE-PARA"))</f>
        <v/>
      </c>
      <c r="E4021" s="23" t="str">
        <f aca="false">IF(A4021="","",DATE(YEAR(A4021),MONTH(A4021),1))</f>
        <v/>
      </c>
    </row>
    <row r="4022" customFormat="false" ht="15" hidden="false" customHeight="false" outlineLevel="0" collapsed="false">
      <c r="A4022" s="21"/>
      <c r="B4022" s="4"/>
      <c r="C4022" s="22"/>
      <c r="D4022" s="5" t="str">
        <f aca="false">IF(B4022="","",IFERROR(INDEX(DE_PARA!$B$6:$B$205,MATCH(B4022,DE_PARA!$A$6:$A$205,0)),"SEM DE-PARA"))</f>
        <v/>
      </c>
      <c r="E4022" s="23" t="str">
        <f aca="false">IF(A4022="","",DATE(YEAR(A4022),MONTH(A4022),1))</f>
        <v/>
      </c>
    </row>
    <row r="4023" customFormat="false" ht="15" hidden="false" customHeight="false" outlineLevel="0" collapsed="false">
      <c r="A4023" s="21"/>
      <c r="B4023" s="4"/>
      <c r="C4023" s="22"/>
      <c r="D4023" s="5" t="str">
        <f aca="false">IF(B4023="","",IFERROR(INDEX(DE_PARA!$B$6:$B$205,MATCH(B4023,DE_PARA!$A$6:$A$205,0)),"SEM DE-PARA"))</f>
        <v/>
      </c>
      <c r="E4023" s="23" t="str">
        <f aca="false">IF(A4023="","",DATE(YEAR(A4023),MONTH(A4023),1))</f>
        <v/>
      </c>
    </row>
    <row r="4024" customFormat="false" ht="15" hidden="false" customHeight="false" outlineLevel="0" collapsed="false">
      <c r="A4024" s="21"/>
      <c r="B4024" s="4"/>
      <c r="C4024" s="22"/>
      <c r="D4024" s="5" t="str">
        <f aca="false">IF(B4024="","",IFERROR(INDEX(DE_PARA!$B$6:$B$205,MATCH(B4024,DE_PARA!$A$6:$A$205,0)),"SEM DE-PARA"))</f>
        <v/>
      </c>
      <c r="E4024" s="23" t="str">
        <f aca="false">IF(A4024="","",DATE(YEAR(A4024),MONTH(A4024),1))</f>
        <v/>
      </c>
    </row>
    <row r="4025" customFormat="false" ht="15" hidden="false" customHeight="false" outlineLevel="0" collapsed="false">
      <c r="A4025" s="21"/>
      <c r="B4025" s="4"/>
      <c r="C4025" s="22"/>
      <c r="D4025" s="5" t="str">
        <f aca="false">IF(B4025="","",IFERROR(INDEX(DE_PARA!$B$6:$B$205,MATCH(B4025,DE_PARA!$A$6:$A$205,0)),"SEM DE-PARA"))</f>
        <v/>
      </c>
      <c r="E4025" s="23" t="str">
        <f aca="false">IF(A4025="","",DATE(YEAR(A4025),MONTH(A4025),1))</f>
        <v/>
      </c>
    </row>
    <row r="4026" customFormat="false" ht="15" hidden="false" customHeight="false" outlineLevel="0" collapsed="false">
      <c r="A4026" s="21"/>
      <c r="B4026" s="4"/>
      <c r="C4026" s="22"/>
      <c r="D4026" s="5" t="str">
        <f aca="false">IF(B4026="","",IFERROR(INDEX(DE_PARA!$B$6:$B$205,MATCH(B4026,DE_PARA!$A$6:$A$205,0)),"SEM DE-PARA"))</f>
        <v/>
      </c>
      <c r="E4026" s="23" t="str">
        <f aca="false">IF(A4026="","",DATE(YEAR(A4026),MONTH(A4026),1))</f>
        <v/>
      </c>
    </row>
    <row r="4027" customFormat="false" ht="15" hidden="false" customHeight="false" outlineLevel="0" collapsed="false">
      <c r="A4027" s="21"/>
      <c r="B4027" s="4"/>
      <c r="C4027" s="22"/>
      <c r="D4027" s="5" t="str">
        <f aca="false">IF(B4027="","",IFERROR(INDEX(DE_PARA!$B$6:$B$205,MATCH(B4027,DE_PARA!$A$6:$A$205,0)),"SEM DE-PARA"))</f>
        <v/>
      </c>
      <c r="E4027" s="23" t="str">
        <f aca="false">IF(A4027="","",DATE(YEAR(A4027),MONTH(A4027),1))</f>
        <v/>
      </c>
    </row>
    <row r="4028" customFormat="false" ht="15" hidden="false" customHeight="false" outlineLevel="0" collapsed="false">
      <c r="A4028" s="21"/>
      <c r="B4028" s="4"/>
      <c r="C4028" s="22"/>
      <c r="D4028" s="5" t="str">
        <f aca="false">IF(B4028="","",IFERROR(INDEX(DE_PARA!$B$6:$B$205,MATCH(B4028,DE_PARA!$A$6:$A$205,0)),"SEM DE-PARA"))</f>
        <v/>
      </c>
      <c r="E4028" s="23" t="str">
        <f aca="false">IF(A4028="","",DATE(YEAR(A4028),MONTH(A4028),1))</f>
        <v/>
      </c>
    </row>
    <row r="4029" customFormat="false" ht="15" hidden="false" customHeight="false" outlineLevel="0" collapsed="false">
      <c r="A4029" s="21"/>
      <c r="B4029" s="4"/>
      <c r="C4029" s="22"/>
      <c r="D4029" s="5" t="str">
        <f aca="false">IF(B4029="","",IFERROR(INDEX(DE_PARA!$B$6:$B$205,MATCH(B4029,DE_PARA!$A$6:$A$205,0)),"SEM DE-PARA"))</f>
        <v/>
      </c>
      <c r="E4029" s="23" t="str">
        <f aca="false">IF(A4029="","",DATE(YEAR(A4029),MONTH(A4029),1))</f>
        <v/>
      </c>
    </row>
    <row r="4030" customFormat="false" ht="15" hidden="false" customHeight="false" outlineLevel="0" collapsed="false">
      <c r="A4030" s="21"/>
      <c r="B4030" s="4"/>
      <c r="C4030" s="22"/>
      <c r="D4030" s="5" t="str">
        <f aca="false">IF(B4030="","",IFERROR(INDEX(DE_PARA!$B$6:$B$205,MATCH(B4030,DE_PARA!$A$6:$A$205,0)),"SEM DE-PARA"))</f>
        <v/>
      </c>
      <c r="E4030" s="23" t="str">
        <f aca="false">IF(A4030="","",DATE(YEAR(A4030),MONTH(A4030),1))</f>
        <v/>
      </c>
    </row>
    <row r="4031" customFormat="false" ht="15" hidden="false" customHeight="false" outlineLevel="0" collapsed="false">
      <c r="A4031" s="21"/>
      <c r="B4031" s="4"/>
      <c r="C4031" s="22"/>
      <c r="D4031" s="5" t="str">
        <f aca="false">IF(B4031="","",IFERROR(INDEX(DE_PARA!$B$6:$B$205,MATCH(B4031,DE_PARA!$A$6:$A$205,0)),"SEM DE-PARA"))</f>
        <v/>
      </c>
      <c r="E4031" s="23" t="str">
        <f aca="false">IF(A4031="","",DATE(YEAR(A4031),MONTH(A4031),1))</f>
        <v/>
      </c>
    </row>
    <row r="4032" customFormat="false" ht="15" hidden="false" customHeight="false" outlineLevel="0" collapsed="false">
      <c r="A4032" s="21"/>
      <c r="B4032" s="4"/>
      <c r="C4032" s="22"/>
      <c r="D4032" s="5" t="str">
        <f aca="false">IF(B4032="","",IFERROR(INDEX(DE_PARA!$B$6:$B$205,MATCH(B4032,DE_PARA!$A$6:$A$205,0)),"SEM DE-PARA"))</f>
        <v/>
      </c>
      <c r="E4032" s="23" t="str">
        <f aca="false">IF(A4032="","",DATE(YEAR(A4032),MONTH(A4032),1))</f>
        <v/>
      </c>
    </row>
    <row r="4033" customFormat="false" ht="15" hidden="false" customHeight="false" outlineLevel="0" collapsed="false">
      <c r="A4033" s="21"/>
      <c r="B4033" s="4"/>
      <c r="C4033" s="22"/>
      <c r="D4033" s="5" t="str">
        <f aca="false">IF(B4033="","",IFERROR(INDEX(DE_PARA!$B$6:$B$205,MATCH(B4033,DE_PARA!$A$6:$A$205,0)),"SEM DE-PARA"))</f>
        <v/>
      </c>
      <c r="E4033" s="23" t="str">
        <f aca="false">IF(A4033="","",DATE(YEAR(A4033),MONTH(A4033),1))</f>
        <v/>
      </c>
    </row>
    <row r="4034" customFormat="false" ht="15" hidden="false" customHeight="false" outlineLevel="0" collapsed="false">
      <c r="A4034" s="21"/>
      <c r="B4034" s="4"/>
      <c r="C4034" s="22"/>
      <c r="D4034" s="5" t="str">
        <f aca="false">IF(B4034="","",IFERROR(INDEX(DE_PARA!$B$6:$B$205,MATCH(B4034,DE_PARA!$A$6:$A$205,0)),"SEM DE-PARA"))</f>
        <v/>
      </c>
      <c r="E4034" s="23" t="str">
        <f aca="false">IF(A4034="","",DATE(YEAR(A4034),MONTH(A4034),1))</f>
        <v/>
      </c>
    </row>
    <row r="4035" customFormat="false" ht="15" hidden="false" customHeight="false" outlineLevel="0" collapsed="false">
      <c r="A4035" s="21"/>
      <c r="B4035" s="4"/>
      <c r="C4035" s="22"/>
      <c r="D4035" s="5" t="str">
        <f aca="false">IF(B4035="","",IFERROR(INDEX(DE_PARA!$B$6:$B$205,MATCH(B4035,DE_PARA!$A$6:$A$205,0)),"SEM DE-PARA"))</f>
        <v/>
      </c>
      <c r="E4035" s="23" t="str">
        <f aca="false">IF(A4035="","",DATE(YEAR(A4035),MONTH(A4035),1))</f>
        <v/>
      </c>
    </row>
    <row r="4036" customFormat="false" ht="15" hidden="false" customHeight="false" outlineLevel="0" collapsed="false">
      <c r="A4036" s="21"/>
      <c r="B4036" s="4"/>
      <c r="C4036" s="22"/>
      <c r="D4036" s="5" t="str">
        <f aca="false">IF(B4036="","",IFERROR(INDEX(DE_PARA!$B$6:$B$205,MATCH(B4036,DE_PARA!$A$6:$A$205,0)),"SEM DE-PARA"))</f>
        <v/>
      </c>
      <c r="E4036" s="23" t="str">
        <f aca="false">IF(A4036="","",DATE(YEAR(A4036),MONTH(A4036),1))</f>
        <v/>
      </c>
    </row>
    <row r="4037" customFormat="false" ht="15" hidden="false" customHeight="false" outlineLevel="0" collapsed="false">
      <c r="A4037" s="21"/>
      <c r="B4037" s="4"/>
      <c r="C4037" s="22"/>
      <c r="D4037" s="5" t="str">
        <f aca="false">IF(B4037="","",IFERROR(INDEX(DE_PARA!$B$6:$B$205,MATCH(B4037,DE_PARA!$A$6:$A$205,0)),"SEM DE-PARA"))</f>
        <v/>
      </c>
      <c r="E4037" s="23" t="str">
        <f aca="false">IF(A4037="","",DATE(YEAR(A4037),MONTH(A4037),1))</f>
        <v/>
      </c>
    </row>
    <row r="4038" customFormat="false" ht="15" hidden="false" customHeight="false" outlineLevel="0" collapsed="false">
      <c r="A4038" s="21"/>
      <c r="B4038" s="4"/>
      <c r="C4038" s="22"/>
      <c r="D4038" s="5" t="str">
        <f aca="false">IF(B4038="","",IFERROR(INDEX(DE_PARA!$B$6:$B$205,MATCH(B4038,DE_PARA!$A$6:$A$205,0)),"SEM DE-PARA"))</f>
        <v/>
      </c>
      <c r="E4038" s="23" t="str">
        <f aca="false">IF(A4038="","",DATE(YEAR(A4038),MONTH(A4038),1))</f>
        <v/>
      </c>
    </row>
    <row r="4039" customFormat="false" ht="15" hidden="false" customHeight="false" outlineLevel="0" collapsed="false">
      <c r="A4039" s="21"/>
      <c r="B4039" s="4"/>
      <c r="C4039" s="22"/>
      <c r="D4039" s="5" t="str">
        <f aca="false">IF(B4039="","",IFERROR(INDEX(DE_PARA!$B$6:$B$205,MATCH(B4039,DE_PARA!$A$6:$A$205,0)),"SEM DE-PARA"))</f>
        <v/>
      </c>
      <c r="E4039" s="23" t="str">
        <f aca="false">IF(A4039="","",DATE(YEAR(A4039),MONTH(A4039),1))</f>
        <v/>
      </c>
    </row>
    <row r="4040" customFormat="false" ht="15" hidden="false" customHeight="false" outlineLevel="0" collapsed="false">
      <c r="A4040" s="21"/>
      <c r="B4040" s="4"/>
      <c r="C4040" s="22"/>
      <c r="D4040" s="5" t="str">
        <f aca="false">IF(B4040="","",IFERROR(INDEX(DE_PARA!$B$6:$B$205,MATCH(B4040,DE_PARA!$A$6:$A$205,0)),"SEM DE-PARA"))</f>
        <v/>
      </c>
      <c r="E4040" s="23" t="str">
        <f aca="false">IF(A4040="","",DATE(YEAR(A4040),MONTH(A4040),1))</f>
        <v/>
      </c>
    </row>
    <row r="4041" customFormat="false" ht="15" hidden="false" customHeight="false" outlineLevel="0" collapsed="false">
      <c r="A4041" s="21"/>
      <c r="B4041" s="4"/>
      <c r="C4041" s="22"/>
      <c r="D4041" s="5" t="str">
        <f aca="false">IF(B4041="","",IFERROR(INDEX(DE_PARA!$B$6:$B$205,MATCH(B4041,DE_PARA!$A$6:$A$205,0)),"SEM DE-PARA"))</f>
        <v/>
      </c>
      <c r="E4041" s="23" t="str">
        <f aca="false">IF(A4041="","",DATE(YEAR(A4041),MONTH(A4041),1))</f>
        <v/>
      </c>
    </row>
    <row r="4042" customFormat="false" ht="15" hidden="false" customHeight="false" outlineLevel="0" collapsed="false">
      <c r="A4042" s="21"/>
      <c r="B4042" s="4"/>
      <c r="C4042" s="22"/>
      <c r="D4042" s="5" t="str">
        <f aca="false">IF(B4042="","",IFERROR(INDEX(DE_PARA!$B$6:$B$205,MATCH(B4042,DE_PARA!$A$6:$A$205,0)),"SEM DE-PARA"))</f>
        <v/>
      </c>
      <c r="E4042" s="23" t="str">
        <f aca="false">IF(A4042="","",DATE(YEAR(A4042),MONTH(A4042),1))</f>
        <v/>
      </c>
    </row>
    <row r="4043" customFormat="false" ht="15" hidden="false" customHeight="false" outlineLevel="0" collapsed="false">
      <c r="A4043" s="21"/>
      <c r="B4043" s="4"/>
      <c r="C4043" s="22"/>
      <c r="D4043" s="5" t="str">
        <f aca="false">IF(B4043="","",IFERROR(INDEX(DE_PARA!$B$6:$B$205,MATCH(B4043,DE_PARA!$A$6:$A$205,0)),"SEM DE-PARA"))</f>
        <v/>
      </c>
      <c r="E4043" s="23" t="str">
        <f aca="false">IF(A4043="","",DATE(YEAR(A4043),MONTH(A4043),1))</f>
        <v/>
      </c>
    </row>
    <row r="4044" customFormat="false" ht="15" hidden="false" customHeight="false" outlineLevel="0" collapsed="false">
      <c r="A4044" s="21"/>
      <c r="B4044" s="4"/>
      <c r="C4044" s="22"/>
      <c r="D4044" s="5" t="str">
        <f aca="false">IF(B4044="","",IFERROR(INDEX(DE_PARA!$B$6:$B$205,MATCH(B4044,DE_PARA!$A$6:$A$205,0)),"SEM DE-PARA"))</f>
        <v/>
      </c>
      <c r="E4044" s="23" t="str">
        <f aca="false">IF(A4044="","",DATE(YEAR(A4044),MONTH(A4044),1))</f>
        <v/>
      </c>
    </row>
    <row r="4045" customFormat="false" ht="15" hidden="false" customHeight="false" outlineLevel="0" collapsed="false">
      <c r="A4045" s="21"/>
      <c r="B4045" s="4"/>
      <c r="C4045" s="22"/>
      <c r="D4045" s="5" t="str">
        <f aca="false">IF(B4045="","",IFERROR(INDEX(DE_PARA!$B$6:$B$205,MATCH(B4045,DE_PARA!$A$6:$A$205,0)),"SEM DE-PARA"))</f>
        <v/>
      </c>
      <c r="E4045" s="23" t="str">
        <f aca="false">IF(A4045="","",DATE(YEAR(A4045),MONTH(A4045),1))</f>
        <v/>
      </c>
    </row>
    <row r="4046" customFormat="false" ht="15" hidden="false" customHeight="false" outlineLevel="0" collapsed="false">
      <c r="A4046" s="21"/>
      <c r="B4046" s="4"/>
      <c r="C4046" s="22"/>
      <c r="D4046" s="5" t="str">
        <f aca="false">IF(B4046="","",IFERROR(INDEX(DE_PARA!$B$6:$B$205,MATCH(B4046,DE_PARA!$A$6:$A$205,0)),"SEM DE-PARA"))</f>
        <v/>
      </c>
      <c r="E4046" s="23" t="str">
        <f aca="false">IF(A4046="","",DATE(YEAR(A4046),MONTH(A4046),1))</f>
        <v/>
      </c>
    </row>
    <row r="4047" customFormat="false" ht="15" hidden="false" customHeight="false" outlineLevel="0" collapsed="false">
      <c r="A4047" s="21"/>
      <c r="B4047" s="4"/>
      <c r="C4047" s="22"/>
      <c r="D4047" s="5" t="str">
        <f aca="false">IF(B4047="","",IFERROR(INDEX(DE_PARA!$B$6:$B$205,MATCH(B4047,DE_PARA!$A$6:$A$205,0)),"SEM DE-PARA"))</f>
        <v/>
      </c>
      <c r="E4047" s="23" t="str">
        <f aca="false">IF(A4047="","",DATE(YEAR(A4047),MONTH(A4047),1))</f>
        <v/>
      </c>
    </row>
    <row r="4048" customFormat="false" ht="15" hidden="false" customHeight="false" outlineLevel="0" collapsed="false">
      <c r="A4048" s="21"/>
      <c r="B4048" s="4"/>
      <c r="C4048" s="22"/>
      <c r="D4048" s="5" t="str">
        <f aca="false">IF(B4048="","",IFERROR(INDEX(DE_PARA!$B$6:$B$205,MATCH(B4048,DE_PARA!$A$6:$A$205,0)),"SEM DE-PARA"))</f>
        <v/>
      </c>
      <c r="E4048" s="23" t="str">
        <f aca="false">IF(A4048="","",DATE(YEAR(A4048),MONTH(A4048),1))</f>
        <v/>
      </c>
    </row>
    <row r="4049" customFormat="false" ht="15" hidden="false" customHeight="false" outlineLevel="0" collapsed="false">
      <c r="A4049" s="21"/>
      <c r="B4049" s="4"/>
      <c r="C4049" s="22"/>
      <c r="D4049" s="5" t="str">
        <f aca="false">IF(B4049="","",IFERROR(INDEX(DE_PARA!$B$6:$B$205,MATCH(B4049,DE_PARA!$A$6:$A$205,0)),"SEM DE-PARA"))</f>
        <v/>
      </c>
      <c r="E4049" s="23" t="str">
        <f aca="false">IF(A4049="","",DATE(YEAR(A4049),MONTH(A4049),1))</f>
        <v/>
      </c>
    </row>
    <row r="4050" customFormat="false" ht="15" hidden="false" customHeight="false" outlineLevel="0" collapsed="false">
      <c r="A4050" s="21"/>
      <c r="B4050" s="4"/>
      <c r="C4050" s="22"/>
      <c r="D4050" s="5" t="str">
        <f aca="false">IF(B4050="","",IFERROR(INDEX(DE_PARA!$B$6:$B$205,MATCH(B4050,DE_PARA!$A$6:$A$205,0)),"SEM DE-PARA"))</f>
        <v/>
      </c>
      <c r="E4050" s="23" t="str">
        <f aca="false">IF(A4050="","",DATE(YEAR(A4050),MONTH(A4050),1))</f>
        <v/>
      </c>
    </row>
    <row r="4051" customFormat="false" ht="15" hidden="false" customHeight="false" outlineLevel="0" collapsed="false">
      <c r="A4051" s="21"/>
      <c r="B4051" s="4"/>
      <c r="C4051" s="22"/>
      <c r="D4051" s="5" t="str">
        <f aca="false">IF(B4051="","",IFERROR(INDEX(DE_PARA!$B$6:$B$205,MATCH(B4051,DE_PARA!$A$6:$A$205,0)),"SEM DE-PARA"))</f>
        <v/>
      </c>
      <c r="E4051" s="23" t="str">
        <f aca="false">IF(A4051="","",DATE(YEAR(A4051),MONTH(A4051),1))</f>
        <v/>
      </c>
    </row>
    <row r="4052" customFormat="false" ht="15" hidden="false" customHeight="false" outlineLevel="0" collapsed="false">
      <c r="A4052" s="21"/>
      <c r="B4052" s="4"/>
      <c r="C4052" s="22"/>
      <c r="D4052" s="5" t="str">
        <f aca="false">IF(B4052="","",IFERROR(INDEX(DE_PARA!$B$6:$B$205,MATCH(B4052,DE_PARA!$A$6:$A$205,0)),"SEM DE-PARA"))</f>
        <v/>
      </c>
      <c r="E4052" s="23" t="str">
        <f aca="false">IF(A4052="","",DATE(YEAR(A4052),MONTH(A4052),1))</f>
        <v/>
      </c>
    </row>
    <row r="4053" customFormat="false" ht="15" hidden="false" customHeight="false" outlineLevel="0" collapsed="false">
      <c r="A4053" s="21"/>
      <c r="B4053" s="4"/>
      <c r="C4053" s="22"/>
      <c r="D4053" s="5" t="str">
        <f aca="false">IF(B4053="","",IFERROR(INDEX(DE_PARA!$B$6:$B$205,MATCH(B4053,DE_PARA!$A$6:$A$205,0)),"SEM DE-PARA"))</f>
        <v/>
      </c>
      <c r="E4053" s="23" t="str">
        <f aca="false">IF(A4053="","",DATE(YEAR(A4053),MONTH(A4053),1))</f>
        <v/>
      </c>
    </row>
    <row r="4054" customFormat="false" ht="15" hidden="false" customHeight="false" outlineLevel="0" collapsed="false">
      <c r="A4054" s="21"/>
      <c r="B4054" s="4"/>
      <c r="C4054" s="22"/>
      <c r="D4054" s="5" t="str">
        <f aca="false">IF(B4054="","",IFERROR(INDEX(DE_PARA!$B$6:$B$205,MATCH(B4054,DE_PARA!$A$6:$A$205,0)),"SEM DE-PARA"))</f>
        <v/>
      </c>
      <c r="E4054" s="23" t="str">
        <f aca="false">IF(A4054="","",DATE(YEAR(A4054),MONTH(A4054),1))</f>
        <v/>
      </c>
    </row>
    <row r="4055" customFormat="false" ht="15" hidden="false" customHeight="false" outlineLevel="0" collapsed="false">
      <c r="A4055" s="21"/>
      <c r="B4055" s="4"/>
      <c r="C4055" s="22"/>
      <c r="D4055" s="5" t="str">
        <f aca="false">IF(B4055="","",IFERROR(INDEX(DE_PARA!$B$6:$B$205,MATCH(B4055,DE_PARA!$A$6:$A$205,0)),"SEM DE-PARA"))</f>
        <v/>
      </c>
      <c r="E4055" s="23" t="str">
        <f aca="false">IF(A4055="","",DATE(YEAR(A4055),MONTH(A4055),1))</f>
        <v/>
      </c>
    </row>
    <row r="4056" customFormat="false" ht="15" hidden="false" customHeight="false" outlineLevel="0" collapsed="false">
      <c r="A4056" s="21"/>
      <c r="B4056" s="4"/>
      <c r="C4056" s="22"/>
      <c r="D4056" s="5" t="str">
        <f aca="false">IF(B4056="","",IFERROR(INDEX(DE_PARA!$B$6:$B$205,MATCH(B4056,DE_PARA!$A$6:$A$205,0)),"SEM DE-PARA"))</f>
        <v/>
      </c>
      <c r="E4056" s="23" t="str">
        <f aca="false">IF(A4056="","",DATE(YEAR(A4056),MONTH(A4056),1))</f>
        <v/>
      </c>
    </row>
    <row r="4057" customFormat="false" ht="15" hidden="false" customHeight="false" outlineLevel="0" collapsed="false">
      <c r="A4057" s="21"/>
      <c r="B4057" s="4"/>
      <c r="C4057" s="22"/>
      <c r="D4057" s="5" t="str">
        <f aca="false">IF(B4057="","",IFERROR(INDEX(DE_PARA!$B$6:$B$205,MATCH(B4057,DE_PARA!$A$6:$A$205,0)),"SEM DE-PARA"))</f>
        <v/>
      </c>
      <c r="E4057" s="23" t="str">
        <f aca="false">IF(A4057="","",DATE(YEAR(A4057),MONTH(A4057),1))</f>
        <v/>
      </c>
    </row>
    <row r="4058" customFormat="false" ht="15" hidden="false" customHeight="false" outlineLevel="0" collapsed="false">
      <c r="A4058" s="21"/>
      <c r="B4058" s="4"/>
      <c r="C4058" s="22"/>
      <c r="D4058" s="5" t="str">
        <f aca="false">IF(B4058="","",IFERROR(INDEX(DE_PARA!$B$6:$B$205,MATCH(B4058,DE_PARA!$A$6:$A$205,0)),"SEM DE-PARA"))</f>
        <v/>
      </c>
      <c r="E4058" s="23" t="str">
        <f aca="false">IF(A4058="","",DATE(YEAR(A4058),MONTH(A4058),1))</f>
        <v/>
      </c>
    </row>
    <row r="4059" customFormat="false" ht="15" hidden="false" customHeight="false" outlineLevel="0" collapsed="false">
      <c r="A4059" s="21"/>
      <c r="B4059" s="4"/>
      <c r="C4059" s="22"/>
      <c r="D4059" s="5" t="str">
        <f aca="false">IF(B4059="","",IFERROR(INDEX(DE_PARA!$B$6:$B$205,MATCH(B4059,DE_PARA!$A$6:$A$205,0)),"SEM DE-PARA"))</f>
        <v/>
      </c>
      <c r="E4059" s="23" t="str">
        <f aca="false">IF(A4059="","",DATE(YEAR(A4059),MONTH(A4059),1))</f>
        <v/>
      </c>
    </row>
    <row r="4060" customFormat="false" ht="15" hidden="false" customHeight="false" outlineLevel="0" collapsed="false">
      <c r="A4060" s="21"/>
      <c r="B4060" s="4"/>
      <c r="C4060" s="22"/>
      <c r="D4060" s="5" t="str">
        <f aca="false">IF(B4060="","",IFERROR(INDEX(DE_PARA!$B$6:$B$205,MATCH(B4060,DE_PARA!$A$6:$A$205,0)),"SEM DE-PARA"))</f>
        <v/>
      </c>
      <c r="E4060" s="23" t="str">
        <f aca="false">IF(A4060="","",DATE(YEAR(A4060),MONTH(A4060),1))</f>
        <v/>
      </c>
    </row>
    <row r="4061" customFormat="false" ht="15" hidden="false" customHeight="false" outlineLevel="0" collapsed="false">
      <c r="A4061" s="21"/>
      <c r="B4061" s="4"/>
      <c r="C4061" s="22"/>
      <c r="D4061" s="5" t="str">
        <f aca="false">IF(B4061="","",IFERROR(INDEX(DE_PARA!$B$6:$B$205,MATCH(B4061,DE_PARA!$A$6:$A$205,0)),"SEM DE-PARA"))</f>
        <v/>
      </c>
      <c r="E4061" s="23" t="str">
        <f aca="false">IF(A4061="","",DATE(YEAR(A4061),MONTH(A4061),1))</f>
        <v/>
      </c>
    </row>
    <row r="4062" customFormat="false" ht="15" hidden="false" customHeight="false" outlineLevel="0" collapsed="false">
      <c r="A4062" s="21"/>
      <c r="B4062" s="4"/>
      <c r="C4062" s="22"/>
      <c r="D4062" s="5" t="str">
        <f aca="false">IF(B4062="","",IFERROR(INDEX(DE_PARA!$B$6:$B$205,MATCH(B4062,DE_PARA!$A$6:$A$205,0)),"SEM DE-PARA"))</f>
        <v/>
      </c>
      <c r="E4062" s="23" t="str">
        <f aca="false">IF(A4062="","",DATE(YEAR(A4062),MONTH(A4062),1))</f>
        <v/>
      </c>
    </row>
    <row r="4063" customFormat="false" ht="15" hidden="false" customHeight="false" outlineLevel="0" collapsed="false">
      <c r="A4063" s="21"/>
      <c r="B4063" s="4"/>
      <c r="C4063" s="22"/>
      <c r="D4063" s="5" t="str">
        <f aca="false">IF(B4063="","",IFERROR(INDEX(DE_PARA!$B$6:$B$205,MATCH(B4063,DE_PARA!$A$6:$A$205,0)),"SEM DE-PARA"))</f>
        <v/>
      </c>
      <c r="E4063" s="23" t="str">
        <f aca="false">IF(A4063="","",DATE(YEAR(A4063),MONTH(A4063),1))</f>
        <v/>
      </c>
    </row>
    <row r="4064" customFormat="false" ht="15" hidden="false" customHeight="false" outlineLevel="0" collapsed="false">
      <c r="A4064" s="21"/>
      <c r="B4064" s="4"/>
      <c r="C4064" s="22"/>
      <c r="D4064" s="5" t="str">
        <f aca="false">IF(B4064="","",IFERROR(INDEX(DE_PARA!$B$6:$B$205,MATCH(B4064,DE_PARA!$A$6:$A$205,0)),"SEM DE-PARA"))</f>
        <v/>
      </c>
      <c r="E4064" s="23" t="str">
        <f aca="false">IF(A4064="","",DATE(YEAR(A4064),MONTH(A4064),1))</f>
        <v/>
      </c>
    </row>
    <row r="4065" customFormat="false" ht="15" hidden="false" customHeight="false" outlineLevel="0" collapsed="false">
      <c r="A4065" s="21"/>
      <c r="B4065" s="4"/>
      <c r="C4065" s="22"/>
      <c r="D4065" s="5" t="str">
        <f aca="false">IF(B4065="","",IFERROR(INDEX(DE_PARA!$B$6:$B$205,MATCH(B4065,DE_PARA!$A$6:$A$205,0)),"SEM DE-PARA"))</f>
        <v/>
      </c>
      <c r="E4065" s="23" t="str">
        <f aca="false">IF(A4065="","",DATE(YEAR(A4065),MONTH(A4065),1))</f>
        <v/>
      </c>
    </row>
    <row r="4066" customFormat="false" ht="15" hidden="false" customHeight="false" outlineLevel="0" collapsed="false">
      <c r="A4066" s="21"/>
      <c r="B4066" s="4"/>
      <c r="C4066" s="22"/>
      <c r="D4066" s="5" t="str">
        <f aca="false">IF(B4066="","",IFERROR(INDEX(DE_PARA!$B$6:$B$205,MATCH(B4066,DE_PARA!$A$6:$A$205,0)),"SEM DE-PARA"))</f>
        <v/>
      </c>
      <c r="E4066" s="23" t="str">
        <f aca="false">IF(A4066="","",DATE(YEAR(A4066),MONTH(A4066),1))</f>
        <v/>
      </c>
    </row>
    <row r="4067" customFormat="false" ht="15" hidden="false" customHeight="false" outlineLevel="0" collapsed="false">
      <c r="A4067" s="21"/>
      <c r="B4067" s="4"/>
      <c r="C4067" s="22"/>
      <c r="D4067" s="5" t="str">
        <f aca="false">IF(B4067="","",IFERROR(INDEX(DE_PARA!$B$6:$B$205,MATCH(B4067,DE_PARA!$A$6:$A$205,0)),"SEM DE-PARA"))</f>
        <v/>
      </c>
      <c r="E4067" s="23" t="str">
        <f aca="false">IF(A4067="","",DATE(YEAR(A4067),MONTH(A4067),1))</f>
        <v/>
      </c>
    </row>
    <row r="4068" customFormat="false" ht="15" hidden="false" customHeight="false" outlineLevel="0" collapsed="false">
      <c r="A4068" s="21"/>
      <c r="B4068" s="4"/>
      <c r="C4068" s="22"/>
      <c r="D4068" s="5" t="str">
        <f aca="false">IF(B4068="","",IFERROR(INDEX(DE_PARA!$B$6:$B$205,MATCH(B4068,DE_PARA!$A$6:$A$205,0)),"SEM DE-PARA"))</f>
        <v/>
      </c>
      <c r="E4068" s="23" t="str">
        <f aca="false">IF(A4068="","",DATE(YEAR(A4068),MONTH(A4068),1))</f>
        <v/>
      </c>
    </row>
    <row r="4069" customFormat="false" ht="15" hidden="false" customHeight="false" outlineLevel="0" collapsed="false">
      <c r="A4069" s="21"/>
      <c r="B4069" s="4"/>
      <c r="C4069" s="22"/>
      <c r="D4069" s="5" t="str">
        <f aca="false">IF(B4069="","",IFERROR(INDEX(DE_PARA!$B$6:$B$205,MATCH(B4069,DE_PARA!$A$6:$A$205,0)),"SEM DE-PARA"))</f>
        <v/>
      </c>
      <c r="E4069" s="23" t="str">
        <f aca="false">IF(A4069="","",DATE(YEAR(A4069),MONTH(A4069),1))</f>
        <v/>
      </c>
    </row>
    <row r="4070" customFormat="false" ht="15" hidden="false" customHeight="false" outlineLevel="0" collapsed="false">
      <c r="A4070" s="21"/>
      <c r="B4070" s="4"/>
      <c r="C4070" s="22"/>
      <c r="D4070" s="5" t="str">
        <f aca="false">IF(B4070="","",IFERROR(INDEX(DE_PARA!$B$6:$B$205,MATCH(B4070,DE_PARA!$A$6:$A$205,0)),"SEM DE-PARA"))</f>
        <v/>
      </c>
      <c r="E4070" s="23" t="str">
        <f aca="false">IF(A4070="","",DATE(YEAR(A4070),MONTH(A4070),1))</f>
        <v/>
      </c>
    </row>
    <row r="4071" customFormat="false" ht="15" hidden="false" customHeight="false" outlineLevel="0" collapsed="false">
      <c r="A4071" s="21"/>
      <c r="B4071" s="4"/>
      <c r="C4071" s="22"/>
      <c r="D4071" s="5" t="str">
        <f aca="false">IF(B4071="","",IFERROR(INDEX(DE_PARA!$B$6:$B$205,MATCH(B4071,DE_PARA!$A$6:$A$205,0)),"SEM DE-PARA"))</f>
        <v/>
      </c>
      <c r="E4071" s="23" t="str">
        <f aca="false">IF(A4071="","",DATE(YEAR(A4071),MONTH(A4071),1))</f>
        <v/>
      </c>
    </row>
    <row r="4072" customFormat="false" ht="15" hidden="false" customHeight="false" outlineLevel="0" collapsed="false">
      <c r="A4072" s="21"/>
      <c r="B4072" s="4"/>
      <c r="C4072" s="22"/>
      <c r="D4072" s="5" t="str">
        <f aca="false">IF(B4072="","",IFERROR(INDEX(DE_PARA!$B$6:$B$205,MATCH(B4072,DE_PARA!$A$6:$A$205,0)),"SEM DE-PARA"))</f>
        <v/>
      </c>
      <c r="E4072" s="23" t="str">
        <f aca="false">IF(A4072="","",DATE(YEAR(A4072),MONTH(A4072),1))</f>
        <v/>
      </c>
    </row>
    <row r="4073" customFormat="false" ht="15" hidden="false" customHeight="false" outlineLevel="0" collapsed="false">
      <c r="A4073" s="21"/>
      <c r="B4073" s="4"/>
      <c r="C4073" s="22"/>
      <c r="D4073" s="5" t="str">
        <f aca="false">IF(B4073="","",IFERROR(INDEX(DE_PARA!$B$6:$B$205,MATCH(B4073,DE_PARA!$A$6:$A$205,0)),"SEM DE-PARA"))</f>
        <v/>
      </c>
      <c r="E4073" s="23" t="str">
        <f aca="false">IF(A4073="","",DATE(YEAR(A4073),MONTH(A4073),1))</f>
        <v/>
      </c>
    </row>
    <row r="4074" customFormat="false" ht="15" hidden="false" customHeight="false" outlineLevel="0" collapsed="false">
      <c r="A4074" s="21"/>
      <c r="B4074" s="4"/>
      <c r="C4074" s="22"/>
      <c r="D4074" s="5" t="str">
        <f aca="false">IF(B4074="","",IFERROR(INDEX(DE_PARA!$B$6:$B$205,MATCH(B4074,DE_PARA!$A$6:$A$205,0)),"SEM DE-PARA"))</f>
        <v/>
      </c>
      <c r="E4074" s="23" t="str">
        <f aca="false">IF(A4074="","",DATE(YEAR(A4074),MONTH(A4074),1))</f>
        <v/>
      </c>
    </row>
    <row r="4075" customFormat="false" ht="15" hidden="false" customHeight="false" outlineLevel="0" collapsed="false">
      <c r="A4075" s="21"/>
      <c r="B4075" s="4"/>
      <c r="C4075" s="22"/>
      <c r="D4075" s="5" t="str">
        <f aca="false">IF(B4075="","",IFERROR(INDEX(DE_PARA!$B$6:$B$205,MATCH(B4075,DE_PARA!$A$6:$A$205,0)),"SEM DE-PARA"))</f>
        <v/>
      </c>
      <c r="E4075" s="23" t="str">
        <f aca="false">IF(A4075="","",DATE(YEAR(A4075),MONTH(A4075),1))</f>
        <v/>
      </c>
    </row>
    <row r="4076" customFormat="false" ht="15" hidden="false" customHeight="false" outlineLevel="0" collapsed="false">
      <c r="A4076" s="21"/>
      <c r="B4076" s="4"/>
      <c r="C4076" s="22"/>
      <c r="D4076" s="5" t="str">
        <f aca="false">IF(B4076="","",IFERROR(INDEX(DE_PARA!$B$6:$B$205,MATCH(B4076,DE_PARA!$A$6:$A$205,0)),"SEM DE-PARA"))</f>
        <v/>
      </c>
      <c r="E4076" s="23" t="str">
        <f aca="false">IF(A4076="","",DATE(YEAR(A4076),MONTH(A4076),1))</f>
        <v/>
      </c>
    </row>
    <row r="4077" customFormat="false" ht="15" hidden="false" customHeight="false" outlineLevel="0" collapsed="false">
      <c r="A4077" s="21"/>
      <c r="B4077" s="4"/>
      <c r="C4077" s="22"/>
      <c r="D4077" s="5" t="str">
        <f aca="false">IF(B4077="","",IFERROR(INDEX(DE_PARA!$B$6:$B$205,MATCH(B4077,DE_PARA!$A$6:$A$205,0)),"SEM DE-PARA"))</f>
        <v/>
      </c>
      <c r="E4077" s="23" t="str">
        <f aca="false">IF(A4077="","",DATE(YEAR(A4077),MONTH(A4077),1))</f>
        <v/>
      </c>
    </row>
    <row r="4078" customFormat="false" ht="15" hidden="false" customHeight="false" outlineLevel="0" collapsed="false">
      <c r="A4078" s="21"/>
      <c r="B4078" s="4"/>
      <c r="C4078" s="22"/>
      <c r="D4078" s="5" t="str">
        <f aca="false">IF(B4078="","",IFERROR(INDEX(DE_PARA!$B$6:$B$205,MATCH(B4078,DE_PARA!$A$6:$A$205,0)),"SEM DE-PARA"))</f>
        <v/>
      </c>
      <c r="E4078" s="23" t="str">
        <f aca="false">IF(A4078="","",DATE(YEAR(A4078),MONTH(A4078),1))</f>
        <v/>
      </c>
    </row>
    <row r="4079" customFormat="false" ht="15" hidden="false" customHeight="false" outlineLevel="0" collapsed="false">
      <c r="A4079" s="21"/>
      <c r="B4079" s="4"/>
      <c r="C4079" s="22"/>
      <c r="D4079" s="5" t="str">
        <f aca="false">IF(B4079="","",IFERROR(INDEX(DE_PARA!$B$6:$B$205,MATCH(B4079,DE_PARA!$A$6:$A$205,0)),"SEM DE-PARA"))</f>
        <v/>
      </c>
      <c r="E4079" s="23" t="str">
        <f aca="false">IF(A4079="","",DATE(YEAR(A4079),MONTH(A4079),1))</f>
        <v/>
      </c>
    </row>
    <row r="4080" customFormat="false" ht="15" hidden="false" customHeight="false" outlineLevel="0" collapsed="false">
      <c r="A4080" s="21"/>
      <c r="B4080" s="4"/>
      <c r="C4080" s="22"/>
      <c r="D4080" s="5" t="str">
        <f aca="false">IF(B4080="","",IFERROR(INDEX(DE_PARA!$B$6:$B$205,MATCH(B4080,DE_PARA!$A$6:$A$205,0)),"SEM DE-PARA"))</f>
        <v/>
      </c>
      <c r="E4080" s="23" t="str">
        <f aca="false">IF(A4080="","",DATE(YEAR(A4080),MONTH(A4080),1))</f>
        <v/>
      </c>
    </row>
    <row r="4081" customFormat="false" ht="15" hidden="false" customHeight="false" outlineLevel="0" collapsed="false">
      <c r="A4081" s="21"/>
      <c r="B4081" s="4"/>
      <c r="C4081" s="22"/>
      <c r="D4081" s="5" t="str">
        <f aca="false">IF(B4081="","",IFERROR(INDEX(DE_PARA!$B$6:$B$205,MATCH(B4081,DE_PARA!$A$6:$A$205,0)),"SEM DE-PARA"))</f>
        <v/>
      </c>
      <c r="E4081" s="23" t="str">
        <f aca="false">IF(A4081="","",DATE(YEAR(A4081),MONTH(A4081),1))</f>
        <v/>
      </c>
    </row>
    <row r="4082" customFormat="false" ht="15" hidden="false" customHeight="false" outlineLevel="0" collapsed="false">
      <c r="A4082" s="21"/>
      <c r="B4082" s="4"/>
      <c r="C4082" s="22"/>
      <c r="D4082" s="5" t="str">
        <f aca="false">IF(B4082="","",IFERROR(INDEX(DE_PARA!$B$6:$B$205,MATCH(B4082,DE_PARA!$A$6:$A$205,0)),"SEM DE-PARA"))</f>
        <v/>
      </c>
      <c r="E4082" s="23" t="str">
        <f aca="false">IF(A4082="","",DATE(YEAR(A4082),MONTH(A4082),1))</f>
        <v/>
      </c>
    </row>
    <row r="4083" customFormat="false" ht="15" hidden="false" customHeight="false" outlineLevel="0" collapsed="false">
      <c r="A4083" s="21"/>
      <c r="B4083" s="4"/>
      <c r="C4083" s="22"/>
      <c r="D4083" s="5" t="str">
        <f aca="false">IF(B4083="","",IFERROR(INDEX(DE_PARA!$B$6:$B$205,MATCH(B4083,DE_PARA!$A$6:$A$205,0)),"SEM DE-PARA"))</f>
        <v/>
      </c>
      <c r="E4083" s="23" t="str">
        <f aca="false">IF(A4083="","",DATE(YEAR(A4083),MONTH(A4083),1))</f>
        <v/>
      </c>
    </row>
    <row r="4084" customFormat="false" ht="15" hidden="false" customHeight="false" outlineLevel="0" collapsed="false">
      <c r="A4084" s="21"/>
      <c r="B4084" s="4"/>
      <c r="C4084" s="22"/>
      <c r="D4084" s="5" t="str">
        <f aca="false">IF(B4084="","",IFERROR(INDEX(DE_PARA!$B$6:$B$205,MATCH(B4084,DE_PARA!$A$6:$A$205,0)),"SEM DE-PARA"))</f>
        <v/>
      </c>
      <c r="E4084" s="23" t="str">
        <f aca="false">IF(A4084="","",DATE(YEAR(A4084),MONTH(A4084),1))</f>
        <v/>
      </c>
    </row>
    <row r="4085" customFormat="false" ht="15" hidden="false" customHeight="false" outlineLevel="0" collapsed="false">
      <c r="A4085" s="21"/>
      <c r="B4085" s="4"/>
      <c r="C4085" s="22"/>
      <c r="D4085" s="5" t="str">
        <f aca="false">IF(B4085="","",IFERROR(INDEX(DE_PARA!$B$6:$B$205,MATCH(B4085,DE_PARA!$A$6:$A$205,0)),"SEM DE-PARA"))</f>
        <v/>
      </c>
      <c r="E4085" s="23" t="str">
        <f aca="false">IF(A4085="","",DATE(YEAR(A4085),MONTH(A4085),1))</f>
        <v/>
      </c>
    </row>
    <row r="4086" customFormat="false" ht="15" hidden="false" customHeight="false" outlineLevel="0" collapsed="false">
      <c r="A4086" s="21"/>
      <c r="B4086" s="4"/>
      <c r="C4086" s="22"/>
      <c r="D4086" s="5" t="str">
        <f aca="false">IF(B4086="","",IFERROR(INDEX(DE_PARA!$B$6:$B$205,MATCH(B4086,DE_PARA!$A$6:$A$205,0)),"SEM DE-PARA"))</f>
        <v/>
      </c>
      <c r="E4086" s="23" t="str">
        <f aca="false">IF(A4086="","",DATE(YEAR(A4086),MONTH(A4086),1))</f>
        <v/>
      </c>
    </row>
    <row r="4087" customFormat="false" ht="15" hidden="false" customHeight="false" outlineLevel="0" collapsed="false">
      <c r="A4087" s="21"/>
      <c r="B4087" s="4"/>
      <c r="C4087" s="22"/>
      <c r="D4087" s="5" t="str">
        <f aca="false">IF(B4087="","",IFERROR(INDEX(DE_PARA!$B$6:$B$205,MATCH(B4087,DE_PARA!$A$6:$A$205,0)),"SEM DE-PARA"))</f>
        <v/>
      </c>
      <c r="E4087" s="23" t="str">
        <f aca="false">IF(A4087="","",DATE(YEAR(A4087),MONTH(A4087),1))</f>
        <v/>
      </c>
    </row>
    <row r="4088" customFormat="false" ht="15" hidden="false" customHeight="false" outlineLevel="0" collapsed="false">
      <c r="A4088" s="21"/>
      <c r="B4088" s="4"/>
      <c r="C4088" s="22"/>
      <c r="D4088" s="5" t="str">
        <f aca="false">IF(B4088="","",IFERROR(INDEX(DE_PARA!$B$6:$B$205,MATCH(B4088,DE_PARA!$A$6:$A$205,0)),"SEM DE-PARA"))</f>
        <v/>
      </c>
      <c r="E4088" s="23" t="str">
        <f aca="false">IF(A4088="","",DATE(YEAR(A4088),MONTH(A4088),1))</f>
        <v/>
      </c>
    </row>
    <row r="4089" customFormat="false" ht="15" hidden="false" customHeight="false" outlineLevel="0" collapsed="false">
      <c r="A4089" s="21"/>
      <c r="B4089" s="4"/>
      <c r="C4089" s="22"/>
      <c r="D4089" s="5" t="str">
        <f aca="false">IF(B4089="","",IFERROR(INDEX(DE_PARA!$B$6:$B$205,MATCH(B4089,DE_PARA!$A$6:$A$205,0)),"SEM DE-PARA"))</f>
        <v/>
      </c>
      <c r="E4089" s="23" t="str">
        <f aca="false">IF(A4089="","",DATE(YEAR(A4089),MONTH(A4089),1))</f>
        <v/>
      </c>
    </row>
    <row r="4090" customFormat="false" ht="15" hidden="false" customHeight="false" outlineLevel="0" collapsed="false">
      <c r="A4090" s="21"/>
      <c r="B4090" s="4"/>
      <c r="C4090" s="22"/>
      <c r="D4090" s="5" t="str">
        <f aca="false">IF(B4090="","",IFERROR(INDEX(DE_PARA!$B$6:$B$205,MATCH(B4090,DE_PARA!$A$6:$A$205,0)),"SEM DE-PARA"))</f>
        <v/>
      </c>
      <c r="E4090" s="23" t="str">
        <f aca="false">IF(A4090="","",DATE(YEAR(A4090),MONTH(A4090),1))</f>
        <v/>
      </c>
    </row>
    <row r="4091" customFormat="false" ht="15" hidden="false" customHeight="false" outlineLevel="0" collapsed="false">
      <c r="A4091" s="21"/>
      <c r="B4091" s="4"/>
      <c r="C4091" s="22"/>
      <c r="D4091" s="5" t="str">
        <f aca="false">IF(B4091="","",IFERROR(INDEX(DE_PARA!$B$6:$B$205,MATCH(B4091,DE_PARA!$A$6:$A$205,0)),"SEM DE-PARA"))</f>
        <v/>
      </c>
      <c r="E4091" s="23" t="str">
        <f aca="false">IF(A4091="","",DATE(YEAR(A4091),MONTH(A4091),1))</f>
        <v/>
      </c>
    </row>
    <row r="4092" customFormat="false" ht="15" hidden="false" customHeight="false" outlineLevel="0" collapsed="false">
      <c r="A4092" s="21"/>
      <c r="B4092" s="4"/>
      <c r="C4092" s="22"/>
      <c r="D4092" s="5" t="str">
        <f aca="false">IF(B4092="","",IFERROR(INDEX(DE_PARA!$B$6:$B$205,MATCH(B4092,DE_PARA!$A$6:$A$205,0)),"SEM DE-PARA"))</f>
        <v/>
      </c>
      <c r="E4092" s="23" t="str">
        <f aca="false">IF(A4092="","",DATE(YEAR(A4092),MONTH(A4092),1))</f>
        <v/>
      </c>
    </row>
    <row r="4093" customFormat="false" ht="15" hidden="false" customHeight="false" outlineLevel="0" collapsed="false">
      <c r="A4093" s="21"/>
      <c r="B4093" s="4"/>
      <c r="C4093" s="22"/>
      <c r="D4093" s="5" t="str">
        <f aca="false">IF(B4093="","",IFERROR(INDEX(DE_PARA!$B$6:$B$205,MATCH(B4093,DE_PARA!$A$6:$A$205,0)),"SEM DE-PARA"))</f>
        <v/>
      </c>
      <c r="E4093" s="23" t="str">
        <f aca="false">IF(A4093="","",DATE(YEAR(A4093),MONTH(A4093),1))</f>
        <v/>
      </c>
    </row>
    <row r="4094" customFormat="false" ht="15" hidden="false" customHeight="false" outlineLevel="0" collapsed="false">
      <c r="A4094" s="21"/>
      <c r="B4094" s="4"/>
      <c r="C4094" s="22"/>
      <c r="D4094" s="5" t="str">
        <f aca="false">IF(B4094="","",IFERROR(INDEX(DE_PARA!$B$6:$B$205,MATCH(B4094,DE_PARA!$A$6:$A$205,0)),"SEM DE-PARA"))</f>
        <v/>
      </c>
      <c r="E4094" s="23" t="str">
        <f aca="false">IF(A4094="","",DATE(YEAR(A4094),MONTH(A4094),1))</f>
        <v/>
      </c>
    </row>
    <row r="4095" customFormat="false" ht="15" hidden="false" customHeight="false" outlineLevel="0" collapsed="false">
      <c r="A4095" s="21"/>
      <c r="B4095" s="4"/>
      <c r="C4095" s="22"/>
      <c r="D4095" s="5" t="str">
        <f aca="false">IF(B4095="","",IFERROR(INDEX(DE_PARA!$B$6:$B$205,MATCH(B4095,DE_PARA!$A$6:$A$205,0)),"SEM DE-PARA"))</f>
        <v/>
      </c>
      <c r="E4095" s="23" t="str">
        <f aca="false">IF(A4095="","",DATE(YEAR(A4095),MONTH(A4095),1))</f>
        <v/>
      </c>
    </row>
    <row r="4096" customFormat="false" ht="15" hidden="false" customHeight="false" outlineLevel="0" collapsed="false">
      <c r="A4096" s="21"/>
      <c r="B4096" s="4"/>
      <c r="C4096" s="22"/>
      <c r="D4096" s="5" t="str">
        <f aca="false">IF(B4096="","",IFERROR(INDEX(DE_PARA!$B$6:$B$205,MATCH(B4096,DE_PARA!$A$6:$A$205,0)),"SEM DE-PARA"))</f>
        <v/>
      </c>
      <c r="E4096" s="23" t="str">
        <f aca="false">IF(A4096="","",DATE(YEAR(A4096),MONTH(A4096),1))</f>
        <v/>
      </c>
    </row>
    <row r="4097" customFormat="false" ht="15" hidden="false" customHeight="false" outlineLevel="0" collapsed="false">
      <c r="A4097" s="21"/>
      <c r="B4097" s="4"/>
      <c r="C4097" s="22"/>
      <c r="D4097" s="5" t="str">
        <f aca="false">IF(B4097="","",IFERROR(INDEX(DE_PARA!$B$6:$B$205,MATCH(B4097,DE_PARA!$A$6:$A$205,0)),"SEM DE-PARA"))</f>
        <v/>
      </c>
      <c r="E4097" s="23" t="str">
        <f aca="false">IF(A4097="","",DATE(YEAR(A4097),MONTH(A4097),1))</f>
        <v/>
      </c>
    </row>
    <row r="4098" customFormat="false" ht="15" hidden="false" customHeight="false" outlineLevel="0" collapsed="false">
      <c r="A4098" s="21"/>
      <c r="B4098" s="4"/>
      <c r="C4098" s="22"/>
      <c r="D4098" s="5" t="str">
        <f aca="false">IF(B4098="","",IFERROR(INDEX(DE_PARA!$B$6:$B$205,MATCH(B4098,DE_PARA!$A$6:$A$205,0)),"SEM DE-PARA"))</f>
        <v/>
      </c>
      <c r="E4098" s="23" t="str">
        <f aca="false">IF(A4098="","",DATE(YEAR(A4098),MONTH(A4098),1))</f>
        <v/>
      </c>
    </row>
    <row r="4099" customFormat="false" ht="15" hidden="false" customHeight="false" outlineLevel="0" collapsed="false">
      <c r="A4099" s="21"/>
      <c r="B4099" s="4"/>
      <c r="C4099" s="22"/>
      <c r="D4099" s="5" t="str">
        <f aca="false">IF(B4099="","",IFERROR(INDEX(DE_PARA!$B$6:$B$205,MATCH(B4099,DE_PARA!$A$6:$A$205,0)),"SEM DE-PARA"))</f>
        <v/>
      </c>
      <c r="E4099" s="23" t="str">
        <f aca="false">IF(A4099="","",DATE(YEAR(A4099),MONTH(A4099),1))</f>
        <v/>
      </c>
    </row>
    <row r="4100" customFormat="false" ht="15" hidden="false" customHeight="false" outlineLevel="0" collapsed="false">
      <c r="A4100" s="21"/>
      <c r="B4100" s="4"/>
      <c r="C4100" s="22"/>
      <c r="D4100" s="5" t="str">
        <f aca="false">IF(B4100="","",IFERROR(INDEX(DE_PARA!$B$6:$B$205,MATCH(B4100,DE_PARA!$A$6:$A$205,0)),"SEM DE-PARA"))</f>
        <v/>
      </c>
      <c r="E4100" s="23" t="str">
        <f aca="false">IF(A4100="","",DATE(YEAR(A4100),MONTH(A4100),1))</f>
        <v/>
      </c>
    </row>
    <row r="4101" customFormat="false" ht="15" hidden="false" customHeight="false" outlineLevel="0" collapsed="false">
      <c r="A4101" s="21"/>
      <c r="B4101" s="4"/>
      <c r="C4101" s="22"/>
      <c r="D4101" s="5" t="str">
        <f aca="false">IF(B4101="","",IFERROR(INDEX(DE_PARA!$B$6:$B$205,MATCH(B4101,DE_PARA!$A$6:$A$205,0)),"SEM DE-PARA"))</f>
        <v/>
      </c>
      <c r="E4101" s="23" t="str">
        <f aca="false">IF(A4101="","",DATE(YEAR(A4101),MONTH(A4101),1))</f>
        <v/>
      </c>
    </row>
    <row r="4102" customFormat="false" ht="15" hidden="false" customHeight="false" outlineLevel="0" collapsed="false">
      <c r="A4102" s="21"/>
      <c r="B4102" s="4"/>
      <c r="C4102" s="22"/>
      <c r="D4102" s="5" t="str">
        <f aca="false">IF(B4102="","",IFERROR(INDEX(DE_PARA!$B$6:$B$205,MATCH(B4102,DE_PARA!$A$6:$A$205,0)),"SEM DE-PARA"))</f>
        <v/>
      </c>
      <c r="E4102" s="23" t="str">
        <f aca="false">IF(A4102="","",DATE(YEAR(A4102),MONTH(A4102),1))</f>
        <v/>
      </c>
    </row>
    <row r="4103" customFormat="false" ht="15" hidden="false" customHeight="false" outlineLevel="0" collapsed="false">
      <c r="A4103" s="21"/>
      <c r="B4103" s="4"/>
      <c r="C4103" s="22"/>
      <c r="D4103" s="5" t="str">
        <f aca="false">IF(B4103="","",IFERROR(INDEX(DE_PARA!$B$6:$B$205,MATCH(B4103,DE_PARA!$A$6:$A$205,0)),"SEM DE-PARA"))</f>
        <v/>
      </c>
      <c r="E4103" s="23" t="str">
        <f aca="false">IF(A4103="","",DATE(YEAR(A4103),MONTH(A4103),1))</f>
        <v/>
      </c>
    </row>
    <row r="4104" customFormat="false" ht="15" hidden="false" customHeight="false" outlineLevel="0" collapsed="false">
      <c r="A4104" s="21"/>
      <c r="B4104" s="4"/>
      <c r="C4104" s="22"/>
      <c r="D4104" s="5" t="str">
        <f aca="false">IF(B4104="","",IFERROR(INDEX(DE_PARA!$B$6:$B$205,MATCH(B4104,DE_PARA!$A$6:$A$205,0)),"SEM DE-PARA"))</f>
        <v/>
      </c>
      <c r="E4104" s="23" t="str">
        <f aca="false">IF(A4104="","",DATE(YEAR(A4104),MONTH(A4104),1))</f>
        <v/>
      </c>
    </row>
    <row r="4105" customFormat="false" ht="15" hidden="false" customHeight="false" outlineLevel="0" collapsed="false">
      <c r="A4105" s="21"/>
      <c r="B4105" s="4"/>
      <c r="C4105" s="22"/>
      <c r="D4105" s="5" t="str">
        <f aca="false">IF(B4105="","",IFERROR(INDEX(DE_PARA!$B$6:$B$205,MATCH(B4105,DE_PARA!$A$6:$A$205,0)),"SEM DE-PARA"))</f>
        <v/>
      </c>
      <c r="E4105" s="23" t="str">
        <f aca="false">IF(A4105="","",DATE(YEAR(A4105),MONTH(A4105),1))</f>
        <v/>
      </c>
    </row>
    <row r="4106" customFormat="false" ht="15" hidden="false" customHeight="false" outlineLevel="0" collapsed="false">
      <c r="A4106" s="21"/>
      <c r="B4106" s="4"/>
      <c r="C4106" s="22"/>
      <c r="D4106" s="5" t="str">
        <f aca="false">IF(B4106="","",IFERROR(INDEX(DE_PARA!$B$6:$B$205,MATCH(B4106,DE_PARA!$A$6:$A$205,0)),"SEM DE-PARA"))</f>
        <v/>
      </c>
      <c r="E4106" s="23" t="str">
        <f aca="false">IF(A4106="","",DATE(YEAR(A4106),MONTH(A4106),1))</f>
        <v/>
      </c>
    </row>
    <row r="4107" customFormat="false" ht="15" hidden="false" customHeight="false" outlineLevel="0" collapsed="false">
      <c r="A4107" s="21"/>
      <c r="B4107" s="4"/>
      <c r="C4107" s="22"/>
      <c r="D4107" s="5" t="str">
        <f aca="false">IF(B4107="","",IFERROR(INDEX(DE_PARA!$B$6:$B$205,MATCH(B4107,DE_PARA!$A$6:$A$205,0)),"SEM DE-PARA"))</f>
        <v/>
      </c>
      <c r="E4107" s="23" t="str">
        <f aca="false">IF(A4107="","",DATE(YEAR(A4107),MONTH(A4107),1))</f>
        <v/>
      </c>
    </row>
    <row r="4108" customFormat="false" ht="15" hidden="false" customHeight="false" outlineLevel="0" collapsed="false">
      <c r="A4108" s="21"/>
      <c r="B4108" s="4"/>
      <c r="C4108" s="22"/>
      <c r="D4108" s="5" t="str">
        <f aca="false">IF(B4108="","",IFERROR(INDEX(DE_PARA!$B$6:$B$205,MATCH(B4108,DE_PARA!$A$6:$A$205,0)),"SEM DE-PARA"))</f>
        <v/>
      </c>
      <c r="E4108" s="23" t="str">
        <f aca="false">IF(A4108="","",DATE(YEAR(A4108),MONTH(A4108),1))</f>
        <v/>
      </c>
    </row>
    <row r="4109" customFormat="false" ht="15" hidden="false" customHeight="false" outlineLevel="0" collapsed="false">
      <c r="A4109" s="21"/>
      <c r="B4109" s="4"/>
      <c r="C4109" s="22"/>
      <c r="D4109" s="5" t="str">
        <f aca="false">IF(B4109="","",IFERROR(INDEX(DE_PARA!$B$6:$B$205,MATCH(B4109,DE_PARA!$A$6:$A$205,0)),"SEM DE-PARA"))</f>
        <v/>
      </c>
      <c r="E4109" s="23" t="str">
        <f aca="false">IF(A4109="","",DATE(YEAR(A4109),MONTH(A4109),1))</f>
        <v/>
      </c>
    </row>
    <row r="4110" customFormat="false" ht="15" hidden="false" customHeight="false" outlineLevel="0" collapsed="false">
      <c r="A4110" s="21"/>
      <c r="B4110" s="4"/>
      <c r="C4110" s="22"/>
      <c r="D4110" s="5" t="str">
        <f aca="false">IF(B4110="","",IFERROR(INDEX(DE_PARA!$B$6:$B$205,MATCH(B4110,DE_PARA!$A$6:$A$205,0)),"SEM DE-PARA"))</f>
        <v/>
      </c>
      <c r="E4110" s="23" t="str">
        <f aca="false">IF(A4110="","",DATE(YEAR(A4110),MONTH(A4110),1))</f>
        <v/>
      </c>
    </row>
    <row r="4111" customFormat="false" ht="15" hidden="false" customHeight="false" outlineLevel="0" collapsed="false">
      <c r="A4111" s="21"/>
      <c r="B4111" s="4"/>
      <c r="C4111" s="22"/>
      <c r="D4111" s="5" t="str">
        <f aca="false">IF(B4111="","",IFERROR(INDEX(DE_PARA!$B$6:$B$205,MATCH(B4111,DE_PARA!$A$6:$A$205,0)),"SEM DE-PARA"))</f>
        <v/>
      </c>
      <c r="E4111" s="23" t="str">
        <f aca="false">IF(A4111="","",DATE(YEAR(A4111),MONTH(A4111),1))</f>
        <v/>
      </c>
    </row>
    <row r="4112" customFormat="false" ht="15" hidden="false" customHeight="false" outlineLevel="0" collapsed="false">
      <c r="A4112" s="21"/>
      <c r="B4112" s="4"/>
      <c r="C4112" s="22"/>
      <c r="D4112" s="5" t="str">
        <f aca="false">IF(B4112="","",IFERROR(INDEX(DE_PARA!$B$6:$B$205,MATCH(B4112,DE_PARA!$A$6:$A$205,0)),"SEM DE-PARA"))</f>
        <v/>
      </c>
      <c r="E4112" s="23" t="str">
        <f aca="false">IF(A4112="","",DATE(YEAR(A4112),MONTH(A4112),1))</f>
        <v/>
      </c>
    </row>
    <row r="4113" customFormat="false" ht="15" hidden="false" customHeight="false" outlineLevel="0" collapsed="false">
      <c r="A4113" s="21"/>
      <c r="B4113" s="4"/>
      <c r="C4113" s="22"/>
      <c r="D4113" s="5" t="str">
        <f aca="false">IF(B4113="","",IFERROR(INDEX(DE_PARA!$B$6:$B$205,MATCH(B4113,DE_PARA!$A$6:$A$205,0)),"SEM DE-PARA"))</f>
        <v/>
      </c>
      <c r="E4113" s="23" t="str">
        <f aca="false">IF(A4113="","",DATE(YEAR(A4113),MONTH(A4113),1))</f>
        <v/>
      </c>
    </row>
    <row r="4114" customFormat="false" ht="15" hidden="false" customHeight="false" outlineLevel="0" collapsed="false">
      <c r="A4114" s="21"/>
      <c r="B4114" s="4"/>
      <c r="C4114" s="22"/>
      <c r="D4114" s="5" t="str">
        <f aca="false">IF(B4114="","",IFERROR(INDEX(DE_PARA!$B$6:$B$205,MATCH(B4114,DE_PARA!$A$6:$A$205,0)),"SEM DE-PARA"))</f>
        <v/>
      </c>
      <c r="E4114" s="23" t="str">
        <f aca="false">IF(A4114="","",DATE(YEAR(A4114),MONTH(A4114),1))</f>
        <v/>
      </c>
    </row>
    <row r="4115" customFormat="false" ht="15" hidden="false" customHeight="false" outlineLevel="0" collapsed="false">
      <c r="A4115" s="21"/>
      <c r="B4115" s="4"/>
      <c r="C4115" s="22"/>
      <c r="D4115" s="5" t="str">
        <f aca="false">IF(B4115="","",IFERROR(INDEX(DE_PARA!$B$6:$B$205,MATCH(B4115,DE_PARA!$A$6:$A$205,0)),"SEM DE-PARA"))</f>
        <v/>
      </c>
      <c r="E4115" s="23" t="str">
        <f aca="false">IF(A4115="","",DATE(YEAR(A4115),MONTH(A4115),1))</f>
        <v/>
      </c>
    </row>
    <row r="4116" customFormat="false" ht="15" hidden="false" customHeight="false" outlineLevel="0" collapsed="false">
      <c r="A4116" s="21"/>
      <c r="B4116" s="4"/>
      <c r="C4116" s="22"/>
      <c r="D4116" s="5" t="str">
        <f aca="false">IF(B4116="","",IFERROR(INDEX(DE_PARA!$B$6:$B$205,MATCH(B4116,DE_PARA!$A$6:$A$205,0)),"SEM DE-PARA"))</f>
        <v/>
      </c>
      <c r="E4116" s="23" t="str">
        <f aca="false">IF(A4116="","",DATE(YEAR(A4116),MONTH(A4116),1))</f>
        <v/>
      </c>
    </row>
    <row r="4117" customFormat="false" ht="15" hidden="false" customHeight="false" outlineLevel="0" collapsed="false">
      <c r="A4117" s="21"/>
      <c r="B4117" s="4"/>
      <c r="C4117" s="22"/>
      <c r="D4117" s="5" t="str">
        <f aca="false">IF(B4117="","",IFERROR(INDEX(DE_PARA!$B$6:$B$205,MATCH(B4117,DE_PARA!$A$6:$A$205,0)),"SEM DE-PARA"))</f>
        <v/>
      </c>
      <c r="E4117" s="23" t="str">
        <f aca="false">IF(A4117="","",DATE(YEAR(A4117),MONTH(A4117),1))</f>
        <v/>
      </c>
    </row>
    <row r="4118" customFormat="false" ht="15" hidden="false" customHeight="false" outlineLevel="0" collapsed="false">
      <c r="A4118" s="21"/>
      <c r="B4118" s="4"/>
      <c r="C4118" s="22"/>
      <c r="D4118" s="5" t="str">
        <f aca="false">IF(B4118="","",IFERROR(INDEX(DE_PARA!$B$6:$B$205,MATCH(B4118,DE_PARA!$A$6:$A$205,0)),"SEM DE-PARA"))</f>
        <v/>
      </c>
      <c r="E4118" s="23" t="str">
        <f aca="false">IF(A4118="","",DATE(YEAR(A4118),MONTH(A4118),1))</f>
        <v/>
      </c>
    </row>
    <row r="4119" customFormat="false" ht="15" hidden="false" customHeight="false" outlineLevel="0" collapsed="false">
      <c r="A4119" s="21"/>
      <c r="B4119" s="4"/>
      <c r="C4119" s="22"/>
      <c r="D4119" s="5" t="str">
        <f aca="false">IF(B4119="","",IFERROR(INDEX(DE_PARA!$B$6:$B$205,MATCH(B4119,DE_PARA!$A$6:$A$205,0)),"SEM DE-PARA"))</f>
        <v/>
      </c>
      <c r="E4119" s="23" t="str">
        <f aca="false">IF(A4119="","",DATE(YEAR(A4119),MONTH(A4119),1))</f>
        <v/>
      </c>
    </row>
    <row r="4120" customFormat="false" ht="15" hidden="false" customHeight="false" outlineLevel="0" collapsed="false">
      <c r="A4120" s="21"/>
      <c r="B4120" s="4"/>
      <c r="C4120" s="22"/>
      <c r="D4120" s="5" t="str">
        <f aca="false">IF(B4120="","",IFERROR(INDEX(DE_PARA!$B$6:$B$205,MATCH(B4120,DE_PARA!$A$6:$A$205,0)),"SEM DE-PARA"))</f>
        <v/>
      </c>
      <c r="E4120" s="23" t="str">
        <f aca="false">IF(A4120="","",DATE(YEAR(A4120),MONTH(A4120),1))</f>
        <v/>
      </c>
    </row>
    <row r="4121" customFormat="false" ht="15" hidden="false" customHeight="false" outlineLevel="0" collapsed="false">
      <c r="A4121" s="21"/>
      <c r="B4121" s="4"/>
      <c r="C4121" s="22"/>
      <c r="D4121" s="5" t="str">
        <f aca="false">IF(B4121="","",IFERROR(INDEX(DE_PARA!$B$6:$B$205,MATCH(B4121,DE_PARA!$A$6:$A$205,0)),"SEM DE-PARA"))</f>
        <v/>
      </c>
      <c r="E4121" s="23" t="str">
        <f aca="false">IF(A4121="","",DATE(YEAR(A4121),MONTH(A4121),1))</f>
        <v/>
      </c>
    </row>
    <row r="4122" customFormat="false" ht="15" hidden="false" customHeight="false" outlineLevel="0" collapsed="false">
      <c r="A4122" s="21"/>
      <c r="B4122" s="4"/>
      <c r="C4122" s="22"/>
      <c r="D4122" s="5" t="str">
        <f aca="false">IF(B4122="","",IFERROR(INDEX(DE_PARA!$B$6:$B$205,MATCH(B4122,DE_PARA!$A$6:$A$205,0)),"SEM DE-PARA"))</f>
        <v/>
      </c>
      <c r="E4122" s="23" t="str">
        <f aca="false">IF(A4122="","",DATE(YEAR(A4122),MONTH(A4122),1))</f>
        <v/>
      </c>
    </row>
    <row r="4123" customFormat="false" ht="15" hidden="false" customHeight="false" outlineLevel="0" collapsed="false">
      <c r="A4123" s="21"/>
      <c r="B4123" s="4"/>
      <c r="C4123" s="22"/>
      <c r="D4123" s="5" t="str">
        <f aca="false">IF(B4123="","",IFERROR(INDEX(DE_PARA!$B$6:$B$205,MATCH(B4123,DE_PARA!$A$6:$A$205,0)),"SEM DE-PARA"))</f>
        <v/>
      </c>
      <c r="E4123" s="23" t="str">
        <f aca="false">IF(A4123="","",DATE(YEAR(A4123),MONTH(A4123),1))</f>
        <v/>
      </c>
    </row>
    <row r="4124" customFormat="false" ht="15" hidden="false" customHeight="false" outlineLevel="0" collapsed="false">
      <c r="A4124" s="21"/>
      <c r="B4124" s="4"/>
      <c r="C4124" s="22"/>
      <c r="D4124" s="5" t="str">
        <f aca="false">IF(B4124="","",IFERROR(INDEX(DE_PARA!$B$6:$B$205,MATCH(B4124,DE_PARA!$A$6:$A$205,0)),"SEM DE-PARA"))</f>
        <v/>
      </c>
      <c r="E4124" s="23" t="str">
        <f aca="false">IF(A4124="","",DATE(YEAR(A4124),MONTH(A4124),1))</f>
        <v/>
      </c>
    </row>
    <row r="4125" customFormat="false" ht="15" hidden="false" customHeight="false" outlineLevel="0" collapsed="false">
      <c r="A4125" s="21"/>
      <c r="B4125" s="4"/>
      <c r="C4125" s="22"/>
      <c r="D4125" s="5" t="str">
        <f aca="false">IF(B4125="","",IFERROR(INDEX(DE_PARA!$B$6:$B$205,MATCH(B4125,DE_PARA!$A$6:$A$205,0)),"SEM DE-PARA"))</f>
        <v/>
      </c>
      <c r="E4125" s="23" t="str">
        <f aca="false">IF(A4125="","",DATE(YEAR(A4125),MONTH(A4125),1))</f>
        <v/>
      </c>
    </row>
    <row r="4126" customFormat="false" ht="15" hidden="false" customHeight="false" outlineLevel="0" collapsed="false">
      <c r="A4126" s="21"/>
      <c r="B4126" s="4"/>
      <c r="C4126" s="22"/>
      <c r="D4126" s="5" t="str">
        <f aca="false">IF(B4126="","",IFERROR(INDEX(DE_PARA!$B$6:$B$205,MATCH(B4126,DE_PARA!$A$6:$A$205,0)),"SEM DE-PARA"))</f>
        <v/>
      </c>
      <c r="E4126" s="23" t="str">
        <f aca="false">IF(A4126="","",DATE(YEAR(A4126),MONTH(A4126),1))</f>
        <v/>
      </c>
    </row>
    <row r="4127" customFormat="false" ht="15" hidden="false" customHeight="false" outlineLevel="0" collapsed="false">
      <c r="A4127" s="21"/>
      <c r="B4127" s="4"/>
      <c r="C4127" s="22"/>
      <c r="D4127" s="5" t="str">
        <f aca="false">IF(B4127="","",IFERROR(INDEX(DE_PARA!$B$6:$B$205,MATCH(B4127,DE_PARA!$A$6:$A$205,0)),"SEM DE-PARA"))</f>
        <v/>
      </c>
      <c r="E4127" s="23" t="str">
        <f aca="false">IF(A4127="","",DATE(YEAR(A4127),MONTH(A4127),1))</f>
        <v/>
      </c>
    </row>
    <row r="4128" customFormat="false" ht="15" hidden="false" customHeight="false" outlineLevel="0" collapsed="false">
      <c r="A4128" s="21"/>
      <c r="B4128" s="4"/>
      <c r="C4128" s="22"/>
      <c r="D4128" s="5" t="str">
        <f aca="false">IF(B4128="","",IFERROR(INDEX(DE_PARA!$B$6:$B$205,MATCH(B4128,DE_PARA!$A$6:$A$205,0)),"SEM DE-PARA"))</f>
        <v/>
      </c>
      <c r="E4128" s="23" t="str">
        <f aca="false">IF(A4128="","",DATE(YEAR(A4128),MONTH(A4128),1))</f>
        <v/>
      </c>
    </row>
    <row r="4129" customFormat="false" ht="15" hidden="false" customHeight="false" outlineLevel="0" collapsed="false">
      <c r="A4129" s="21"/>
      <c r="B4129" s="4"/>
      <c r="C4129" s="22"/>
      <c r="D4129" s="5" t="str">
        <f aca="false">IF(B4129="","",IFERROR(INDEX(DE_PARA!$B$6:$B$205,MATCH(B4129,DE_PARA!$A$6:$A$205,0)),"SEM DE-PARA"))</f>
        <v/>
      </c>
      <c r="E4129" s="23" t="str">
        <f aca="false">IF(A4129="","",DATE(YEAR(A4129),MONTH(A4129),1))</f>
        <v/>
      </c>
    </row>
    <row r="4130" customFormat="false" ht="15" hidden="false" customHeight="false" outlineLevel="0" collapsed="false">
      <c r="A4130" s="21"/>
      <c r="B4130" s="4"/>
      <c r="C4130" s="22"/>
      <c r="D4130" s="5" t="str">
        <f aca="false">IF(B4130="","",IFERROR(INDEX(DE_PARA!$B$6:$B$205,MATCH(B4130,DE_PARA!$A$6:$A$205,0)),"SEM DE-PARA"))</f>
        <v/>
      </c>
      <c r="E4130" s="23" t="str">
        <f aca="false">IF(A4130="","",DATE(YEAR(A4130),MONTH(A4130),1))</f>
        <v/>
      </c>
    </row>
    <row r="4131" customFormat="false" ht="15" hidden="false" customHeight="false" outlineLevel="0" collapsed="false">
      <c r="A4131" s="21"/>
      <c r="B4131" s="4"/>
      <c r="C4131" s="22"/>
      <c r="D4131" s="5" t="str">
        <f aca="false">IF(B4131="","",IFERROR(INDEX(DE_PARA!$B$6:$B$205,MATCH(B4131,DE_PARA!$A$6:$A$205,0)),"SEM DE-PARA"))</f>
        <v/>
      </c>
      <c r="E4131" s="23" t="str">
        <f aca="false">IF(A4131="","",DATE(YEAR(A4131),MONTH(A4131),1))</f>
        <v/>
      </c>
    </row>
    <row r="4132" customFormat="false" ht="15" hidden="false" customHeight="false" outlineLevel="0" collapsed="false">
      <c r="A4132" s="21"/>
      <c r="B4132" s="4"/>
      <c r="C4132" s="22"/>
      <c r="D4132" s="5" t="str">
        <f aca="false">IF(B4132="","",IFERROR(INDEX(DE_PARA!$B$6:$B$205,MATCH(B4132,DE_PARA!$A$6:$A$205,0)),"SEM DE-PARA"))</f>
        <v/>
      </c>
      <c r="E4132" s="23" t="str">
        <f aca="false">IF(A4132="","",DATE(YEAR(A4132),MONTH(A4132),1))</f>
        <v/>
      </c>
    </row>
    <row r="4133" customFormat="false" ht="15" hidden="false" customHeight="false" outlineLevel="0" collapsed="false">
      <c r="A4133" s="21"/>
      <c r="B4133" s="4"/>
      <c r="C4133" s="22"/>
      <c r="D4133" s="5" t="str">
        <f aca="false">IF(B4133="","",IFERROR(INDEX(DE_PARA!$B$6:$B$205,MATCH(B4133,DE_PARA!$A$6:$A$205,0)),"SEM DE-PARA"))</f>
        <v/>
      </c>
      <c r="E4133" s="23" t="str">
        <f aca="false">IF(A4133="","",DATE(YEAR(A4133),MONTH(A4133),1))</f>
        <v/>
      </c>
    </row>
    <row r="4134" customFormat="false" ht="15" hidden="false" customHeight="false" outlineLevel="0" collapsed="false">
      <c r="A4134" s="21"/>
      <c r="B4134" s="4"/>
      <c r="C4134" s="22"/>
      <c r="D4134" s="5" t="str">
        <f aca="false">IF(B4134="","",IFERROR(INDEX(DE_PARA!$B$6:$B$205,MATCH(B4134,DE_PARA!$A$6:$A$205,0)),"SEM DE-PARA"))</f>
        <v/>
      </c>
      <c r="E4134" s="23" t="str">
        <f aca="false">IF(A4134="","",DATE(YEAR(A4134),MONTH(A4134),1))</f>
        <v/>
      </c>
    </row>
    <row r="4135" customFormat="false" ht="15" hidden="false" customHeight="false" outlineLevel="0" collapsed="false">
      <c r="A4135" s="21"/>
      <c r="B4135" s="4"/>
      <c r="C4135" s="22"/>
      <c r="D4135" s="5" t="str">
        <f aca="false">IF(B4135="","",IFERROR(INDEX(DE_PARA!$B$6:$B$205,MATCH(B4135,DE_PARA!$A$6:$A$205,0)),"SEM DE-PARA"))</f>
        <v/>
      </c>
      <c r="E4135" s="23" t="str">
        <f aca="false">IF(A4135="","",DATE(YEAR(A4135),MONTH(A4135),1))</f>
        <v/>
      </c>
    </row>
    <row r="4136" customFormat="false" ht="15" hidden="false" customHeight="false" outlineLevel="0" collapsed="false">
      <c r="A4136" s="21"/>
      <c r="B4136" s="4"/>
      <c r="C4136" s="22"/>
      <c r="D4136" s="5" t="str">
        <f aca="false">IF(B4136="","",IFERROR(INDEX(DE_PARA!$B$6:$B$205,MATCH(B4136,DE_PARA!$A$6:$A$205,0)),"SEM DE-PARA"))</f>
        <v/>
      </c>
      <c r="E4136" s="23" t="str">
        <f aca="false">IF(A4136="","",DATE(YEAR(A4136),MONTH(A4136),1))</f>
        <v/>
      </c>
    </row>
    <row r="4137" customFormat="false" ht="15" hidden="false" customHeight="false" outlineLevel="0" collapsed="false">
      <c r="A4137" s="21"/>
      <c r="B4137" s="4"/>
      <c r="C4137" s="22"/>
      <c r="D4137" s="5" t="str">
        <f aca="false">IF(B4137="","",IFERROR(INDEX(DE_PARA!$B$6:$B$205,MATCH(B4137,DE_PARA!$A$6:$A$205,0)),"SEM DE-PARA"))</f>
        <v/>
      </c>
      <c r="E4137" s="23" t="str">
        <f aca="false">IF(A4137="","",DATE(YEAR(A4137),MONTH(A4137),1))</f>
        <v/>
      </c>
    </row>
    <row r="4138" customFormat="false" ht="15" hidden="false" customHeight="false" outlineLevel="0" collapsed="false">
      <c r="A4138" s="21"/>
      <c r="B4138" s="4"/>
      <c r="C4138" s="22"/>
      <c r="D4138" s="5" t="str">
        <f aca="false">IF(B4138="","",IFERROR(INDEX(DE_PARA!$B$6:$B$205,MATCH(B4138,DE_PARA!$A$6:$A$205,0)),"SEM DE-PARA"))</f>
        <v/>
      </c>
      <c r="E4138" s="23" t="str">
        <f aca="false">IF(A4138="","",DATE(YEAR(A4138),MONTH(A4138),1))</f>
        <v/>
      </c>
    </row>
    <row r="4139" customFormat="false" ht="15" hidden="false" customHeight="false" outlineLevel="0" collapsed="false">
      <c r="A4139" s="21"/>
      <c r="B4139" s="4"/>
      <c r="C4139" s="22"/>
      <c r="D4139" s="5" t="str">
        <f aca="false">IF(B4139="","",IFERROR(INDEX(DE_PARA!$B$6:$B$205,MATCH(B4139,DE_PARA!$A$6:$A$205,0)),"SEM DE-PARA"))</f>
        <v/>
      </c>
      <c r="E4139" s="23" t="str">
        <f aca="false">IF(A4139="","",DATE(YEAR(A4139),MONTH(A4139),1))</f>
        <v/>
      </c>
    </row>
    <row r="4140" customFormat="false" ht="15" hidden="false" customHeight="false" outlineLevel="0" collapsed="false">
      <c r="A4140" s="21"/>
      <c r="B4140" s="4"/>
      <c r="C4140" s="22"/>
      <c r="D4140" s="5" t="str">
        <f aca="false">IF(B4140="","",IFERROR(INDEX(DE_PARA!$B$6:$B$205,MATCH(B4140,DE_PARA!$A$6:$A$205,0)),"SEM DE-PARA"))</f>
        <v/>
      </c>
      <c r="E4140" s="23" t="str">
        <f aca="false">IF(A4140="","",DATE(YEAR(A4140),MONTH(A4140),1))</f>
        <v/>
      </c>
    </row>
    <row r="4141" customFormat="false" ht="15" hidden="false" customHeight="false" outlineLevel="0" collapsed="false">
      <c r="A4141" s="21"/>
      <c r="B4141" s="4"/>
      <c r="C4141" s="22"/>
      <c r="D4141" s="5" t="str">
        <f aca="false">IF(B4141="","",IFERROR(INDEX(DE_PARA!$B$6:$B$205,MATCH(B4141,DE_PARA!$A$6:$A$205,0)),"SEM DE-PARA"))</f>
        <v/>
      </c>
      <c r="E4141" s="23" t="str">
        <f aca="false">IF(A4141="","",DATE(YEAR(A4141),MONTH(A4141),1))</f>
        <v/>
      </c>
    </row>
    <row r="4142" customFormat="false" ht="15" hidden="false" customHeight="false" outlineLevel="0" collapsed="false">
      <c r="A4142" s="21"/>
      <c r="B4142" s="4"/>
      <c r="C4142" s="22"/>
      <c r="D4142" s="5" t="str">
        <f aca="false">IF(B4142="","",IFERROR(INDEX(DE_PARA!$B$6:$B$205,MATCH(B4142,DE_PARA!$A$6:$A$205,0)),"SEM DE-PARA"))</f>
        <v/>
      </c>
      <c r="E4142" s="23" t="str">
        <f aca="false">IF(A4142="","",DATE(YEAR(A4142),MONTH(A4142),1))</f>
        <v/>
      </c>
    </row>
    <row r="4143" customFormat="false" ht="15" hidden="false" customHeight="false" outlineLevel="0" collapsed="false">
      <c r="A4143" s="21"/>
      <c r="B4143" s="4"/>
      <c r="C4143" s="22"/>
      <c r="D4143" s="5" t="str">
        <f aca="false">IF(B4143="","",IFERROR(INDEX(DE_PARA!$B$6:$B$205,MATCH(B4143,DE_PARA!$A$6:$A$205,0)),"SEM DE-PARA"))</f>
        <v/>
      </c>
      <c r="E4143" s="23" t="str">
        <f aca="false">IF(A4143="","",DATE(YEAR(A4143),MONTH(A4143),1))</f>
        <v/>
      </c>
    </row>
    <row r="4144" customFormat="false" ht="15" hidden="false" customHeight="false" outlineLevel="0" collapsed="false">
      <c r="A4144" s="21"/>
      <c r="B4144" s="4"/>
      <c r="C4144" s="22"/>
      <c r="D4144" s="5" t="str">
        <f aca="false">IF(B4144="","",IFERROR(INDEX(DE_PARA!$B$6:$B$205,MATCH(B4144,DE_PARA!$A$6:$A$205,0)),"SEM DE-PARA"))</f>
        <v/>
      </c>
      <c r="E4144" s="23" t="str">
        <f aca="false">IF(A4144="","",DATE(YEAR(A4144),MONTH(A4144),1))</f>
        <v/>
      </c>
    </row>
    <row r="4145" customFormat="false" ht="15" hidden="false" customHeight="false" outlineLevel="0" collapsed="false">
      <c r="A4145" s="21"/>
      <c r="B4145" s="4"/>
      <c r="C4145" s="22"/>
      <c r="D4145" s="5" t="str">
        <f aca="false">IF(B4145="","",IFERROR(INDEX(DE_PARA!$B$6:$B$205,MATCH(B4145,DE_PARA!$A$6:$A$205,0)),"SEM DE-PARA"))</f>
        <v/>
      </c>
      <c r="E4145" s="23" t="str">
        <f aca="false">IF(A4145="","",DATE(YEAR(A4145),MONTH(A4145),1))</f>
        <v/>
      </c>
    </row>
    <row r="4146" customFormat="false" ht="15" hidden="false" customHeight="false" outlineLevel="0" collapsed="false">
      <c r="A4146" s="21"/>
      <c r="B4146" s="4"/>
      <c r="C4146" s="22"/>
      <c r="D4146" s="5" t="str">
        <f aca="false">IF(B4146="","",IFERROR(INDEX(DE_PARA!$B$6:$B$205,MATCH(B4146,DE_PARA!$A$6:$A$205,0)),"SEM DE-PARA"))</f>
        <v/>
      </c>
      <c r="E4146" s="23" t="str">
        <f aca="false">IF(A4146="","",DATE(YEAR(A4146),MONTH(A4146),1))</f>
        <v/>
      </c>
    </row>
    <row r="4147" customFormat="false" ht="15" hidden="false" customHeight="false" outlineLevel="0" collapsed="false">
      <c r="A4147" s="21"/>
      <c r="B4147" s="4"/>
      <c r="C4147" s="22"/>
      <c r="D4147" s="5" t="str">
        <f aca="false">IF(B4147="","",IFERROR(INDEX(DE_PARA!$B$6:$B$205,MATCH(B4147,DE_PARA!$A$6:$A$205,0)),"SEM DE-PARA"))</f>
        <v/>
      </c>
      <c r="E4147" s="23" t="str">
        <f aca="false">IF(A4147="","",DATE(YEAR(A4147),MONTH(A4147),1))</f>
        <v/>
      </c>
    </row>
    <row r="4148" customFormat="false" ht="15" hidden="false" customHeight="false" outlineLevel="0" collapsed="false">
      <c r="A4148" s="21"/>
      <c r="B4148" s="4"/>
      <c r="C4148" s="22"/>
      <c r="D4148" s="5" t="str">
        <f aca="false">IF(B4148="","",IFERROR(INDEX(DE_PARA!$B$6:$B$205,MATCH(B4148,DE_PARA!$A$6:$A$205,0)),"SEM DE-PARA"))</f>
        <v/>
      </c>
      <c r="E4148" s="23" t="str">
        <f aca="false">IF(A4148="","",DATE(YEAR(A4148),MONTH(A4148),1))</f>
        <v/>
      </c>
    </row>
    <row r="4149" customFormat="false" ht="15" hidden="false" customHeight="false" outlineLevel="0" collapsed="false">
      <c r="A4149" s="21"/>
      <c r="B4149" s="4"/>
      <c r="C4149" s="22"/>
      <c r="D4149" s="5" t="str">
        <f aca="false">IF(B4149="","",IFERROR(INDEX(DE_PARA!$B$6:$B$205,MATCH(B4149,DE_PARA!$A$6:$A$205,0)),"SEM DE-PARA"))</f>
        <v/>
      </c>
      <c r="E4149" s="23" t="str">
        <f aca="false">IF(A4149="","",DATE(YEAR(A4149),MONTH(A4149),1))</f>
        <v/>
      </c>
    </row>
    <row r="4150" customFormat="false" ht="15" hidden="false" customHeight="false" outlineLevel="0" collapsed="false">
      <c r="A4150" s="21"/>
      <c r="B4150" s="4"/>
      <c r="C4150" s="22"/>
      <c r="D4150" s="5" t="str">
        <f aca="false">IF(B4150="","",IFERROR(INDEX(DE_PARA!$B$6:$B$205,MATCH(B4150,DE_PARA!$A$6:$A$205,0)),"SEM DE-PARA"))</f>
        <v/>
      </c>
      <c r="E4150" s="23" t="str">
        <f aca="false">IF(A4150="","",DATE(YEAR(A4150),MONTH(A4150),1))</f>
        <v/>
      </c>
    </row>
    <row r="4151" customFormat="false" ht="15" hidden="false" customHeight="false" outlineLevel="0" collapsed="false">
      <c r="A4151" s="21"/>
      <c r="B4151" s="4"/>
      <c r="C4151" s="22"/>
      <c r="D4151" s="5" t="str">
        <f aca="false">IF(B4151="","",IFERROR(INDEX(DE_PARA!$B$6:$B$205,MATCH(B4151,DE_PARA!$A$6:$A$205,0)),"SEM DE-PARA"))</f>
        <v/>
      </c>
      <c r="E4151" s="23" t="str">
        <f aca="false">IF(A4151="","",DATE(YEAR(A4151),MONTH(A4151),1))</f>
        <v/>
      </c>
    </row>
    <row r="4152" customFormat="false" ht="15" hidden="false" customHeight="false" outlineLevel="0" collapsed="false">
      <c r="A4152" s="21"/>
      <c r="B4152" s="4"/>
      <c r="C4152" s="22"/>
      <c r="D4152" s="5" t="str">
        <f aca="false">IF(B4152="","",IFERROR(INDEX(DE_PARA!$B$6:$B$205,MATCH(B4152,DE_PARA!$A$6:$A$205,0)),"SEM DE-PARA"))</f>
        <v/>
      </c>
      <c r="E4152" s="23" t="str">
        <f aca="false">IF(A4152="","",DATE(YEAR(A4152),MONTH(A4152),1))</f>
        <v/>
      </c>
    </row>
    <row r="4153" customFormat="false" ht="15" hidden="false" customHeight="false" outlineLevel="0" collapsed="false">
      <c r="A4153" s="21"/>
      <c r="B4153" s="4"/>
      <c r="C4153" s="22"/>
      <c r="D4153" s="5" t="str">
        <f aca="false">IF(B4153="","",IFERROR(INDEX(DE_PARA!$B$6:$B$205,MATCH(B4153,DE_PARA!$A$6:$A$205,0)),"SEM DE-PARA"))</f>
        <v/>
      </c>
      <c r="E4153" s="23" t="str">
        <f aca="false">IF(A4153="","",DATE(YEAR(A4153),MONTH(A4153),1))</f>
        <v/>
      </c>
    </row>
    <row r="4154" customFormat="false" ht="15" hidden="false" customHeight="false" outlineLevel="0" collapsed="false">
      <c r="A4154" s="21"/>
      <c r="B4154" s="4"/>
      <c r="C4154" s="22"/>
      <c r="D4154" s="5" t="str">
        <f aca="false">IF(B4154="","",IFERROR(INDEX(DE_PARA!$B$6:$B$205,MATCH(B4154,DE_PARA!$A$6:$A$205,0)),"SEM DE-PARA"))</f>
        <v/>
      </c>
      <c r="E4154" s="23" t="str">
        <f aca="false">IF(A4154="","",DATE(YEAR(A4154),MONTH(A4154),1))</f>
        <v/>
      </c>
    </row>
    <row r="4155" customFormat="false" ht="15" hidden="false" customHeight="false" outlineLevel="0" collapsed="false">
      <c r="A4155" s="21"/>
      <c r="B4155" s="4"/>
      <c r="C4155" s="22"/>
      <c r="D4155" s="5" t="str">
        <f aca="false">IF(B4155="","",IFERROR(INDEX(DE_PARA!$B$6:$B$205,MATCH(B4155,DE_PARA!$A$6:$A$205,0)),"SEM DE-PARA"))</f>
        <v/>
      </c>
      <c r="E4155" s="23" t="str">
        <f aca="false">IF(A4155="","",DATE(YEAR(A4155),MONTH(A4155),1))</f>
        <v/>
      </c>
    </row>
    <row r="4156" customFormat="false" ht="15" hidden="false" customHeight="false" outlineLevel="0" collapsed="false">
      <c r="A4156" s="21"/>
      <c r="B4156" s="4"/>
      <c r="C4156" s="22"/>
      <c r="D4156" s="5" t="str">
        <f aca="false">IF(B4156="","",IFERROR(INDEX(DE_PARA!$B$6:$B$205,MATCH(B4156,DE_PARA!$A$6:$A$205,0)),"SEM DE-PARA"))</f>
        <v/>
      </c>
      <c r="E4156" s="23" t="str">
        <f aca="false">IF(A4156="","",DATE(YEAR(A4156),MONTH(A4156),1))</f>
        <v/>
      </c>
    </row>
    <row r="4157" customFormat="false" ht="15" hidden="false" customHeight="false" outlineLevel="0" collapsed="false">
      <c r="A4157" s="21"/>
      <c r="B4157" s="4"/>
      <c r="C4157" s="22"/>
      <c r="D4157" s="5" t="str">
        <f aca="false">IF(B4157="","",IFERROR(INDEX(DE_PARA!$B$6:$B$205,MATCH(B4157,DE_PARA!$A$6:$A$205,0)),"SEM DE-PARA"))</f>
        <v/>
      </c>
      <c r="E4157" s="23" t="str">
        <f aca="false">IF(A4157="","",DATE(YEAR(A4157),MONTH(A4157),1))</f>
        <v/>
      </c>
    </row>
    <row r="4158" customFormat="false" ht="15" hidden="false" customHeight="false" outlineLevel="0" collapsed="false">
      <c r="A4158" s="21"/>
      <c r="B4158" s="4"/>
      <c r="C4158" s="22"/>
      <c r="D4158" s="5" t="str">
        <f aca="false">IF(B4158="","",IFERROR(INDEX(DE_PARA!$B$6:$B$205,MATCH(B4158,DE_PARA!$A$6:$A$205,0)),"SEM DE-PARA"))</f>
        <v/>
      </c>
      <c r="E4158" s="23" t="str">
        <f aca="false">IF(A4158="","",DATE(YEAR(A4158),MONTH(A4158),1))</f>
        <v/>
      </c>
    </row>
    <row r="4159" customFormat="false" ht="15" hidden="false" customHeight="false" outlineLevel="0" collapsed="false">
      <c r="A4159" s="21"/>
      <c r="B4159" s="4"/>
      <c r="C4159" s="22"/>
      <c r="D4159" s="5" t="str">
        <f aca="false">IF(B4159="","",IFERROR(INDEX(DE_PARA!$B$6:$B$205,MATCH(B4159,DE_PARA!$A$6:$A$205,0)),"SEM DE-PARA"))</f>
        <v/>
      </c>
      <c r="E4159" s="23" t="str">
        <f aca="false">IF(A4159="","",DATE(YEAR(A4159),MONTH(A4159),1))</f>
        <v/>
      </c>
    </row>
    <row r="4160" customFormat="false" ht="15" hidden="false" customHeight="false" outlineLevel="0" collapsed="false">
      <c r="A4160" s="21"/>
      <c r="B4160" s="4"/>
      <c r="C4160" s="22"/>
      <c r="D4160" s="5" t="str">
        <f aca="false">IF(B4160="","",IFERROR(INDEX(DE_PARA!$B$6:$B$205,MATCH(B4160,DE_PARA!$A$6:$A$205,0)),"SEM DE-PARA"))</f>
        <v/>
      </c>
      <c r="E4160" s="23" t="str">
        <f aca="false">IF(A4160="","",DATE(YEAR(A4160),MONTH(A4160),1))</f>
        <v/>
      </c>
    </row>
    <row r="4161" customFormat="false" ht="15" hidden="false" customHeight="false" outlineLevel="0" collapsed="false">
      <c r="A4161" s="21"/>
      <c r="B4161" s="4"/>
      <c r="C4161" s="22"/>
      <c r="D4161" s="5" t="str">
        <f aca="false">IF(B4161="","",IFERROR(INDEX(DE_PARA!$B$6:$B$205,MATCH(B4161,DE_PARA!$A$6:$A$205,0)),"SEM DE-PARA"))</f>
        <v/>
      </c>
      <c r="E4161" s="23" t="str">
        <f aca="false">IF(A4161="","",DATE(YEAR(A4161),MONTH(A4161),1))</f>
        <v/>
      </c>
    </row>
    <row r="4162" customFormat="false" ht="15" hidden="false" customHeight="false" outlineLevel="0" collapsed="false">
      <c r="A4162" s="21"/>
      <c r="B4162" s="4"/>
      <c r="C4162" s="22"/>
      <c r="D4162" s="5" t="str">
        <f aca="false">IF(B4162="","",IFERROR(INDEX(DE_PARA!$B$6:$B$205,MATCH(B4162,DE_PARA!$A$6:$A$205,0)),"SEM DE-PARA"))</f>
        <v/>
      </c>
      <c r="E4162" s="23" t="str">
        <f aca="false">IF(A4162="","",DATE(YEAR(A4162),MONTH(A4162),1))</f>
        <v/>
      </c>
    </row>
    <row r="4163" customFormat="false" ht="15" hidden="false" customHeight="false" outlineLevel="0" collapsed="false">
      <c r="A4163" s="21"/>
      <c r="B4163" s="4"/>
      <c r="C4163" s="22"/>
      <c r="D4163" s="5" t="str">
        <f aca="false">IF(B4163="","",IFERROR(INDEX(DE_PARA!$B$6:$B$205,MATCH(B4163,DE_PARA!$A$6:$A$205,0)),"SEM DE-PARA"))</f>
        <v/>
      </c>
      <c r="E4163" s="23" t="str">
        <f aca="false">IF(A4163="","",DATE(YEAR(A4163),MONTH(A4163),1))</f>
        <v/>
      </c>
    </row>
    <row r="4164" customFormat="false" ht="15" hidden="false" customHeight="false" outlineLevel="0" collapsed="false">
      <c r="A4164" s="21"/>
      <c r="B4164" s="4"/>
      <c r="C4164" s="22"/>
      <c r="D4164" s="5" t="str">
        <f aca="false">IF(B4164="","",IFERROR(INDEX(DE_PARA!$B$6:$B$205,MATCH(B4164,DE_PARA!$A$6:$A$205,0)),"SEM DE-PARA"))</f>
        <v/>
      </c>
      <c r="E4164" s="23" t="str">
        <f aca="false">IF(A4164="","",DATE(YEAR(A4164),MONTH(A4164),1))</f>
        <v/>
      </c>
    </row>
    <row r="4165" customFormat="false" ht="15" hidden="false" customHeight="false" outlineLevel="0" collapsed="false">
      <c r="A4165" s="21"/>
      <c r="B4165" s="4"/>
      <c r="C4165" s="22"/>
      <c r="D4165" s="5" t="str">
        <f aca="false">IF(B4165="","",IFERROR(INDEX(DE_PARA!$B$6:$B$205,MATCH(B4165,DE_PARA!$A$6:$A$205,0)),"SEM DE-PARA"))</f>
        <v/>
      </c>
      <c r="E4165" s="23" t="str">
        <f aca="false">IF(A4165="","",DATE(YEAR(A4165),MONTH(A4165),1))</f>
        <v/>
      </c>
    </row>
    <row r="4166" customFormat="false" ht="15" hidden="false" customHeight="false" outlineLevel="0" collapsed="false">
      <c r="A4166" s="21"/>
      <c r="B4166" s="4"/>
      <c r="C4166" s="22"/>
      <c r="D4166" s="5" t="str">
        <f aca="false">IF(B4166="","",IFERROR(INDEX(DE_PARA!$B$6:$B$205,MATCH(B4166,DE_PARA!$A$6:$A$205,0)),"SEM DE-PARA"))</f>
        <v/>
      </c>
      <c r="E4166" s="23" t="str">
        <f aca="false">IF(A4166="","",DATE(YEAR(A4166),MONTH(A4166),1))</f>
        <v/>
      </c>
    </row>
    <row r="4167" customFormat="false" ht="15" hidden="false" customHeight="false" outlineLevel="0" collapsed="false">
      <c r="A4167" s="21"/>
      <c r="B4167" s="4"/>
      <c r="C4167" s="22"/>
      <c r="D4167" s="5" t="str">
        <f aca="false">IF(B4167="","",IFERROR(INDEX(DE_PARA!$B$6:$B$205,MATCH(B4167,DE_PARA!$A$6:$A$205,0)),"SEM DE-PARA"))</f>
        <v/>
      </c>
      <c r="E4167" s="23" t="str">
        <f aca="false">IF(A4167="","",DATE(YEAR(A4167),MONTH(A4167),1))</f>
        <v/>
      </c>
    </row>
    <row r="4168" customFormat="false" ht="15" hidden="false" customHeight="false" outlineLevel="0" collapsed="false">
      <c r="A4168" s="21"/>
      <c r="B4168" s="4"/>
      <c r="C4168" s="22"/>
      <c r="D4168" s="5" t="str">
        <f aca="false">IF(B4168="","",IFERROR(INDEX(DE_PARA!$B$6:$B$205,MATCH(B4168,DE_PARA!$A$6:$A$205,0)),"SEM DE-PARA"))</f>
        <v/>
      </c>
      <c r="E4168" s="23" t="str">
        <f aca="false">IF(A4168="","",DATE(YEAR(A4168),MONTH(A4168),1))</f>
        <v/>
      </c>
    </row>
    <row r="4169" customFormat="false" ht="15" hidden="false" customHeight="false" outlineLevel="0" collapsed="false">
      <c r="A4169" s="21"/>
      <c r="B4169" s="4"/>
      <c r="C4169" s="22"/>
      <c r="D4169" s="5" t="str">
        <f aca="false">IF(B4169="","",IFERROR(INDEX(DE_PARA!$B$6:$B$205,MATCH(B4169,DE_PARA!$A$6:$A$205,0)),"SEM DE-PARA"))</f>
        <v/>
      </c>
      <c r="E4169" s="23" t="str">
        <f aca="false">IF(A4169="","",DATE(YEAR(A4169),MONTH(A4169),1))</f>
        <v/>
      </c>
    </row>
    <row r="4170" customFormat="false" ht="15" hidden="false" customHeight="false" outlineLevel="0" collapsed="false">
      <c r="A4170" s="21"/>
      <c r="B4170" s="4"/>
      <c r="C4170" s="22"/>
      <c r="D4170" s="5" t="str">
        <f aca="false">IF(B4170="","",IFERROR(INDEX(DE_PARA!$B$6:$B$205,MATCH(B4170,DE_PARA!$A$6:$A$205,0)),"SEM DE-PARA"))</f>
        <v/>
      </c>
      <c r="E4170" s="23" t="str">
        <f aca="false">IF(A4170="","",DATE(YEAR(A4170),MONTH(A4170),1))</f>
        <v/>
      </c>
    </row>
    <row r="4171" customFormat="false" ht="15" hidden="false" customHeight="false" outlineLevel="0" collapsed="false">
      <c r="A4171" s="21"/>
      <c r="B4171" s="4"/>
      <c r="C4171" s="22"/>
      <c r="D4171" s="5" t="str">
        <f aca="false">IF(B4171="","",IFERROR(INDEX(DE_PARA!$B$6:$B$205,MATCH(B4171,DE_PARA!$A$6:$A$205,0)),"SEM DE-PARA"))</f>
        <v/>
      </c>
      <c r="E4171" s="23" t="str">
        <f aca="false">IF(A4171="","",DATE(YEAR(A4171),MONTH(A4171),1))</f>
        <v/>
      </c>
    </row>
    <row r="4172" customFormat="false" ht="15" hidden="false" customHeight="false" outlineLevel="0" collapsed="false">
      <c r="A4172" s="21"/>
      <c r="B4172" s="4"/>
      <c r="C4172" s="22"/>
      <c r="D4172" s="5" t="str">
        <f aca="false">IF(B4172="","",IFERROR(INDEX(DE_PARA!$B$6:$B$205,MATCH(B4172,DE_PARA!$A$6:$A$205,0)),"SEM DE-PARA"))</f>
        <v/>
      </c>
      <c r="E4172" s="23" t="str">
        <f aca="false">IF(A4172="","",DATE(YEAR(A4172),MONTH(A4172),1))</f>
        <v/>
      </c>
    </row>
    <row r="4173" customFormat="false" ht="15" hidden="false" customHeight="false" outlineLevel="0" collapsed="false">
      <c r="A4173" s="21"/>
      <c r="B4173" s="4"/>
      <c r="C4173" s="22"/>
      <c r="D4173" s="5" t="str">
        <f aca="false">IF(B4173="","",IFERROR(INDEX(DE_PARA!$B$6:$B$205,MATCH(B4173,DE_PARA!$A$6:$A$205,0)),"SEM DE-PARA"))</f>
        <v/>
      </c>
      <c r="E4173" s="23" t="str">
        <f aca="false">IF(A4173="","",DATE(YEAR(A4173),MONTH(A4173),1))</f>
        <v/>
      </c>
    </row>
    <row r="4174" customFormat="false" ht="15" hidden="false" customHeight="false" outlineLevel="0" collapsed="false">
      <c r="A4174" s="21"/>
      <c r="B4174" s="4"/>
      <c r="C4174" s="22"/>
      <c r="D4174" s="5" t="str">
        <f aca="false">IF(B4174="","",IFERROR(INDEX(DE_PARA!$B$6:$B$205,MATCH(B4174,DE_PARA!$A$6:$A$205,0)),"SEM DE-PARA"))</f>
        <v/>
      </c>
      <c r="E4174" s="23" t="str">
        <f aca="false">IF(A4174="","",DATE(YEAR(A4174),MONTH(A4174),1))</f>
        <v/>
      </c>
    </row>
    <row r="4175" customFormat="false" ht="15" hidden="false" customHeight="false" outlineLevel="0" collapsed="false">
      <c r="A4175" s="21"/>
      <c r="B4175" s="4"/>
      <c r="C4175" s="22"/>
      <c r="D4175" s="5" t="str">
        <f aca="false">IF(B4175="","",IFERROR(INDEX(DE_PARA!$B$6:$B$205,MATCH(B4175,DE_PARA!$A$6:$A$205,0)),"SEM DE-PARA"))</f>
        <v/>
      </c>
      <c r="E4175" s="23" t="str">
        <f aca="false">IF(A4175="","",DATE(YEAR(A4175),MONTH(A4175),1))</f>
        <v/>
      </c>
    </row>
    <row r="4176" customFormat="false" ht="15" hidden="false" customHeight="false" outlineLevel="0" collapsed="false">
      <c r="A4176" s="21"/>
      <c r="B4176" s="4"/>
      <c r="C4176" s="22"/>
      <c r="D4176" s="5" t="str">
        <f aca="false">IF(B4176="","",IFERROR(INDEX(DE_PARA!$B$6:$B$205,MATCH(B4176,DE_PARA!$A$6:$A$205,0)),"SEM DE-PARA"))</f>
        <v/>
      </c>
      <c r="E4176" s="23" t="str">
        <f aca="false">IF(A4176="","",DATE(YEAR(A4176),MONTH(A4176),1))</f>
        <v/>
      </c>
    </row>
    <row r="4177" customFormat="false" ht="15" hidden="false" customHeight="false" outlineLevel="0" collapsed="false">
      <c r="A4177" s="21"/>
      <c r="B4177" s="4"/>
      <c r="C4177" s="22"/>
      <c r="D4177" s="5" t="str">
        <f aca="false">IF(B4177="","",IFERROR(INDEX(DE_PARA!$B$6:$B$205,MATCH(B4177,DE_PARA!$A$6:$A$205,0)),"SEM DE-PARA"))</f>
        <v/>
      </c>
      <c r="E4177" s="23" t="str">
        <f aca="false">IF(A4177="","",DATE(YEAR(A4177),MONTH(A4177),1))</f>
        <v/>
      </c>
    </row>
    <row r="4178" customFormat="false" ht="15" hidden="false" customHeight="false" outlineLevel="0" collapsed="false">
      <c r="A4178" s="21"/>
      <c r="B4178" s="4"/>
      <c r="C4178" s="22"/>
      <c r="D4178" s="5" t="str">
        <f aca="false">IF(B4178="","",IFERROR(INDEX(DE_PARA!$B$6:$B$205,MATCH(B4178,DE_PARA!$A$6:$A$205,0)),"SEM DE-PARA"))</f>
        <v/>
      </c>
      <c r="E4178" s="23" t="str">
        <f aca="false">IF(A4178="","",DATE(YEAR(A4178),MONTH(A4178),1))</f>
        <v/>
      </c>
    </row>
    <row r="4179" customFormat="false" ht="15" hidden="false" customHeight="false" outlineLevel="0" collapsed="false">
      <c r="A4179" s="21"/>
      <c r="B4179" s="4"/>
      <c r="C4179" s="22"/>
      <c r="D4179" s="5" t="str">
        <f aca="false">IF(B4179="","",IFERROR(INDEX(DE_PARA!$B$6:$B$205,MATCH(B4179,DE_PARA!$A$6:$A$205,0)),"SEM DE-PARA"))</f>
        <v/>
      </c>
      <c r="E4179" s="23" t="str">
        <f aca="false">IF(A4179="","",DATE(YEAR(A4179),MONTH(A4179),1))</f>
        <v/>
      </c>
    </row>
    <row r="4180" customFormat="false" ht="15" hidden="false" customHeight="false" outlineLevel="0" collapsed="false">
      <c r="A4180" s="21"/>
      <c r="B4180" s="4"/>
      <c r="C4180" s="22"/>
      <c r="D4180" s="5" t="str">
        <f aca="false">IF(B4180="","",IFERROR(INDEX(DE_PARA!$B$6:$B$205,MATCH(B4180,DE_PARA!$A$6:$A$205,0)),"SEM DE-PARA"))</f>
        <v/>
      </c>
      <c r="E4180" s="23" t="str">
        <f aca="false">IF(A4180="","",DATE(YEAR(A4180),MONTH(A4180),1))</f>
        <v/>
      </c>
    </row>
    <row r="4181" customFormat="false" ht="15" hidden="false" customHeight="false" outlineLevel="0" collapsed="false">
      <c r="A4181" s="21"/>
      <c r="B4181" s="4"/>
      <c r="C4181" s="22"/>
      <c r="D4181" s="5" t="str">
        <f aca="false">IF(B4181="","",IFERROR(INDEX(DE_PARA!$B$6:$B$205,MATCH(B4181,DE_PARA!$A$6:$A$205,0)),"SEM DE-PARA"))</f>
        <v/>
      </c>
      <c r="E4181" s="23" t="str">
        <f aca="false">IF(A4181="","",DATE(YEAR(A4181),MONTH(A4181),1))</f>
        <v/>
      </c>
    </row>
    <row r="4182" customFormat="false" ht="15" hidden="false" customHeight="false" outlineLevel="0" collapsed="false">
      <c r="A4182" s="21"/>
      <c r="B4182" s="4"/>
      <c r="C4182" s="22"/>
      <c r="D4182" s="5" t="str">
        <f aca="false">IF(B4182="","",IFERROR(INDEX(DE_PARA!$B$6:$B$205,MATCH(B4182,DE_PARA!$A$6:$A$205,0)),"SEM DE-PARA"))</f>
        <v/>
      </c>
      <c r="E4182" s="23" t="str">
        <f aca="false">IF(A4182="","",DATE(YEAR(A4182),MONTH(A4182),1))</f>
        <v/>
      </c>
    </row>
    <row r="4183" customFormat="false" ht="15" hidden="false" customHeight="false" outlineLevel="0" collapsed="false">
      <c r="A4183" s="21"/>
      <c r="B4183" s="4"/>
      <c r="C4183" s="22"/>
      <c r="D4183" s="5" t="str">
        <f aca="false">IF(B4183="","",IFERROR(INDEX(DE_PARA!$B$6:$B$205,MATCH(B4183,DE_PARA!$A$6:$A$205,0)),"SEM DE-PARA"))</f>
        <v/>
      </c>
      <c r="E4183" s="23" t="str">
        <f aca="false">IF(A4183="","",DATE(YEAR(A4183),MONTH(A4183),1))</f>
        <v/>
      </c>
    </row>
    <row r="4184" customFormat="false" ht="15" hidden="false" customHeight="false" outlineLevel="0" collapsed="false">
      <c r="A4184" s="21"/>
      <c r="B4184" s="4"/>
      <c r="C4184" s="22"/>
      <c r="D4184" s="5" t="str">
        <f aca="false">IF(B4184="","",IFERROR(INDEX(DE_PARA!$B$6:$B$205,MATCH(B4184,DE_PARA!$A$6:$A$205,0)),"SEM DE-PARA"))</f>
        <v/>
      </c>
      <c r="E4184" s="23" t="str">
        <f aca="false">IF(A4184="","",DATE(YEAR(A4184),MONTH(A4184),1))</f>
        <v/>
      </c>
    </row>
    <row r="4185" customFormat="false" ht="15" hidden="false" customHeight="false" outlineLevel="0" collapsed="false">
      <c r="A4185" s="21"/>
      <c r="B4185" s="4"/>
      <c r="C4185" s="22"/>
      <c r="D4185" s="5" t="str">
        <f aca="false">IF(B4185="","",IFERROR(INDEX(DE_PARA!$B$6:$B$205,MATCH(B4185,DE_PARA!$A$6:$A$205,0)),"SEM DE-PARA"))</f>
        <v/>
      </c>
      <c r="E4185" s="23" t="str">
        <f aca="false">IF(A4185="","",DATE(YEAR(A4185),MONTH(A4185),1))</f>
        <v/>
      </c>
    </row>
    <row r="4186" customFormat="false" ht="15" hidden="false" customHeight="false" outlineLevel="0" collapsed="false">
      <c r="A4186" s="21"/>
      <c r="B4186" s="4"/>
      <c r="C4186" s="22"/>
      <c r="D4186" s="5" t="str">
        <f aca="false">IF(B4186="","",IFERROR(INDEX(DE_PARA!$B$6:$B$205,MATCH(B4186,DE_PARA!$A$6:$A$205,0)),"SEM DE-PARA"))</f>
        <v/>
      </c>
      <c r="E4186" s="23" t="str">
        <f aca="false">IF(A4186="","",DATE(YEAR(A4186),MONTH(A4186),1))</f>
        <v/>
      </c>
    </row>
    <row r="4187" customFormat="false" ht="15" hidden="false" customHeight="false" outlineLevel="0" collapsed="false">
      <c r="A4187" s="21"/>
      <c r="B4187" s="4"/>
      <c r="C4187" s="22"/>
      <c r="D4187" s="5" t="str">
        <f aca="false">IF(B4187="","",IFERROR(INDEX(DE_PARA!$B$6:$B$205,MATCH(B4187,DE_PARA!$A$6:$A$205,0)),"SEM DE-PARA"))</f>
        <v/>
      </c>
      <c r="E4187" s="23" t="str">
        <f aca="false">IF(A4187="","",DATE(YEAR(A4187),MONTH(A4187),1))</f>
        <v/>
      </c>
    </row>
    <row r="4188" customFormat="false" ht="15" hidden="false" customHeight="false" outlineLevel="0" collapsed="false">
      <c r="A4188" s="21"/>
      <c r="B4188" s="4"/>
      <c r="C4188" s="22"/>
      <c r="D4188" s="5" t="str">
        <f aca="false">IF(B4188="","",IFERROR(INDEX(DE_PARA!$B$6:$B$205,MATCH(B4188,DE_PARA!$A$6:$A$205,0)),"SEM DE-PARA"))</f>
        <v/>
      </c>
      <c r="E4188" s="23" t="str">
        <f aca="false">IF(A4188="","",DATE(YEAR(A4188),MONTH(A4188),1))</f>
        <v/>
      </c>
    </row>
    <row r="4189" customFormat="false" ht="15" hidden="false" customHeight="false" outlineLevel="0" collapsed="false">
      <c r="A4189" s="21"/>
      <c r="B4189" s="4"/>
      <c r="C4189" s="22"/>
      <c r="D4189" s="5" t="str">
        <f aca="false">IF(B4189="","",IFERROR(INDEX(DE_PARA!$B$6:$B$205,MATCH(B4189,DE_PARA!$A$6:$A$205,0)),"SEM DE-PARA"))</f>
        <v/>
      </c>
      <c r="E4189" s="23" t="str">
        <f aca="false">IF(A4189="","",DATE(YEAR(A4189),MONTH(A4189),1))</f>
        <v/>
      </c>
    </row>
    <row r="4190" customFormat="false" ht="15" hidden="false" customHeight="false" outlineLevel="0" collapsed="false">
      <c r="A4190" s="21"/>
      <c r="B4190" s="4"/>
      <c r="C4190" s="22"/>
      <c r="D4190" s="5" t="str">
        <f aca="false">IF(B4190="","",IFERROR(INDEX(DE_PARA!$B$6:$B$205,MATCH(B4190,DE_PARA!$A$6:$A$205,0)),"SEM DE-PARA"))</f>
        <v/>
      </c>
      <c r="E4190" s="23" t="str">
        <f aca="false">IF(A4190="","",DATE(YEAR(A4190),MONTH(A4190),1))</f>
        <v/>
      </c>
    </row>
    <row r="4191" customFormat="false" ht="15" hidden="false" customHeight="false" outlineLevel="0" collapsed="false">
      <c r="A4191" s="21"/>
      <c r="B4191" s="4"/>
      <c r="C4191" s="22"/>
      <c r="D4191" s="5" t="str">
        <f aca="false">IF(B4191="","",IFERROR(INDEX(DE_PARA!$B$6:$B$205,MATCH(B4191,DE_PARA!$A$6:$A$205,0)),"SEM DE-PARA"))</f>
        <v/>
      </c>
      <c r="E4191" s="23" t="str">
        <f aca="false">IF(A4191="","",DATE(YEAR(A4191),MONTH(A4191),1))</f>
        <v/>
      </c>
    </row>
    <row r="4192" customFormat="false" ht="15" hidden="false" customHeight="false" outlineLevel="0" collapsed="false">
      <c r="A4192" s="21"/>
      <c r="B4192" s="4"/>
      <c r="C4192" s="22"/>
      <c r="D4192" s="5" t="str">
        <f aca="false">IF(B4192="","",IFERROR(INDEX(DE_PARA!$B$6:$B$205,MATCH(B4192,DE_PARA!$A$6:$A$205,0)),"SEM DE-PARA"))</f>
        <v/>
      </c>
      <c r="E4192" s="23" t="str">
        <f aca="false">IF(A4192="","",DATE(YEAR(A4192),MONTH(A4192),1))</f>
        <v/>
      </c>
    </row>
    <row r="4193" customFormat="false" ht="15" hidden="false" customHeight="false" outlineLevel="0" collapsed="false">
      <c r="A4193" s="21"/>
      <c r="B4193" s="4"/>
      <c r="C4193" s="22"/>
      <c r="D4193" s="5" t="str">
        <f aca="false">IF(B4193="","",IFERROR(INDEX(DE_PARA!$B$6:$B$205,MATCH(B4193,DE_PARA!$A$6:$A$205,0)),"SEM DE-PARA"))</f>
        <v/>
      </c>
      <c r="E4193" s="23" t="str">
        <f aca="false">IF(A4193="","",DATE(YEAR(A4193),MONTH(A4193),1))</f>
        <v/>
      </c>
    </row>
    <row r="4194" customFormat="false" ht="15" hidden="false" customHeight="false" outlineLevel="0" collapsed="false">
      <c r="A4194" s="21"/>
      <c r="B4194" s="4"/>
      <c r="C4194" s="22"/>
      <c r="D4194" s="5" t="str">
        <f aca="false">IF(B4194="","",IFERROR(INDEX(DE_PARA!$B$6:$B$205,MATCH(B4194,DE_PARA!$A$6:$A$205,0)),"SEM DE-PARA"))</f>
        <v/>
      </c>
      <c r="E4194" s="23" t="str">
        <f aca="false">IF(A4194="","",DATE(YEAR(A4194),MONTH(A4194),1))</f>
        <v/>
      </c>
    </row>
    <row r="4195" customFormat="false" ht="15" hidden="false" customHeight="false" outlineLevel="0" collapsed="false">
      <c r="A4195" s="21"/>
      <c r="B4195" s="4"/>
      <c r="C4195" s="22"/>
      <c r="D4195" s="5" t="str">
        <f aca="false">IF(B4195="","",IFERROR(INDEX(DE_PARA!$B$6:$B$205,MATCH(B4195,DE_PARA!$A$6:$A$205,0)),"SEM DE-PARA"))</f>
        <v/>
      </c>
      <c r="E4195" s="23" t="str">
        <f aca="false">IF(A4195="","",DATE(YEAR(A4195),MONTH(A4195),1))</f>
        <v/>
      </c>
    </row>
    <row r="4196" customFormat="false" ht="15" hidden="false" customHeight="false" outlineLevel="0" collapsed="false">
      <c r="A4196" s="21"/>
      <c r="B4196" s="4"/>
      <c r="C4196" s="22"/>
      <c r="D4196" s="5" t="str">
        <f aca="false">IF(B4196="","",IFERROR(INDEX(DE_PARA!$B$6:$B$205,MATCH(B4196,DE_PARA!$A$6:$A$205,0)),"SEM DE-PARA"))</f>
        <v/>
      </c>
      <c r="E4196" s="23" t="str">
        <f aca="false">IF(A4196="","",DATE(YEAR(A4196),MONTH(A4196),1))</f>
        <v/>
      </c>
    </row>
    <row r="4197" customFormat="false" ht="15" hidden="false" customHeight="false" outlineLevel="0" collapsed="false">
      <c r="A4197" s="21"/>
      <c r="B4197" s="4"/>
      <c r="C4197" s="22"/>
      <c r="D4197" s="5" t="str">
        <f aca="false">IF(B4197="","",IFERROR(INDEX(DE_PARA!$B$6:$B$205,MATCH(B4197,DE_PARA!$A$6:$A$205,0)),"SEM DE-PARA"))</f>
        <v/>
      </c>
      <c r="E4197" s="23" t="str">
        <f aca="false">IF(A4197="","",DATE(YEAR(A4197),MONTH(A4197),1))</f>
        <v/>
      </c>
    </row>
    <row r="4198" customFormat="false" ht="15" hidden="false" customHeight="false" outlineLevel="0" collapsed="false">
      <c r="A4198" s="21"/>
      <c r="B4198" s="4"/>
      <c r="C4198" s="22"/>
      <c r="D4198" s="5" t="str">
        <f aca="false">IF(B4198="","",IFERROR(INDEX(DE_PARA!$B$6:$B$205,MATCH(B4198,DE_PARA!$A$6:$A$205,0)),"SEM DE-PARA"))</f>
        <v/>
      </c>
      <c r="E4198" s="23" t="str">
        <f aca="false">IF(A4198="","",DATE(YEAR(A4198),MONTH(A4198),1))</f>
        <v/>
      </c>
    </row>
    <row r="4199" customFormat="false" ht="15" hidden="false" customHeight="false" outlineLevel="0" collapsed="false">
      <c r="A4199" s="21"/>
      <c r="B4199" s="4"/>
      <c r="C4199" s="22"/>
      <c r="D4199" s="5" t="str">
        <f aca="false">IF(B4199="","",IFERROR(INDEX(DE_PARA!$B$6:$B$205,MATCH(B4199,DE_PARA!$A$6:$A$205,0)),"SEM DE-PARA"))</f>
        <v/>
      </c>
      <c r="E4199" s="23" t="str">
        <f aca="false">IF(A4199="","",DATE(YEAR(A4199),MONTH(A4199),1))</f>
        <v/>
      </c>
    </row>
    <row r="4200" customFormat="false" ht="15" hidden="false" customHeight="false" outlineLevel="0" collapsed="false">
      <c r="A4200" s="21"/>
      <c r="B4200" s="4"/>
      <c r="C4200" s="22"/>
      <c r="D4200" s="5" t="str">
        <f aca="false">IF(B4200="","",IFERROR(INDEX(DE_PARA!$B$6:$B$205,MATCH(B4200,DE_PARA!$A$6:$A$205,0)),"SEM DE-PARA"))</f>
        <v/>
      </c>
      <c r="E4200" s="23" t="str">
        <f aca="false">IF(A4200="","",DATE(YEAR(A4200),MONTH(A4200),1))</f>
        <v/>
      </c>
    </row>
    <row r="4201" customFormat="false" ht="15" hidden="false" customHeight="false" outlineLevel="0" collapsed="false">
      <c r="A4201" s="21"/>
      <c r="B4201" s="4"/>
      <c r="C4201" s="22"/>
      <c r="D4201" s="5" t="str">
        <f aca="false">IF(B4201="","",IFERROR(INDEX(DE_PARA!$B$6:$B$205,MATCH(B4201,DE_PARA!$A$6:$A$205,0)),"SEM DE-PARA"))</f>
        <v/>
      </c>
      <c r="E4201" s="23" t="str">
        <f aca="false">IF(A4201="","",DATE(YEAR(A4201),MONTH(A4201),1))</f>
        <v/>
      </c>
    </row>
    <row r="4202" customFormat="false" ht="15" hidden="false" customHeight="false" outlineLevel="0" collapsed="false">
      <c r="A4202" s="21"/>
      <c r="B4202" s="4"/>
      <c r="C4202" s="22"/>
      <c r="D4202" s="5" t="str">
        <f aca="false">IF(B4202="","",IFERROR(INDEX(DE_PARA!$B$6:$B$205,MATCH(B4202,DE_PARA!$A$6:$A$205,0)),"SEM DE-PARA"))</f>
        <v/>
      </c>
      <c r="E4202" s="23" t="str">
        <f aca="false">IF(A4202="","",DATE(YEAR(A4202),MONTH(A4202),1))</f>
        <v/>
      </c>
    </row>
    <row r="4203" customFormat="false" ht="15" hidden="false" customHeight="false" outlineLevel="0" collapsed="false">
      <c r="A4203" s="21"/>
      <c r="B4203" s="4"/>
      <c r="C4203" s="22"/>
      <c r="D4203" s="5" t="str">
        <f aca="false">IF(B4203="","",IFERROR(INDEX(DE_PARA!$B$6:$B$205,MATCH(B4203,DE_PARA!$A$6:$A$205,0)),"SEM DE-PARA"))</f>
        <v/>
      </c>
      <c r="E4203" s="23" t="str">
        <f aca="false">IF(A4203="","",DATE(YEAR(A4203),MONTH(A4203),1))</f>
        <v/>
      </c>
    </row>
    <row r="4204" customFormat="false" ht="15" hidden="false" customHeight="false" outlineLevel="0" collapsed="false">
      <c r="A4204" s="21"/>
      <c r="B4204" s="4"/>
      <c r="C4204" s="22"/>
      <c r="D4204" s="5" t="str">
        <f aca="false">IF(B4204="","",IFERROR(INDEX(DE_PARA!$B$6:$B$205,MATCH(B4204,DE_PARA!$A$6:$A$205,0)),"SEM DE-PARA"))</f>
        <v/>
      </c>
      <c r="E4204" s="23" t="str">
        <f aca="false">IF(A4204="","",DATE(YEAR(A4204),MONTH(A4204),1))</f>
        <v/>
      </c>
    </row>
    <row r="4205" customFormat="false" ht="15" hidden="false" customHeight="false" outlineLevel="0" collapsed="false">
      <c r="A4205" s="21"/>
      <c r="B4205" s="4"/>
      <c r="C4205" s="22"/>
      <c r="D4205" s="5" t="str">
        <f aca="false">IF(B4205="","",IFERROR(INDEX(DE_PARA!$B$6:$B$205,MATCH(B4205,DE_PARA!$A$6:$A$205,0)),"SEM DE-PARA"))</f>
        <v/>
      </c>
      <c r="E4205" s="23" t="str">
        <f aca="false">IF(A4205="","",DATE(YEAR(A4205),MONTH(A4205),1))</f>
        <v/>
      </c>
    </row>
    <row r="4206" customFormat="false" ht="15" hidden="false" customHeight="false" outlineLevel="0" collapsed="false">
      <c r="A4206" s="21"/>
      <c r="B4206" s="4"/>
      <c r="C4206" s="22"/>
      <c r="D4206" s="5" t="str">
        <f aca="false">IF(B4206="","",IFERROR(INDEX(DE_PARA!$B$6:$B$205,MATCH(B4206,DE_PARA!$A$6:$A$205,0)),"SEM DE-PARA"))</f>
        <v/>
      </c>
      <c r="E4206" s="23" t="str">
        <f aca="false">IF(A4206="","",DATE(YEAR(A4206),MONTH(A4206),1))</f>
        <v/>
      </c>
    </row>
    <row r="4207" customFormat="false" ht="15" hidden="false" customHeight="false" outlineLevel="0" collapsed="false">
      <c r="A4207" s="21"/>
      <c r="B4207" s="4"/>
      <c r="C4207" s="22"/>
      <c r="D4207" s="5" t="str">
        <f aca="false">IF(B4207="","",IFERROR(INDEX(DE_PARA!$B$6:$B$205,MATCH(B4207,DE_PARA!$A$6:$A$205,0)),"SEM DE-PARA"))</f>
        <v/>
      </c>
      <c r="E4207" s="23" t="str">
        <f aca="false">IF(A4207="","",DATE(YEAR(A4207),MONTH(A4207),1))</f>
        <v/>
      </c>
    </row>
    <row r="4208" customFormat="false" ht="15" hidden="false" customHeight="false" outlineLevel="0" collapsed="false">
      <c r="A4208" s="21"/>
      <c r="B4208" s="4"/>
      <c r="C4208" s="22"/>
      <c r="D4208" s="5" t="str">
        <f aca="false">IF(B4208="","",IFERROR(INDEX(DE_PARA!$B$6:$B$205,MATCH(B4208,DE_PARA!$A$6:$A$205,0)),"SEM DE-PARA"))</f>
        <v/>
      </c>
      <c r="E4208" s="23" t="str">
        <f aca="false">IF(A4208="","",DATE(YEAR(A4208),MONTH(A4208),1))</f>
        <v/>
      </c>
    </row>
    <row r="4209" customFormat="false" ht="15" hidden="false" customHeight="false" outlineLevel="0" collapsed="false">
      <c r="A4209" s="21"/>
      <c r="B4209" s="4"/>
      <c r="C4209" s="22"/>
      <c r="D4209" s="5" t="str">
        <f aca="false">IF(B4209="","",IFERROR(INDEX(DE_PARA!$B$6:$B$205,MATCH(B4209,DE_PARA!$A$6:$A$205,0)),"SEM DE-PARA"))</f>
        <v/>
      </c>
      <c r="E4209" s="23" t="str">
        <f aca="false">IF(A4209="","",DATE(YEAR(A4209),MONTH(A4209),1))</f>
        <v/>
      </c>
    </row>
    <row r="4210" customFormat="false" ht="15" hidden="false" customHeight="false" outlineLevel="0" collapsed="false">
      <c r="A4210" s="21"/>
      <c r="B4210" s="4"/>
      <c r="C4210" s="22"/>
      <c r="D4210" s="5" t="str">
        <f aca="false">IF(B4210="","",IFERROR(INDEX(DE_PARA!$B$6:$B$205,MATCH(B4210,DE_PARA!$A$6:$A$205,0)),"SEM DE-PARA"))</f>
        <v/>
      </c>
      <c r="E4210" s="23" t="str">
        <f aca="false">IF(A4210="","",DATE(YEAR(A4210),MONTH(A4210),1))</f>
        <v/>
      </c>
    </row>
    <row r="4211" customFormat="false" ht="15" hidden="false" customHeight="false" outlineLevel="0" collapsed="false">
      <c r="A4211" s="21"/>
      <c r="B4211" s="4"/>
      <c r="C4211" s="22"/>
      <c r="D4211" s="5" t="str">
        <f aca="false">IF(B4211="","",IFERROR(INDEX(DE_PARA!$B$6:$B$205,MATCH(B4211,DE_PARA!$A$6:$A$205,0)),"SEM DE-PARA"))</f>
        <v/>
      </c>
      <c r="E4211" s="23" t="str">
        <f aca="false">IF(A4211="","",DATE(YEAR(A4211),MONTH(A4211),1))</f>
        <v/>
      </c>
    </row>
    <row r="4212" customFormat="false" ht="15" hidden="false" customHeight="false" outlineLevel="0" collapsed="false">
      <c r="A4212" s="21"/>
      <c r="B4212" s="4"/>
      <c r="C4212" s="22"/>
      <c r="D4212" s="5" t="str">
        <f aca="false">IF(B4212="","",IFERROR(INDEX(DE_PARA!$B$6:$B$205,MATCH(B4212,DE_PARA!$A$6:$A$205,0)),"SEM DE-PARA"))</f>
        <v/>
      </c>
      <c r="E4212" s="23" t="str">
        <f aca="false">IF(A4212="","",DATE(YEAR(A4212),MONTH(A4212),1))</f>
        <v/>
      </c>
    </row>
    <row r="4213" customFormat="false" ht="15" hidden="false" customHeight="false" outlineLevel="0" collapsed="false">
      <c r="A4213" s="21"/>
      <c r="B4213" s="4"/>
      <c r="C4213" s="22"/>
      <c r="D4213" s="5" t="str">
        <f aca="false">IF(B4213="","",IFERROR(INDEX(DE_PARA!$B$6:$B$205,MATCH(B4213,DE_PARA!$A$6:$A$205,0)),"SEM DE-PARA"))</f>
        <v/>
      </c>
      <c r="E4213" s="23" t="str">
        <f aca="false">IF(A4213="","",DATE(YEAR(A4213),MONTH(A4213),1))</f>
        <v/>
      </c>
    </row>
    <row r="4214" customFormat="false" ht="15" hidden="false" customHeight="false" outlineLevel="0" collapsed="false">
      <c r="A4214" s="21"/>
      <c r="B4214" s="4"/>
      <c r="C4214" s="22"/>
      <c r="D4214" s="5" t="str">
        <f aca="false">IF(B4214="","",IFERROR(INDEX(DE_PARA!$B$6:$B$205,MATCH(B4214,DE_PARA!$A$6:$A$205,0)),"SEM DE-PARA"))</f>
        <v/>
      </c>
      <c r="E4214" s="23" t="str">
        <f aca="false">IF(A4214="","",DATE(YEAR(A4214),MONTH(A4214),1))</f>
        <v/>
      </c>
    </row>
    <row r="4215" customFormat="false" ht="15" hidden="false" customHeight="false" outlineLevel="0" collapsed="false">
      <c r="A4215" s="21"/>
      <c r="B4215" s="4"/>
      <c r="C4215" s="22"/>
      <c r="D4215" s="5" t="str">
        <f aca="false">IF(B4215="","",IFERROR(INDEX(DE_PARA!$B$6:$B$205,MATCH(B4215,DE_PARA!$A$6:$A$205,0)),"SEM DE-PARA"))</f>
        <v/>
      </c>
      <c r="E4215" s="23" t="str">
        <f aca="false">IF(A4215="","",DATE(YEAR(A4215),MONTH(A4215),1))</f>
        <v/>
      </c>
    </row>
    <row r="4216" customFormat="false" ht="15" hidden="false" customHeight="false" outlineLevel="0" collapsed="false">
      <c r="A4216" s="21"/>
      <c r="B4216" s="4"/>
      <c r="C4216" s="22"/>
      <c r="D4216" s="5" t="str">
        <f aca="false">IF(B4216="","",IFERROR(INDEX(DE_PARA!$B$6:$B$205,MATCH(B4216,DE_PARA!$A$6:$A$205,0)),"SEM DE-PARA"))</f>
        <v/>
      </c>
      <c r="E4216" s="23" t="str">
        <f aca="false">IF(A4216="","",DATE(YEAR(A4216),MONTH(A4216),1))</f>
        <v/>
      </c>
    </row>
    <row r="4217" customFormat="false" ht="15" hidden="false" customHeight="false" outlineLevel="0" collapsed="false">
      <c r="A4217" s="21"/>
      <c r="B4217" s="4"/>
      <c r="C4217" s="22"/>
      <c r="D4217" s="5" t="str">
        <f aca="false">IF(B4217="","",IFERROR(INDEX(DE_PARA!$B$6:$B$205,MATCH(B4217,DE_PARA!$A$6:$A$205,0)),"SEM DE-PARA"))</f>
        <v/>
      </c>
      <c r="E4217" s="23" t="str">
        <f aca="false">IF(A4217="","",DATE(YEAR(A4217),MONTH(A4217),1))</f>
        <v/>
      </c>
    </row>
    <row r="4218" customFormat="false" ht="15" hidden="false" customHeight="false" outlineLevel="0" collapsed="false">
      <c r="A4218" s="21"/>
      <c r="B4218" s="4"/>
      <c r="C4218" s="22"/>
      <c r="D4218" s="5" t="str">
        <f aca="false">IF(B4218="","",IFERROR(INDEX(DE_PARA!$B$6:$B$205,MATCH(B4218,DE_PARA!$A$6:$A$205,0)),"SEM DE-PARA"))</f>
        <v/>
      </c>
      <c r="E4218" s="23" t="str">
        <f aca="false">IF(A4218="","",DATE(YEAR(A4218),MONTH(A4218),1))</f>
        <v/>
      </c>
    </row>
    <row r="4219" customFormat="false" ht="15" hidden="false" customHeight="false" outlineLevel="0" collapsed="false">
      <c r="A4219" s="21"/>
      <c r="B4219" s="4"/>
      <c r="C4219" s="22"/>
      <c r="D4219" s="5" t="str">
        <f aca="false">IF(B4219="","",IFERROR(INDEX(DE_PARA!$B$6:$B$205,MATCH(B4219,DE_PARA!$A$6:$A$205,0)),"SEM DE-PARA"))</f>
        <v/>
      </c>
      <c r="E4219" s="23" t="str">
        <f aca="false">IF(A4219="","",DATE(YEAR(A4219),MONTH(A4219),1))</f>
        <v/>
      </c>
    </row>
    <row r="4220" customFormat="false" ht="15" hidden="false" customHeight="false" outlineLevel="0" collapsed="false">
      <c r="A4220" s="21"/>
      <c r="B4220" s="4"/>
      <c r="C4220" s="22"/>
      <c r="D4220" s="5" t="str">
        <f aca="false">IF(B4220="","",IFERROR(INDEX(DE_PARA!$B$6:$B$205,MATCH(B4220,DE_PARA!$A$6:$A$205,0)),"SEM DE-PARA"))</f>
        <v/>
      </c>
      <c r="E4220" s="23" t="str">
        <f aca="false">IF(A4220="","",DATE(YEAR(A4220),MONTH(A4220),1))</f>
        <v/>
      </c>
    </row>
    <row r="4221" customFormat="false" ht="15" hidden="false" customHeight="false" outlineLevel="0" collapsed="false">
      <c r="A4221" s="21"/>
      <c r="B4221" s="4"/>
      <c r="C4221" s="22"/>
      <c r="D4221" s="5" t="str">
        <f aca="false">IF(B4221="","",IFERROR(INDEX(DE_PARA!$B$6:$B$205,MATCH(B4221,DE_PARA!$A$6:$A$205,0)),"SEM DE-PARA"))</f>
        <v/>
      </c>
      <c r="E4221" s="23" t="str">
        <f aca="false">IF(A4221="","",DATE(YEAR(A4221),MONTH(A4221),1))</f>
        <v/>
      </c>
    </row>
    <row r="4222" customFormat="false" ht="15" hidden="false" customHeight="false" outlineLevel="0" collapsed="false">
      <c r="A4222" s="21"/>
      <c r="B4222" s="4"/>
      <c r="C4222" s="22"/>
      <c r="D4222" s="5" t="str">
        <f aca="false">IF(B4222="","",IFERROR(INDEX(DE_PARA!$B$6:$B$205,MATCH(B4222,DE_PARA!$A$6:$A$205,0)),"SEM DE-PARA"))</f>
        <v/>
      </c>
      <c r="E4222" s="23" t="str">
        <f aca="false">IF(A4222="","",DATE(YEAR(A4222),MONTH(A4222),1))</f>
        <v/>
      </c>
    </row>
    <row r="4223" customFormat="false" ht="15" hidden="false" customHeight="false" outlineLevel="0" collapsed="false">
      <c r="A4223" s="21"/>
      <c r="B4223" s="4"/>
      <c r="C4223" s="22"/>
      <c r="D4223" s="5" t="str">
        <f aca="false">IF(B4223="","",IFERROR(INDEX(DE_PARA!$B$6:$B$205,MATCH(B4223,DE_PARA!$A$6:$A$205,0)),"SEM DE-PARA"))</f>
        <v/>
      </c>
      <c r="E4223" s="23" t="str">
        <f aca="false">IF(A4223="","",DATE(YEAR(A4223),MONTH(A4223),1))</f>
        <v/>
      </c>
    </row>
    <row r="4224" customFormat="false" ht="15" hidden="false" customHeight="false" outlineLevel="0" collapsed="false">
      <c r="A4224" s="21"/>
      <c r="B4224" s="4"/>
      <c r="C4224" s="22"/>
      <c r="D4224" s="5" t="str">
        <f aca="false">IF(B4224="","",IFERROR(INDEX(DE_PARA!$B$6:$B$205,MATCH(B4224,DE_PARA!$A$6:$A$205,0)),"SEM DE-PARA"))</f>
        <v/>
      </c>
      <c r="E4224" s="23" t="str">
        <f aca="false">IF(A4224="","",DATE(YEAR(A4224),MONTH(A4224),1))</f>
        <v/>
      </c>
    </row>
    <row r="4225" customFormat="false" ht="15" hidden="false" customHeight="false" outlineLevel="0" collapsed="false">
      <c r="A4225" s="21"/>
      <c r="B4225" s="4"/>
      <c r="C4225" s="22"/>
      <c r="D4225" s="5" t="str">
        <f aca="false">IF(B4225="","",IFERROR(INDEX(DE_PARA!$B$6:$B$205,MATCH(B4225,DE_PARA!$A$6:$A$205,0)),"SEM DE-PARA"))</f>
        <v/>
      </c>
      <c r="E4225" s="23" t="str">
        <f aca="false">IF(A4225="","",DATE(YEAR(A4225),MONTH(A4225),1))</f>
        <v/>
      </c>
    </row>
    <row r="4226" customFormat="false" ht="15" hidden="false" customHeight="false" outlineLevel="0" collapsed="false">
      <c r="A4226" s="21"/>
      <c r="B4226" s="4"/>
      <c r="C4226" s="22"/>
      <c r="D4226" s="5" t="str">
        <f aca="false">IF(B4226="","",IFERROR(INDEX(DE_PARA!$B$6:$B$205,MATCH(B4226,DE_PARA!$A$6:$A$205,0)),"SEM DE-PARA"))</f>
        <v/>
      </c>
      <c r="E4226" s="23" t="str">
        <f aca="false">IF(A4226="","",DATE(YEAR(A4226),MONTH(A4226),1))</f>
        <v/>
      </c>
    </row>
    <row r="4227" customFormat="false" ht="15" hidden="false" customHeight="false" outlineLevel="0" collapsed="false">
      <c r="A4227" s="21"/>
      <c r="B4227" s="4"/>
      <c r="C4227" s="22"/>
      <c r="D4227" s="5" t="str">
        <f aca="false">IF(B4227="","",IFERROR(INDEX(DE_PARA!$B$6:$B$205,MATCH(B4227,DE_PARA!$A$6:$A$205,0)),"SEM DE-PARA"))</f>
        <v/>
      </c>
      <c r="E4227" s="23" t="str">
        <f aca="false">IF(A4227="","",DATE(YEAR(A4227),MONTH(A4227),1))</f>
        <v/>
      </c>
    </row>
    <row r="4228" customFormat="false" ht="15" hidden="false" customHeight="false" outlineLevel="0" collapsed="false">
      <c r="A4228" s="21"/>
      <c r="B4228" s="4"/>
      <c r="C4228" s="22"/>
      <c r="D4228" s="5" t="str">
        <f aca="false">IF(B4228="","",IFERROR(INDEX(DE_PARA!$B$6:$B$205,MATCH(B4228,DE_PARA!$A$6:$A$205,0)),"SEM DE-PARA"))</f>
        <v/>
      </c>
      <c r="E4228" s="23" t="str">
        <f aca="false">IF(A4228="","",DATE(YEAR(A4228),MONTH(A4228),1))</f>
        <v/>
      </c>
    </row>
    <row r="4229" customFormat="false" ht="15" hidden="false" customHeight="false" outlineLevel="0" collapsed="false">
      <c r="A4229" s="21"/>
      <c r="B4229" s="4"/>
      <c r="C4229" s="22"/>
      <c r="D4229" s="5" t="str">
        <f aca="false">IF(B4229="","",IFERROR(INDEX(DE_PARA!$B$6:$B$205,MATCH(B4229,DE_PARA!$A$6:$A$205,0)),"SEM DE-PARA"))</f>
        <v/>
      </c>
      <c r="E4229" s="23" t="str">
        <f aca="false">IF(A4229="","",DATE(YEAR(A4229),MONTH(A4229),1))</f>
        <v/>
      </c>
    </row>
    <row r="4230" customFormat="false" ht="15" hidden="false" customHeight="false" outlineLevel="0" collapsed="false">
      <c r="A4230" s="21"/>
      <c r="B4230" s="4"/>
      <c r="C4230" s="22"/>
      <c r="D4230" s="5" t="str">
        <f aca="false">IF(B4230="","",IFERROR(INDEX(DE_PARA!$B$6:$B$205,MATCH(B4230,DE_PARA!$A$6:$A$205,0)),"SEM DE-PARA"))</f>
        <v/>
      </c>
      <c r="E4230" s="23" t="str">
        <f aca="false">IF(A4230="","",DATE(YEAR(A4230),MONTH(A4230),1))</f>
        <v/>
      </c>
    </row>
    <row r="4231" customFormat="false" ht="15" hidden="false" customHeight="false" outlineLevel="0" collapsed="false">
      <c r="A4231" s="21"/>
      <c r="B4231" s="4"/>
      <c r="C4231" s="22"/>
      <c r="D4231" s="5" t="str">
        <f aca="false">IF(B4231="","",IFERROR(INDEX(DE_PARA!$B$6:$B$205,MATCH(B4231,DE_PARA!$A$6:$A$205,0)),"SEM DE-PARA"))</f>
        <v/>
      </c>
      <c r="E4231" s="23" t="str">
        <f aca="false">IF(A4231="","",DATE(YEAR(A4231),MONTH(A4231),1))</f>
        <v/>
      </c>
    </row>
    <row r="4232" customFormat="false" ht="15" hidden="false" customHeight="false" outlineLevel="0" collapsed="false">
      <c r="A4232" s="21"/>
      <c r="B4232" s="4"/>
      <c r="C4232" s="22"/>
      <c r="D4232" s="5" t="str">
        <f aca="false">IF(B4232="","",IFERROR(INDEX(DE_PARA!$B$6:$B$205,MATCH(B4232,DE_PARA!$A$6:$A$205,0)),"SEM DE-PARA"))</f>
        <v/>
      </c>
      <c r="E4232" s="23" t="str">
        <f aca="false">IF(A4232="","",DATE(YEAR(A4232),MONTH(A4232),1))</f>
        <v/>
      </c>
    </row>
    <row r="4233" customFormat="false" ht="15" hidden="false" customHeight="false" outlineLevel="0" collapsed="false">
      <c r="A4233" s="21"/>
      <c r="B4233" s="4"/>
      <c r="C4233" s="22"/>
      <c r="D4233" s="5" t="str">
        <f aca="false">IF(B4233="","",IFERROR(INDEX(DE_PARA!$B$6:$B$205,MATCH(B4233,DE_PARA!$A$6:$A$205,0)),"SEM DE-PARA"))</f>
        <v/>
      </c>
      <c r="E4233" s="23" t="str">
        <f aca="false">IF(A4233="","",DATE(YEAR(A4233),MONTH(A4233),1))</f>
        <v/>
      </c>
    </row>
    <row r="4234" customFormat="false" ht="15" hidden="false" customHeight="false" outlineLevel="0" collapsed="false">
      <c r="A4234" s="21"/>
      <c r="B4234" s="4"/>
      <c r="C4234" s="22"/>
      <c r="D4234" s="5" t="str">
        <f aca="false">IF(B4234="","",IFERROR(INDEX(DE_PARA!$B$6:$B$205,MATCH(B4234,DE_PARA!$A$6:$A$205,0)),"SEM DE-PARA"))</f>
        <v/>
      </c>
      <c r="E4234" s="23" t="str">
        <f aca="false">IF(A4234="","",DATE(YEAR(A4234),MONTH(A4234),1))</f>
        <v/>
      </c>
    </row>
    <row r="4235" customFormat="false" ht="15" hidden="false" customHeight="false" outlineLevel="0" collapsed="false">
      <c r="A4235" s="21"/>
      <c r="B4235" s="4"/>
      <c r="C4235" s="22"/>
      <c r="D4235" s="5" t="str">
        <f aca="false">IF(B4235="","",IFERROR(INDEX(DE_PARA!$B$6:$B$205,MATCH(B4235,DE_PARA!$A$6:$A$205,0)),"SEM DE-PARA"))</f>
        <v/>
      </c>
      <c r="E4235" s="23" t="str">
        <f aca="false">IF(A4235="","",DATE(YEAR(A4235),MONTH(A4235),1))</f>
        <v/>
      </c>
    </row>
    <row r="4236" customFormat="false" ht="15" hidden="false" customHeight="false" outlineLevel="0" collapsed="false">
      <c r="A4236" s="21"/>
      <c r="B4236" s="4"/>
      <c r="C4236" s="22"/>
      <c r="D4236" s="5" t="str">
        <f aca="false">IF(B4236="","",IFERROR(INDEX(DE_PARA!$B$6:$B$205,MATCH(B4236,DE_PARA!$A$6:$A$205,0)),"SEM DE-PARA"))</f>
        <v/>
      </c>
      <c r="E4236" s="23" t="str">
        <f aca="false">IF(A4236="","",DATE(YEAR(A4236),MONTH(A4236),1))</f>
        <v/>
      </c>
    </row>
    <row r="4237" customFormat="false" ht="15" hidden="false" customHeight="false" outlineLevel="0" collapsed="false">
      <c r="A4237" s="21"/>
      <c r="B4237" s="4"/>
      <c r="C4237" s="22"/>
      <c r="D4237" s="5" t="str">
        <f aca="false">IF(B4237="","",IFERROR(INDEX(DE_PARA!$B$6:$B$205,MATCH(B4237,DE_PARA!$A$6:$A$205,0)),"SEM DE-PARA"))</f>
        <v/>
      </c>
      <c r="E4237" s="23" t="str">
        <f aca="false">IF(A4237="","",DATE(YEAR(A4237),MONTH(A4237),1))</f>
        <v/>
      </c>
    </row>
    <row r="4238" customFormat="false" ht="15" hidden="false" customHeight="false" outlineLevel="0" collapsed="false">
      <c r="A4238" s="21"/>
      <c r="B4238" s="4"/>
      <c r="C4238" s="22"/>
      <c r="D4238" s="5" t="str">
        <f aca="false">IF(B4238="","",IFERROR(INDEX(DE_PARA!$B$6:$B$205,MATCH(B4238,DE_PARA!$A$6:$A$205,0)),"SEM DE-PARA"))</f>
        <v/>
      </c>
      <c r="E4238" s="23" t="str">
        <f aca="false">IF(A4238="","",DATE(YEAR(A4238),MONTH(A4238),1))</f>
        <v/>
      </c>
    </row>
    <row r="4239" customFormat="false" ht="15" hidden="false" customHeight="false" outlineLevel="0" collapsed="false">
      <c r="A4239" s="21"/>
      <c r="B4239" s="4"/>
      <c r="C4239" s="22"/>
      <c r="D4239" s="5" t="str">
        <f aca="false">IF(B4239="","",IFERROR(INDEX(DE_PARA!$B$6:$B$205,MATCH(B4239,DE_PARA!$A$6:$A$205,0)),"SEM DE-PARA"))</f>
        <v/>
      </c>
      <c r="E4239" s="23" t="str">
        <f aca="false">IF(A4239="","",DATE(YEAR(A4239),MONTH(A4239),1))</f>
        <v/>
      </c>
    </row>
    <row r="4240" customFormat="false" ht="15" hidden="false" customHeight="false" outlineLevel="0" collapsed="false">
      <c r="A4240" s="21"/>
      <c r="B4240" s="4"/>
      <c r="C4240" s="22"/>
      <c r="D4240" s="5" t="str">
        <f aca="false">IF(B4240="","",IFERROR(INDEX(DE_PARA!$B$6:$B$205,MATCH(B4240,DE_PARA!$A$6:$A$205,0)),"SEM DE-PARA"))</f>
        <v/>
      </c>
      <c r="E4240" s="23" t="str">
        <f aca="false">IF(A4240="","",DATE(YEAR(A4240),MONTH(A4240),1))</f>
        <v/>
      </c>
    </row>
    <row r="4241" customFormat="false" ht="15" hidden="false" customHeight="false" outlineLevel="0" collapsed="false">
      <c r="A4241" s="21"/>
      <c r="B4241" s="4"/>
      <c r="C4241" s="22"/>
      <c r="D4241" s="5" t="str">
        <f aca="false">IF(B4241="","",IFERROR(INDEX(DE_PARA!$B$6:$B$205,MATCH(B4241,DE_PARA!$A$6:$A$205,0)),"SEM DE-PARA"))</f>
        <v/>
      </c>
      <c r="E4241" s="23" t="str">
        <f aca="false">IF(A4241="","",DATE(YEAR(A4241),MONTH(A4241),1))</f>
        <v/>
      </c>
    </row>
    <row r="4242" customFormat="false" ht="15" hidden="false" customHeight="false" outlineLevel="0" collapsed="false">
      <c r="A4242" s="21"/>
      <c r="B4242" s="4"/>
      <c r="C4242" s="22"/>
      <c r="D4242" s="5" t="str">
        <f aca="false">IF(B4242="","",IFERROR(INDEX(DE_PARA!$B$6:$B$205,MATCH(B4242,DE_PARA!$A$6:$A$205,0)),"SEM DE-PARA"))</f>
        <v/>
      </c>
      <c r="E4242" s="23" t="str">
        <f aca="false">IF(A4242="","",DATE(YEAR(A4242),MONTH(A4242),1))</f>
        <v/>
      </c>
    </row>
    <row r="4243" customFormat="false" ht="15" hidden="false" customHeight="false" outlineLevel="0" collapsed="false">
      <c r="A4243" s="21"/>
      <c r="B4243" s="4"/>
      <c r="C4243" s="22"/>
      <c r="D4243" s="5" t="str">
        <f aca="false">IF(B4243="","",IFERROR(INDEX(DE_PARA!$B$6:$B$205,MATCH(B4243,DE_PARA!$A$6:$A$205,0)),"SEM DE-PARA"))</f>
        <v/>
      </c>
      <c r="E4243" s="23" t="str">
        <f aca="false">IF(A4243="","",DATE(YEAR(A4243),MONTH(A4243),1))</f>
        <v/>
      </c>
    </row>
    <row r="4244" customFormat="false" ht="15" hidden="false" customHeight="false" outlineLevel="0" collapsed="false">
      <c r="A4244" s="21"/>
      <c r="B4244" s="4"/>
      <c r="C4244" s="22"/>
      <c r="D4244" s="5" t="str">
        <f aca="false">IF(B4244="","",IFERROR(INDEX(DE_PARA!$B$6:$B$205,MATCH(B4244,DE_PARA!$A$6:$A$205,0)),"SEM DE-PARA"))</f>
        <v/>
      </c>
      <c r="E4244" s="23" t="str">
        <f aca="false">IF(A4244="","",DATE(YEAR(A4244),MONTH(A4244),1))</f>
        <v/>
      </c>
    </row>
    <row r="4245" customFormat="false" ht="15" hidden="false" customHeight="false" outlineLevel="0" collapsed="false">
      <c r="A4245" s="21"/>
      <c r="B4245" s="4"/>
      <c r="C4245" s="22"/>
      <c r="D4245" s="5" t="str">
        <f aca="false">IF(B4245="","",IFERROR(INDEX(DE_PARA!$B$6:$B$205,MATCH(B4245,DE_PARA!$A$6:$A$205,0)),"SEM DE-PARA"))</f>
        <v/>
      </c>
      <c r="E4245" s="23" t="str">
        <f aca="false">IF(A4245="","",DATE(YEAR(A4245),MONTH(A4245),1))</f>
        <v/>
      </c>
    </row>
    <row r="4246" customFormat="false" ht="15" hidden="false" customHeight="false" outlineLevel="0" collapsed="false">
      <c r="A4246" s="21"/>
      <c r="B4246" s="4"/>
      <c r="C4246" s="22"/>
      <c r="D4246" s="5" t="str">
        <f aca="false">IF(B4246="","",IFERROR(INDEX(DE_PARA!$B$6:$B$205,MATCH(B4246,DE_PARA!$A$6:$A$205,0)),"SEM DE-PARA"))</f>
        <v/>
      </c>
      <c r="E4246" s="23" t="str">
        <f aca="false">IF(A4246="","",DATE(YEAR(A4246),MONTH(A4246),1))</f>
        <v/>
      </c>
    </row>
    <row r="4247" customFormat="false" ht="15" hidden="false" customHeight="false" outlineLevel="0" collapsed="false">
      <c r="A4247" s="21"/>
      <c r="B4247" s="4"/>
      <c r="C4247" s="22"/>
      <c r="D4247" s="5" t="str">
        <f aca="false">IF(B4247="","",IFERROR(INDEX(DE_PARA!$B$6:$B$205,MATCH(B4247,DE_PARA!$A$6:$A$205,0)),"SEM DE-PARA"))</f>
        <v/>
      </c>
      <c r="E4247" s="23" t="str">
        <f aca="false">IF(A4247="","",DATE(YEAR(A4247),MONTH(A4247),1))</f>
        <v/>
      </c>
    </row>
    <row r="4248" customFormat="false" ht="15" hidden="false" customHeight="false" outlineLevel="0" collapsed="false">
      <c r="A4248" s="21"/>
      <c r="B4248" s="4"/>
      <c r="C4248" s="22"/>
      <c r="D4248" s="5" t="str">
        <f aca="false">IF(B4248="","",IFERROR(INDEX(DE_PARA!$B$6:$B$205,MATCH(B4248,DE_PARA!$A$6:$A$205,0)),"SEM DE-PARA"))</f>
        <v/>
      </c>
      <c r="E4248" s="23" t="str">
        <f aca="false">IF(A4248="","",DATE(YEAR(A4248),MONTH(A4248),1))</f>
        <v/>
      </c>
    </row>
    <row r="4249" customFormat="false" ht="15" hidden="false" customHeight="false" outlineLevel="0" collapsed="false">
      <c r="A4249" s="21"/>
      <c r="B4249" s="4"/>
      <c r="C4249" s="22"/>
      <c r="D4249" s="5" t="str">
        <f aca="false">IF(B4249="","",IFERROR(INDEX(DE_PARA!$B$6:$B$205,MATCH(B4249,DE_PARA!$A$6:$A$205,0)),"SEM DE-PARA"))</f>
        <v/>
      </c>
      <c r="E4249" s="23" t="str">
        <f aca="false">IF(A4249="","",DATE(YEAR(A4249),MONTH(A4249),1))</f>
        <v/>
      </c>
    </row>
    <row r="4250" customFormat="false" ht="15" hidden="false" customHeight="false" outlineLevel="0" collapsed="false">
      <c r="A4250" s="21"/>
      <c r="B4250" s="4"/>
      <c r="C4250" s="22"/>
      <c r="D4250" s="5" t="str">
        <f aca="false">IF(B4250="","",IFERROR(INDEX(DE_PARA!$B$6:$B$205,MATCH(B4250,DE_PARA!$A$6:$A$205,0)),"SEM DE-PARA"))</f>
        <v/>
      </c>
      <c r="E4250" s="23" t="str">
        <f aca="false">IF(A4250="","",DATE(YEAR(A4250),MONTH(A4250),1))</f>
        <v/>
      </c>
    </row>
    <row r="4251" customFormat="false" ht="15" hidden="false" customHeight="false" outlineLevel="0" collapsed="false">
      <c r="A4251" s="21"/>
      <c r="B4251" s="4"/>
      <c r="C4251" s="22"/>
      <c r="D4251" s="5" t="str">
        <f aca="false">IF(B4251="","",IFERROR(INDEX(DE_PARA!$B$6:$B$205,MATCH(B4251,DE_PARA!$A$6:$A$205,0)),"SEM DE-PARA"))</f>
        <v/>
      </c>
      <c r="E4251" s="23" t="str">
        <f aca="false">IF(A4251="","",DATE(YEAR(A4251),MONTH(A4251),1))</f>
        <v/>
      </c>
    </row>
    <row r="4252" customFormat="false" ht="15" hidden="false" customHeight="false" outlineLevel="0" collapsed="false">
      <c r="A4252" s="21"/>
      <c r="B4252" s="4"/>
      <c r="C4252" s="22"/>
      <c r="D4252" s="5" t="str">
        <f aca="false">IF(B4252="","",IFERROR(INDEX(DE_PARA!$B$6:$B$205,MATCH(B4252,DE_PARA!$A$6:$A$205,0)),"SEM DE-PARA"))</f>
        <v/>
      </c>
      <c r="E4252" s="23" t="str">
        <f aca="false">IF(A4252="","",DATE(YEAR(A4252),MONTH(A4252),1))</f>
        <v/>
      </c>
    </row>
    <row r="4253" customFormat="false" ht="15" hidden="false" customHeight="false" outlineLevel="0" collapsed="false">
      <c r="A4253" s="21"/>
      <c r="B4253" s="4"/>
      <c r="C4253" s="22"/>
      <c r="D4253" s="5" t="str">
        <f aca="false">IF(B4253="","",IFERROR(INDEX(DE_PARA!$B$6:$B$205,MATCH(B4253,DE_PARA!$A$6:$A$205,0)),"SEM DE-PARA"))</f>
        <v/>
      </c>
      <c r="E4253" s="23" t="str">
        <f aca="false">IF(A4253="","",DATE(YEAR(A4253),MONTH(A4253),1))</f>
        <v/>
      </c>
    </row>
    <row r="4254" customFormat="false" ht="15" hidden="false" customHeight="false" outlineLevel="0" collapsed="false">
      <c r="A4254" s="21"/>
      <c r="B4254" s="4"/>
      <c r="C4254" s="22"/>
      <c r="D4254" s="5" t="str">
        <f aca="false">IF(B4254="","",IFERROR(INDEX(DE_PARA!$B$6:$B$205,MATCH(B4254,DE_PARA!$A$6:$A$205,0)),"SEM DE-PARA"))</f>
        <v/>
      </c>
      <c r="E4254" s="23" t="str">
        <f aca="false">IF(A4254="","",DATE(YEAR(A4254),MONTH(A4254),1))</f>
        <v/>
      </c>
    </row>
    <row r="4255" customFormat="false" ht="15" hidden="false" customHeight="false" outlineLevel="0" collapsed="false">
      <c r="A4255" s="21"/>
      <c r="B4255" s="4"/>
      <c r="C4255" s="22"/>
      <c r="D4255" s="5" t="str">
        <f aca="false">IF(B4255="","",IFERROR(INDEX(DE_PARA!$B$6:$B$205,MATCH(B4255,DE_PARA!$A$6:$A$205,0)),"SEM DE-PARA"))</f>
        <v/>
      </c>
      <c r="E4255" s="23" t="str">
        <f aca="false">IF(A4255="","",DATE(YEAR(A4255),MONTH(A4255),1))</f>
        <v/>
      </c>
    </row>
    <row r="4256" customFormat="false" ht="15" hidden="false" customHeight="false" outlineLevel="0" collapsed="false">
      <c r="A4256" s="21"/>
      <c r="B4256" s="4"/>
      <c r="C4256" s="22"/>
      <c r="D4256" s="5" t="str">
        <f aca="false">IF(B4256="","",IFERROR(INDEX(DE_PARA!$B$6:$B$205,MATCH(B4256,DE_PARA!$A$6:$A$205,0)),"SEM DE-PARA"))</f>
        <v/>
      </c>
      <c r="E4256" s="23" t="str">
        <f aca="false">IF(A4256="","",DATE(YEAR(A4256),MONTH(A4256),1))</f>
        <v/>
      </c>
    </row>
    <row r="4257" customFormat="false" ht="15" hidden="false" customHeight="false" outlineLevel="0" collapsed="false">
      <c r="A4257" s="21"/>
      <c r="B4257" s="4"/>
      <c r="C4257" s="22"/>
      <c r="D4257" s="5" t="str">
        <f aca="false">IF(B4257="","",IFERROR(INDEX(DE_PARA!$B$6:$B$205,MATCH(B4257,DE_PARA!$A$6:$A$205,0)),"SEM DE-PARA"))</f>
        <v/>
      </c>
      <c r="E4257" s="23" t="str">
        <f aca="false">IF(A4257="","",DATE(YEAR(A4257),MONTH(A4257),1))</f>
        <v/>
      </c>
    </row>
    <row r="4258" customFormat="false" ht="15" hidden="false" customHeight="false" outlineLevel="0" collapsed="false">
      <c r="A4258" s="21"/>
      <c r="B4258" s="4"/>
      <c r="C4258" s="22"/>
      <c r="D4258" s="5" t="str">
        <f aca="false">IF(B4258="","",IFERROR(INDEX(DE_PARA!$B$6:$B$205,MATCH(B4258,DE_PARA!$A$6:$A$205,0)),"SEM DE-PARA"))</f>
        <v/>
      </c>
      <c r="E4258" s="23" t="str">
        <f aca="false">IF(A4258="","",DATE(YEAR(A4258),MONTH(A4258),1))</f>
        <v/>
      </c>
    </row>
    <row r="4259" customFormat="false" ht="15" hidden="false" customHeight="false" outlineLevel="0" collapsed="false">
      <c r="A4259" s="21"/>
      <c r="B4259" s="4"/>
      <c r="C4259" s="22"/>
      <c r="D4259" s="5" t="str">
        <f aca="false">IF(B4259="","",IFERROR(INDEX(DE_PARA!$B$6:$B$205,MATCH(B4259,DE_PARA!$A$6:$A$205,0)),"SEM DE-PARA"))</f>
        <v/>
      </c>
      <c r="E4259" s="23" t="str">
        <f aca="false">IF(A4259="","",DATE(YEAR(A4259),MONTH(A4259),1))</f>
        <v/>
      </c>
    </row>
    <row r="4260" customFormat="false" ht="15" hidden="false" customHeight="false" outlineLevel="0" collapsed="false">
      <c r="A4260" s="21"/>
      <c r="B4260" s="4"/>
      <c r="C4260" s="22"/>
      <c r="D4260" s="5" t="str">
        <f aca="false">IF(B4260="","",IFERROR(INDEX(DE_PARA!$B$6:$B$205,MATCH(B4260,DE_PARA!$A$6:$A$205,0)),"SEM DE-PARA"))</f>
        <v/>
      </c>
      <c r="E4260" s="23" t="str">
        <f aca="false">IF(A4260="","",DATE(YEAR(A4260),MONTH(A4260),1))</f>
        <v/>
      </c>
    </row>
    <row r="4261" customFormat="false" ht="15" hidden="false" customHeight="false" outlineLevel="0" collapsed="false">
      <c r="A4261" s="21"/>
      <c r="B4261" s="4"/>
      <c r="C4261" s="22"/>
      <c r="D4261" s="5" t="str">
        <f aca="false">IF(B4261="","",IFERROR(INDEX(DE_PARA!$B$6:$B$205,MATCH(B4261,DE_PARA!$A$6:$A$205,0)),"SEM DE-PARA"))</f>
        <v/>
      </c>
      <c r="E4261" s="23" t="str">
        <f aca="false">IF(A4261="","",DATE(YEAR(A4261),MONTH(A4261),1))</f>
        <v/>
      </c>
    </row>
    <row r="4262" customFormat="false" ht="15" hidden="false" customHeight="false" outlineLevel="0" collapsed="false">
      <c r="A4262" s="21"/>
      <c r="B4262" s="4"/>
      <c r="C4262" s="22"/>
      <c r="D4262" s="5" t="str">
        <f aca="false">IF(B4262="","",IFERROR(INDEX(DE_PARA!$B$6:$B$205,MATCH(B4262,DE_PARA!$A$6:$A$205,0)),"SEM DE-PARA"))</f>
        <v/>
      </c>
      <c r="E4262" s="23" t="str">
        <f aca="false">IF(A4262="","",DATE(YEAR(A4262),MONTH(A4262),1))</f>
        <v/>
      </c>
    </row>
    <row r="4263" customFormat="false" ht="15" hidden="false" customHeight="false" outlineLevel="0" collapsed="false">
      <c r="A4263" s="21"/>
      <c r="B4263" s="4"/>
      <c r="C4263" s="22"/>
      <c r="D4263" s="5" t="str">
        <f aca="false">IF(B4263="","",IFERROR(INDEX(DE_PARA!$B$6:$B$205,MATCH(B4263,DE_PARA!$A$6:$A$205,0)),"SEM DE-PARA"))</f>
        <v/>
      </c>
      <c r="E4263" s="23" t="str">
        <f aca="false">IF(A4263="","",DATE(YEAR(A4263),MONTH(A4263),1))</f>
        <v/>
      </c>
    </row>
    <row r="4264" customFormat="false" ht="15" hidden="false" customHeight="false" outlineLevel="0" collapsed="false">
      <c r="A4264" s="21"/>
      <c r="B4264" s="4"/>
      <c r="C4264" s="22"/>
      <c r="D4264" s="5" t="str">
        <f aca="false">IF(B4264="","",IFERROR(INDEX(DE_PARA!$B$6:$B$205,MATCH(B4264,DE_PARA!$A$6:$A$205,0)),"SEM DE-PARA"))</f>
        <v/>
      </c>
      <c r="E4264" s="23" t="str">
        <f aca="false">IF(A4264="","",DATE(YEAR(A4264),MONTH(A4264),1))</f>
        <v/>
      </c>
    </row>
    <row r="4265" customFormat="false" ht="15" hidden="false" customHeight="false" outlineLevel="0" collapsed="false">
      <c r="A4265" s="21"/>
      <c r="B4265" s="4"/>
      <c r="C4265" s="22"/>
      <c r="D4265" s="5" t="str">
        <f aca="false">IF(B4265="","",IFERROR(INDEX(DE_PARA!$B$6:$B$205,MATCH(B4265,DE_PARA!$A$6:$A$205,0)),"SEM DE-PARA"))</f>
        <v/>
      </c>
      <c r="E4265" s="23" t="str">
        <f aca="false">IF(A4265="","",DATE(YEAR(A4265),MONTH(A4265),1))</f>
        <v/>
      </c>
    </row>
    <row r="4266" customFormat="false" ht="15" hidden="false" customHeight="false" outlineLevel="0" collapsed="false">
      <c r="A4266" s="21"/>
      <c r="B4266" s="4"/>
      <c r="C4266" s="22"/>
      <c r="D4266" s="5" t="str">
        <f aca="false">IF(B4266="","",IFERROR(INDEX(DE_PARA!$B$6:$B$205,MATCH(B4266,DE_PARA!$A$6:$A$205,0)),"SEM DE-PARA"))</f>
        <v/>
      </c>
      <c r="E4266" s="23" t="str">
        <f aca="false">IF(A4266="","",DATE(YEAR(A4266),MONTH(A4266),1))</f>
        <v/>
      </c>
    </row>
    <row r="4267" customFormat="false" ht="15" hidden="false" customHeight="false" outlineLevel="0" collapsed="false">
      <c r="A4267" s="21"/>
      <c r="B4267" s="4"/>
      <c r="C4267" s="22"/>
      <c r="D4267" s="5" t="str">
        <f aca="false">IF(B4267="","",IFERROR(INDEX(DE_PARA!$B$6:$B$205,MATCH(B4267,DE_PARA!$A$6:$A$205,0)),"SEM DE-PARA"))</f>
        <v/>
      </c>
      <c r="E4267" s="23" t="str">
        <f aca="false">IF(A4267="","",DATE(YEAR(A4267),MONTH(A4267),1))</f>
        <v/>
      </c>
    </row>
    <row r="4268" customFormat="false" ht="15" hidden="false" customHeight="false" outlineLevel="0" collapsed="false">
      <c r="A4268" s="21"/>
      <c r="B4268" s="4"/>
      <c r="C4268" s="22"/>
      <c r="D4268" s="5" t="str">
        <f aca="false">IF(B4268="","",IFERROR(INDEX(DE_PARA!$B$6:$B$205,MATCH(B4268,DE_PARA!$A$6:$A$205,0)),"SEM DE-PARA"))</f>
        <v/>
      </c>
      <c r="E4268" s="23" t="str">
        <f aca="false">IF(A4268="","",DATE(YEAR(A4268),MONTH(A4268),1))</f>
        <v/>
      </c>
    </row>
    <row r="4269" customFormat="false" ht="15" hidden="false" customHeight="false" outlineLevel="0" collapsed="false">
      <c r="A4269" s="21"/>
      <c r="B4269" s="4"/>
      <c r="C4269" s="22"/>
      <c r="D4269" s="5" t="str">
        <f aca="false">IF(B4269="","",IFERROR(INDEX(DE_PARA!$B$6:$B$205,MATCH(B4269,DE_PARA!$A$6:$A$205,0)),"SEM DE-PARA"))</f>
        <v/>
      </c>
      <c r="E4269" s="23" t="str">
        <f aca="false">IF(A4269="","",DATE(YEAR(A4269),MONTH(A4269),1))</f>
        <v/>
      </c>
    </row>
    <row r="4270" customFormat="false" ht="15" hidden="false" customHeight="false" outlineLevel="0" collapsed="false">
      <c r="A4270" s="21"/>
      <c r="B4270" s="4"/>
      <c r="C4270" s="22"/>
      <c r="D4270" s="5" t="str">
        <f aca="false">IF(B4270="","",IFERROR(INDEX(DE_PARA!$B$6:$B$205,MATCH(B4270,DE_PARA!$A$6:$A$205,0)),"SEM DE-PARA"))</f>
        <v/>
      </c>
      <c r="E4270" s="23" t="str">
        <f aca="false">IF(A4270="","",DATE(YEAR(A4270),MONTH(A4270),1))</f>
        <v/>
      </c>
    </row>
    <row r="4271" customFormat="false" ht="15" hidden="false" customHeight="false" outlineLevel="0" collapsed="false">
      <c r="A4271" s="21"/>
      <c r="B4271" s="4"/>
      <c r="C4271" s="22"/>
      <c r="D4271" s="5" t="str">
        <f aca="false">IF(B4271="","",IFERROR(INDEX(DE_PARA!$B$6:$B$205,MATCH(B4271,DE_PARA!$A$6:$A$205,0)),"SEM DE-PARA"))</f>
        <v/>
      </c>
      <c r="E4271" s="23" t="str">
        <f aca="false">IF(A4271="","",DATE(YEAR(A4271),MONTH(A4271),1))</f>
        <v/>
      </c>
    </row>
    <row r="4272" customFormat="false" ht="15" hidden="false" customHeight="false" outlineLevel="0" collapsed="false">
      <c r="A4272" s="21"/>
      <c r="B4272" s="4"/>
      <c r="C4272" s="22"/>
      <c r="D4272" s="5" t="str">
        <f aca="false">IF(B4272="","",IFERROR(INDEX(DE_PARA!$B$6:$B$205,MATCH(B4272,DE_PARA!$A$6:$A$205,0)),"SEM DE-PARA"))</f>
        <v/>
      </c>
      <c r="E4272" s="23" t="str">
        <f aca="false">IF(A4272="","",DATE(YEAR(A4272),MONTH(A4272),1))</f>
        <v/>
      </c>
    </row>
    <row r="4273" customFormat="false" ht="15" hidden="false" customHeight="false" outlineLevel="0" collapsed="false">
      <c r="A4273" s="21"/>
      <c r="B4273" s="4"/>
      <c r="C4273" s="22"/>
      <c r="D4273" s="5" t="str">
        <f aca="false">IF(B4273="","",IFERROR(INDEX(DE_PARA!$B$6:$B$205,MATCH(B4273,DE_PARA!$A$6:$A$205,0)),"SEM DE-PARA"))</f>
        <v/>
      </c>
      <c r="E4273" s="23" t="str">
        <f aca="false">IF(A4273="","",DATE(YEAR(A4273),MONTH(A4273),1))</f>
        <v/>
      </c>
    </row>
    <row r="4274" customFormat="false" ht="15" hidden="false" customHeight="false" outlineLevel="0" collapsed="false">
      <c r="A4274" s="21"/>
      <c r="B4274" s="4"/>
      <c r="C4274" s="22"/>
      <c r="D4274" s="5" t="str">
        <f aca="false">IF(B4274="","",IFERROR(INDEX(DE_PARA!$B$6:$B$205,MATCH(B4274,DE_PARA!$A$6:$A$205,0)),"SEM DE-PARA"))</f>
        <v/>
      </c>
      <c r="E4274" s="23" t="str">
        <f aca="false">IF(A4274="","",DATE(YEAR(A4274),MONTH(A4274),1))</f>
        <v/>
      </c>
    </row>
    <row r="4275" customFormat="false" ht="15" hidden="false" customHeight="false" outlineLevel="0" collapsed="false">
      <c r="A4275" s="21"/>
      <c r="B4275" s="4"/>
      <c r="C4275" s="22"/>
      <c r="D4275" s="5" t="str">
        <f aca="false">IF(B4275="","",IFERROR(INDEX(DE_PARA!$B$6:$B$205,MATCH(B4275,DE_PARA!$A$6:$A$205,0)),"SEM DE-PARA"))</f>
        <v/>
      </c>
      <c r="E4275" s="23" t="str">
        <f aca="false">IF(A4275="","",DATE(YEAR(A4275),MONTH(A4275),1))</f>
        <v/>
      </c>
    </row>
    <row r="4276" customFormat="false" ht="15" hidden="false" customHeight="false" outlineLevel="0" collapsed="false">
      <c r="A4276" s="21"/>
      <c r="B4276" s="4"/>
      <c r="C4276" s="22"/>
      <c r="D4276" s="5" t="str">
        <f aca="false">IF(B4276="","",IFERROR(INDEX(DE_PARA!$B$6:$B$205,MATCH(B4276,DE_PARA!$A$6:$A$205,0)),"SEM DE-PARA"))</f>
        <v/>
      </c>
      <c r="E4276" s="23" t="str">
        <f aca="false">IF(A4276="","",DATE(YEAR(A4276),MONTH(A4276),1))</f>
        <v/>
      </c>
    </row>
    <row r="4277" customFormat="false" ht="15" hidden="false" customHeight="false" outlineLevel="0" collapsed="false">
      <c r="A4277" s="21"/>
      <c r="B4277" s="4"/>
      <c r="C4277" s="22"/>
      <c r="D4277" s="5" t="str">
        <f aca="false">IF(B4277="","",IFERROR(INDEX(DE_PARA!$B$6:$B$205,MATCH(B4277,DE_PARA!$A$6:$A$205,0)),"SEM DE-PARA"))</f>
        <v/>
      </c>
      <c r="E4277" s="23" t="str">
        <f aca="false">IF(A4277="","",DATE(YEAR(A4277),MONTH(A4277),1))</f>
        <v/>
      </c>
    </row>
    <row r="4278" customFormat="false" ht="15" hidden="false" customHeight="false" outlineLevel="0" collapsed="false">
      <c r="A4278" s="21"/>
      <c r="B4278" s="4"/>
      <c r="C4278" s="22"/>
      <c r="D4278" s="5" t="str">
        <f aca="false">IF(B4278="","",IFERROR(INDEX(DE_PARA!$B$6:$B$205,MATCH(B4278,DE_PARA!$A$6:$A$205,0)),"SEM DE-PARA"))</f>
        <v/>
      </c>
      <c r="E4278" s="23" t="str">
        <f aca="false">IF(A4278="","",DATE(YEAR(A4278),MONTH(A4278),1))</f>
        <v/>
      </c>
    </row>
    <row r="4279" customFormat="false" ht="15" hidden="false" customHeight="false" outlineLevel="0" collapsed="false">
      <c r="A4279" s="21"/>
      <c r="B4279" s="4"/>
      <c r="C4279" s="22"/>
      <c r="D4279" s="5" t="str">
        <f aca="false">IF(B4279="","",IFERROR(INDEX(DE_PARA!$B$6:$B$205,MATCH(B4279,DE_PARA!$A$6:$A$205,0)),"SEM DE-PARA"))</f>
        <v/>
      </c>
      <c r="E4279" s="23" t="str">
        <f aca="false">IF(A4279="","",DATE(YEAR(A4279),MONTH(A4279),1))</f>
        <v/>
      </c>
    </row>
    <row r="4280" customFormat="false" ht="15" hidden="false" customHeight="false" outlineLevel="0" collapsed="false">
      <c r="A4280" s="21"/>
      <c r="B4280" s="4"/>
      <c r="C4280" s="22"/>
      <c r="D4280" s="5" t="str">
        <f aca="false">IF(B4280="","",IFERROR(INDEX(DE_PARA!$B$6:$B$205,MATCH(B4280,DE_PARA!$A$6:$A$205,0)),"SEM DE-PARA"))</f>
        <v/>
      </c>
      <c r="E4280" s="23" t="str">
        <f aca="false">IF(A4280="","",DATE(YEAR(A4280),MONTH(A4280),1))</f>
        <v/>
      </c>
    </row>
    <row r="4281" customFormat="false" ht="15" hidden="false" customHeight="false" outlineLevel="0" collapsed="false">
      <c r="A4281" s="21"/>
      <c r="B4281" s="4"/>
      <c r="C4281" s="22"/>
      <c r="D4281" s="5" t="str">
        <f aca="false">IF(B4281="","",IFERROR(INDEX(DE_PARA!$B$6:$B$205,MATCH(B4281,DE_PARA!$A$6:$A$205,0)),"SEM DE-PARA"))</f>
        <v/>
      </c>
      <c r="E4281" s="23" t="str">
        <f aca="false">IF(A4281="","",DATE(YEAR(A4281),MONTH(A4281),1))</f>
        <v/>
      </c>
    </row>
    <row r="4282" customFormat="false" ht="15" hidden="false" customHeight="false" outlineLevel="0" collapsed="false">
      <c r="A4282" s="21"/>
      <c r="B4282" s="4"/>
      <c r="C4282" s="22"/>
      <c r="D4282" s="5" t="str">
        <f aca="false">IF(B4282="","",IFERROR(INDEX(DE_PARA!$B$6:$B$205,MATCH(B4282,DE_PARA!$A$6:$A$205,0)),"SEM DE-PARA"))</f>
        <v/>
      </c>
      <c r="E4282" s="23" t="str">
        <f aca="false">IF(A4282="","",DATE(YEAR(A4282),MONTH(A4282),1))</f>
        <v/>
      </c>
    </row>
    <row r="4283" customFormat="false" ht="15" hidden="false" customHeight="false" outlineLevel="0" collapsed="false">
      <c r="A4283" s="21"/>
      <c r="B4283" s="4"/>
      <c r="C4283" s="22"/>
      <c r="D4283" s="5" t="str">
        <f aca="false">IF(B4283="","",IFERROR(INDEX(DE_PARA!$B$6:$B$205,MATCH(B4283,DE_PARA!$A$6:$A$205,0)),"SEM DE-PARA"))</f>
        <v/>
      </c>
      <c r="E4283" s="23" t="str">
        <f aca="false">IF(A4283="","",DATE(YEAR(A4283),MONTH(A4283),1))</f>
        <v/>
      </c>
    </row>
    <row r="4284" customFormat="false" ht="15" hidden="false" customHeight="false" outlineLevel="0" collapsed="false">
      <c r="A4284" s="21"/>
      <c r="B4284" s="4"/>
      <c r="C4284" s="22"/>
      <c r="D4284" s="5" t="str">
        <f aca="false">IF(B4284="","",IFERROR(INDEX(DE_PARA!$B$6:$B$205,MATCH(B4284,DE_PARA!$A$6:$A$205,0)),"SEM DE-PARA"))</f>
        <v/>
      </c>
      <c r="E4284" s="23" t="str">
        <f aca="false">IF(A4284="","",DATE(YEAR(A4284),MONTH(A4284),1))</f>
        <v/>
      </c>
    </row>
    <row r="4285" customFormat="false" ht="15" hidden="false" customHeight="false" outlineLevel="0" collapsed="false">
      <c r="A4285" s="21"/>
      <c r="B4285" s="4"/>
      <c r="C4285" s="22"/>
      <c r="D4285" s="5" t="str">
        <f aca="false">IF(B4285="","",IFERROR(INDEX(DE_PARA!$B$6:$B$205,MATCH(B4285,DE_PARA!$A$6:$A$205,0)),"SEM DE-PARA"))</f>
        <v/>
      </c>
      <c r="E4285" s="23" t="str">
        <f aca="false">IF(A4285="","",DATE(YEAR(A4285),MONTH(A4285),1))</f>
        <v/>
      </c>
    </row>
    <row r="4286" customFormat="false" ht="15" hidden="false" customHeight="false" outlineLevel="0" collapsed="false">
      <c r="A4286" s="21"/>
      <c r="B4286" s="4"/>
      <c r="C4286" s="22"/>
      <c r="D4286" s="5" t="str">
        <f aca="false">IF(B4286="","",IFERROR(INDEX(DE_PARA!$B$6:$B$205,MATCH(B4286,DE_PARA!$A$6:$A$205,0)),"SEM DE-PARA"))</f>
        <v/>
      </c>
      <c r="E4286" s="23" t="str">
        <f aca="false">IF(A4286="","",DATE(YEAR(A4286),MONTH(A4286),1))</f>
        <v/>
      </c>
    </row>
    <row r="4287" customFormat="false" ht="15" hidden="false" customHeight="false" outlineLevel="0" collapsed="false">
      <c r="A4287" s="21"/>
      <c r="B4287" s="4"/>
      <c r="C4287" s="22"/>
      <c r="D4287" s="5" t="str">
        <f aca="false">IF(B4287="","",IFERROR(INDEX(DE_PARA!$B$6:$B$205,MATCH(B4287,DE_PARA!$A$6:$A$205,0)),"SEM DE-PARA"))</f>
        <v/>
      </c>
      <c r="E4287" s="23" t="str">
        <f aca="false">IF(A4287="","",DATE(YEAR(A4287),MONTH(A4287),1))</f>
        <v/>
      </c>
    </row>
    <row r="4288" customFormat="false" ht="15" hidden="false" customHeight="false" outlineLevel="0" collapsed="false">
      <c r="A4288" s="21"/>
      <c r="B4288" s="4"/>
      <c r="C4288" s="22"/>
      <c r="D4288" s="5" t="str">
        <f aca="false">IF(B4288="","",IFERROR(INDEX(DE_PARA!$B$6:$B$205,MATCH(B4288,DE_PARA!$A$6:$A$205,0)),"SEM DE-PARA"))</f>
        <v/>
      </c>
      <c r="E4288" s="23" t="str">
        <f aca="false">IF(A4288="","",DATE(YEAR(A4288),MONTH(A4288),1))</f>
        <v/>
      </c>
    </row>
    <row r="4289" customFormat="false" ht="15" hidden="false" customHeight="false" outlineLevel="0" collapsed="false">
      <c r="A4289" s="21"/>
      <c r="B4289" s="4"/>
      <c r="C4289" s="22"/>
      <c r="D4289" s="5" t="str">
        <f aca="false">IF(B4289="","",IFERROR(INDEX(DE_PARA!$B$6:$B$205,MATCH(B4289,DE_PARA!$A$6:$A$205,0)),"SEM DE-PARA"))</f>
        <v/>
      </c>
      <c r="E4289" s="23" t="str">
        <f aca="false">IF(A4289="","",DATE(YEAR(A4289),MONTH(A4289),1))</f>
        <v/>
      </c>
    </row>
    <row r="4290" customFormat="false" ht="15" hidden="false" customHeight="false" outlineLevel="0" collapsed="false">
      <c r="A4290" s="21"/>
      <c r="B4290" s="4"/>
      <c r="C4290" s="22"/>
      <c r="D4290" s="5" t="str">
        <f aca="false">IF(B4290="","",IFERROR(INDEX(DE_PARA!$B$6:$B$205,MATCH(B4290,DE_PARA!$A$6:$A$205,0)),"SEM DE-PARA"))</f>
        <v/>
      </c>
      <c r="E4290" s="23" t="str">
        <f aca="false">IF(A4290="","",DATE(YEAR(A4290),MONTH(A4290),1))</f>
        <v/>
      </c>
    </row>
    <row r="4291" customFormat="false" ht="15" hidden="false" customHeight="false" outlineLevel="0" collapsed="false">
      <c r="A4291" s="21"/>
      <c r="B4291" s="4"/>
      <c r="C4291" s="22"/>
      <c r="D4291" s="5" t="str">
        <f aca="false">IF(B4291="","",IFERROR(INDEX(DE_PARA!$B$6:$B$205,MATCH(B4291,DE_PARA!$A$6:$A$205,0)),"SEM DE-PARA"))</f>
        <v/>
      </c>
      <c r="E4291" s="23" t="str">
        <f aca="false">IF(A4291="","",DATE(YEAR(A4291),MONTH(A4291),1))</f>
        <v/>
      </c>
    </row>
    <row r="4292" customFormat="false" ht="15" hidden="false" customHeight="false" outlineLevel="0" collapsed="false">
      <c r="A4292" s="21"/>
      <c r="B4292" s="4"/>
      <c r="C4292" s="22"/>
      <c r="D4292" s="5" t="str">
        <f aca="false">IF(B4292="","",IFERROR(INDEX(DE_PARA!$B$6:$B$205,MATCH(B4292,DE_PARA!$A$6:$A$205,0)),"SEM DE-PARA"))</f>
        <v/>
      </c>
      <c r="E4292" s="23" t="str">
        <f aca="false">IF(A4292="","",DATE(YEAR(A4292),MONTH(A4292),1))</f>
        <v/>
      </c>
    </row>
    <row r="4293" customFormat="false" ht="15" hidden="false" customHeight="false" outlineLevel="0" collapsed="false">
      <c r="A4293" s="21"/>
      <c r="B4293" s="4"/>
      <c r="C4293" s="22"/>
      <c r="D4293" s="5" t="str">
        <f aca="false">IF(B4293="","",IFERROR(INDEX(DE_PARA!$B$6:$B$205,MATCH(B4293,DE_PARA!$A$6:$A$205,0)),"SEM DE-PARA"))</f>
        <v/>
      </c>
      <c r="E4293" s="23" t="str">
        <f aca="false">IF(A4293="","",DATE(YEAR(A4293),MONTH(A4293),1))</f>
        <v/>
      </c>
    </row>
    <row r="4294" customFormat="false" ht="15" hidden="false" customHeight="false" outlineLevel="0" collapsed="false">
      <c r="A4294" s="21"/>
      <c r="B4294" s="4"/>
      <c r="C4294" s="22"/>
      <c r="D4294" s="5" t="str">
        <f aca="false">IF(B4294="","",IFERROR(INDEX(DE_PARA!$B$6:$B$205,MATCH(B4294,DE_PARA!$A$6:$A$205,0)),"SEM DE-PARA"))</f>
        <v/>
      </c>
      <c r="E4294" s="23" t="str">
        <f aca="false">IF(A4294="","",DATE(YEAR(A4294),MONTH(A4294),1))</f>
        <v/>
      </c>
    </row>
    <row r="4295" customFormat="false" ht="15" hidden="false" customHeight="false" outlineLevel="0" collapsed="false">
      <c r="A4295" s="21"/>
      <c r="B4295" s="4"/>
      <c r="C4295" s="22"/>
      <c r="D4295" s="5" t="str">
        <f aca="false">IF(B4295="","",IFERROR(INDEX(DE_PARA!$B$6:$B$205,MATCH(B4295,DE_PARA!$A$6:$A$205,0)),"SEM DE-PARA"))</f>
        <v/>
      </c>
      <c r="E4295" s="23" t="str">
        <f aca="false">IF(A4295="","",DATE(YEAR(A4295),MONTH(A4295),1))</f>
        <v/>
      </c>
    </row>
    <row r="4296" customFormat="false" ht="15" hidden="false" customHeight="false" outlineLevel="0" collapsed="false">
      <c r="A4296" s="21"/>
      <c r="B4296" s="4"/>
      <c r="C4296" s="22"/>
      <c r="D4296" s="5" t="str">
        <f aca="false">IF(B4296="","",IFERROR(INDEX(DE_PARA!$B$6:$B$205,MATCH(B4296,DE_PARA!$A$6:$A$205,0)),"SEM DE-PARA"))</f>
        <v/>
      </c>
      <c r="E4296" s="23" t="str">
        <f aca="false">IF(A4296="","",DATE(YEAR(A4296),MONTH(A4296),1))</f>
        <v/>
      </c>
    </row>
    <row r="4297" customFormat="false" ht="15" hidden="false" customHeight="false" outlineLevel="0" collapsed="false">
      <c r="A4297" s="21"/>
      <c r="B4297" s="4"/>
      <c r="C4297" s="22"/>
      <c r="D4297" s="5" t="str">
        <f aca="false">IF(B4297="","",IFERROR(INDEX(DE_PARA!$B$6:$B$205,MATCH(B4297,DE_PARA!$A$6:$A$205,0)),"SEM DE-PARA"))</f>
        <v/>
      </c>
      <c r="E4297" s="23" t="str">
        <f aca="false">IF(A4297="","",DATE(YEAR(A4297),MONTH(A4297),1))</f>
        <v/>
      </c>
    </row>
    <row r="4298" customFormat="false" ht="15" hidden="false" customHeight="false" outlineLevel="0" collapsed="false">
      <c r="A4298" s="21"/>
      <c r="B4298" s="4"/>
      <c r="C4298" s="22"/>
      <c r="D4298" s="5" t="str">
        <f aca="false">IF(B4298="","",IFERROR(INDEX(DE_PARA!$B$6:$B$205,MATCH(B4298,DE_PARA!$A$6:$A$205,0)),"SEM DE-PARA"))</f>
        <v/>
      </c>
      <c r="E4298" s="23" t="str">
        <f aca="false">IF(A4298="","",DATE(YEAR(A4298),MONTH(A4298),1))</f>
        <v/>
      </c>
    </row>
    <row r="4299" customFormat="false" ht="15" hidden="false" customHeight="false" outlineLevel="0" collapsed="false">
      <c r="A4299" s="21"/>
      <c r="B4299" s="4"/>
      <c r="C4299" s="22"/>
      <c r="D4299" s="5" t="str">
        <f aca="false">IF(B4299="","",IFERROR(INDEX(DE_PARA!$B$6:$B$205,MATCH(B4299,DE_PARA!$A$6:$A$205,0)),"SEM DE-PARA"))</f>
        <v/>
      </c>
      <c r="E4299" s="23" t="str">
        <f aca="false">IF(A4299="","",DATE(YEAR(A4299),MONTH(A4299),1))</f>
        <v/>
      </c>
    </row>
    <row r="4300" customFormat="false" ht="15" hidden="false" customHeight="false" outlineLevel="0" collapsed="false">
      <c r="A4300" s="21"/>
      <c r="B4300" s="4"/>
      <c r="C4300" s="22"/>
      <c r="D4300" s="5" t="str">
        <f aca="false">IF(B4300="","",IFERROR(INDEX(DE_PARA!$B$6:$B$205,MATCH(B4300,DE_PARA!$A$6:$A$205,0)),"SEM DE-PARA"))</f>
        <v/>
      </c>
      <c r="E4300" s="23" t="str">
        <f aca="false">IF(A4300="","",DATE(YEAR(A4300),MONTH(A4300),1))</f>
        <v/>
      </c>
    </row>
    <row r="4301" customFormat="false" ht="15" hidden="false" customHeight="false" outlineLevel="0" collapsed="false">
      <c r="A4301" s="21"/>
      <c r="B4301" s="4"/>
      <c r="C4301" s="22"/>
      <c r="D4301" s="5" t="str">
        <f aca="false">IF(B4301="","",IFERROR(INDEX(DE_PARA!$B$6:$B$205,MATCH(B4301,DE_PARA!$A$6:$A$205,0)),"SEM DE-PARA"))</f>
        <v/>
      </c>
      <c r="E4301" s="23" t="str">
        <f aca="false">IF(A4301="","",DATE(YEAR(A4301),MONTH(A4301),1))</f>
        <v/>
      </c>
    </row>
    <row r="4302" customFormat="false" ht="15" hidden="false" customHeight="false" outlineLevel="0" collapsed="false">
      <c r="A4302" s="21"/>
      <c r="B4302" s="4"/>
      <c r="C4302" s="22"/>
      <c r="D4302" s="5" t="str">
        <f aca="false">IF(B4302="","",IFERROR(INDEX(DE_PARA!$B$6:$B$205,MATCH(B4302,DE_PARA!$A$6:$A$205,0)),"SEM DE-PARA"))</f>
        <v/>
      </c>
      <c r="E4302" s="23" t="str">
        <f aca="false">IF(A4302="","",DATE(YEAR(A4302),MONTH(A4302),1))</f>
        <v/>
      </c>
    </row>
    <row r="4303" customFormat="false" ht="15" hidden="false" customHeight="false" outlineLevel="0" collapsed="false">
      <c r="A4303" s="21"/>
      <c r="B4303" s="4"/>
      <c r="C4303" s="22"/>
      <c r="D4303" s="5" t="str">
        <f aca="false">IF(B4303="","",IFERROR(INDEX(DE_PARA!$B$6:$B$205,MATCH(B4303,DE_PARA!$A$6:$A$205,0)),"SEM DE-PARA"))</f>
        <v/>
      </c>
      <c r="E4303" s="23" t="str">
        <f aca="false">IF(A4303="","",DATE(YEAR(A4303),MONTH(A4303),1))</f>
        <v/>
      </c>
    </row>
    <row r="4304" customFormat="false" ht="15" hidden="false" customHeight="false" outlineLevel="0" collapsed="false">
      <c r="A4304" s="21"/>
      <c r="B4304" s="4"/>
      <c r="C4304" s="22"/>
      <c r="D4304" s="5" t="str">
        <f aca="false">IF(B4304="","",IFERROR(INDEX(DE_PARA!$B$6:$B$205,MATCH(B4304,DE_PARA!$A$6:$A$205,0)),"SEM DE-PARA"))</f>
        <v/>
      </c>
      <c r="E4304" s="23" t="str">
        <f aca="false">IF(A4304="","",DATE(YEAR(A4304),MONTH(A4304),1))</f>
        <v/>
      </c>
    </row>
    <row r="4305" customFormat="false" ht="15" hidden="false" customHeight="false" outlineLevel="0" collapsed="false">
      <c r="A4305" s="21"/>
      <c r="B4305" s="4"/>
      <c r="C4305" s="22"/>
      <c r="D4305" s="5" t="str">
        <f aca="false">IF(B4305="","",IFERROR(INDEX(DE_PARA!$B$6:$B$205,MATCH(B4305,DE_PARA!$A$6:$A$205,0)),"SEM DE-PARA"))</f>
        <v/>
      </c>
      <c r="E4305" s="23" t="str">
        <f aca="false">IF(A4305="","",DATE(YEAR(A4305),MONTH(A4305),1))</f>
        <v/>
      </c>
    </row>
    <row r="4306" customFormat="false" ht="15" hidden="false" customHeight="false" outlineLevel="0" collapsed="false">
      <c r="A4306" s="21"/>
      <c r="B4306" s="4"/>
      <c r="C4306" s="22"/>
      <c r="D4306" s="5" t="str">
        <f aca="false">IF(B4306="","",IFERROR(INDEX(DE_PARA!$B$6:$B$205,MATCH(B4306,DE_PARA!$A$6:$A$205,0)),"SEM DE-PARA"))</f>
        <v/>
      </c>
      <c r="E4306" s="23" t="str">
        <f aca="false">IF(A4306="","",DATE(YEAR(A4306),MONTH(A4306),1))</f>
        <v/>
      </c>
    </row>
    <row r="4307" customFormat="false" ht="15" hidden="false" customHeight="false" outlineLevel="0" collapsed="false">
      <c r="A4307" s="21"/>
      <c r="B4307" s="4"/>
      <c r="C4307" s="22"/>
      <c r="D4307" s="5" t="str">
        <f aca="false">IF(B4307="","",IFERROR(INDEX(DE_PARA!$B$6:$B$205,MATCH(B4307,DE_PARA!$A$6:$A$205,0)),"SEM DE-PARA"))</f>
        <v/>
      </c>
      <c r="E4307" s="23" t="str">
        <f aca="false">IF(A4307="","",DATE(YEAR(A4307),MONTH(A4307),1))</f>
        <v/>
      </c>
    </row>
    <row r="4308" customFormat="false" ht="15" hidden="false" customHeight="false" outlineLevel="0" collapsed="false">
      <c r="A4308" s="21"/>
      <c r="B4308" s="4"/>
      <c r="C4308" s="22"/>
      <c r="D4308" s="5" t="str">
        <f aca="false">IF(B4308="","",IFERROR(INDEX(DE_PARA!$B$6:$B$205,MATCH(B4308,DE_PARA!$A$6:$A$205,0)),"SEM DE-PARA"))</f>
        <v/>
      </c>
      <c r="E4308" s="23" t="str">
        <f aca="false">IF(A4308="","",DATE(YEAR(A4308),MONTH(A4308),1))</f>
        <v/>
      </c>
    </row>
    <row r="4309" customFormat="false" ht="15" hidden="false" customHeight="false" outlineLevel="0" collapsed="false">
      <c r="A4309" s="21"/>
      <c r="B4309" s="4"/>
      <c r="C4309" s="22"/>
      <c r="D4309" s="5" t="str">
        <f aca="false">IF(B4309="","",IFERROR(INDEX(DE_PARA!$B$6:$B$205,MATCH(B4309,DE_PARA!$A$6:$A$205,0)),"SEM DE-PARA"))</f>
        <v/>
      </c>
      <c r="E4309" s="23" t="str">
        <f aca="false">IF(A4309="","",DATE(YEAR(A4309),MONTH(A4309),1))</f>
        <v/>
      </c>
    </row>
    <row r="4310" customFormat="false" ht="15" hidden="false" customHeight="false" outlineLevel="0" collapsed="false">
      <c r="A4310" s="21"/>
      <c r="B4310" s="4"/>
      <c r="C4310" s="22"/>
      <c r="D4310" s="5" t="str">
        <f aca="false">IF(B4310="","",IFERROR(INDEX(DE_PARA!$B$6:$B$205,MATCH(B4310,DE_PARA!$A$6:$A$205,0)),"SEM DE-PARA"))</f>
        <v/>
      </c>
      <c r="E4310" s="23" t="str">
        <f aca="false">IF(A4310="","",DATE(YEAR(A4310),MONTH(A4310),1))</f>
        <v/>
      </c>
    </row>
    <row r="4311" customFormat="false" ht="15" hidden="false" customHeight="false" outlineLevel="0" collapsed="false">
      <c r="A4311" s="21"/>
      <c r="B4311" s="4"/>
      <c r="C4311" s="22"/>
      <c r="D4311" s="5" t="str">
        <f aca="false">IF(B4311="","",IFERROR(INDEX(DE_PARA!$B$6:$B$205,MATCH(B4311,DE_PARA!$A$6:$A$205,0)),"SEM DE-PARA"))</f>
        <v/>
      </c>
      <c r="E4311" s="23" t="str">
        <f aca="false">IF(A4311="","",DATE(YEAR(A4311),MONTH(A4311),1))</f>
        <v/>
      </c>
    </row>
    <row r="4312" customFormat="false" ht="15" hidden="false" customHeight="false" outlineLevel="0" collapsed="false">
      <c r="A4312" s="21"/>
      <c r="B4312" s="4"/>
      <c r="C4312" s="22"/>
      <c r="D4312" s="5" t="str">
        <f aca="false">IF(B4312="","",IFERROR(INDEX(DE_PARA!$B$6:$B$205,MATCH(B4312,DE_PARA!$A$6:$A$205,0)),"SEM DE-PARA"))</f>
        <v/>
      </c>
      <c r="E4312" s="23" t="str">
        <f aca="false">IF(A4312="","",DATE(YEAR(A4312),MONTH(A4312),1))</f>
        <v/>
      </c>
    </row>
    <row r="4313" customFormat="false" ht="15" hidden="false" customHeight="false" outlineLevel="0" collapsed="false">
      <c r="A4313" s="21"/>
      <c r="B4313" s="4"/>
      <c r="C4313" s="22"/>
      <c r="D4313" s="5" t="str">
        <f aca="false">IF(B4313="","",IFERROR(INDEX(DE_PARA!$B$6:$B$205,MATCH(B4313,DE_PARA!$A$6:$A$205,0)),"SEM DE-PARA"))</f>
        <v/>
      </c>
      <c r="E4313" s="23" t="str">
        <f aca="false">IF(A4313="","",DATE(YEAR(A4313),MONTH(A4313),1))</f>
        <v/>
      </c>
    </row>
    <row r="4314" customFormat="false" ht="15" hidden="false" customHeight="false" outlineLevel="0" collapsed="false">
      <c r="A4314" s="21"/>
      <c r="B4314" s="4"/>
      <c r="C4314" s="22"/>
      <c r="D4314" s="5" t="str">
        <f aca="false">IF(B4314="","",IFERROR(INDEX(DE_PARA!$B$6:$B$205,MATCH(B4314,DE_PARA!$A$6:$A$205,0)),"SEM DE-PARA"))</f>
        <v/>
      </c>
      <c r="E4314" s="23" t="str">
        <f aca="false">IF(A4314="","",DATE(YEAR(A4314),MONTH(A4314),1))</f>
        <v/>
      </c>
    </row>
    <row r="4315" customFormat="false" ht="15" hidden="false" customHeight="false" outlineLevel="0" collapsed="false">
      <c r="A4315" s="21"/>
      <c r="B4315" s="4"/>
      <c r="C4315" s="22"/>
      <c r="D4315" s="5" t="str">
        <f aca="false">IF(B4315="","",IFERROR(INDEX(DE_PARA!$B$6:$B$205,MATCH(B4315,DE_PARA!$A$6:$A$205,0)),"SEM DE-PARA"))</f>
        <v/>
      </c>
      <c r="E4315" s="23" t="str">
        <f aca="false">IF(A4315="","",DATE(YEAR(A4315),MONTH(A4315),1))</f>
        <v/>
      </c>
    </row>
    <row r="4316" customFormat="false" ht="15" hidden="false" customHeight="false" outlineLevel="0" collapsed="false">
      <c r="A4316" s="21"/>
      <c r="B4316" s="4"/>
      <c r="C4316" s="22"/>
      <c r="D4316" s="5" t="str">
        <f aca="false">IF(B4316="","",IFERROR(INDEX(DE_PARA!$B$6:$B$205,MATCH(B4316,DE_PARA!$A$6:$A$205,0)),"SEM DE-PARA"))</f>
        <v/>
      </c>
      <c r="E4316" s="23" t="str">
        <f aca="false">IF(A4316="","",DATE(YEAR(A4316),MONTH(A4316),1))</f>
        <v/>
      </c>
    </row>
    <row r="4317" customFormat="false" ht="15" hidden="false" customHeight="false" outlineLevel="0" collapsed="false">
      <c r="A4317" s="21"/>
      <c r="B4317" s="4"/>
      <c r="C4317" s="22"/>
      <c r="D4317" s="5" t="str">
        <f aca="false">IF(B4317="","",IFERROR(INDEX(DE_PARA!$B$6:$B$205,MATCH(B4317,DE_PARA!$A$6:$A$205,0)),"SEM DE-PARA"))</f>
        <v/>
      </c>
      <c r="E4317" s="23" t="str">
        <f aca="false">IF(A4317="","",DATE(YEAR(A4317),MONTH(A4317),1))</f>
        <v/>
      </c>
    </row>
    <row r="4318" customFormat="false" ht="15" hidden="false" customHeight="false" outlineLevel="0" collapsed="false">
      <c r="A4318" s="21"/>
      <c r="B4318" s="4"/>
      <c r="C4318" s="22"/>
      <c r="D4318" s="5" t="str">
        <f aca="false">IF(B4318="","",IFERROR(INDEX(DE_PARA!$B$6:$B$205,MATCH(B4318,DE_PARA!$A$6:$A$205,0)),"SEM DE-PARA"))</f>
        <v/>
      </c>
      <c r="E4318" s="23" t="str">
        <f aca="false">IF(A4318="","",DATE(YEAR(A4318),MONTH(A4318),1))</f>
        <v/>
      </c>
    </row>
    <row r="4319" customFormat="false" ht="15" hidden="false" customHeight="false" outlineLevel="0" collapsed="false">
      <c r="A4319" s="21"/>
      <c r="B4319" s="4"/>
      <c r="C4319" s="22"/>
      <c r="D4319" s="5" t="str">
        <f aca="false">IF(B4319="","",IFERROR(INDEX(DE_PARA!$B$6:$B$205,MATCH(B4319,DE_PARA!$A$6:$A$205,0)),"SEM DE-PARA"))</f>
        <v/>
      </c>
      <c r="E4319" s="23" t="str">
        <f aca="false">IF(A4319="","",DATE(YEAR(A4319),MONTH(A4319),1))</f>
        <v/>
      </c>
    </row>
    <row r="4320" customFormat="false" ht="15" hidden="false" customHeight="false" outlineLevel="0" collapsed="false">
      <c r="A4320" s="21"/>
      <c r="B4320" s="4"/>
      <c r="C4320" s="22"/>
      <c r="D4320" s="5" t="str">
        <f aca="false">IF(B4320="","",IFERROR(INDEX(DE_PARA!$B$6:$B$205,MATCH(B4320,DE_PARA!$A$6:$A$205,0)),"SEM DE-PARA"))</f>
        <v/>
      </c>
      <c r="E4320" s="23" t="str">
        <f aca="false">IF(A4320="","",DATE(YEAR(A4320),MONTH(A4320),1))</f>
        <v/>
      </c>
    </row>
    <row r="4321" customFormat="false" ht="15" hidden="false" customHeight="false" outlineLevel="0" collapsed="false">
      <c r="A4321" s="21"/>
      <c r="B4321" s="4"/>
      <c r="C4321" s="22"/>
      <c r="D4321" s="5" t="str">
        <f aca="false">IF(B4321="","",IFERROR(INDEX(DE_PARA!$B$6:$B$205,MATCH(B4321,DE_PARA!$A$6:$A$205,0)),"SEM DE-PARA"))</f>
        <v/>
      </c>
      <c r="E4321" s="23" t="str">
        <f aca="false">IF(A4321="","",DATE(YEAR(A4321),MONTH(A4321),1))</f>
        <v/>
      </c>
    </row>
    <row r="4322" customFormat="false" ht="15" hidden="false" customHeight="false" outlineLevel="0" collapsed="false">
      <c r="A4322" s="21"/>
      <c r="B4322" s="4"/>
      <c r="C4322" s="22"/>
      <c r="D4322" s="5" t="str">
        <f aca="false">IF(B4322="","",IFERROR(INDEX(DE_PARA!$B$6:$B$205,MATCH(B4322,DE_PARA!$A$6:$A$205,0)),"SEM DE-PARA"))</f>
        <v/>
      </c>
      <c r="E4322" s="23" t="str">
        <f aca="false">IF(A4322="","",DATE(YEAR(A4322),MONTH(A4322),1))</f>
        <v/>
      </c>
    </row>
    <row r="4323" customFormat="false" ht="15" hidden="false" customHeight="false" outlineLevel="0" collapsed="false">
      <c r="A4323" s="21"/>
      <c r="B4323" s="4"/>
      <c r="C4323" s="22"/>
      <c r="D4323" s="5" t="str">
        <f aca="false">IF(B4323="","",IFERROR(INDEX(DE_PARA!$B$6:$B$205,MATCH(B4323,DE_PARA!$A$6:$A$205,0)),"SEM DE-PARA"))</f>
        <v/>
      </c>
      <c r="E4323" s="23" t="str">
        <f aca="false">IF(A4323="","",DATE(YEAR(A4323),MONTH(A4323),1))</f>
        <v/>
      </c>
    </row>
    <row r="4324" customFormat="false" ht="15" hidden="false" customHeight="false" outlineLevel="0" collapsed="false">
      <c r="A4324" s="21"/>
      <c r="B4324" s="4"/>
      <c r="C4324" s="22"/>
      <c r="D4324" s="5" t="str">
        <f aca="false">IF(B4324="","",IFERROR(INDEX(DE_PARA!$B$6:$B$205,MATCH(B4324,DE_PARA!$A$6:$A$205,0)),"SEM DE-PARA"))</f>
        <v/>
      </c>
      <c r="E4324" s="23" t="str">
        <f aca="false">IF(A4324="","",DATE(YEAR(A4324),MONTH(A4324),1))</f>
        <v/>
      </c>
    </row>
    <row r="4325" customFormat="false" ht="15" hidden="false" customHeight="false" outlineLevel="0" collapsed="false">
      <c r="A4325" s="21"/>
      <c r="B4325" s="4"/>
      <c r="C4325" s="22"/>
      <c r="D4325" s="5" t="str">
        <f aca="false">IF(B4325="","",IFERROR(INDEX(DE_PARA!$B$6:$B$205,MATCH(B4325,DE_PARA!$A$6:$A$205,0)),"SEM DE-PARA"))</f>
        <v/>
      </c>
      <c r="E4325" s="23" t="str">
        <f aca="false">IF(A4325="","",DATE(YEAR(A4325),MONTH(A4325),1))</f>
        <v/>
      </c>
    </row>
    <row r="4326" customFormat="false" ht="15" hidden="false" customHeight="false" outlineLevel="0" collapsed="false">
      <c r="A4326" s="21"/>
      <c r="B4326" s="4"/>
      <c r="C4326" s="22"/>
      <c r="D4326" s="5" t="str">
        <f aca="false">IF(B4326="","",IFERROR(INDEX(DE_PARA!$B$6:$B$205,MATCH(B4326,DE_PARA!$A$6:$A$205,0)),"SEM DE-PARA"))</f>
        <v/>
      </c>
      <c r="E4326" s="23" t="str">
        <f aca="false">IF(A4326="","",DATE(YEAR(A4326),MONTH(A4326),1))</f>
        <v/>
      </c>
    </row>
    <row r="4327" customFormat="false" ht="15" hidden="false" customHeight="false" outlineLevel="0" collapsed="false">
      <c r="A4327" s="21"/>
      <c r="B4327" s="4"/>
      <c r="C4327" s="22"/>
      <c r="D4327" s="5" t="str">
        <f aca="false">IF(B4327="","",IFERROR(INDEX(DE_PARA!$B$6:$B$205,MATCH(B4327,DE_PARA!$A$6:$A$205,0)),"SEM DE-PARA"))</f>
        <v/>
      </c>
      <c r="E4327" s="23" t="str">
        <f aca="false">IF(A4327="","",DATE(YEAR(A4327),MONTH(A4327),1))</f>
        <v/>
      </c>
    </row>
    <row r="4328" customFormat="false" ht="15" hidden="false" customHeight="false" outlineLevel="0" collapsed="false">
      <c r="A4328" s="21"/>
      <c r="B4328" s="4"/>
      <c r="C4328" s="22"/>
      <c r="D4328" s="5" t="str">
        <f aca="false">IF(B4328="","",IFERROR(INDEX(DE_PARA!$B$6:$B$205,MATCH(B4328,DE_PARA!$A$6:$A$205,0)),"SEM DE-PARA"))</f>
        <v/>
      </c>
      <c r="E4328" s="23" t="str">
        <f aca="false">IF(A4328="","",DATE(YEAR(A4328),MONTH(A4328),1))</f>
        <v/>
      </c>
    </row>
    <row r="4329" customFormat="false" ht="15" hidden="false" customHeight="false" outlineLevel="0" collapsed="false">
      <c r="A4329" s="21"/>
      <c r="B4329" s="4"/>
      <c r="C4329" s="22"/>
      <c r="D4329" s="5" t="str">
        <f aca="false">IF(B4329="","",IFERROR(INDEX(DE_PARA!$B$6:$B$205,MATCH(B4329,DE_PARA!$A$6:$A$205,0)),"SEM DE-PARA"))</f>
        <v/>
      </c>
      <c r="E4329" s="23" t="str">
        <f aca="false">IF(A4329="","",DATE(YEAR(A4329),MONTH(A4329),1))</f>
        <v/>
      </c>
    </row>
    <row r="4330" customFormat="false" ht="15" hidden="false" customHeight="false" outlineLevel="0" collapsed="false">
      <c r="A4330" s="21"/>
      <c r="B4330" s="4"/>
      <c r="C4330" s="22"/>
      <c r="D4330" s="5" t="str">
        <f aca="false">IF(B4330="","",IFERROR(INDEX(DE_PARA!$B$6:$B$205,MATCH(B4330,DE_PARA!$A$6:$A$205,0)),"SEM DE-PARA"))</f>
        <v/>
      </c>
      <c r="E4330" s="23" t="str">
        <f aca="false">IF(A4330="","",DATE(YEAR(A4330),MONTH(A4330),1))</f>
        <v/>
      </c>
    </row>
    <row r="4331" customFormat="false" ht="15" hidden="false" customHeight="false" outlineLevel="0" collapsed="false">
      <c r="A4331" s="21"/>
      <c r="B4331" s="4"/>
      <c r="C4331" s="22"/>
      <c r="D4331" s="5" t="str">
        <f aca="false">IF(B4331="","",IFERROR(INDEX(DE_PARA!$B$6:$B$205,MATCH(B4331,DE_PARA!$A$6:$A$205,0)),"SEM DE-PARA"))</f>
        <v/>
      </c>
      <c r="E4331" s="23" t="str">
        <f aca="false">IF(A4331="","",DATE(YEAR(A4331),MONTH(A4331),1))</f>
        <v/>
      </c>
    </row>
    <row r="4332" customFormat="false" ht="15" hidden="false" customHeight="false" outlineLevel="0" collapsed="false">
      <c r="A4332" s="21"/>
      <c r="B4332" s="4"/>
      <c r="C4332" s="22"/>
      <c r="D4332" s="5" t="str">
        <f aca="false">IF(B4332="","",IFERROR(INDEX(DE_PARA!$B$6:$B$205,MATCH(B4332,DE_PARA!$A$6:$A$205,0)),"SEM DE-PARA"))</f>
        <v/>
      </c>
      <c r="E4332" s="23" t="str">
        <f aca="false">IF(A4332="","",DATE(YEAR(A4332),MONTH(A4332),1))</f>
        <v/>
      </c>
    </row>
    <row r="4333" customFormat="false" ht="15" hidden="false" customHeight="false" outlineLevel="0" collapsed="false">
      <c r="A4333" s="21"/>
      <c r="B4333" s="4"/>
      <c r="C4333" s="22"/>
      <c r="D4333" s="5" t="str">
        <f aca="false">IF(B4333="","",IFERROR(INDEX(DE_PARA!$B$6:$B$205,MATCH(B4333,DE_PARA!$A$6:$A$205,0)),"SEM DE-PARA"))</f>
        <v/>
      </c>
      <c r="E4333" s="23" t="str">
        <f aca="false">IF(A4333="","",DATE(YEAR(A4333),MONTH(A4333),1))</f>
        <v/>
      </c>
    </row>
    <row r="4334" customFormat="false" ht="15" hidden="false" customHeight="false" outlineLevel="0" collapsed="false">
      <c r="A4334" s="21"/>
      <c r="B4334" s="4"/>
      <c r="C4334" s="22"/>
      <c r="D4334" s="5" t="str">
        <f aca="false">IF(B4334="","",IFERROR(INDEX(DE_PARA!$B$6:$B$205,MATCH(B4334,DE_PARA!$A$6:$A$205,0)),"SEM DE-PARA"))</f>
        <v/>
      </c>
      <c r="E4334" s="23" t="str">
        <f aca="false">IF(A4334="","",DATE(YEAR(A4334),MONTH(A4334),1))</f>
        <v/>
      </c>
    </row>
    <row r="4335" customFormat="false" ht="15" hidden="false" customHeight="false" outlineLevel="0" collapsed="false">
      <c r="A4335" s="21"/>
      <c r="B4335" s="4"/>
      <c r="C4335" s="22"/>
      <c r="D4335" s="5" t="str">
        <f aca="false">IF(B4335="","",IFERROR(INDEX(DE_PARA!$B$6:$B$205,MATCH(B4335,DE_PARA!$A$6:$A$205,0)),"SEM DE-PARA"))</f>
        <v/>
      </c>
      <c r="E4335" s="23" t="str">
        <f aca="false">IF(A4335="","",DATE(YEAR(A4335),MONTH(A4335),1))</f>
        <v/>
      </c>
    </row>
    <row r="4336" customFormat="false" ht="15" hidden="false" customHeight="false" outlineLevel="0" collapsed="false">
      <c r="A4336" s="21"/>
      <c r="B4336" s="4"/>
      <c r="C4336" s="22"/>
      <c r="D4336" s="5" t="str">
        <f aca="false">IF(B4336="","",IFERROR(INDEX(DE_PARA!$B$6:$B$205,MATCH(B4336,DE_PARA!$A$6:$A$205,0)),"SEM DE-PARA"))</f>
        <v/>
      </c>
      <c r="E4336" s="23" t="str">
        <f aca="false">IF(A4336="","",DATE(YEAR(A4336),MONTH(A4336),1))</f>
        <v/>
      </c>
    </row>
    <row r="4337" customFormat="false" ht="15" hidden="false" customHeight="false" outlineLevel="0" collapsed="false">
      <c r="A4337" s="21"/>
      <c r="B4337" s="4"/>
      <c r="C4337" s="22"/>
      <c r="D4337" s="5" t="str">
        <f aca="false">IF(B4337="","",IFERROR(INDEX(DE_PARA!$B$6:$B$205,MATCH(B4337,DE_PARA!$A$6:$A$205,0)),"SEM DE-PARA"))</f>
        <v/>
      </c>
      <c r="E4337" s="23" t="str">
        <f aca="false">IF(A4337="","",DATE(YEAR(A4337),MONTH(A4337),1))</f>
        <v/>
      </c>
    </row>
    <row r="4338" customFormat="false" ht="15" hidden="false" customHeight="false" outlineLevel="0" collapsed="false">
      <c r="A4338" s="21"/>
      <c r="B4338" s="4"/>
      <c r="C4338" s="22"/>
      <c r="D4338" s="5" t="str">
        <f aca="false">IF(B4338="","",IFERROR(INDEX(DE_PARA!$B$6:$B$205,MATCH(B4338,DE_PARA!$A$6:$A$205,0)),"SEM DE-PARA"))</f>
        <v/>
      </c>
      <c r="E4338" s="23" t="str">
        <f aca="false">IF(A4338="","",DATE(YEAR(A4338),MONTH(A4338),1))</f>
        <v/>
      </c>
    </row>
    <row r="4339" customFormat="false" ht="15" hidden="false" customHeight="false" outlineLevel="0" collapsed="false">
      <c r="A4339" s="21"/>
      <c r="B4339" s="4"/>
      <c r="C4339" s="22"/>
      <c r="D4339" s="5" t="str">
        <f aca="false">IF(B4339="","",IFERROR(INDEX(DE_PARA!$B$6:$B$205,MATCH(B4339,DE_PARA!$A$6:$A$205,0)),"SEM DE-PARA"))</f>
        <v/>
      </c>
      <c r="E4339" s="23" t="str">
        <f aca="false">IF(A4339="","",DATE(YEAR(A4339),MONTH(A4339),1))</f>
        <v/>
      </c>
    </row>
    <row r="4340" customFormat="false" ht="15" hidden="false" customHeight="false" outlineLevel="0" collapsed="false">
      <c r="A4340" s="21"/>
      <c r="B4340" s="4"/>
      <c r="C4340" s="22"/>
      <c r="D4340" s="5" t="str">
        <f aca="false">IF(B4340="","",IFERROR(INDEX(DE_PARA!$B$6:$B$205,MATCH(B4340,DE_PARA!$A$6:$A$205,0)),"SEM DE-PARA"))</f>
        <v/>
      </c>
      <c r="E4340" s="23" t="str">
        <f aca="false">IF(A4340="","",DATE(YEAR(A4340),MONTH(A4340),1))</f>
        <v/>
      </c>
    </row>
    <row r="4341" customFormat="false" ht="15" hidden="false" customHeight="false" outlineLevel="0" collapsed="false">
      <c r="A4341" s="21"/>
      <c r="B4341" s="4"/>
      <c r="C4341" s="22"/>
      <c r="D4341" s="5" t="str">
        <f aca="false">IF(B4341="","",IFERROR(INDEX(DE_PARA!$B$6:$B$205,MATCH(B4341,DE_PARA!$A$6:$A$205,0)),"SEM DE-PARA"))</f>
        <v/>
      </c>
      <c r="E4341" s="23" t="str">
        <f aca="false">IF(A4341="","",DATE(YEAR(A4341),MONTH(A4341),1))</f>
        <v/>
      </c>
    </row>
    <row r="4342" customFormat="false" ht="15" hidden="false" customHeight="false" outlineLevel="0" collapsed="false">
      <c r="A4342" s="21"/>
      <c r="B4342" s="4"/>
      <c r="C4342" s="22"/>
      <c r="D4342" s="5" t="str">
        <f aca="false">IF(B4342="","",IFERROR(INDEX(DE_PARA!$B$6:$B$205,MATCH(B4342,DE_PARA!$A$6:$A$205,0)),"SEM DE-PARA"))</f>
        <v/>
      </c>
      <c r="E4342" s="23" t="str">
        <f aca="false">IF(A4342="","",DATE(YEAR(A4342),MONTH(A4342),1))</f>
        <v/>
      </c>
    </row>
    <row r="4343" customFormat="false" ht="15" hidden="false" customHeight="false" outlineLevel="0" collapsed="false">
      <c r="A4343" s="21"/>
      <c r="B4343" s="4"/>
      <c r="C4343" s="22"/>
      <c r="D4343" s="5" t="str">
        <f aca="false">IF(B4343="","",IFERROR(INDEX(DE_PARA!$B$6:$B$205,MATCH(B4343,DE_PARA!$A$6:$A$205,0)),"SEM DE-PARA"))</f>
        <v/>
      </c>
      <c r="E4343" s="23" t="str">
        <f aca="false">IF(A4343="","",DATE(YEAR(A4343),MONTH(A4343),1))</f>
        <v/>
      </c>
    </row>
    <row r="4344" customFormat="false" ht="15" hidden="false" customHeight="false" outlineLevel="0" collapsed="false">
      <c r="A4344" s="21"/>
      <c r="B4344" s="4"/>
      <c r="C4344" s="22"/>
      <c r="D4344" s="5" t="str">
        <f aca="false">IF(B4344="","",IFERROR(INDEX(DE_PARA!$B$6:$B$205,MATCH(B4344,DE_PARA!$A$6:$A$205,0)),"SEM DE-PARA"))</f>
        <v/>
      </c>
      <c r="E4344" s="23" t="str">
        <f aca="false">IF(A4344="","",DATE(YEAR(A4344),MONTH(A4344),1))</f>
        <v/>
      </c>
    </row>
    <row r="4345" customFormat="false" ht="15" hidden="false" customHeight="false" outlineLevel="0" collapsed="false">
      <c r="A4345" s="21"/>
      <c r="B4345" s="4"/>
      <c r="C4345" s="22"/>
      <c r="D4345" s="5" t="str">
        <f aca="false">IF(B4345="","",IFERROR(INDEX(DE_PARA!$B$6:$B$205,MATCH(B4345,DE_PARA!$A$6:$A$205,0)),"SEM DE-PARA"))</f>
        <v/>
      </c>
      <c r="E4345" s="23" t="str">
        <f aca="false">IF(A4345="","",DATE(YEAR(A4345),MONTH(A4345),1))</f>
        <v/>
      </c>
    </row>
    <row r="4346" customFormat="false" ht="15" hidden="false" customHeight="false" outlineLevel="0" collapsed="false">
      <c r="A4346" s="21"/>
      <c r="B4346" s="4"/>
      <c r="C4346" s="22"/>
      <c r="D4346" s="5" t="str">
        <f aca="false">IF(B4346="","",IFERROR(INDEX(DE_PARA!$B$6:$B$205,MATCH(B4346,DE_PARA!$A$6:$A$205,0)),"SEM DE-PARA"))</f>
        <v/>
      </c>
      <c r="E4346" s="23" t="str">
        <f aca="false">IF(A4346="","",DATE(YEAR(A4346),MONTH(A4346),1))</f>
        <v/>
      </c>
    </row>
    <row r="4347" customFormat="false" ht="15" hidden="false" customHeight="false" outlineLevel="0" collapsed="false">
      <c r="A4347" s="21"/>
      <c r="B4347" s="4"/>
      <c r="C4347" s="22"/>
      <c r="D4347" s="5" t="str">
        <f aca="false">IF(B4347="","",IFERROR(INDEX(DE_PARA!$B$6:$B$205,MATCH(B4347,DE_PARA!$A$6:$A$205,0)),"SEM DE-PARA"))</f>
        <v/>
      </c>
      <c r="E4347" s="23" t="str">
        <f aca="false">IF(A4347="","",DATE(YEAR(A4347),MONTH(A4347),1))</f>
        <v/>
      </c>
    </row>
    <row r="4348" customFormat="false" ht="15" hidden="false" customHeight="false" outlineLevel="0" collapsed="false">
      <c r="A4348" s="21"/>
      <c r="B4348" s="4"/>
      <c r="C4348" s="22"/>
      <c r="D4348" s="5" t="str">
        <f aca="false">IF(B4348="","",IFERROR(INDEX(DE_PARA!$B$6:$B$205,MATCH(B4348,DE_PARA!$A$6:$A$205,0)),"SEM DE-PARA"))</f>
        <v/>
      </c>
      <c r="E4348" s="23" t="str">
        <f aca="false">IF(A4348="","",DATE(YEAR(A4348),MONTH(A4348),1))</f>
        <v/>
      </c>
    </row>
    <row r="4349" customFormat="false" ht="15" hidden="false" customHeight="false" outlineLevel="0" collapsed="false">
      <c r="A4349" s="21"/>
      <c r="B4349" s="4"/>
      <c r="C4349" s="22"/>
      <c r="D4349" s="5" t="str">
        <f aca="false">IF(B4349="","",IFERROR(INDEX(DE_PARA!$B$6:$B$205,MATCH(B4349,DE_PARA!$A$6:$A$205,0)),"SEM DE-PARA"))</f>
        <v/>
      </c>
      <c r="E4349" s="23" t="str">
        <f aca="false">IF(A4349="","",DATE(YEAR(A4349),MONTH(A4349),1))</f>
        <v/>
      </c>
    </row>
    <row r="4350" customFormat="false" ht="15" hidden="false" customHeight="false" outlineLevel="0" collapsed="false">
      <c r="A4350" s="21"/>
      <c r="B4350" s="4"/>
      <c r="C4350" s="22"/>
      <c r="D4350" s="5" t="str">
        <f aca="false">IF(B4350="","",IFERROR(INDEX(DE_PARA!$B$6:$B$205,MATCH(B4350,DE_PARA!$A$6:$A$205,0)),"SEM DE-PARA"))</f>
        <v/>
      </c>
      <c r="E4350" s="23" t="str">
        <f aca="false">IF(A4350="","",DATE(YEAR(A4350),MONTH(A4350),1))</f>
        <v/>
      </c>
    </row>
    <row r="4351" customFormat="false" ht="15" hidden="false" customHeight="false" outlineLevel="0" collapsed="false">
      <c r="A4351" s="21"/>
      <c r="B4351" s="4"/>
      <c r="C4351" s="22"/>
      <c r="D4351" s="5" t="str">
        <f aca="false">IF(B4351="","",IFERROR(INDEX(DE_PARA!$B$6:$B$205,MATCH(B4351,DE_PARA!$A$6:$A$205,0)),"SEM DE-PARA"))</f>
        <v/>
      </c>
      <c r="E4351" s="23" t="str">
        <f aca="false">IF(A4351="","",DATE(YEAR(A4351),MONTH(A4351),1))</f>
        <v/>
      </c>
    </row>
    <row r="4352" customFormat="false" ht="15" hidden="false" customHeight="false" outlineLevel="0" collapsed="false">
      <c r="A4352" s="21"/>
      <c r="B4352" s="4"/>
      <c r="C4352" s="22"/>
      <c r="D4352" s="5" t="str">
        <f aca="false">IF(B4352="","",IFERROR(INDEX(DE_PARA!$B$6:$B$205,MATCH(B4352,DE_PARA!$A$6:$A$205,0)),"SEM DE-PARA"))</f>
        <v/>
      </c>
      <c r="E4352" s="23" t="str">
        <f aca="false">IF(A4352="","",DATE(YEAR(A4352),MONTH(A4352),1))</f>
        <v/>
      </c>
    </row>
    <row r="4353" customFormat="false" ht="15" hidden="false" customHeight="false" outlineLevel="0" collapsed="false">
      <c r="A4353" s="21"/>
      <c r="B4353" s="4"/>
      <c r="C4353" s="22"/>
      <c r="D4353" s="5" t="str">
        <f aca="false">IF(B4353="","",IFERROR(INDEX(DE_PARA!$B$6:$B$205,MATCH(B4353,DE_PARA!$A$6:$A$205,0)),"SEM DE-PARA"))</f>
        <v/>
      </c>
      <c r="E4353" s="23" t="str">
        <f aca="false">IF(A4353="","",DATE(YEAR(A4353),MONTH(A4353),1))</f>
        <v/>
      </c>
    </row>
    <row r="4354" customFormat="false" ht="15" hidden="false" customHeight="false" outlineLevel="0" collapsed="false">
      <c r="A4354" s="21"/>
      <c r="B4354" s="4"/>
      <c r="C4354" s="22"/>
      <c r="D4354" s="5" t="str">
        <f aca="false">IF(B4354="","",IFERROR(INDEX(DE_PARA!$B$6:$B$205,MATCH(B4354,DE_PARA!$A$6:$A$205,0)),"SEM DE-PARA"))</f>
        <v/>
      </c>
      <c r="E4354" s="23" t="str">
        <f aca="false">IF(A4354="","",DATE(YEAR(A4354),MONTH(A4354),1))</f>
        <v/>
      </c>
    </row>
    <row r="4355" customFormat="false" ht="15" hidden="false" customHeight="false" outlineLevel="0" collapsed="false">
      <c r="A4355" s="21"/>
      <c r="B4355" s="4"/>
      <c r="C4355" s="22"/>
      <c r="D4355" s="5" t="str">
        <f aca="false">IF(B4355="","",IFERROR(INDEX(DE_PARA!$B$6:$B$205,MATCH(B4355,DE_PARA!$A$6:$A$205,0)),"SEM DE-PARA"))</f>
        <v/>
      </c>
      <c r="E4355" s="23" t="str">
        <f aca="false">IF(A4355="","",DATE(YEAR(A4355),MONTH(A4355),1))</f>
        <v/>
      </c>
    </row>
    <row r="4356" customFormat="false" ht="15" hidden="false" customHeight="false" outlineLevel="0" collapsed="false">
      <c r="A4356" s="21"/>
      <c r="B4356" s="4"/>
      <c r="C4356" s="22"/>
      <c r="D4356" s="5" t="str">
        <f aca="false">IF(B4356="","",IFERROR(INDEX(DE_PARA!$B$6:$B$205,MATCH(B4356,DE_PARA!$A$6:$A$205,0)),"SEM DE-PARA"))</f>
        <v/>
      </c>
      <c r="E4356" s="23" t="str">
        <f aca="false">IF(A4356="","",DATE(YEAR(A4356),MONTH(A4356),1))</f>
        <v/>
      </c>
    </row>
    <row r="4357" customFormat="false" ht="15" hidden="false" customHeight="false" outlineLevel="0" collapsed="false">
      <c r="A4357" s="21"/>
      <c r="B4357" s="4"/>
      <c r="C4357" s="22"/>
      <c r="D4357" s="5" t="str">
        <f aca="false">IF(B4357="","",IFERROR(INDEX(DE_PARA!$B$6:$B$205,MATCH(B4357,DE_PARA!$A$6:$A$205,0)),"SEM DE-PARA"))</f>
        <v/>
      </c>
      <c r="E4357" s="23" t="str">
        <f aca="false">IF(A4357="","",DATE(YEAR(A4357),MONTH(A4357),1))</f>
        <v/>
      </c>
    </row>
    <row r="4358" customFormat="false" ht="15" hidden="false" customHeight="false" outlineLevel="0" collapsed="false">
      <c r="A4358" s="21"/>
      <c r="B4358" s="4"/>
      <c r="C4358" s="22"/>
      <c r="D4358" s="5" t="str">
        <f aca="false">IF(B4358="","",IFERROR(INDEX(DE_PARA!$B$6:$B$205,MATCH(B4358,DE_PARA!$A$6:$A$205,0)),"SEM DE-PARA"))</f>
        <v/>
      </c>
      <c r="E4358" s="23" t="str">
        <f aca="false">IF(A4358="","",DATE(YEAR(A4358),MONTH(A4358),1))</f>
        <v/>
      </c>
    </row>
    <row r="4359" customFormat="false" ht="15" hidden="false" customHeight="false" outlineLevel="0" collapsed="false">
      <c r="A4359" s="21"/>
      <c r="B4359" s="4"/>
      <c r="C4359" s="22"/>
      <c r="D4359" s="5" t="str">
        <f aca="false">IF(B4359="","",IFERROR(INDEX(DE_PARA!$B$6:$B$205,MATCH(B4359,DE_PARA!$A$6:$A$205,0)),"SEM DE-PARA"))</f>
        <v/>
      </c>
      <c r="E4359" s="23" t="str">
        <f aca="false">IF(A4359="","",DATE(YEAR(A4359),MONTH(A4359),1))</f>
        <v/>
      </c>
    </row>
    <row r="4360" customFormat="false" ht="15" hidden="false" customHeight="false" outlineLevel="0" collapsed="false">
      <c r="A4360" s="21"/>
      <c r="B4360" s="4"/>
      <c r="C4360" s="22"/>
      <c r="D4360" s="5" t="str">
        <f aca="false">IF(B4360="","",IFERROR(INDEX(DE_PARA!$B$6:$B$205,MATCH(B4360,DE_PARA!$A$6:$A$205,0)),"SEM DE-PARA"))</f>
        <v/>
      </c>
      <c r="E4360" s="23" t="str">
        <f aca="false">IF(A4360="","",DATE(YEAR(A4360),MONTH(A4360),1))</f>
        <v/>
      </c>
    </row>
    <row r="4361" customFormat="false" ht="15" hidden="false" customHeight="false" outlineLevel="0" collapsed="false">
      <c r="A4361" s="21"/>
      <c r="B4361" s="4"/>
      <c r="C4361" s="22"/>
      <c r="D4361" s="5" t="str">
        <f aca="false">IF(B4361="","",IFERROR(INDEX(DE_PARA!$B$6:$B$205,MATCH(B4361,DE_PARA!$A$6:$A$205,0)),"SEM DE-PARA"))</f>
        <v/>
      </c>
      <c r="E4361" s="23" t="str">
        <f aca="false">IF(A4361="","",DATE(YEAR(A4361),MONTH(A4361),1))</f>
        <v/>
      </c>
    </row>
    <row r="4362" customFormat="false" ht="15" hidden="false" customHeight="false" outlineLevel="0" collapsed="false">
      <c r="A4362" s="21"/>
      <c r="B4362" s="4"/>
      <c r="C4362" s="22"/>
      <c r="D4362" s="5" t="str">
        <f aca="false">IF(B4362="","",IFERROR(INDEX(DE_PARA!$B$6:$B$205,MATCH(B4362,DE_PARA!$A$6:$A$205,0)),"SEM DE-PARA"))</f>
        <v/>
      </c>
      <c r="E4362" s="23" t="str">
        <f aca="false">IF(A4362="","",DATE(YEAR(A4362),MONTH(A4362),1))</f>
        <v/>
      </c>
    </row>
    <row r="4363" customFormat="false" ht="15" hidden="false" customHeight="false" outlineLevel="0" collapsed="false">
      <c r="A4363" s="21"/>
      <c r="B4363" s="4"/>
      <c r="C4363" s="22"/>
      <c r="D4363" s="5" t="str">
        <f aca="false">IF(B4363="","",IFERROR(INDEX(DE_PARA!$B$6:$B$205,MATCH(B4363,DE_PARA!$A$6:$A$205,0)),"SEM DE-PARA"))</f>
        <v/>
      </c>
      <c r="E4363" s="23" t="str">
        <f aca="false">IF(A4363="","",DATE(YEAR(A4363),MONTH(A4363),1))</f>
        <v/>
      </c>
    </row>
    <row r="4364" customFormat="false" ht="15" hidden="false" customHeight="false" outlineLevel="0" collapsed="false">
      <c r="A4364" s="21"/>
      <c r="B4364" s="4"/>
      <c r="C4364" s="22"/>
      <c r="D4364" s="5" t="str">
        <f aca="false">IF(B4364="","",IFERROR(INDEX(DE_PARA!$B$6:$B$205,MATCH(B4364,DE_PARA!$A$6:$A$205,0)),"SEM DE-PARA"))</f>
        <v/>
      </c>
      <c r="E4364" s="23" t="str">
        <f aca="false">IF(A4364="","",DATE(YEAR(A4364),MONTH(A4364),1))</f>
        <v/>
      </c>
    </row>
    <row r="4365" customFormat="false" ht="15" hidden="false" customHeight="false" outlineLevel="0" collapsed="false">
      <c r="A4365" s="21"/>
      <c r="B4365" s="4"/>
      <c r="C4365" s="22"/>
      <c r="D4365" s="5" t="str">
        <f aca="false">IF(B4365="","",IFERROR(INDEX(DE_PARA!$B$6:$B$205,MATCH(B4365,DE_PARA!$A$6:$A$205,0)),"SEM DE-PARA"))</f>
        <v/>
      </c>
      <c r="E4365" s="23" t="str">
        <f aca="false">IF(A4365="","",DATE(YEAR(A4365),MONTH(A4365),1))</f>
        <v/>
      </c>
    </row>
    <row r="4366" customFormat="false" ht="15" hidden="false" customHeight="false" outlineLevel="0" collapsed="false">
      <c r="A4366" s="21"/>
      <c r="B4366" s="4"/>
      <c r="C4366" s="22"/>
      <c r="D4366" s="5" t="str">
        <f aca="false">IF(B4366="","",IFERROR(INDEX(DE_PARA!$B$6:$B$205,MATCH(B4366,DE_PARA!$A$6:$A$205,0)),"SEM DE-PARA"))</f>
        <v/>
      </c>
      <c r="E4366" s="23" t="str">
        <f aca="false">IF(A4366="","",DATE(YEAR(A4366),MONTH(A4366),1))</f>
        <v/>
      </c>
    </row>
    <row r="4367" customFormat="false" ht="15" hidden="false" customHeight="false" outlineLevel="0" collapsed="false">
      <c r="A4367" s="21"/>
      <c r="B4367" s="4"/>
      <c r="C4367" s="22"/>
      <c r="D4367" s="5" t="str">
        <f aca="false">IF(B4367="","",IFERROR(INDEX(DE_PARA!$B$6:$B$205,MATCH(B4367,DE_PARA!$A$6:$A$205,0)),"SEM DE-PARA"))</f>
        <v/>
      </c>
      <c r="E4367" s="23" t="str">
        <f aca="false">IF(A4367="","",DATE(YEAR(A4367),MONTH(A4367),1))</f>
        <v/>
      </c>
    </row>
    <row r="4368" customFormat="false" ht="15" hidden="false" customHeight="false" outlineLevel="0" collapsed="false">
      <c r="A4368" s="21"/>
      <c r="B4368" s="4"/>
      <c r="C4368" s="22"/>
      <c r="D4368" s="5" t="str">
        <f aca="false">IF(B4368="","",IFERROR(INDEX(DE_PARA!$B$6:$B$205,MATCH(B4368,DE_PARA!$A$6:$A$205,0)),"SEM DE-PARA"))</f>
        <v/>
      </c>
      <c r="E4368" s="23" t="str">
        <f aca="false">IF(A4368="","",DATE(YEAR(A4368),MONTH(A4368),1))</f>
        <v/>
      </c>
    </row>
    <row r="4369" customFormat="false" ht="15" hidden="false" customHeight="false" outlineLevel="0" collapsed="false">
      <c r="A4369" s="21"/>
      <c r="B4369" s="4"/>
      <c r="C4369" s="22"/>
      <c r="D4369" s="5" t="str">
        <f aca="false">IF(B4369="","",IFERROR(INDEX(DE_PARA!$B$6:$B$205,MATCH(B4369,DE_PARA!$A$6:$A$205,0)),"SEM DE-PARA"))</f>
        <v/>
      </c>
      <c r="E4369" s="23" t="str">
        <f aca="false">IF(A4369="","",DATE(YEAR(A4369),MONTH(A4369),1))</f>
        <v/>
      </c>
    </row>
    <row r="4370" customFormat="false" ht="15" hidden="false" customHeight="false" outlineLevel="0" collapsed="false">
      <c r="A4370" s="21"/>
      <c r="B4370" s="4"/>
      <c r="C4370" s="22"/>
      <c r="D4370" s="5" t="str">
        <f aca="false">IF(B4370="","",IFERROR(INDEX(DE_PARA!$B$6:$B$205,MATCH(B4370,DE_PARA!$A$6:$A$205,0)),"SEM DE-PARA"))</f>
        <v/>
      </c>
      <c r="E4370" s="23" t="str">
        <f aca="false">IF(A4370="","",DATE(YEAR(A4370),MONTH(A4370),1))</f>
        <v/>
      </c>
    </row>
    <row r="4371" customFormat="false" ht="15" hidden="false" customHeight="false" outlineLevel="0" collapsed="false">
      <c r="A4371" s="21"/>
      <c r="B4371" s="4"/>
      <c r="C4371" s="22"/>
      <c r="D4371" s="5" t="str">
        <f aca="false">IF(B4371="","",IFERROR(INDEX(DE_PARA!$B$6:$B$205,MATCH(B4371,DE_PARA!$A$6:$A$205,0)),"SEM DE-PARA"))</f>
        <v/>
      </c>
      <c r="E4371" s="23" t="str">
        <f aca="false">IF(A4371="","",DATE(YEAR(A4371),MONTH(A4371),1))</f>
        <v/>
      </c>
    </row>
    <row r="4372" customFormat="false" ht="15" hidden="false" customHeight="false" outlineLevel="0" collapsed="false">
      <c r="A4372" s="21"/>
      <c r="B4372" s="4"/>
      <c r="C4372" s="22"/>
      <c r="D4372" s="5" t="str">
        <f aca="false">IF(B4372="","",IFERROR(INDEX(DE_PARA!$B$6:$B$205,MATCH(B4372,DE_PARA!$A$6:$A$205,0)),"SEM DE-PARA"))</f>
        <v/>
      </c>
      <c r="E4372" s="23" t="str">
        <f aca="false">IF(A4372="","",DATE(YEAR(A4372),MONTH(A4372),1))</f>
        <v/>
      </c>
    </row>
    <row r="4373" customFormat="false" ht="15" hidden="false" customHeight="false" outlineLevel="0" collapsed="false">
      <c r="A4373" s="21"/>
      <c r="B4373" s="4"/>
      <c r="C4373" s="22"/>
      <c r="D4373" s="5" t="str">
        <f aca="false">IF(B4373="","",IFERROR(INDEX(DE_PARA!$B$6:$B$205,MATCH(B4373,DE_PARA!$A$6:$A$205,0)),"SEM DE-PARA"))</f>
        <v/>
      </c>
      <c r="E4373" s="23" t="str">
        <f aca="false">IF(A4373="","",DATE(YEAR(A4373),MONTH(A4373),1))</f>
        <v/>
      </c>
    </row>
    <row r="4374" customFormat="false" ht="15" hidden="false" customHeight="false" outlineLevel="0" collapsed="false">
      <c r="A4374" s="21"/>
      <c r="B4374" s="4"/>
      <c r="C4374" s="22"/>
      <c r="D4374" s="5" t="str">
        <f aca="false">IF(B4374="","",IFERROR(INDEX(DE_PARA!$B$6:$B$205,MATCH(B4374,DE_PARA!$A$6:$A$205,0)),"SEM DE-PARA"))</f>
        <v/>
      </c>
      <c r="E4374" s="23" t="str">
        <f aca="false">IF(A4374="","",DATE(YEAR(A4374),MONTH(A4374),1))</f>
        <v/>
      </c>
    </row>
    <row r="4375" customFormat="false" ht="15" hidden="false" customHeight="false" outlineLevel="0" collapsed="false">
      <c r="A4375" s="21"/>
      <c r="B4375" s="4"/>
      <c r="C4375" s="22"/>
      <c r="D4375" s="5" t="str">
        <f aca="false">IF(B4375="","",IFERROR(INDEX(DE_PARA!$B$6:$B$205,MATCH(B4375,DE_PARA!$A$6:$A$205,0)),"SEM DE-PARA"))</f>
        <v/>
      </c>
      <c r="E4375" s="23" t="str">
        <f aca="false">IF(A4375="","",DATE(YEAR(A4375),MONTH(A4375),1))</f>
        <v/>
      </c>
    </row>
    <row r="4376" customFormat="false" ht="15" hidden="false" customHeight="false" outlineLevel="0" collapsed="false">
      <c r="A4376" s="21"/>
      <c r="B4376" s="4"/>
      <c r="C4376" s="22"/>
      <c r="D4376" s="5" t="str">
        <f aca="false">IF(B4376="","",IFERROR(INDEX(DE_PARA!$B$6:$B$205,MATCH(B4376,DE_PARA!$A$6:$A$205,0)),"SEM DE-PARA"))</f>
        <v/>
      </c>
      <c r="E4376" s="23" t="str">
        <f aca="false">IF(A4376="","",DATE(YEAR(A4376),MONTH(A4376),1))</f>
        <v/>
      </c>
    </row>
    <row r="4377" customFormat="false" ht="15" hidden="false" customHeight="false" outlineLevel="0" collapsed="false">
      <c r="A4377" s="21"/>
      <c r="B4377" s="4"/>
      <c r="C4377" s="22"/>
      <c r="D4377" s="5" t="str">
        <f aca="false">IF(B4377="","",IFERROR(INDEX(DE_PARA!$B$6:$B$205,MATCH(B4377,DE_PARA!$A$6:$A$205,0)),"SEM DE-PARA"))</f>
        <v/>
      </c>
      <c r="E4377" s="23" t="str">
        <f aca="false">IF(A4377="","",DATE(YEAR(A4377),MONTH(A4377),1))</f>
        <v/>
      </c>
    </row>
    <row r="4378" customFormat="false" ht="15" hidden="false" customHeight="false" outlineLevel="0" collapsed="false">
      <c r="A4378" s="21"/>
      <c r="B4378" s="4"/>
      <c r="C4378" s="22"/>
      <c r="D4378" s="5" t="str">
        <f aca="false">IF(B4378="","",IFERROR(INDEX(DE_PARA!$B$6:$B$205,MATCH(B4378,DE_PARA!$A$6:$A$205,0)),"SEM DE-PARA"))</f>
        <v/>
      </c>
      <c r="E4378" s="23" t="str">
        <f aca="false">IF(A4378="","",DATE(YEAR(A4378),MONTH(A4378),1))</f>
        <v/>
      </c>
    </row>
    <row r="4379" customFormat="false" ht="15" hidden="false" customHeight="false" outlineLevel="0" collapsed="false">
      <c r="A4379" s="21"/>
      <c r="B4379" s="4"/>
      <c r="C4379" s="22"/>
      <c r="D4379" s="5" t="str">
        <f aca="false">IF(B4379="","",IFERROR(INDEX(DE_PARA!$B$6:$B$205,MATCH(B4379,DE_PARA!$A$6:$A$205,0)),"SEM DE-PARA"))</f>
        <v/>
      </c>
      <c r="E4379" s="23" t="str">
        <f aca="false">IF(A4379="","",DATE(YEAR(A4379),MONTH(A4379),1))</f>
        <v/>
      </c>
    </row>
    <row r="4380" customFormat="false" ht="15" hidden="false" customHeight="false" outlineLevel="0" collapsed="false">
      <c r="A4380" s="21"/>
      <c r="B4380" s="4"/>
      <c r="C4380" s="22"/>
      <c r="D4380" s="5" t="str">
        <f aca="false">IF(B4380="","",IFERROR(INDEX(DE_PARA!$B$6:$B$205,MATCH(B4380,DE_PARA!$A$6:$A$205,0)),"SEM DE-PARA"))</f>
        <v/>
      </c>
      <c r="E4380" s="23" t="str">
        <f aca="false">IF(A4380="","",DATE(YEAR(A4380),MONTH(A4380),1))</f>
        <v/>
      </c>
    </row>
    <row r="4381" customFormat="false" ht="15" hidden="false" customHeight="false" outlineLevel="0" collapsed="false">
      <c r="A4381" s="21"/>
      <c r="B4381" s="4"/>
      <c r="C4381" s="22"/>
      <c r="D4381" s="5" t="str">
        <f aca="false">IF(B4381="","",IFERROR(INDEX(DE_PARA!$B$6:$B$205,MATCH(B4381,DE_PARA!$A$6:$A$205,0)),"SEM DE-PARA"))</f>
        <v/>
      </c>
      <c r="E4381" s="23" t="str">
        <f aca="false">IF(A4381="","",DATE(YEAR(A4381),MONTH(A4381),1))</f>
        <v/>
      </c>
    </row>
    <row r="4382" customFormat="false" ht="15" hidden="false" customHeight="false" outlineLevel="0" collapsed="false">
      <c r="A4382" s="21"/>
      <c r="B4382" s="4"/>
      <c r="C4382" s="22"/>
      <c r="D4382" s="5" t="str">
        <f aca="false">IF(B4382="","",IFERROR(INDEX(DE_PARA!$B$6:$B$205,MATCH(B4382,DE_PARA!$A$6:$A$205,0)),"SEM DE-PARA"))</f>
        <v/>
      </c>
      <c r="E4382" s="23" t="str">
        <f aca="false">IF(A4382="","",DATE(YEAR(A4382),MONTH(A4382),1))</f>
        <v/>
      </c>
    </row>
    <row r="4383" customFormat="false" ht="15" hidden="false" customHeight="false" outlineLevel="0" collapsed="false">
      <c r="A4383" s="21"/>
      <c r="B4383" s="4"/>
      <c r="C4383" s="22"/>
      <c r="D4383" s="5" t="str">
        <f aca="false">IF(B4383="","",IFERROR(INDEX(DE_PARA!$B$6:$B$205,MATCH(B4383,DE_PARA!$A$6:$A$205,0)),"SEM DE-PARA"))</f>
        <v/>
      </c>
      <c r="E4383" s="23" t="str">
        <f aca="false">IF(A4383="","",DATE(YEAR(A4383),MONTH(A4383),1))</f>
        <v/>
      </c>
    </row>
    <row r="4384" customFormat="false" ht="15" hidden="false" customHeight="false" outlineLevel="0" collapsed="false">
      <c r="A4384" s="21"/>
      <c r="B4384" s="4"/>
      <c r="C4384" s="22"/>
      <c r="D4384" s="5" t="str">
        <f aca="false">IF(B4384="","",IFERROR(INDEX(DE_PARA!$B$6:$B$205,MATCH(B4384,DE_PARA!$A$6:$A$205,0)),"SEM DE-PARA"))</f>
        <v/>
      </c>
      <c r="E4384" s="23" t="str">
        <f aca="false">IF(A4384="","",DATE(YEAR(A4384),MONTH(A4384),1))</f>
        <v/>
      </c>
    </row>
    <row r="4385" customFormat="false" ht="15" hidden="false" customHeight="false" outlineLevel="0" collapsed="false">
      <c r="A4385" s="21"/>
      <c r="B4385" s="4"/>
      <c r="C4385" s="22"/>
      <c r="D4385" s="5" t="str">
        <f aca="false">IF(B4385="","",IFERROR(INDEX(DE_PARA!$B$6:$B$205,MATCH(B4385,DE_PARA!$A$6:$A$205,0)),"SEM DE-PARA"))</f>
        <v/>
      </c>
      <c r="E4385" s="23" t="str">
        <f aca="false">IF(A4385="","",DATE(YEAR(A4385),MONTH(A4385),1))</f>
        <v/>
      </c>
    </row>
    <row r="4386" customFormat="false" ht="15" hidden="false" customHeight="false" outlineLevel="0" collapsed="false">
      <c r="A4386" s="21"/>
      <c r="B4386" s="4"/>
      <c r="C4386" s="22"/>
      <c r="D4386" s="5" t="str">
        <f aca="false">IF(B4386="","",IFERROR(INDEX(DE_PARA!$B$6:$B$205,MATCH(B4386,DE_PARA!$A$6:$A$205,0)),"SEM DE-PARA"))</f>
        <v/>
      </c>
      <c r="E4386" s="23" t="str">
        <f aca="false">IF(A4386="","",DATE(YEAR(A4386),MONTH(A4386),1))</f>
        <v/>
      </c>
    </row>
    <row r="4387" customFormat="false" ht="15" hidden="false" customHeight="false" outlineLevel="0" collapsed="false">
      <c r="A4387" s="21"/>
      <c r="B4387" s="4"/>
      <c r="C4387" s="22"/>
      <c r="D4387" s="5" t="str">
        <f aca="false">IF(B4387="","",IFERROR(INDEX(DE_PARA!$B$6:$B$205,MATCH(B4387,DE_PARA!$A$6:$A$205,0)),"SEM DE-PARA"))</f>
        <v/>
      </c>
      <c r="E4387" s="23" t="str">
        <f aca="false">IF(A4387="","",DATE(YEAR(A4387),MONTH(A4387),1))</f>
        <v/>
      </c>
    </row>
    <row r="4388" customFormat="false" ht="15" hidden="false" customHeight="false" outlineLevel="0" collapsed="false">
      <c r="A4388" s="21"/>
      <c r="B4388" s="4"/>
      <c r="C4388" s="22"/>
      <c r="D4388" s="5" t="str">
        <f aca="false">IF(B4388="","",IFERROR(INDEX(DE_PARA!$B$6:$B$205,MATCH(B4388,DE_PARA!$A$6:$A$205,0)),"SEM DE-PARA"))</f>
        <v/>
      </c>
      <c r="E4388" s="23" t="str">
        <f aca="false">IF(A4388="","",DATE(YEAR(A4388),MONTH(A4388),1))</f>
        <v/>
      </c>
    </row>
    <row r="4389" customFormat="false" ht="15" hidden="false" customHeight="false" outlineLevel="0" collapsed="false">
      <c r="A4389" s="21"/>
      <c r="B4389" s="4"/>
      <c r="C4389" s="22"/>
      <c r="D4389" s="5" t="str">
        <f aca="false">IF(B4389="","",IFERROR(INDEX(DE_PARA!$B$6:$B$205,MATCH(B4389,DE_PARA!$A$6:$A$205,0)),"SEM DE-PARA"))</f>
        <v/>
      </c>
      <c r="E4389" s="23" t="str">
        <f aca="false">IF(A4389="","",DATE(YEAR(A4389),MONTH(A4389),1))</f>
        <v/>
      </c>
    </row>
    <row r="4390" customFormat="false" ht="15" hidden="false" customHeight="false" outlineLevel="0" collapsed="false">
      <c r="A4390" s="21"/>
      <c r="B4390" s="4"/>
      <c r="C4390" s="22"/>
      <c r="D4390" s="5" t="str">
        <f aca="false">IF(B4390="","",IFERROR(INDEX(DE_PARA!$B$6:$B$205,MATCH(B4390,DE_PARA!$A$6:$A$205,0)),"SEM DE-PARA"))</f>
        <v/>
      </c>
      <c r="E4390" s="23" t="str">
        <f aca="false">IF(A4390="","",DATE(YEAR(A4390),MONTH(A4390),1))</f>
        <v/>
      </c>
    </row>
    <row r="4391" customFormat="false" ht="15" hidden="false" customHeight="false" outlineLevel="0" collapsed="false">
      <c r="A4391" s="21"/>
      <c r="B4391" s="4"/>
      <c r="C4391" s="22"/>
      <c r="D4391" s="5" t="str">
        <f aca="false">IF(B4391="","",IFERROR(INDEX(DE_PARA!$B$6:$B$205,MATCH(B4391,DE_PARA!$A$6:$A$205,0)),"SEM DE-PARA"))</f>
        <v/>
      </c>
      <c r="E4391" s="23" t="str">
        <f aca="false">IF(A4391="","",DATE(YEAR(A4391),MONTH(A4391),1))</f>
        <v/>
      </c>
    </row>
    <row r="4392" customFormat="false" ht="15" hidden="false" customHeight="false" outlineLevel="0" collapsed="false">
      <c r="A4392" s="21"/>
      <c r="B4392" s="4"/>
      <c r="C4392" s="22"/>
      <c r="D4392" s="5" t="str">
        <f aca="false">IF(B4392="","",IFERROR(INDEX(DE_PARA!$B$6:$B$205,MATCH(B4392,DE_PARA!$A$6:$A$205,0)),"SEM DE-PARA"))</f>
        <v/>
      </c>
      <c r="E4392" s="23" t="str">
        <f aca="false">IF(A4392="","",DATE(YEAR(A4392),MONTH(A4392),1))</f>
        <v/>
      </c>
    </row>
    <row r="4393" customFormat="false" ht="15" hidden="false" customHeight="false" outlineLevel="0" collapsed="false">
      <c r="A4393" s="21"/>
      <c r="B4393" s="4"/>
      <c r="C4393" s="22"/>
      <c r="D4393" s="5" t="str">
        <f aca="false">IF(B4393="","",IFERROR(INDEX(DE_PARA!$B$6:$B$205,MATCH(B4393,DE_PARA!$A$6:$A$205,0)),"SEM DE-PARA"))</f>
        <v/>
      </c>
      <c r="E4393" s="23" t="str">
        <f aca="false">IF(A4393="","",DATE(YEAR(A4393),MONTH(A4393),1))</f>
        <v/>
      </c>
    </row>
    <row r="4394" customFormat="false" ht="15" hidden="false" customHeight="false" outlineLevel="0" collapsed="false">
      <c r="A4394" s="21"/>
      <c r="B4394" s="4"/>
      <c r="C4394" s="22"/>
      <c r="D4394" s="5" t="str">
        <f aca="false">IF(B4394="","",IFERROR(INDEX(DE_PARA!$B$6:$B$205,MATCH(B4394,DE_PARA!$A$6:$A$205,0)),"SEM DE-PARA"))</f>
        <v/>
      </c>
      <c r="E4394" s="23" t="str">
        <f aca="false">IF(A4394="","",DATE(YEAR(A4394),MONTH(A4394),1))</f>
        <v/>
      </c>
    </row>
    <row r="4395" customFormat="false" ht="15" hidden="false" customHeight="false" outlineLevel="0" collapsed="false">
      <c r="A4395" s="21"/>
      <c r="B4395" s="4"/>
      <c r="C4395" s="22"/>
      <c r="D4395" s="5" t="str">
        <f aca="false">IF(B4395="","",IFERROR(INDEX(DE_PARA!$B$6:$B$205,MATCH(B4395,DE_PARA!$A$6:$A$205,0)),"SEM DE-PARA"))</f>
        <v/>
      </c>
      <c r="E4395" s="23" t="str">
        <f aca="false">IF(A4395="","",DATE(YEAR(A4395),MONTH(A4395),1))</f>
        <v/>
      </c>
    </row>
    <row r="4396" customFormat="false" ht="15" hidden="false" customHeight="false" outlineLevel="0" collapsed="false">
      <c r="A4396" s="21"/>
      <c r="B4396" s="4"/>
      <c r="C4396" s="22"/>
      <c r="D4396" s="5" t="str">
        <f aca="false">IF(B4396="","",IFERROR(INDEX(DE_PARA!$B$6:$B$205,MATCH(B4396,DE_PARA!$A$6:$A$205,0)),"SEM DE-PARA"))</f>
        <v/>
      </c>
      <c r="E4396" s="23" t="str">
        <f aca="false">IF(A4396="","",DATE(YEAR(A4396),MONTH(A4396),1))</f>
        <v/>
      </c>
    </row>
    <row r="4397" customFormat="false" ht="15" hidden="false" customHeight="false" outlineLevel="0" collapsed="false">
      <c r="A4397" s="21"/>
      <c r="B4397" s="4"/>
      <c r="C4397" s="22"/>
      <c r="D4397" s="5" t="str">
        <f aca="false">IF(B4397="","",IFERROR(INDEX(DE_PARA!$B$6:$B$205,MATCH(B4397,DE_PARA!$A$6:$A$205,0)),"SEM DE-PARA"))</f>
        <v/>
      </c>
      <c r="E4397" s="23" t="str">
        <f aca="false">IF(A4397="","",DATE(YEAR(A4397),MONTH(A4397),1))</f>
        <v/>
      </c>
    </row>
    <row r="4398" customFormat="false" ht="15" hidden="false" customHeight="false" outlineLevel="0" collapsed="false">
      <c r="A4398" s="21"/>
      <c r="B4398" s="4"/>
      <c r="C4398" s="22"/>
      <c r="D4398" s="5" t="str">
        <f aca="false">IF(B4398="","",IFERROR(INDEX(DE_PARA!$B$6:$B$205,MATCH(B4398,DE_PARA!$A$6:$A$205,0)),"SEM DE-PARA"))</f>
        <v/>
      </c>
      <c r="E4398" s="23" t="str">
        <f aca="false">IF(A4398="","",DATE(YEAR(A4398),MONTH(A4398),1))</f>
        <v/>
      </c>
    </row>
    <row r="4399" customFormat="false" ht="15" hidden="false" customHeight="false" outlineLevel="0" collapsed="false">
      <c r="A4399" s="21"/>
      <c r="B4399" s="4"/>
      <c r="C4399" s="22"/>
      <c r="D4399" s="5" t="str">
        <f aca="false">IF(B4399="","",IFERROR(INDEX(DE_PARA!$B$6:$B$205,MATCH(B4399,DE_PARA!$A$6:$A$205,0)),"SEM DE-PARA"))</f>
        <v/>
      </c>
      <c r="E4399" s="23" t="str">
        <f aca="false">IF(A4399="","",DATE(YEAR(A4399),MONTH(A4399),1))</f>
        <v/>
      </c>
    </row>
    <row r="4400" customFormat="false" ht="15" hidden="false" customHeight="false" outlineLevel="0" collapsed="false">
      <c r="A4400" s="21"/>
      <c r="B4400" s="4"/>
      <c r="C4400" s="22"/>
      <c r="D4400" s="5" t="str">
        <f aca="false">IF(B4400="","",IFERROR(INDEX(DE_PARA!$B$6:$B$205,MATCH(B4400,DE_PARA!$A$6:$A$205,0)),"SEM DE-PARA"))</f>
        <v/>
      </c>
      <c r="E4400" s="23" t="str">
        <f aca="false">IF(A4400="","",DATE(YEAR(A4400),MONTH(A4400),1))</f>
        <v/>
      </c>
    </row>
    <row r="4401" customFormat="false" ht="15" hidden="false" customHeight="false" outlineLevel="0" collapsed="false">
      <c r="A4401" s="21"/>
      <c r="B4401" s="4"/>
      <c r="C4401" s="22"/>
      <c r="D4401" s="5" t="str">
        <f aca="false">IF(B4401="","",IFERROR(INDEX(DE_PARA!$B$6:$B$205,MATCH(B4401,DE_PARA!$A$6:$A$205,0)),"SEM DE-PARA"))</f>
        <v/>
      </c>
      <c r="E4401" s="23" t="str">
        <f aca="false">IF(A4401="","",DATE(YEAR(A4401),MONTH(A4401),1))</f>
        <v/>
      </c>
    </row>
    <row r="4402" customFormat="false" ht="15" hidden="false" customHeight="false" outlineLevel="0" collapsed="false">
      <c r="A4402" s="21"/>
      <c r="B4402" s="4"/>
      <c r="C4402" s="22"/>
      <c r="D4402" s="5" t="str">
        <f aca="false">IF(B4402="","",IFERROR(INDEX(DE_PARA!$B$6:$B$205,MATCH(B4402,DE_PARA!$A$6:$A$205,0)),"SEM DE-PARA"))</f>
        <v/>
      </c>
      <c r="E4402" s="23" t="str">
        <f aca="false">IF(A4402="","",DATE(YEAR(A4402),MONTH(A4402),1))</f>
        <v/>
      </c>
    </row>
    <row r="4403" customFormat="false" ht="15" hidden="false" customHeight="false" outlineLevel="0" collapsed="false">
      <c r="A4403" s="21"/>
      <c r="B4403" s="4"/>
      <c r="C4403" s="22"/>
      <c r="D4403" s="5" t="str">
        <f aca="false">IF(B4403="","",IFERROR(INDEX(DE_PARA!$B$6:$B$205,MATCH(B4403,DE_PARA!$A$6:$A$205,0)),"SEM DE-PARA"))</f>
        <v/>
      </c>
      <c r="E4403" s="23" t="str">
        <f aca="false">IF(A4403="","",DATE(YEAR(A4403),MONTH(A4403),1))</f>
        <v/>
      </c>
    </row>
    <row r="4404" customFormat="false" ht="15" hidden="false" customHeight="false" outlineLevel="0" collapsed="false">
      <c r="A4404" s="21"/>
      <c r="B4404" s="4"/>
      <c r="C4404" s="22"/>
      <c r="D4404" s="5" t="str">
        <f aca="false">IF(B4404="","",IFERROR(INDEX(DE_PARA!$B$6:$B$205,MATCH(B4404,DE_PARA!$A$6:$A$205,0)),"SEM DE-PARA"))</f>
        <v/>
      </c>
      <c r="E4404" s="23" t="str">
        <f aca="false">IF(A4404="","",DATE(YEAR(A4404),MONTH(A4404),1))</f>
        <v/>
      </c>
    </row>
    <row r="4405" customFormat="false" ht="15" hidden="false" customHeight="false" outlineLevel="0" collapsed="false">
      <c r="A4405" s="21"/>
      <c r="B4405" s="4"/>
      <c r="C4405" s="22"/>
      <c r="D4405" s="5" t="str">
        <f aca="false">IF(B4405="","",IFERROR(INDEX(DE_PARA!$B$6:$B$205,MATCH(B4405,DE_PARA!$A$6:$A$205,0)),"SEM DE-PARA"))</f>
        <v/>
      </c>
      <c r="E4405" s="23" t="str">
        <f aca="false">IF(A4405="","",DATE(YEAR(A4405),MONTH(A4405),1))</f>
        <v/>
      </c>
    </row>
    <row r="4406" customFormat="false" ht="15" hidden="false" customHeight="false" outlineLevel="0" collapsed="false">
      <c r="A4406" s="21"/>
      <c r="B4406" s="4"/>
      <c r="C4406" s="22"/>
      <c r="D4406" s="5" t="str">
        <f aca="false">IF(B4406="","",IFERROR(INDEX(DE_PARA!$B$6:$B$205,MATCH(B4406,DE_PARA!$A$6:$A$205,0)),"SEM DE-PARA"))</f>
        <v/>
      </c>
      <c r="E4406" s="23" t="str">
        <f aca="false">IF(A4406="","",DATE(YEAR(A4406),MONTH(A4406),1))</f>
        <v/>
      </c>
    </row>
    <row r="4407" customFormat="false" ht="15" hidden="false" customHeight="false" outlineLevel="0" collapsed="false">
      <c r="A4407" s="21"/>
      <c r="B4407" s="4"/>
      <c r="C4407" s="22"/>
      <c r="D4407" s="5" t="str">
        <f aca="false">IF(B4407="","",IFERROR(INDEX(DE_PARA!$B$6:$B$205,MATCH(B4407,DE_PARA!$A$6:$A$205,0)),"SEM DE-PARA"))</f>
        <v/>
      </c>
      <c r="E4407" s="23" t="str">
        <f aca="false">IF(A4407="","",DATE(YEAR(A4407),MONTH(A4407),1))</f>
        <v/>
      </c>
    </row>
    <row r="4408" customFormat="false" ht="15" hidden="false" customHeight="false" outlineLevel="0" collapsed="false">
      <c r="A4408" s="21"/>
      <c r="B4408" s="4"/>
      <c r="C4408" s="22"/>
      <c r="D4408" s="5" t="str">
        <f aca="false">IF(B4408="","",IFERROR(INDEX(DE_PARA!$B$6:$B$205,MATCH(B4408,DE_PARA!$A$6:$A$205,0)),"SEM DE-PARA"))</f>
        <v/>
      </c>
      <c r="E4408" s="23" t="str">
        <f aca="false">IF(A4408="","",DATE(YEAR(A4408),MONTH(A4408),1))</f>
        <v/>
      </c>
    </row>
    <row r="4409" customFormat="false" ht="15" hidden="false" customHeight="false" outlineLevel="0" collapsed="false">
      <c r="A4409" s="21"/>
      <c r="B4409" s="4"/>
      <c r="C4409" s="22"/>
      <c r="D4409" s="5" t="str">
        <f aca="false">IF(B4409="","",IFERROR(INDEX(DE_PARA!$B$6:$B$205,MATCH(B4409,DE_PARA!$A$6:$A$205,0)),"SEM DE-PARA"))</f>
        <v/>
      </c>
      <c r="E4409" s="23" t="str">
        <f aca="false">IF(A4409="","",DATE(YEAR(A4409),MONTH(A4409),1))</f>
        <v/>
      </c>
    </row>
    <row r="4410" customFormat="false" ht="15" hidden="false" customHeight="false" outlineLevel="0" collapsed="false">
      <c r="A4410" s="21"/>
      <c r="B4410" s="4"/>
      <c r="C4410" s="22"/>
      <c r="D4410" s="5" t="str">
        <f aca="false">IF(B4410="","",IFERROR(INDEX(DE_PARA!$B$6:$B$205,MATCH(B4410,DE_PARA!$A$6:$A$205,0)),"SEM DE-PARA"))</f>
        <v/>
      </c>
      <c r="E4410" s="23" t="str">
        <f aca="false">IF(A4410="","",DATE(YEAR(A4410),MONTH(A4410),1))</f>
        <v/>
      </c>
    </row>
    <row r="4411" customFormat="false" ht="15" hidden="false" customHeight="false" outlineLevel="0" collapsed="false">
      <c r="A4411" s="21"/>
      <c r="B4411" s="4"/>
      <c r="C4411" s="22"/>
      <c r="D4411" s="5" t="str">
        <f aca="false">IF(B4411="","",IFERROR(INDEX(DE_PARA!$B$6:$B$205,MATCH(B4411,DE_PARA!$A$6:$A$205,0)),"SEM DE-PARA"))</f>
        <v/>
      </c>
      <c r="E4411" s="23" t="str">
        <f aca="false">IF(A4411="","",DATE(YEAR(A4411),MONTH(A4411),1))</f>
        <v/>
      </c>
    </row>
    <row r="4412" customFormat="false" ht="15" hidden="false" customHeight="false" outlineLevel="0" collapsed="false">
      <c r="A4412" s="21"/>
      <c r="B4412" s="4"/>
      <c r="C4412" s="22"/>
      <c r="D4412" s="5" t="str">
        <f aca="false">IF(B4412="","",IFERROR(INDEX(DE_PARA!$B$6:$B$205,MATCH(B4412,DE_PARA!$A$6:$A$205,0)),"SEM DE-PARA"))</f>
        <v/>
      </c>
      <c r="E4412" s="23" t="str">
        <f aca="false">IF(A4412="","",DATE(YEAR(A4412),MONTH(A4412),1))</f>
        <v/>
      </c>
    </row>
    <row r="4413" customFormat="false" ht="15" hidden="false" customHeight="false" outlineLevel="0" collapsed="false">
      <c r="A4413" s="21"/>
      <c r="B4413" s="4"/>
      <c r="C4413" s="22"/>
      <c r="D4413" s="5" t="str">
        <f aca="false">IF(B4413="","",IFERROR(INDEX(DE_PARA!$B$6:$B$205,MATCH(B4413,DE_PARA!$A$6:$A$205,0)),"SEM DE-PARA"))</f>
        <v/>
      </c>
      <c r="E4413" s="23" t="str">
        <f aca="false">IF(A4413="","",DATE(YEAR(A4413),MONTH(A4413),1))</f>
        <v/>
      </c>
    </row>
    <row r="4414" customFormat="false" ht="15" hidden="false" customHeight="false" outlineLevel="0" collapsed="false">
      <c r="A4414" s="21"/>
      <c r="B4414" s="4"/>
      <c r="C4414" s="22"/>
      <c r="D4414" s="5" t="str">
        <f aca="false">IF(B4414="","",IFERROR(INDEX(DE_PARA!$B$6:$B$205,MATCH(B4414,DE_PARA!$A$6:$A$205,0)),"SEM DE-PARA"))</f>
        <v/>
      </c>
      <c r="E4414" s="23" t="str">
        <f aca="false">IF(A4414="","",DATE(YEAR(A4414),MONTH(A4414),1))</f>
        <v/>
      </c>
    </row>
    <row r="4415" customFormat="false" ht="15" hidden="false" customHeight="false" outlineLevel="0" collapsed="false">
      <c r="A4415" s="21"/>
      <c r="B4415" s="4"/>
      <c r="C4415" s="22"/>
      <c r="D4415" s="5" t="str">
        <f aca="false">IF(B4415="","",IFERROR(INDEX(DE_PARA!$B$6:$B$205,MATCH(B4415,DE_PARA!$A$6:$A$205,0)),"SEM DE-PARA"))</f>
        <v/>
      </c>
      <c r="E4415" s="23" t="str">
        <f aca="false">IF(A4415="","",DATE(YEAR(A4415),MONTH(A4415),1))</f>
        <v/>
      </c>
    </row>
    <row r="4416" customFormat="false" ht="15" hidden="false" customHeight="false" outlineLevel="0" collapsed="false">
      <c r="A4416" s="21"/>
      <c r="B4416" s="4"/>
      <c r="C4416" s="22"/>
      <c r="D4416" s="5" t="str">
        <f aca="false">IF(B4416="","",IFERROR(INDEX(DE_PARA!$B$6:$B$205,MATCH(B4416,DE_PARA!$A$6:$A$205,0)),"SEM DE-PARA"))</f>
        <v/>
      </c>
      <c r="E4416" s="23" t="str">
        <f aca="false">IF(A4416="","",DATE(YEAR(A4416),MONTH(A4416),1))</f>
        <v/>
      </c>
    </row>
    <row r="4417" customFormat="false" ht="15" hidden="false" customHeight="false" outlineLevel="0" collapsed="false">
      <c r="A4417" s="21"/>
      <c r="B4417" s="4"/>
      <c r="C4417" s="22"/>
      <c r="D4417" s="5" t="str">
        <f aca="false">IF(B4417="","",IFERROR(INDEX(DE_PARA!$B$6:$B$205,MATCH(B4417,DE_PARA!$A$6:$A$205,0)),"SEM DE-PARA"))</f>
        <v/>
      </c>
      <c r="E4417" s="23" t="str">
        <f aca="false">IF(A4417="","",DATE(YEAR(A4417),MONTH(A4417),1))</f>
        <v/>
      </c>
    </row>
    <row r="4418" customFormat="false" ht="15" hidden="false" customHeight="false" outlineLevel="0" collapsed="false">
      <c r="A4418" s="21"/>
      <c r="B4418" s="4"/>
      <c r="C4418" s="22"/>
      <c r="D4418" s="5" t="str">
        <f aca="false">IF(B4418="","",IFERROR(INDEX(DE_PARA!$B$6:$B$205,MATCH(B4418,DE_PARA!$A$6:$A$205,0)),"SEM DE-PARA"))</f>
        <v/>
      </c>
      <c r="E4418" s="23" t="str">
        <f aca="false">IF(A4418="","",DATE(YEAR(A4418),MONTH(A4418),1))</f>
        <v/>
      </c>
    </row>
    <row r="4419" customFormat="false" ht="15" hidden="false" customHeight="false" outlineLevel="0" collapsed="false">
      <c r="A4419" s="21"/>
      <c r="B4419" s="4"/>
      <c r="C4419" s="22"/>
      <c r="D4419" s="5" t="str">
        <f aca="false">IF(B4419="","",IFERROR(INDEX(DE_PARA!$B$6:$B$205,MATCH(B4419,DE_PARA!$A$6:$A$205,0)),"SEM DE-PARA"))</f>
        <v/>
      </c>
      <c r="E4419" s="23" t="str">
        <f aca="false">IF(A4419="","",DATE(YEAR(A4419),MONTH(A4419),1))</f>
        <v/>
      </c>
    </row>
    <row r="4420" customFormat="false" ht="15" hidden="false" customHeight="false" outlineLevel="0" collapsed="false">
      <c r="A4420" s="21"/>
      <c r="B4420" s="4"/>
      <c r="C4420" s="22"/>
      <c r="D4420" s="5" t="str">
        <f aca="false">IF(B4420="","",IFERROR(INDEX(DE_PARA!$B$6:$B$205,MATCH(B4420,DE_PARA!$A$6:$A$205,0)),"SEM DE-PARA"))</f>
        <v/>
      </c>
      <c r="E4420" s="23" t="str">
        <f aca="false">IF(A4420="","",DATE(YEAR(A4420),MONTH(A4420),1))</f>
        <v/>
      </c>
    </row>
    <row r="4421" customFormat="false" ht="15" hidden="false" customHeight="false" outlineLevel="0" collapsed="false">
      <c r="A4421" s="21"/>
      <c r="B4421" s="4"/>
      <c r="C4421" s="22"/>
      <c r="D4421" s="5" t="str">
        <f aca="false">IF(B4421="","",IFERROR(INDEX(DE_PARA!$B$6:$B$205,MATCH(B4421,DE_PARA!$A$6:$A$205,0)),"SEM DE-PARA"))</f>
        <v/>
      </c>
      <c r="E4421" s="23" t="str">
        <f aca="false">IF(A4421="","",DATE(YEAR(A4421),MONTH(A4421),1))</f>
        <v/>
      </c>
    </row>
    <row r="4422" customFormat="false" ht="15" hidden="false" customHeight="false" outlineLevel="0" collapsed="false">
      <c r="A4422" s="21"/>
      <c r="B4422" s="4"/>
      <c r="C4422" s="22"/>
      <c r="D4422" s="5" t="str">
        <f aca="false">IF(B4422="","",IFERROR(INDEX(DE_PARA!$B$6:$B$205,MATCH(B4422,DE_PARA!$A$6:$A$205,0)),"SEM DE-PARA"))</f>
        <v/>
      </c>
      <c r="E4422" s="23" t="str">
        <f aca="false">IF(A4422="","",DATE(YEAR(A4422),MONTH(A4422),1))</f>
        <v/>
      </c>
    </row>
    <row r="4423" customFormat="false" ht="15" hidden="false" customHeight="false" outlineLevel="0" collapsed="false">
      <c r="A4423" s="21"/>
      <c r="B4423" s="4"/>
      <c r="C4423" s="22"/>
      <c r="D4423" s="5" t="str">
        <f aca="false">IF(B4423="","",IFERROR(INDEX(DE_PARA!$B$6:$B$205,MATCH(B4423,DE_PARA!$A$6:$A$205,0)),"SEM DE-PARA"))</f>
        <v/>
      </c>
      <c r="E4423" s="23" t="str">
        <f aca="false">IF(A4423="","",DATE(YEAR(A4423),MONTH(A4423),1))</f>
        <v/>
      </c>
    </row>
    <row r="4424" customFormat="false" ht="15" hidden="false" customHeight="false" outlineLevel="0" collapsed="false">
      <c r="A4424" s="21"/>
      <c r="B4424" s="4"/>
      <c r="C4424" s="22"/>
      <c r="D4424" s="5" t="str">
        <f aca="false">IF(B4424="","",IFERROR(INDEX(DE_PARA!$B$6:$B$205,MATCH(B4424,DE_PARA!$A$6:$A$205,0)),"SEM DE-PARA"))</f>
        <v/>
      </c>
      <c r="E4424" s="23" t="str">
        <f aca="false">IF(A4424="","",DATE(YEAR(A4424),MONTH(A4424),1))</f>
        <v/>
      </c>
    </row>
    <row r="4425" customFormat="false" ht="15" hidden="false" customHeight="false" outlineLevel="0" collapsed="false">
      <c r="A4425" s="21"/>
      <c r="B4425" s="4"/>
      <c r="C4425" s="22"/>
      <c r="D4425" s="5" t="str">
        <f aca="false">IF(B4425="","",IFERROR(INDEX(DE_PARA!$B$6:$B$205,MATCH(B4425,DE_PARA!$A$6:$A$205,0)),"SEM DE-PARA"))</f>
        <v/>
      </c>
      <c r="E4425" s="23" t="str">
        <f aca="false">IF(A4425="","",DATE(YEAR(A4425),MONTH(A4425),1))</f>
        <v/>
      </c>
    </row>
    <row r="4426" customFormat="false" ht="15" hidden="false" customHeight="false" outlineLevel="0" collapsed="false">
      <c r="A4426" s="21"/>
      <c r="B4426" s="4"/>
      <c r="C4426" s="22"/>
      <c r="D4426" s="5" t="str">
        <f aca="false">IF(B4426="","",IFERROR(INDEX(DE_PARA!$B$6:$B$205,MATCH(B4426,DE_PARA!$A$6:$A$205,0)),"SEM DE-PARA"))</f>
        <v/>
      </c>
      <c r="E4426" s="23" t="str">
        <f aca="false">IF(A4426="","",DATE(YEAR(A4426),MONTH(A4426),1))</f>
        <v/>
      </c>
    </row>
    <row r="4427" customFormat="false" ht="15" hidden="false" customHeight="false" outlineLevel="0" collapsed="false">
      <c r="A4427" s="21"/>
      <c r="B4427" s="4"/>
      <c r="C4427" s="22"/>
      <c r="D4427" s="5" t="str">
        <f aca="false">IF(B4427="","",IFERROR(INDEX(DE_PARA!$B$6:$B$205,MATCH(B4427,DE_PARA!$A$6:$A$205,0)),"SEM DE-PARA"))</f>
        <v/>
      </c>
      <c r="E4427" s="23" t="str">
        <f aca="false">IF(A4427="","",DATE(YEAR(A4427),MONTH(A4427),1))</f>
        <v/>
      </c>
    </row>
    <row r="4428" customFormat="false" ht="15" hidden="false" customHeight="false" outlineLevel="0" collapsed="false">
      <c r="A4428" s="21"/>
      <c r="B4428" s="4"/>
      <c r="C4428" s="22"/>
      <c r="D4428" s="5" t="str">
        <f aca="false">IF(B4428="","",IFERROR(INDEX(DE_PARA!$B$6:$B$205,MATCH(B4428,DE_PARA!$A$6:$A$205,0)),"SEM DE-PARA"))</f>
        <v/>
      </c>
      <c r="E4428" s="23" t="str">
        <f aca="false">IF(A4428="","",DATE(YEAR(A4428),MONTH(A4428),1))</f>
        <v/>
      </c>
    </row>
    <row r="4429" customFormat="false" ht="15" hidden="false" customHeight="false" outlineLevel="0" collapsed="false">
      <c r="A4429" s="21"/>
      <c r="B4429" s="4"/>
      <c r="C4429" s="22"/>
      <c r="D4429" s="5" t="str">
        <f aca="false">IF(B4429="","",IFERROR(INDEX(DE_PARA!$B$6:$B$205,MATCH(B4429,DE_PARA!$A$6:$A$205,0)),"SEM DE-PARA"))</f>
        <v/>
      </c>
      <c r="E4429" s="23" t="str">
        <f aca="false">IF(A4429="","",DATE(YEAR(A4429),MONTH(A4429),1))</f>
        <v/>
      </c>
    </row>
    <row r="4430" customFormat="false" ht="15" hidden="false" customHeight="false" outlineLevel="0" collapsed="false">
      <c r="A4430" s="21"/>
      <c r="B4430" s="4"/>
      <c r="C4430" s="22"/>
      <c r="D4430" s="5" t="str">
        <f aca="false">IF(B4430="","",IFERROR(INDEX(DE_PARA!$B$6:$B$205,MATCH(B4430,DE_PARA!$A$6:$A$205,0)),"SEM DE-PARA"))</f>
        <v/>
      </c>
      <c r="E4430" s="23" t="str">
        <f aca="false">IF(A4430="","",DATE(YEAR(A4430),MONTH(A4430),1))</f>
        <v/>
      </c>
    </row>
    <row r="4431" customFormat="false" ht="15" hidden="false" customHeight="false" outlineLevel="0" collapsed="false">
      <c r="A4431" s="21"/>
      <c r="B4431" s="4"/>
      <c r="C4431" s="22"/>
      <c r="D4431" s="5" t="str">
        <f aca="false">IF(B4431="","",IFERROR(INDEX(DE_PARA!$B$6:$B$205,MATCH(B4431,DE_PARA!$A$6:$A$205,0)),"SEM DE-PARA"))</f>
        <v/>
      </c>
      <c r="E4431" s="23" t="str">
        <f aca="false">IF(A4431="","",DATE(YEAR(A4431),MONTH(A4431),1))</f>
        <v/>
      </c>
    </row>
    <row r="4432" customFormat="false" ht="15" hidden="false" customHeight="false" outlineLevel="0" collapsed="false">
      <c r="A4432" s="21"/>
      <c r="B4432" s="4"/>
      <c r="C4432" s="22"/>
      <c r="D4432" s="5" t="str">
        <f aca="false">IF(B4432="","",IFERROR(INDEX(DE_PARA!$B$6:$B$205,MATCH(B4432,DE_PARA!$A$6:$A$205,0)),"SEM DE-PARA"))</f>
        <v/>
      </c>
      <c r="E4432" s="23" t="str">
        <f aca="false">IF(A4432="","",DATE(YEAR(A4432),MONTH(A4432),1))</f>
        <v/>
      </c>
    </row>
    <row r="4433" customFormat="false" ht="15" hidden="false" customHeight="false" outlineLevel="0" collapsed="false">
      <c r="A4433" s="21"/>
      <c r="B4433" s="4"/>
      <c r="C4433" s="22"/>
      <c r="D4433" s="5" t="str">
        <f aca="false">IF(B4433="","",IFERROR(INDEX(DE_PARA!$B$6:$B$205,MATCH(B4433,DE_PARA!$A$6:$A$205,0)),"SEM DE-PARA"))</f>
        <v/>
      </c>
      <c r="E4433" s="23" t="str">
        <f aca="false">IF(A4433="","",DATE(YEAR(A4433),MONTH(A4433),1))</f>
        <v/>
      </c>
    </row>
    <row r="4434" customFormat="false" ht="15" hidden="false" customHeight="false" outlineLevel="0" collapsed="false">
      <c r="A4434" s="21"/>
      <c r="B4434" s="4"/>
      <c r="C4434" s="22"/>
      <c r="D4434" s="5" t="str">
        <f aca="false">IF(B4434="","",IFERROR(INDEX(DE_PARA!$B$6:$B$205,MATCH(B4434,DE_PARA!$A$6:$A$205,0)),"SEM DE-PARA"))</f>
        <v/>
      </c>
      <c r="E4434" s="23" t="str">
        <f aca="false">IF(A4434="","",DATE(YEAR(A4434),MONTH(A4434),1))</f>
        <v/>
      </c>
    </row>
    <row r="4435" customFormat="false" ht="15" hidden="false" customHeight="false" outlineLevel="0" collapsed="false">
      <c r="A4435" s="21"/>
      <c r="B4435" s="4"/>
      <c r="C4435" s="22"/>
      <c r="D4435" s="5" t="str">
        <f aca="false">IF(B4435="","",IFERROR(INDEX(DE_PARA!$B$6:$B$205,MATCH(B4435,DE_PARA!$A$6:$A$205,0)),"SEM DE-PARA"))</f>
        <v/>
      </c>
      <c r="E4435" s="23" t="str">
        <f aca="false">IF(A4435="","",DATE(YEAR(A4435),MONTH(A4435),1))</f>
        <v/>
      </c>
    </row>
    <row r="4436" customFormat="false" ht="15" hidden="false" customHeight="false" outlineLevel="0" collapsed="false">
      <c r="A4436" s="21"/>
      <c r="B4436" s="4"/>
      <c r="C4436" s="22"/>
      <c r="D4436" s="5" t="str">
        <f aca="false">IF(B4436="","",IFERROR(INDEX(DE_PARA!$B$6:$B$205,MATCH(B4436,DE_PARA!$A$6:$A$205,0)),"SEM DE-PARA"))</f>
        <v/>
      </c>
      <c r="E4436" s="23" t="str">
        <f aca="false">IF(A4436="","",DATE(YEAR(A4436),MONTH(A4436),1))</f>
        <v/>
      </c>
    </row>
    <row r="4437" customFormat="false" ht="15" hidden="false" customHeight="false" outlineLevel="0" collapsed="false">
      <c r="A4437" s="21"/>
      <c r="B4437" s="4"/>
      <c r="C4437" s="22"/>
      <c r="D4437" s="5" t="str">
        <f aca="false">IF(B4437="","",IFERROR(INDEX(DE_PARA!$B$6:$B$205,MATCH(B4437,DE_PARA!$A$6:$A$205,0)),"SEM DE-PARA"))</f>
        <v/>
      </c>
      <c r="E4437" s="23" t="str">
        <f aca="false">IF(A4437="","",DATE(YEAR(A4437),MONTH(A4437),1))</f>
        <v/>
      </c>
    </row>
    <row r="4438" customFormat="false" ht="15" hidden="false" customHeight="false" outlineLevel="0" collapsed="false">
      <c r="A4438" s="21"/>
      <c r="B4438" s="4"/>
      <c r="C4438" s="22"/>
      <c r="D4438" s="5" t="str">
        <f aca="false">IF(B4438="","",IFERROR(INDEX(DE_PARA!$B$6:$B$205,MATCH(B4438,DE_PARA!$A$6:$A$205,0)),"SEM DE-PARA"))</f>
        <v/>
      </c>
      <c r="E4438" s="23" t="str">
        <f aca="false">IF(A4438="","",DATE(YEAR(A4438),MONTH(A4438),1))</f>
        <v/>
      </c>
    </row>
    <row r="4439" customFormat="false" ht="15" hidden="false" customHeight="false" outlineLevel="0" collapsed="false">
      <c r="A4439" s="21"/>
      <c r="B4439" s="4"/>
      <c r="C4439" s="22"/>
      <c r="D4439" s="5" t="str">
        <f aca="false">IF(B4439="","",IFERROR(INDEX(DE_PARA!$B$6:$B$205,MATCH(B4439,DE_PARA!$A$6:$A$205,0)),"SEM DE-PARA"))</f>
        <v/>
      </c>
      <c r="E4439" s="23" t="str">
        <f aca="false">IF(A4439="","",DATE(YEAR(A4439),MONTH(A4439),1))</f>
        <v/>
      </c>
    </row>
    <row r="4440" customFormat="false" ht="15" hidden="false" customHeight="false" outlineLevel="0" collapsed="false">
      <c r="A4440" s="21"/>
      <c r="B4440" s="4"/>
      <c r="C4440" s="22"/>
      <c r="D4440" s="5" t="str">
        <f aca="false">IF(B4440="","",IFERROR(INDEX(DE_PARA!$B$6:$B$205,MATCH(B4440,DE_PARA!$A$6:$A$205,0)),"SEM DE-PARA"))</f>
        <v/>
      </c>
      <c r="E4440" s="23" t="str">
        <f aca="false">IF(A4440="","",DATE(YEAR(A4440),MONTH(A4440),1))</f>
        <v/>
      </c>
    </row>
    <row r="4441" customFormat="false" ht="15" hidden="false" customHeight="false" outlineLevel="0" collapsed="false">
      <c r="A4441" s="21"/>
      <c r="B4441" s="4"/>
      <c r="C4441" s="22"/>
      <c r="D4441" s="5" t="str">
        <f aca="false">IF(B4441="","",IFERROR(INDEX(DE_PARA!$B$6:$B$205,MATCH(B4441,DE_PARA!$A$6:$A$205,0)),"SEM DE-PARA"))</f>
        <v/>
      </c>
      <c r="E4441" s="23" t="str">
        <f aca="false">IF(A4441="","",DATE(YEAR(A4441),MONTH(A4441),1))</f>
        <v/>
      </c>
    </row>
    <row r="4442" customFormat="false" ht="15" hidden="false" customHeight="false" outlineLevel="0" collapsed="false">
      <c r="A4442" s="21"/>
      <c r="B4442" s="4"/>
      <c r="C4442" s="22"/>
      <c r="D4442" s="5" t="str">
        <f aca="false">IF(B4442="","",IFERROR(INDEX(DE_PARA!$B$6:$B$205,MATCH(B4442,DE_PARA!$A$6:$A$205,0)),"SEM DE-PARA"))</f>
        <v/>
      </c>
      <c r="E4442" s="23" t="str">
        <f aca="false">IF(A4442="","",DATE(YEAR(A4442),MONTH(A4442),1))</f>
        <v/>
      </c>
    </row>
    <row r="4443" customFormat="false" ht="15" hidden="false" customHeight="false" outlineLevel="0" collapsed="false">
      <c r="A4443" s="21"/>
      <c r="B4443" s="4"/>
      <c r="C4443" s="22"/>
      <c r="D4443" s="5" t="str">
        <f aca="false">IF(B4443="","",IFERROR(INDEX(DE_PARA!$B$6:$B$205,MATCH(B4443,DE_PARA!$A$6:$A$205,0)),"SEM DE-PARA"))</f>
        <v/>
      </c>
      <c r="E4443" s="23" t="str">
        <f aca="false">IF(A4443="","",DATE(YEAR(A4443),MONTH(A4443),1))</f>
        <v/>
      </c>
    </row>
    <row r="4444" customFormat="false" ht="15" hidden="false" customHeight="false" outlineLevel="0" collapsed="false">
      <c r="A4444" s="21"/>
      <c r="B4444" s="4"/>
      <c r="C4444" s="22"/>
      <c r="D4444" s="5" t="str">
        <f aca="false">IF(B4444="","",IFERROR(INDEX(DE_PARA!$B$6:$B$205,MATCH(B4444,DE_PARA!$A$6:$A$205,0)),"SEM DE-PARA"))</f>
        <v/>
      </c>
      <c r="E4444" s="23" t="str">
        <f aca="false">IF(A4444="","",DATE(YEAR(A4444),MONTH(A4444),1))</f>
        <v/>
      </c>
    </row>
    <row r="4445" customFormat="false" ht="15" hidden="false" customHeight="false" outlineLevel="0" collapsed="false">
      <c r="A4445" s="21"/>
      <c r="B4445" s="4"/>
      <c r="C4445" s="22"/>
      <c r="D4445" s="5" t="str">
        <f aca="false">IF(B4445="","",IFERROR(INDEX(DE_PARA!$B$6:$B$205,MATCH(B4445,DE_PARA!$A$6:$A$205,0)),"SEM DE-PARA"))</f>
        <v/>
      </c>
      <c r="E4445" s="23" t="str">
        <f aca="false">IF(A4445="","",DATE(YEAR(A4445),MONTH(A4445),1))</f>
        <v/>
      </c>
    </row>
    <row r="4446" customFormat="false" ht="15" hidden="false" customHeight="false" outlineLevel="0" collapsed="false">
      <c r="A4446" s="21"/>
      <c r="B4446" s="4"/>
      <c r="C4446" s="22"/>
      <c r="D4446" s="5" t="str">
        <f aca="false">IF(B4446="","",IFERROR(INDEX(DE_PARA!$B$6:$B$205,MATCH(B4446,DE_PARA!$A$6:$A$205,0)),"SEM DE-PARA"))</f>
        <v/>
      </c>
      <c r="E4446" s="23" t="str">
        <f aca="false">IF(A4446="","",DATE(YEAR(A4446),MONTH(A4446),1))</f>
        <v/>
      </c>
    </row>
    <row r="4447" customFormat="false" ht="15" hidden="false" customHeight="false" outlineLevel="0" collapsed="false">
      <c r="A4447" s="21"/>
      <c r="B4447" s="4"/>
      <c r="C4447" s="22"/>
      <c r="D4447" s="5" t="str">
        <f aca="false">IF(B4447="","",IFERROR(INDEX(DE_PARA!$B$6:$B$205,MATCH(B4447,DE_PARA!$A$6:$A$205,0)),"SEM DE-PARA"))</f>
        <v/>
      </c>
      <c r="E4447" s="23" t="str">
        <f aca="false">IF(A4447="","",DATE(YEAR(A4447),MONTH(A4447),1))</f>
        <v/>
      </c>
    </row>
    <row r="4448" customFormat="false" ht="15" hidden="false" customHeight="false" outlineLevel="0" collapsed="false">
      <c r="A4448" s="21"/>
      <c r="B4448" s="4"/>
      <c r="C4448" s="22"/>
      <c r="D4448" s="5" t="str">
        <f aca="false">IF(B4448="","",IFERROR(INDEX(DE_PARA!$B$6:$B$205,MATCH(B4448,DE_PARA!$A$6:$A$205,0)),"SEM DE-PARA"))</f>
        <v/>
      </c>
      <c r="E4448" s="23" t="str">
        <f aca="false">IF(A4448="","",DATE(YEAR(A4448),MONTH(A4448),1))</f>
        <v/>
      </c>
    </row>
    <row r="4449" customFormat="false" ht="15" hidden="false" customHeight="false" outlineLevel="0" collapsed="false">
      <c r="A4449" s="21"/>
      <c r="B4449" s="4"/>
      <c r="C4449" s="22"/>
      <c r="D4449" s="5" t="str">
        <f aca="false">IF(B4449="","",IFERROR(INDEX(DE_PARA!$B$6:$B$205,MATCH(B4449,DE_PARA!$A$6:$A$205,0)),"SEM DE-PARA"))</f>
        <v/>
      </c>
      <c r="E4449" s="23" t="str">
        <f aca="false">IF(A4449="","",DATE(YEAR(A4449),MONTH(A4449),1))</f>
        <v/>
      </c>
    </row>
    <row r="4450" customFormat="false" ht="15" hidden="false" customHeight="false" outlineLevel="0" collapsed="false">
      <c r="A4450" s="21"/>
      <c r="B4450" s="4"/>
      <c r="C4450" s="22"/>
      <c r="D4450" s="5" t="str">
        <f aca="false">IF(B4450="","",IFERROR(INDEX(DE_PARA!$B$6:$B$205,MATCH(B4450,DE_PARA!$A$6:$A$205,0)),"SEM DE-PARA"))</f>
        <v/>
      </c>
      <c r="E4450" s="23" t="str">
        <f aca="false">IF(A4450="","",DATE(YEAR(A4450),MONTH(A4450),1))</f>
        <v/>
      </c>
    </row>
    <row r="4451" customFormat="false" ht="15" hidden="false" customHeight="false" outlineLevel="0" collapsed="false">
      <c r="A4451" s="21"/>
      <c r="B4451" s="4"/>
      <c r="C4451" s="22"/>
      <c r="D4451" s="5" t="str">
        <f aca="false">IF(B4451="","",IFERROR(INDEX(DE_PARA!$B$6:$B$205,MATCH(B4451,DE_PARA!$A$6:$A$205,0)),"SEM DE-PARA"))</f>
        <v/>
      </c>
      <c r="E4451" s="23" t="str">
        <f aca="false">IF(A4451="","",DATE(YEAR(A4451),MONTH(A4451),1))</f>
        <v/>
      </c>
    </row>
    <row r="4452" customFormat="false" ht="15" hidden="false" customHeight="false" outlineLevel="0" collapsed="false">
      <c r="A4452" s="21"/>
      <c r="B4452" s="4"/>
      <c r="C4452" s="22"/>
      <c r="D4452" s="5" t="str">
        <f aca="false">IF(B4452="","",IFERROR(INDEX(DE_PARA!$B$6:$B$205,MATCH(B4452,DE_PARA!$A$6:$A$205,0)),"SEM DE-PARA"))</f>
        <v/>
      </c>
      <c r="E4452" s="23" t="str">
        <f aca="false">IF(A4452="","",DATE(YEAR(A4452),MONTH(A4452),1))</f>
        <v/>
      </c>
    </row>
    <row r="4453" customFormat="false" ht="15" hidden="false" customHeight="false" outlineLevel="0" collapsed="false">
      <c r="A4453" s="21"/>
      <c r="B4453" s="4"/>
      <c r="C4453" s="22"/>
      <c r="D4453" s="5" t="str">
        <f aca="false">IF(B4453="","",IFERROR(INDEX(DE_PARA!$B$6:$B$205,MATCH(B4453,DE_PARA!$A$6:$A$205,0)),"SEM DE-PARA"))</f>
        <v/>
      </c>
      <c r="E4453" s="23" t="str">
        <f aca="false">IF(A4453="","",DATE(YEAR(A4453),MONTH(A4453),1))</f>
        <v/>
      </c>
    </row>
    <row r="4454" customFormat="false" ht="15" hidden="false" customHeight="false" outlineLevel="0" collapsed="false">
      <c r="A4454" s="21"/>
      <c r="B4454" s="4"/>
      <c r="C4454" s="22"/>
      <c r="D4454" s="5" t="str">
        <f aca="false">IF(B4454="","",IFERROR(INDEX(DE_PARA!$B$6:$B$205,MATCH(B4454,DE_PARA!$A$6:$A$205,0)),"SEM DE-PARA"))</f>
        <v/>
      </c>
      <c r="E4454" s="23" t="str">
        <f aca="false">IF(A4454="","",DATE(YEAR(A4454),MONTH(A4454),1))</f>
        <v/>
      </c>
    </row>
    <row r="4455" customFormat="false" ht="15" hidden="false" customHeight="false" outlineLevel="0" collapsed="false">
      <c r="A4455" s="21"/>
      <c r="B4455" s="4"/>
      <c r="C4455" s="22"/>
      <c r="D4455" s="5" t="str">
        <f aca="false">IF(B4455="","",IFERROR(INDEX(DE_PARA!$B$6:$B$205,MATCH(B4455,DE_PARA!$A$6:$A$205,0)),"SEM DE-PARA"))</f>
        <v/>
      </c>
      <c r="E4455" s="23" t="str">
        <f aca="false">IF(A4455="","",DATE(YEAR(A4455),MONTH(A4455),1))</f>
        <v/>
      </c>
    </row>
    <row r="4456" customFormat="false" ht="15" hidden="false" customHeight="false" outlineLevel="0" collapsed="false">
      <c r="A4456" s="21"/>
      <c r="B4456" s="4"/>
      <c r="C4456" s="22"/>
      <c r="D4456" s="5" t="str">
        <f aca="false">IF(B4456="","",IFERROR(INDEX(DE_PARA!$B$6:$B$205,MATCH(B4456,DE_PARA!$A$6:$A$205,0)),"SEM DE-PARA"))</f>
        <v/>
      </c>
      <c r="E4456" s="23" t="str">
        <f aca="false">IF(A4456="","",DATE(YEAR(A4456),MONTH(A4456),1))</f>
        <v/>
      </c>
    </row>
    <row r="4457" customFormat="false" ht="15" hidden="false" customHeight="false" outlineLevel="0" collapsed="false">
      <c r="A4457" s="21"/>
      <c r="B4457" s="4"/>
      <c r="C4457" s="22"/>
      <c r="D4457" s="5" t="str">
        <f aca="false">IF(B4457="","",IFERROR(INDEX(DE_PARA!$B$6:$B$205,MATCH(B4457,DE_PARA!$A$6:$A$205,0)),"SEM DE-PARA"))</f>
        <v/>
      </c>
      <c r="E4457" s="23" t="str">
        <f aca="false">IF(A4457="","",DATE(YEAR(A4457),MONTH(A4457),1))</f>
        <v/>
      </c>
    </row>
    <row r="4458" customFormat="false" ht="15" hidden="false" customHeight="false" outlineLevel="0" collapsed="false">
      <c r="A4458" s="21"/>
      <c r="B4458" s="4"/>
      <c r="C4458" s="22"/>
      <c r="D4458" s="5" t="str">
        <f aca="false">IF(B4458="","",IFERROR(INDEX(DE_PARA!$B$6:$B$205,MATCH(B4458,DE_PARA!$A$6:$A$205,0)),"SEM DE-PARA"))</f>
        <v/>
      </c>
      <c r="E4458" s="23" t="str">
        <f aca="false">IF(A4458="","",DATE(YEAR(A4458),MONTH(A4458),1))</f>
        <v/>
      </c>
    </row>
    <row r="4459" customFormat="false" ht="15" hidden="false" customHeight="false" outlineLevel="0" collapsed="false">
      <c r="A4459" s="21"/>
      <c r="B4459" s="4"/>
      <c r="C4459" s="22"/>
      <c r="D4459" s="5" t="str">
        <f aca="false">IF(B4459="","",IFERROR(INDEX(DE_PARA!$B$6:$B$205,MATCH(B4459,DE_PARA!$A$6:$A$205,0)),"SEM DE-PARA"))</f>
        <v/>
      </c>
      <c r="E4459" s="23" t="str">
        <f aca="false">IF(A4459="","",DATE(YEAR(A4459),MONTH(A4459),1))</f>
        <v/>
      </c>
    </row>
    <row r="4460" customFormat="false" ht="15" hidden="false" customHeight="false" outlineLevel="0" collapsed="false">
      <c r="A4460" s="21"/>
      <c r="B4460" s="4"/>
      <c r="C4460" s="22"/>
      <c r="D4460" s="5" t="str">
        <f aca="false">IF(B4460="","",IFERROR(INDEX(DE_PARA!$B$6:$B$205,MATCH(B4460,DE_PARA!$A$6:$A$205,0)),"SEM DE-PARA"))</f>
        <v/>
      </c>
      <c r="E4460" s="23" t="str">
        <f aca="false">IF(A4460="","",DATE(YEAR(A4460),MONTH(A4460),1))</f>
        <v/>
      </c>
    </row>
    <row r="4461" customFormat="false" ht="15" hidden="false" customHeight="false" outlineLevel="0" collapsed="false">
      <c r="A4461" s="21"/>
      <c r="B4461" s="4"/>
      <c r="C4461" s="22"/>
      <c r="D4461" s="5" t="str">
        <f aca="false">IF(B4461="","",IFERROR(INDEX(DE_PARA!$B$6:$B$205,MATCH(B4461,DE_PARA!$A$6:$A$205,0)),"SEM DE-PARA"))</f>
        <v/>
      </c>
      <c r="E4461" s="23" t="str">
        <f aca="false">IF(A4461="","",DATE(YEAR(A4461),MONTH(A4461),1))</f>
        <v/>
      </c>
    </row>
    <row r="4462" customFormat="false" ht="15" hidden="false" customHeight="false" outlineLevel="0" collapsed="false">
      <c r="A4462" s="21"/>
      <c r="B4462" s="4"/>
      <c r="C4462" s="22"/>
      <c r="D4462" s="5" t="str">
        <f aca="false">IF(B4462="","",IFERROR(INDEX(DE_PARA!$B$6:$B$205,MATCH(B4462,DE_PARA!$A$6:$A$205,0)),"SEM DE-PARA"))</f>
        <v/>
      </c>
      <c r="E4462" s="23" t="str">
        <f aca="false">IF(A4462="","",DATE(YEAR(A4462),MONTH(A4462),1))</f>
        <v/>
      </c>
    </row>
    <row r="4463" customFormat="false" ht="15" hidden="false" customHeight="false" outlineLevel="0" collapsed="false">
      <c r="A4463" s="21"/>
      <c r="B4463" s="4"/>
      <c r="C4463" s="22"/>
      <c r="D4463" s="5" t="str">
        <f aca="false">IF(B4463="","",IFERROR(INDEX(DE_PARA!$B$6:$B$205,MATCH(B4463,DE_PARA!$A$6:$A$205,0)),"SEM DE-PARA"))</f>
        <v/>
      </c>
      <c r="E4463" s="23" t="str">
        <f aca="false">IF(A4463="","",DATE(YEAR(A4463),MONTH(A4463),1))</f>
        <v/>
      </c>
    </row>
    <row r="4464" customFormat="false" ht="15" hidden="false" customHeight="false" outlineLevel="0" collapsed="false">
      <c r="A4464" s="21"/>
      <c r="B4464" s="4"/>
      <c r="C4464" s="22"/>
      <c r="D4464" s="5" t="str">
        <f aca="false">IF(B4464="","",IFERROR(INDEX(DE_PARA!$B$6:$B$205,MATCH(B4464,DE_PARA!$A$6:$A$205,0)),"SEM DE-PARA"))</f>
        <v/>
      </c>
      <c r="E4464" s="23" t="str">
        <f aca="false">IF(A4464="","",DATE(YEAR(A4464),MONTH(A4464),1))</f>
        <v/>
      </c>
    </row>
    <row r="4465" customFormat="false" ht="15" hidden="false" customHeight="false" outlineLevel="0" collapsed="false">
      <c r="A4465" s="21"/>
      <c r="B4465" s="4"/>
      <c r="C4465" s="22"/>
      <c r="D4465" s="5" t="str">
        <f aca="false">IF(B4465="","",IFERROR(INDEX(DE_PARA!$B$6:$B$205,MATCH(B4465,DE_PARA!$A$6:$A$205,0)),"SEM DE-PARA"))</f>
        <v/>
      </c>
      <c r="E4465" s="23" t="str">
        <f aca="false">IF(A4465="","",DATE(YEAR(A4465),MONTH(A4465),1))</f>
        <v/>
      </c>
    </row>
    <row r="4466" customFormat="false" ht="15" hidden="false" customHeight="false" outlineLevel="0" collapsed="false">
      <c r="A4466" s="21"/>
      <c r="B4466" s="4"/>
      <c r="C4466" s="22"/>
      <c r="D4466" s="5" t="str">
        <f aca="false">IF(B4466="","",IFERROR(INDEX(DE_PARA!$B$6:$B$205,MATCH(B4466,DE_PARA!$A$6:$A$205,0)),"SEM DE-PARA"))</f>
        <v/>
      </c>
      <c r="E4466" s="23" t="str">
        <f aca="false">IF(A4466="","",DATE(YEAR(A4466),MONTH(A4466),1))</f>
        <v/>
      </c>
    </row>
    <row r="4467" customFormat="false" ht="15" hidden="false" customHeight="false" outlineLevel="0" collapsed="false">
      <c r="A4467" s="21"/>
      <c r="B4467" s="4"/>
      <c r="C4467" s="22"/>
      <c r="D4467" s="5" t="str">
        <f aca="false">IF(B4467="","",IFERROR(INDEX(DE_PARA!$B$6:$B$205,MATCH(B4467,DE_PARA!$A$6:$A$205,0)),"SEM DE-PARA"))</f>
        <v/>
      </c>
      <c r="E4467" s="23" t="str">
        <f aca="false">IF(A4467="","",DATE(YEAR(A4467),MONTH(A4467),1))</f>
        <v/>
      </c>
    </row>
    <row r="4468" customFormat="false" ht="15" hidden="false" customHeight="false" outlineLevel="0" collapsed="false">
      <c r="A4468" s="21"/>
      <c r="B4468" s="4"/>
      <c r="C4468" s="22"/>
      <c r="D4468" s="5" t="str">
        <f aca="false">IF(B4468="","",IFERROR(INDEX(DE_PARA!$B$6:$B$205,MATCH(B4468,DE_PARA!$A$6:$A$205,0)),"SEM DE-PARA"))</f>
        <v/>
      </c>
      <c r="E4468" s="23" t="str">
        <f aca="false">IF(A4468="","",DATE(YEAR(A4468),MONTH(A4468),1))</f>
        <v/>
      </c>
    </row>
    <row r="4469" customFormat="false" ht="15" hidden="false" customHeight="false" outlineLevel="0" collapsed="false">
      <c r="A4469" s="21"/>
      <c r="B4469" s="4"/>
      <c r="C4469" s="22"/>
      <c r="D4469" s="5" t="str">
        <f aca="false">IF(B4469="","",IFERROR(INDEX(DE_PARA!$B$6:$B$205,MATCH(B4469,DE_PARA!$A$6:$A$205,0)),"SEM DE-PARA"))</f>
        <v/>
      </c>
      <c r="E4469" s="23" t="str">
        <f aca="false">IF(A4469="","",DATE(YEAR(A4469),MONTH(A4469),1))</f>
        <v/>
      </c>
    </row>
    <row r="4470" customFormat="false" ht="15" hidden="false" customHeight="false" outlineLevel="0" collapsed="false">
      <c r="A4470" s="21"/>
      <c r="B4470" s="4"/>
      <c r="C4470" s="22"/>
      <c r="D4470" s="5" t="str">
        <f aca="false">IF(B4470="","",IFERROR(INDEX(DE_PARA!$B$6:$B$205,MATCH(B4470,DE_PARA!$A$6:$A$205,0)),"SEM DE-PARA"))</f>
        <v/>
      </c>
      <c r="E4470" s="23" t="str">
        <f aca="false">IF(A4470="","",DATE(YEAR(A4470),MONTH(A4470),1))</f>
        <v/>
      </c>
    </row>
    <row r="4471" customFormat="false" ht="15" hidden="false" customHeight="false" outlineLevel="0" collapsed="false">
      <c r="A4471" s="21"/>
      <c r="B4471" s="4"/>
      <c r="C4471" s="22"/>
      <c r="D4471" s="5" t="str">
        <f aca="false">IF(B4471="","",IFERROR(INDEX(DE_PARA!$B$6:$B$205,MATCH(B4471,DE_PARA!$A$6:$A$205,0)),"SEM DE-PARA"))</f>
        <v/>
      </c>
      <c r="E4471" s="23" t="str">
        <f aca="false">IF(A4471="","",DATE(YEAR(A4471),MONTH(A4471),1))</f>
        <v/>
      </c>
    </row>
    <row r="4472" customFormat="false" ht="15" hidden="false" customHeight="false" outlineLevel="0" collapsed="false">
      <c r="A4472" s="21"/>
      <c r="B4472" s="4"/>
      <c r="C4472" s="22"/>
      <c r="D4472" s="5" t="str">
        <f aca="false">IF(B4472="","",IFERROR(INDEX(DE_PARA!$B$6:$B$205,MATCH(B4472,DE_PARA!$A$6:$A$205,0)),"SEM DE-PARA"))</f>
        <v/>
      </c>
      <c r="E4472" s="23" t="str">
        <f aca="false">IF(A4472="","",DATE(YEAR(A4472),MONTH(A4472),1))</f>
        <v/>
      </c>
    </row>
    <row r="4473" customFormat="false" ht="15" hidden="false" customHeight="false" outlineLevel="0" collapsed="false">
      <c r="A4473" s="21"/>
      <c r="B4473" s="4"/>
      <c r="C4473" s="22"/>
      <c r="D4473" s="5" t="str">
        <f aca="false">IF(B4473="","",IFERROR(INDEX(DE_PARA!$B$6:$B$205,MATCH(B4473,DE_PARA!$A$6:$A$205,0)),"SEM DE-PARA"))</f>
        <v/>
      </c>
      <c r="E4473" s="23" t="str">
        <f aca="false">IF(A4473="","",DATE(YEAR(A4473),MONTH(A4473),1))</f>
        <v/>
      </c>
    </row>
    <row r="4474" customFormat="false" ht="15" hidden="false" customHeight="false" outlineLevel="0" collapsed="false">
      <c r="A4474" s="21"/>
      <c r="B4474" s="4"/>
      <c r="C4474" s="22"/>
      <c r="D4474" s="5" t="str">
        <f aca="false">IF(B4474="","",IFERROR(INDEX(DE_PARA!$B$6:$B$205,MATCH(B4474,DE_PARA!$A$6:$A$205,0)),"SEM DE-PARA"))</f>
        <v/>
      </c>
      <c r="E4474" s="23" t="str">
        <f aca="false">IF(A4474="","",DATE(YEAR(A4474),MONTH(A4474),1))</f>
        <v/>
      </c>
    </row>
    <row r="4475" customFormat="false" ht="15" hidden="false" customHeight="false" outlineLevel="0" collapsed="false">
      <c r="A4475" s="21"/>
      <c r="B4475" s="4"/>
      <c r="C4475" s="22"/>
      <c r="D4475" s="5" t="str">
        <f aca="false">IF(B4475="","",IFERROR(INDEX(DE_PARA!$B$6:$B$205,MATCH(B4475,DE_PARA!$A$6:$A$205,0)),"SEM DE-PARA"))</f>
        <v/>
      </c>
      <c r="E4475" s="23" t="str">
        <f aca="false">IF(A4475="","",DATE(YEAR(A4475),MONTH(A4475),1))</f>
        <v/>
      </c>
    </row>
    <row r="4476" customFormat="false" ht="15" hidden="false" customHeight="false" outlineLevel="0" collapsed="false">
      <c r="A4476" s="21"/>
      <c r="B4476" s="4"/>
      <c r="C4476" s="22"/>
      <c r="D4476" s="5" t="str">
        <f aca="false">IF(B4476="","",IFERROR(INDEX(DE_PARA!$B$6:$B$205,MATCH(B4476,DE_PARA!$A$6:$A$205,0)),"SEM DE-PARA"))</f>
        <v/>
      </c>
      <c r="E4476" s="23" t="str">
        <f aca="false">IF(A4476="","",DATE(YEAR(A4476),MONTH(A4476),1))</f>
        <v/>
      </c>
    </row>
    <row r="4477" customFormat="false" ht="15" hidden="false" customHeight="false" outlineLevel="0" collapsed="false">
      <c r="A4477" s="21"/>
      <c r="B4477" s="4"/>
      <c r="C4477" s="22"/>
      <c r="D4477" s="5" t="str">
        <f aca="false">IF(B4477="","",IFERROR(INDEX(DE_PARA!$B$6:$B$205,MATCH(B4477,DE_PARA!$A$6:$A$205,0)),"SEM DE-PARA"))</f>
        <v/>
      </c>
      <c r="E4477" s="23" t="str">
        <f aca="false">IF(A4477="","",DATE(YEAR(A4477),MONTH(A4477),1))</f>
        <v/>
      </c>
    </row>
    <row r="4478" customFormat="false" ht="15" hidden="false" customHeight="false" outlineLevel="0" collapsed="false">
      <c r="A4478" s="21"/>
      <c r="B4478" s="4"/>
      <c r="C4478" s="22"/>
      <c r="D4478" s="5" t="str">
        <f aca="false">IF(B4478="","",IFERROR(INDEX(DE_PARA!$B$6:$B$205,MATCH(B4478,DE_PARA!$A$6:$A$205,0)),"SEM DE-PARA"))</f>
        <v/>
      </c>
      <c r="E4478" s="23" t="str">
        <f aca="false">IF(A4478="","",DATE(YEAR(A4478),MONTH(A4478),1))</f>
        <v/>
      </c>
    </row>
    <row r="4479" customFormat="false" ht="15" hidden="false" customHeight="false" outlineLevel="0" collapsed="false">
      <c r="A4479" s="21"/>
      <c r="B4479" s="4"/>
      <c r="C4479" s="22"/>
      <c r="D4479" s="5" t="str">
        <f aca="false">IF(B4479="","",IFERROR(INDEX(DE_PARA!$B$6:$B$205,MATCH(B4479,DE_PARA!$A$6:$A$205,0)),"SEM DE-PARA"))</f>
        <v/>
      </c>
      <c r="E4479" s="23" t="str">
        <f aca="false">IF(A4479="","",DATE(YEAR(A4479),MONTH(A4479),1))</f>
        <v/>
      </c>
    </row>
    <row r="4480" customFormat="false" ht="15" hidden="false" customHeight="false" outlineLevel="0" collapsed="false">
      <c r="A4480" s="21"/>
      <c r="B4480" s="4"/>
      <c r="C4480" s="22"/>
      <c r="D4480" s="5" t="str">
        <f aca="false">IF(B4480="","",IFERROR(INDEX(DE_PARA!$B$6:$B$205,MATCH(B4480,DE_PARA!$A$6:$A$205,0)),"SEM DE-PARA"))</f>
        <v/>
      </c>
      <c r="E4480" s="23" t="str">
        <f aca="false">IF(A4480="","",DATE(YEAR(A4480),MONTH(A4480),1))</f>
        <v/>
      </c>
    </row>
    <row r="4481" customFormat="false" ht="15" hidden="false" customHeight="false" outlineLevel="0" collapsed="false">
      <c r="A4481" s="21"/>
      <c r="B4481" s="4"/>
      <c r="C4481" s="22"/>
      <c r="D4481" s="5" t="str">
        <f aca="false">IF(B4481="","",IFERROR(INDEX(DE_PARA!$B$6:$B$205,MATCH(B4481,DE_PARA!$A$6:$A$205,0)),"SEM DE-PARA"))</f>
        <v/>
      </c>
      <c r="E4481" s="23" t="str">
        <f aca="false">IF(A4481="","",DATE(YEAR(A4481),MONTH(A4481),1))</f>
        <v/>
      </c>
    </row>
    <row r="4482" customFormat="false" ht="15" hidden="false" customHeight="false" outlineLevel="0" collapsed="false">
      <c r="A4482" s="21"/>
      <c r="B4482" s="4"/>
      <c r="C4482" s="22"/>
      <c r="D4482" s="5" t="str">
        <f aca="false">IF(B4482="","",IFERROR(INDEX(DE_PARA!$B$6:$B$205,MATCH(B4482,DE_PARA!$A$6:$A$205,0)),"SEM DE-PARA"))</f>
        <v/>
      </c>
      <c r="E4482" s="23" t="str">
        <f aca="false">IF(A4482="","",DATE(YEAR(A4482),MONTH(A4482),1))</f>
        <v/>
      </c>
    </row>
    <row r="4483" customFormat="false" ht="15" hidden="false" customHeight="false" outlineLevel="0" collapsed="false">
      <c r="A4483" s="21"/>
      <c r="B4483" s="4"/>
      <c r="C4483" s="22"/>
      <c r="D4483" s="5" t="str">
        <f aca="false">IF(B4483="","",IFERROR(INDEX(DE_PARA!$B$6:$B$205,MATCH(B4483,DE_PARA!$A$6:$A$205,0)),"SEM DE-PARA"))</f>
        <v/>
      </c>
      <c r="E4483" s="23" t="str">
        <f aca="false">IF(A4483="","",DATE(YEAR(A4483),MONTH(A4483),1))</f>
        <v/>
      </c>
    </row>
    <row r="4484" customFormat="false" ht="15" hidden="false" customHeight="false" outlineLevel="0" collapsed="false">
      <c r="A4484" s="21"/>
      <c r="B4484" s="4"/>
      <c r="C4484" s="22"/>
      <c r="D4484" s="5" t="str">
        <f aca="false">IF(B4484="","",IFERROR(INDEX(DE_PARA!$B$6:$B$205,MATCH(B4484,DE_PARA!$A$6:$A$205,0)),"SEM DE-PARA"))</f>
        <v/>
      </c>
      <c r="E4484" s="23" t="str">
        <f aca="false">IF(A4484="","",DATE(YEAR(A4484),MONTH(A4484),1))</f>
        <v/>
      </c>
    </row>
    <row r="4485" customFormat="false" ht="15" hidden="false" customHeight="false" outlineLevel="0" collapsed="false">
      <c r="A4485" s="21"/>
      <c r="B4485" s="4"/>
      <c r="C4485" s="22"/>
      <c r="D4485" s="5" t="str">
        <f aca="false">IF(B4485="","",IFERROR(INDEX(DE_PARA!$B$6:$B$205,MATCH(B4485,DE_PARA!$A$6:$A$205,0)),"SEM DE-PARA"))</f>
        <v/>
      </c>
      <c r="E4485" s="23" t="str">
        <f aca="false">IF(A4485="","",DATE(YEAR(A4485),MONTH(A4485),1))</f>
        <v/>
      </c>
    </row>
    <row r="4486" customFormat="false" ht="15" hidden="false" customHeight="false" outlineLevel="0" collapsed="false">
      <c r="A4486" s="21"/>
      <c r="B4486" s="4"/>
      <c r="C4486" s="22"/>
      <c r="D4486" s="5" t="str">
        <f aca="false">IF(B4486="","",IFERROR(INDEX(DE_PARA!$B$6:$B$205,MATCH(B4486,DE_PARA!$A$6:$A$205,0)),"SEM DE-PARA"))</f>
        <v/>
      </c>
      <c r="E4486" s="23" t="str">
        <f aca="false">IF(A4486="","",DATE(YEAR(A4486),MONTH(A4486),1))</f>
        <v/>
      </c>
    </row>
    <row r="4487" customFormat="false" ht="15" hidden="false" customHeight="false" outlineLevel="0" collapsed="false">
      <c r="A4487" s="21"/>
      <c r="B4487" s="4"/>
      <c r="C4487" s="22"/>
      <c r="D4487" s="5" t="str">
        <f aca="false">IF(B4487="","",IFERROR(INDEX(DE_PARA!$B$6:$B$205,MATCH(B4487,DE_PARA!$A$6:$A$205,0)),"SEM DE-PARA"))</f>
        <v/>
      </c>
      <c r="E4487" s="23" t="str">
        <f aca="false">IF(A4487="","",DATE(YEAR(A4487),MONTH(A4487),1))</f>
        <v/>
      </c>
    </row>
    <row r="4488" customFormat="false" ht="15" hidden="false" customHeight="false" outlineLevel="0" collapsed="false">
      <c r="A4488" s="21"/>
      <c r="B4488" s="4"/>
      <c r="C4488" s="22"/>
      <c r="D4488" s="5" t="str">
        <f aca="false">IF(B4488="","",IFERROR(INDEX(DE_PARA!$B$6:$B$205,MATCH(B4488,DE_PARA!$A$6:$A$205,0)),"SEM DE-PARA"))</f>
        <v/>
      </c>
      <c r="E4488" s="23" t="str">
        <f aca="false">IF(A4488="","",DATE(YEAR(A4488),MONTH(A4488),1))</f>
        <v/>
      </c>
    </row>
    <row r="4489" customFormat="false" ht="15" hidden="false" customHeight="false" outlineLevel="0" collapsed="false">
      <c r="A4489" s="21"/>
      <c r="B4489" s="4"/>
      <c r="C4489" s="22"/>
      <c r="D4489" s="5" t="str">
        <f aca="false">IF(B4489="","",IFERROR(INDEX(DE_PARA!$B$6:$B$205,MATCH(B4489,DE_PARA!$A$6:$A$205,0)),"SEM DE-PARA"))</f>
        <v/>
      </c>
      <c r="E4489" s="23" t="str">
        <f aca="false">IF(A4489="","",DATE(YEAR(A4489),MONTH(A4489),1))</f>
        <v/>
      </c>
    </row>
    <row r="4490" customFormat="false" ht="15" hidden="false" customHeight="false" outlineLevel="0" collapsed="false">
      <c r="A4490" s="21"/>
      <c r="B4490" s="4"/>
      <c r="C4490" s="22"/>
      <c r="D4490" s="5" t="str">
        <f aca="false">IF(B4490="","",IFERROR(INDEX(DE_PARA!$B$6:$B$205,MATCH(B4490,DE_PARA!$A$6:$A$205,0)),"SEM DE-PARA"))</f>
        <v/>
      </c>
      <c r="E4490" s="23" t="str">
        <f aca="false">IF(A4490="","",DATE(YEAR(A4490),MONTH(A4490),1))</f>
        <v/>
      </c>
    </row>
    <row r="4491" customFormat="false" ht="15" hidden="false" customHeight="false" outlineLevel="0" collapsed="false">
      <c r="A4491" s="21"/>
      <c r="B4491" s="4"/>
      <c r="C4491" s="22"/>
      <c r="D4491" s="5" t="str">
        <f aca="false">IF(B4491="","",IFERROR(INDEX(DE_PARA!$B$6:$B$205,MATCH(B4491,DE_PARA!$A$6:$A$205,0)),"SEM DE-PARA"))</f>
        <v/>
      </c>
      <c r="E4491" s="23" t="str">
        <f aca="false">IF(A4491="","",DATE(YEAR(A4491),MONTH(A4491),1))</f>
        <v/>
      </c>
    </row>
    <row r="4492" customFormat="false" ht="15" hidden="false" customHeight="false" outlineLevel="0" collapsed="false">
      <c r="A4492" s="21"/>
      <c r="B4492" s="4"/>
      <c r="C4492" s="22"/>
      <c r="D4492" s="5" t="str">
        <f aca="false">IF(B4492="","",IFERROR(INDEX(DE_PARA!$B$6:$B$205,MATCH(B4492,DE_PARA!$A$6:$A$205,0)),"SEM DE-PARA"))</f>
        <v/>
      </c>
      <c r="E4492" s="23" t="str">
        <f aca="false">IF(A4492="","",DATE(YEAR(A4492),MONTH(A4492),1))</f>
        <v/>
      </c>
    </row>
    <row r="4493" customFormat="false" ht="15" hidden="false" customHeight="false" outlineLevel="0" collapsed="false">
      <c r="A4493" s="21"/>
      <c r="B4493" s="4"/>
      <c r="C4493" s="22"/>
      <c r="D4493" s="5" t="str">
        <f aca="false">IF(B4493="","",IFERROR(INDEX(DE_PARA!$B$6:$B$205,MATCH(B4493,DE_PARA!$A$6:$A$205,0)),"SEM DE-PARA"))</f>
        <v/>
      </c>
      <c r="E4493" s="23" t="str">
        <f aca="false">IF(A4493="","",DATE(YEAR(A4493),MONTH(A4493),1))</f>
        <v/>
      </c>
    </row>
    <row r="4494" customFormat="false" ht="15" hidden="false" customHeight="false" outlineLevel="0" collapsed="false">
      <c r="A4494" s="21"/>
      <c r="B4494" s="4"/>
      <c r="C4494" s="22"/>
      <c r="D4494" s="5" t="str">
        <f aca="false">IF(B4494="","",IFERROR(INDEX(DE_PARA!$B$6:$B$205,MATCH(B4494,DE_PARA!$A$6:$A$205,0)),"SEM DE-PARA"))</f>
        <v/>
      </c>
      <c r="E4494" s="23" t="str">
        <f aca="false">IF(A4494="","",DATE(YEAR(A4494),MONTH(A4494),1))</f>
        <v/>
      </c>
    </row>
    <row r="4495" customFormat="false" ht="15" hidden="false" customHeight="false" outlineLevel="0" collapsed="false">
      <c r="A4495" s="21"/>
      <c r="B4495" s="4"/>
      <c r="C4495" s="22"/>
      <c r="D4495" s="5" t="str">
        <f aca="false">IF(B4495="","",IFERROR(INDEX(DE_PARA!$B$6:$B$205,MATCH(B4495,DE_PARA!$A$6:$A$205,0)),"SEM DE-PARA"))</f>
        <v/>
      </c>
      <c r="E4495" s="23" t="str">
        <f aca="false">IF(A4495="","",DATE(YEAR(A4495),MONTH(A4495),1))</f>
        <v/>
      </c>
    </row>
    <row r="4496" customFormat="false" ht="15" hidden="false" customHeight="false" outlineLevel="0" collapsed="false">
      <c r="A4496" s="21"/>
      <c r="B4496" s="4"/>
      <c r="C4496" s="22"/>
      <c r="D4496" s="5" t="str">
        <f aca="false">IF(B4496="","",IFERROR(INDEX(DE_PARA!$B$6:$B$205,MATCH(B4496,DE_PARA!$A$6:$A$205,0)),"SEM DE-PARA"))</f>
        <v/>
      </c>
      <c r="E4496" s="23" t="str">
        <f aca="false">IF(A4496="","",DATE(YEAR(A4496),MONTH(A4496),1))</f>
        <v/>
      </c>
    </row>
    <row r="4497" customFormat="false" ht="15" hidden="false" customHeight="false" outlineLevel="0" collapsed="false">
      <c r="A4497" s="21"/>
      <c r="B4497" s="4"/>
      <c r="C4497" s="22"/>
      <c r="D4497" s="5" t="str">
        <f aca="false">IF(B4497="","",IFERROR(INDEX(DE_PARA!$B$6:$B$205,MATCH(B4497,DE_PARA!$A$6:$A$205,0)),"SEM DE-PARA"))</f>
        <v/>
      </c>
      <c r="E4497" s="23" t="str">
        <f aca="false">IF(A4497="","",DATE(YEAR(A4497),MONTH(A4497),1))</f>
        <v/>
      </c>
    </row>
    <row r="4498" customFormat="false" ht="15" hidden="false" customHeight="false" outlineLevel="0" collapsed="false">
      <c r="A4498" s="21"/>
      <c r="B4498" s="4"/>
      <c r="C4498" s="22"/>
      <c r="D4498" s="5" t="str">
        <f aca="false">IF(B4498="","",IFERROR(INDEX(DE_PARA!$B$6:$B$205,MATCH(B4498,DE_PARA!$A$6:$A$205,0)),"SEM DE-PARA"))</f>
        <v/>
      </c>
      <c r="E4498" s="23" t="str">
        <f aca="false">IF(A4498="","",DATE(YEAR(A4498),MONTH(A4498),1))</f>
        <v/>
      </c>
    </row>
    <row r="4499" customFormat="false" ht="15" hidden="false" customHeight="false" outlineLevel="0" collapsed="false">
      <c r="A4499" s="21"/>
      <c r="B4499" s="4"/>
      <c r="C4499" s="22"/>
      <c r="D4499" s="5" t="str">
        <f aca="false">IF(B4499="","",IFERROR(INDEX(DE_PARA!$B$6:$B$205,MATCH(B4499,DE_PARA!$A$6:$A$205,0)),"SEM DE-PARA"))</f>
        <v/>
      </c>
      <c r="E4499" s="23" t="str">
        <f aca="false">IF(A4499="","",DATE(YEAR(A4499),MONTH(A4499),1))</f>
        <v/>
      </c>
    </row>
    <row r="4500" customFormat="false" ht="15" hidden="false" customHeight="false" outlineLevel="0" collapsed="false">
      <c r="A4500" s="21"/>
      <c r="B4500" s="4"/>
      <c r="C4500" s="22"/>
      <c r="D4500" s="5" t="str">
        <f aca="false">IF(B4500="","",IFERROR(INDEX(DE_PARA!$B$6:$B$205,MATCH(B4500,DE_PARA!$A$6:$A$205,0)),"SEM DE-PARA"))</f>
        <v/>
      </c>
      <c r="E4500" s="23" t="str">
        <f aca="false">IF(A4500="","",DATE(YEAR(A4500),MONTH(A4500),1))</f>
        <v/>
      </c>
    </row>
    <row r="4501" customFormat="false" ht="15" hidden="false" customHeight="false" outlineLevel="0" collapsed="false">
      <c r="A4501" s="21"/>
      <c r="B4501" s="4"/>
      <c r="C4501" s="22"/>
      <c r="D4501" s="5" t="str">
        <f aca="false">IF(B4501="","",IFERROR(INDEX(DE_PARA!$B$6:$B$205,MATCH(B4501,DE_PARA!$A$6:$A$205,0)),"SEM DE-PARA"))</f>
        <v/>
      </c>
      <c r="E4501" s="23" t="str">
        <f aca="false">IF(A4501="","",DATE(YEAR(A4501),MONTH(A4501),1))</f>
        <v/>
      </c>
    </row>
    <row r="4502" customFormat="false" ht="15" hidden="false" customHeight="false" outlineLevel="0" collapsed="false">
      <c r="A4502" s="21"/>
      <c r="B4502" s="4"/>
      <c r="C4502" s="22"/>
      <c r="D4502" s="5" t="str">
        <f aca="false">IF(B4502="","",IFERROR(INDEX(DE_PARA!$B$6:$B$205,MATCH(B4502,DE_PARA!$A$6:$A$205,0)),"SEM DE-PARA"))</f>
        <v/>
      </c>
      <c r="E4502" s="23" t="str">
        <f aca="false">IF(A4502="","",DATE(YEAR(A4502),MONTH(A4502),1))</f>
        <v/>
      </c>
    </row>
    <row r="4503" customFormat="false" ht="15" hidden="false" customHeight="false" outlineLevel="0" collapsed="false">
      <c r="A4503" s="21"/>
      <c r="B4503" s="4"/>
      <c r="C4503" s="22"/>
      <c r="D4503" s="5" t="str">
        <f aca="false">IF(B4503="","",IFERROR(INDEX(DE_PARA!$B$6:$B$205,MATCH(B4503,DE_PARA!$A$6:$A$205,0)),"SEM DE-PARA"))</f>
        <v/>
      </c>
      <c r="E4503" s="23" t="str">
        <f aca="false">IF(A4503="","",DATE(YEAR(A4503),MONTH(A4503),1))</f>
        <v/>
      </c>
    </row>
    <row r="4504" customFormat="false" ht="15" hidden="false" customHeight="false" outlineLevel="0" collapsed="false">
      <c r="A4504" s="21"/>
      <c r="B4504" s="4"/>
      <c r="C4504" s="22"/>
      <c r="D4504" s="5" t="str">
        <f aca="false">IF(B4504="","",IFERROR(INDEX(DE_PARA!$B$6:$B$205,MATCH(B4504,DE_PARA!$A$6:$A$205,0)),"SEM DE-PARA"))</f>
        <v/>
      </c>
      <c r="E4504" s="23" t="str">
        <f aca="false">IF(A4504="","",DATE(YEAR(A4504),MONTH(A4504),1))</f>
        <v/>
      </c>
    </row>
    <row r="4505" customFormat="false" ht="15" hidden="false" customHeight="false" outlineLevel="0" collapsed="false">
      <c r="A4505" s="21"/>
      <c r="B4505" s="4"/>
      <c r="C4505" s="22"/>
      <c r="D4505" s="5" t="str">
        <f aca="false">IF(B4505="","",IFERROR(INDEX(DE_PARA!$B$6:$B$205,MATCH(B4505,DE_PARA!$A$6:$A$205,0)),"SEM DE-PARA"))</f>
        <v/>
      </c>
      <c r="E4505" s="23" t="str">
        <f aca="false">IF(A4505="","",DATE(YEAR(A4505),MONTH(A4505),1))</f>
        <v/>
      </c>
    </row>
    <row r="4506" customFormat="false" ht="15" hidden="false" customHeight="false" outlineLevel="0" collapsed="false">
      <c r="A4506" s="21"/>
      <c r="B4506" s="4"/>
      <c r="C4506" s="22"/>
      <c r="D4506" s="5" t="str">
        <f aca="false">IF(B4506="","",IFERROR(INDEX(DE_PARA!$B$6:$B$205,MATCH(B4506,DE_PARA!$A$6:$A$205,0)),"SEM DE-PARA"))</f>
        <v/>
      </c>
      <c r="E4506" s="23" t="str">
        <f aca="false">IF(A4506="","",DATE(YEAR(A4506),MONTH(A4506),1))</f>
        <v/>
      </c>
    </row>
    <row r="4507" customFormat="false" ht="15" hidden="false" customHeight="false" outlineLevel="0" collapsed="false">
      <c r="A4507" s="21"/>
      <c r="B4507" s="4"/>
      <c r="C4507" s="22"/>
      <c r="D4507" s="5" t="str">
        <f aca="false">IF(B4507="","",IFERROR(INDEX(DE_PARA!$B$6:$B$205,MATCH(B4507,DE_PARA!$A$6:$A$205,0)),"SEM DE-PARA"))</f>
        <v/>
      </c>
      <c r="E4507" s="23" t="str">
        <f aca="false">IF(A4507="","",DATE(YEAR(A4507),MONTH(A4507),1))</f>
        <v/>
      </c>
    </row>
    <row r="4508" customFormat="false" ht="15" hidden="false" customHeight="false" outlineLevel="0" collapsed="false">
      <c r="A4508" s="21"/>
      <c r="B4508" s="4"/>
      <c r="C4508" s="22"/>
      <c r="D4508" s="5" t="str">
        <f aca="false">IF(B4508="","",IFERROR(INDEX(DE_PARA!$B$6:$B$205,MATCH(B4508,DE_PARA!$A$6:$A$205,0)),"SEM DE-PARA"))</f>
        <v/>
      </c>
      <c r="E4508" s="23" t="str">
        <f aca="false">IF(A4508="","",DATE(YEAR(A4508),MONTH(A4508),1))</f>
        <v/>
      </c>
    </row>
    <row r="4509" customFormat="false" ht="15" hidden="false" customHeight="false" outlineLevel="0" collapsed="false">
      <c r="A4509" s="21"/>
      <c r="B4509" s="4"/>
      <c r="C4509" s="22"/>
      <c r="D4509" s="5" t="str">
        <f aca="false">IF(B4509="","",IFERROR(INDEX(DE_PARA!$B$6:$B$205,MATCH(B4509,DE_PARA!$A$6:$A$205,0)),"SEM DE-PARA"))</f>
        <v/>
      </c>
      <c r="E4509" s="23" t="str">
        <f aca="false">IF(A4509="","",DATE(YEAR(A4509),MONTH(A4509),1))</f>
        <v/>
      </c>
    </row>
    <row r="4510" customFormat="false" ht="15" hidden="false" customHeight="false" outlineLevel="0" collapsed="false">
      <c r="A4510" s="21"/>
      <c r="B4510" s="4"/>
      <c r="C4510" s="22"/>
      <c r="D4510" s="5" t="str">
        <f aca="false">IF(B4510="","",IFERROR(INDEX(DE_PARA!$B$6:$B$205,MATCH(B4510,DE_PARA!$A$6:$A$205,0)),"SEM DE-PARA"))</f>
        <v/>
      </c>
      <c r="E4510" s="23" t="str">
        <f aca="false">IF(A4510="","",DATE(YEAR(A4510),MONTH(A4510),1))</f>
        <v/>
      </c>
    </row>
    <row r="4511" customFormat="false" ht="15" hidden="false" customHeight="false" outlineLevel="0" collapsed="false">
      <c r="A4511" s="21"/>
      <c r="B4511" s="4"/>
      <c r="C4511" s="22"/>
      <c r="D4511" s="5" t="str">
        <f aca="false">IF(B4511="","",IFERROR(INDEX(DE_PARA!$B$6:$B$205,MATCH(B4511,DE_PARA!$A$6:$A$205,0)),"SEM DE-PARA"))</f>
        <v/>
      </c>
      <c r="E4511" s="23" t="str">
        <f aca="false">IF(A4511="","",DATE(YEAR(A4511),MONTH(A4511),1))</f>
        <v/>
      </c>
    </row>
    <row r="4512" customFormat="false" ht="15" hidden="false" customHeight="false" outlineLevel="0" collapsed="false">
      <c r="A4512" s="21"/>
      <c r="B4512" s="4"/>
      <c r="C4512" s="22"/>
      <c r="D4512" s="5" t="str">
        <f aca="false">IF(B4512="","",IFERROR(INDEX(DE_PARA!$B$6:$B$205,MATCH(B4512,DE_PARA!$A$6:$A$205,0)),"SEM DE-PARA"))</f>
        <v/>
      </c>
      <c r="E4512" s="23" t="str">
        <f aca="false">IF(A4512="","",DATE(YEAR(A4512),MONTH(A4512),1))</f>
        <v/>
      </c>
    </row>
    <row r="4513" customFormat="false" ht="15" hidden="false" customHeight="false" outlineLevel="0" collapsed="false">
      <c r="A4513" s="21"/>
      <c r="B4513" s="4"/>
      <c r="C4513" s="22"/>
      <c r="D4513" s="5" t="str">
        <f aca="false">IF(B4513="","",IFERROR(INDEX(DE_PARA!$B$6:$B$205,MATCH(B4513,DE_PARA!$A$6:$A$205,0)),"SEM DE-PARA"))</f>
        <v/>
      </c>
      <c r="E4513" s="23" t="str">
        <f aca="false">IF(A4513="","",DATE(YEAR(A4513),MONTH(A4513),1))</f>
        <v/>
      </c>
    </row>
    <row r="4514" customFormat="false" ht="15" hidden="false" customHeight="false" outlineLevel="0" collapsed="false">
      <c r="A4514" s="21"/>
      <c r="B4514" s="4"/>
      <c r="C4514" s="22"/>
      <c r="D4514" s="5" t="str">
        <f aca="false">IF(B4514="","",IFERROR(INDEX(DE_PARA!$B$6:$B$205,MATCH(B4514,DE_PARA!$A$6:$A$205,0)),"SEM DE-PARA"))</f>
        <v/>
      </c>
      <c r="E4514" s="23" t="str">
        <f aca="false">IF(A4514="","",DATE(YEAR(A4514),MONTH(A4514),1))</f>
        <v/>
      </c>
    </row>
    <row r="4515" customFormat="false" ht="15" hidden="false" customHeight="false" outlineLevel="0" collapsed="false">
      <c r="A4515" s="21"/>
      <c r="B4515" s="4"/>
      <c r="C4515" s="22"/>
      <c r="D4515" s="5" t="str">
        <f aca="false">IF(B4515="","",IFERROR(INDEX(DE_PARA!$B$6:$B$205,MATCH(B4515,DE_PARA!$A$6:$A$205,0)),"SEM DE-PARA"))</f>
        <v/>
      </c>
      <c r="E4515" s="23" t="str">
        <f aca="false">IF(A4515="","",DATE(YEAR(A4515),MONTH(A4515),1))</f>
        <v/>
      </c>
    </row>
    <row r="4516" customFormat="false" ht="15" hidden="false" customHeight="false" outlineLevel="0" collapsed="false">
      <c r="A4516" s="21"/>
      <c r="B4516" s="4"/>
      <c r="C4516" s="22"/>
      <c r="D4516" s="5" t="str">
        <f aca="false">IF(B4516="","",IFERROR(INDEX(DE_PARA!$B$6:$B$205,MATCH(B4516,DE_PARA!$A$6:$A$205,0)),"SEM DE-PARA"))</f>
        <v/>
      </c>
      <c r="E4516" s="23" t="str">
        <f aca="false">IF(A4516="","",DATE(YEAR(A4516),MONTH(A4516),1))</f>
        <v/>
      </c>
    </row>
    <row r="4517" customFormat="false" ht="15" hidden="false" customHeight="false" outlineLevel="0" collapsed="false">
      <c r="A4517" s="21"/>
      <c r="B4517" s="4"/>
      <c r="C4517" s="22"/>
      <c r="D4517" s="5" t="str">
        <f aca="false">IF(B4517="","",IFERROR(INDEX(DE_PARA!$B$6:$B$205,MATCH(B4517,DE_PARA!$A$6:$A$205,0)),"SEM DE-PARA"))</f>
        <v/>
      </c>
      <c r="E4517" s="23" t="str">
        <f aca="false">IF(A4517="","",DATE(YEAR(A4517),MONTH(A4517),1))</f>
        <v/>
      </c>
    </row>
    <row r="4518" customFormat="false" ht="15" hidden="false" customHeight="false" outlineLevel="0" collapsed="false">
      <c r="A4518" s="21"/>
      <c r="B4518" s="4"/>
      <c r="C4518" s="22"/>
      <c r="D4518" s="5" t="str">
        <f aca="false">IF(B4518="","",IFERROR(INDEX(DE_PARA!$B$6:$B$205,MATCH(B4518,DE_PARA!$A$6:$A$205,0)),"SEM DE-PARA"))</f>
        <v/>
      </c>
      <c r="E4518" s="23" t="str">
        <f aca="false">IF(A4518="","",DATE(YEAR(A4518),MONTH(A4518),1))</f>
        <v/>
      </c>
    </row>
    <row r="4519" customFormat="false" ht="15" hidden="false" customHeight="false" outlineLevel="0" collapsed="false">
      <c r="A4519" s="21"/>
      <c r="B4519" s="4"/>
      <c r="C4519" s="22"/>
      <c r="D4519" s="5" t="str">
        <f aca="false">IF(B4519="","",IFERROR(INDEX(DE_PARA!$B$6:$B$205,MATCH(B4519,DE_PARA!$A$6:$A$205,0)),"SEM DE-PARA"))</f>
        <v/>
      </c>
      <c r="E4519" s="23" t="str">
        <f aca="false">IF(A4519="","",DATE(YEAR(A4519),MONTH(A4519),1))</f>
        <v/>
      </c>
    </row>
    <row r="4520" customFormat="false" ht="15" hidden="false" customHeight="false" outlineLevel="0" collapsed="false">
      <c r="A4520" s="21"/>
      <c r="B4520" s="4"/>
      <c r="C4520" s="22"/>
      <c r="D4520" s="5" t="str">
        <f aca="false">IF(B4520="","",IFERROR(INDEX(DE_PARA!$B$6:$B$205,MATCH(B4520,DE_PARA!$A$6:$A$205,0)),"SEM DE-PARA"))</f>
        <v/>
      </c>
      <c r="E4520" s="23" t="str">
        <f aca="false">IF(A4520="","",DATE(YEAR(A4520),MONTH(A4520),1))</f>
        <v/>
      </c>
    </row>
    <row r="4521" customFormat="false" ht="15" hidden="false" customHeight="false" outlineLevel="0" collapsed="false">
      <c r="A4521" s="21"/>
      <c r="B4521" s="4"/>
      <c r="C4521" s="22"/>
      <c r="D4521" s="5" t="str">
        <f aca="false">IF(B4521="","",IFERROR(INDEX(DE_PARA!$B$6:$B$205,MATCH(B4521,DE_PARA!$A$6:$A$205,0)),"SEM DE-PARA"))</f>
        <v/>
      </c>
      <c r="E4521" s="23" t="str">
        <f aca="false">IF(A4521="","",DATE(YEAR(A4521),MONTH(A4521),1))</f>
        <v/>
      </c>
    </row>
    <row r="4522" customFormat="false" ht="15" hidden="false" customHeight="false" outlineLevel="0" collapsed="false">
      <c r="A4522" s="21"/>
      <c r="B4522" s="4"/>
      <c r="C4522" s="22"/>
      <c r="D4522" s="5" t="str">
        <f aca="false">IF(B4522="","",IFERROR(INDEX(DE_PARA!$B$6:$B$205,MATCH(B4522,DE_PARA!$A$6:$A$205,0)),"SEM DE-PARA"))</f>
        <v/>
      </c>
      <c r="E4522" s="23" t="str">
        <f aca="false">IF(A4522="","",DATE(YEAR(A4522),MONTH(A4522),1))</f>
        <v/>
      </c>
    </row>
    <row r="4523" customFormat="false" ht="15" hidden="false" customHeight="false" outlineLevel="0" collapsed="false">
      <c r="A4523" s="21"/>
      <c r="B4523" s="4"/>
      <c r="C4523" s="22"/>
      <c r="D4523" s="5" t="str">
        <f aca="false">IF(B4523="","",IFERROR(INDEX(DE_PARA!$B$6:$B$205,MATCH(B4523,DE_PARA!$A$6:$A$205,0)),"SEM DE-PARA"))</f>
        <v/>
      </c>
      <c r="E4523" s="23" t="str">
        <f aca="false">IF(A4523="","",DATE(YEAR(A4523),MONTH(A4523),1))</f>
        <v/>
      </c>
    </row>
    <row r="4524" customFormat="false" ht="15" hidden="false" customHeight="false" outlineLevel="0" collapsed="false">
      <c r="A4524" s="21"/>
      <c r="B4524" s="4"/>
      <c r="C4524" s="22"/>
      <c r="D4524" s="5" t="str">
        <f aca="false">IF(B4524="","",IFERROR(INDEX(DE_PARA!$B$6:$B$205,MATCH(B4524,DE_PARA!$A$6:$A$205,0)),"SEM DE-PARA"))</f>
        <v/>
      </c>
      <c r="E4524" s="23" t="str">
        <f aca="false">IF(A4524="","",DATE(YEAR(A4524),MONTH(A4524),1))</f>
        <v/>
      </c>
    </row>
    <row r="4525" customFormat="false" ht="15" hidden="false" customHeight="false" outlineLevel="0" collapsed="false">
      <c r="A4525" s="21"/>
      <c r="B4525" s="4"/>
      <c r="C4525" s="22"/>
      <c r="D4525" s="5" t="str">
        <f aca="false">IF(B4525="","",IFERROR(INDEX(DE_PARA!$B$6:$B$205,MATCH(B4525,DE_PARA!$A$6:$A$205,0)),"SEM DE-PARA"))</f>
        <v/>
      </c>
      <c r="E4525" s="23" t="str">
        <f aca="false">IF(A4525="","",DATE(YEAR(A4525),MONTH(A4525),1))</f>
        <v/>
      </c>
    </row>
    <row r="4526" customFormat="false" ht="15" hidden="false" customHeight="false" outlineLevel="0" collapsed="false">
      <c r="A4526" s="21"/>
      <c r="B4526" s="4"/>
      <c r="C4526" s="22"/>
      <c r="D4526" s="5" t="str">
        <f aca="false">IF(B4526="","",IFERROR(INDEX(DE_PARA!$B$6:$B$205,MATCH(B4526,DE_PARA!$A$6:$A$205,0)),"SEM DE-PARA"))</f>
        <v/>
      </c>
      <c r="E4526" s="23" t="str">
        <f aca="false">IF(A4526="","",DATE(YEAR(A4526),MONTH(A4526),1))</f>
        <v/>
      </c>
    </row>
    <row r="4527" customFormat="false" ht="15" hidden="false" customHeight="false" outlineLevel="0" collapsed="false">
      <c r="A4527" s="21"/>
      <c r="B4527" s="4"/>
      <c r="C4527" s="22"/>
      <c r="D4527" s="5" t="str">
        <f aca="false">IF(B4527="","",IFERROR(INDEX(DE_PARA!$B$6:$B$205,MATCH(B4527,DE_PARA!$A$6:$A$205,0)),"SEM DE-PARA"))</f>
        <v/>
      </c>
      <c r="E4527" s="23" t="str">
        <f aca="false">IF(A4527="","",DATE(YEAR(A4527),MONTH(A4527),1))</f>
        <v/>
      </c>
    </row>
    <row r="4528" customFormat="false" ht="15" hidden="false" customHeight="false" outlineLevel="0" collapsed="false">
      <c r="A4528" s="21"/>
      <c r="B4528" s="4"/>
      <c r="C4528" s="22"/>
      <c r="D4528" s="5" t="str">
        <f aca="false">IF(B4528="","",IFERROR(INDEX(DE_PARA!$B$6:$B$205,MATCH(B4528,DE_PARA!$A$6:$A$205,0)),"SEM DE-PARA"))</f>
        <v/>
      </c>
      <c r="E4528" s="23" t="str">
        <f aca="false">IF(A4528="","",DATE(YEAR(A4528),MONTH(A4528),1))</f>
        <v/>
      </c>
    </row>
    <row r="4529" customFormat="false" ht="15" hidden="false" customHeight="false" outlineLevel="0" collapsed="false">
      <c r="A4529" s="21"/>
      <c r="B4529" s="4"/>
      <c r="C4529" s="22"/>
      <c r="D4529" s="5" t="str">
        <f aca="false">IF(B4529="","",IFERROR(INDEX(DE_PARA!$B$6:$B$205,MATCH(B4529,DE_PARA!$A$6:$A$205,0)),"SEM DE-PARA"))</f>
        <v/>
      </c>
      <c r="E4529" s="23" t="str">
        <f aca="false">IF(A4529="","",DATE(YEAR(A4529),MONTH(A4529),1))</f>
        <v/>
      </c>
    </row>
    <row r="4530" customFormat="false" ht="15" hidden="false" customHeight="false" outlineLevel="0" collapsed="false">
      <c r="A4530" s="21"/>
      <c r="B4530" s="4"/>
      <c r="C4530" s="22"/>
      <c r="D4530" s="5" t="str">
        <f aca="false">IF(B4530="","",IFERROR(INDEX(DE_PARA!$B$6:$B$205,MATCH(B4530,DE_PARA!$A$6:$A$205,0)),"SEM DE-PARA"))</f>
        <v/>
      </c>
      <c r="E4530" s="23" t="str">
        <f aca="false">IF(A4530="","",DATE(YEAR(A4530),MONTH(A4530),1))</f>
        <v/>
      </c>
    </row>
    <row r="4531" customFormat="false" ht="15" hidden="false" customHeight="false" outlineLevel="0" collapsed="false">
      <c r="A4531" s="21"/>
      <c r="B4531" s="4"/>
      <c r="C4531" s="22"/>
      <c r="D4531" s="5" t="str">
        <f aca="false">IF(B4531="","",IFERROR(INDEX(DE_PARA!$B$6:$B$205,MATCH(B4531,DE_PARA!$A$6:$A$205,0)),"SEM DE-PARA"))</f>
        <v/>
      </c>
      <c r="E4531" s="23" t="str">
        <f aca="false">IF(A4531="","",DATE(YEAR(A4531),MONTH(A4531),1))</f>
        <v/>
      </c>
    </row>
    <row r="4532" customFormat="false" ht="15" hidden="false" customHeight="false" outlineLevel="0" collapsed="false">
      <c r="A4532" s="21"/>
      <c r="B4532" s="4"/>
      <c r="C4532" s="22"/>
      <c r="D4532" s="5" t="str">
        <f aca="false">IF(B4532="","",IFERROR(INDEX(DE_PARA!$B$6:$B$205,MATCH(B4532,DE_PARA!$A$6:$A$205,0)),"SEM DE-PARA"))</f>
        <v/>
      </c>
      <c r="E4532" s="23" t="str">
        <f aca="false">IF(A4532="","",DATE(YEAR(A4532),MONTH(A4532),1))</f>
        <v/>
      </c>
    </row>
    <row r="4533" customFormat="false" ht="15" hidden="false" customHeight="false" outlineLevel="0" collapsed="false">
      <c r="A4533" s="21"/>
      <c r="B4533" s="4"/>
      <c r="C4533" s="22"/>
      <c r="D4533" s="5" t="str">
        <f aca="false">IF(B4533="","",IFERROR(INDEX(DE_PARA!$B$6:$B$205,MATCH(B4533,DE_PARA!$A$6:$A$205,0)),"SEM DE-PARA"))</f>
        <v/>
      </c>
      <c r="E4533" s="23" t="str">
        <f aca="false">IF(A4533="","",DATE(YEAR(A4533),MONTH(A4533),1))</f>
        <v/>
      </c>
    </row>
    <row r="4534" customFormat="false" ht="15" hidden="false" customHeight="false" outlineLevel="0" collapsed="false">
      <c r="A4534" s="21"/>
      <c r="B4534" s="4"/>
      <c r="C4534" s="22"/>
      <c r="D4534" s="5" t="str">
        <f aca="false">IF(B4534="","",IFERROR(INDEX(DE_PARA!$B$6:$B$205,MATCH(B4534,DE_PARA!$A$6:$A$205,0)),"SEM DE-PARA"))</f>
        <v/>
      </c>
      <c r="E4534" s="23" t="str">
        <f aca="false">IF(A4534="","",DATE(YEAR(A4534),MONTH(A4534),1))</f>
        <v/>
      </c>
    </row>
    <row r="4535" customFormat="false" ht="15" hidden="false" customHeight="false" outlineLevel="0" collapsed="false">
      <c r="A4535" s="21"/>
      <c r="B4535" s="4"/>
      <c r="C4535" s="22"/>
      <c r="D4535" s="5" t="str">
        <f aca="false">IF(B4535="","",IFERROR(INDEX(DE_PARA!$B$6:$B$205,MATCH(B4535,DE_PARA!$A$6:$A$205,0)),"SEM DE-PARA"))</f>
        <v/>
      </c>
      <c r="E4535" s="23" t="str">
        <f aca="false">IF(A4535="","",DATE(YEAR(A4535),MONTH(A4535),1))</f>
        <v/>
      </c>
    </row>
    <row r="4536" customFormat="false" ht="15" hidden="false" customHeight="false" outlineLevel="0" collapsed="false">
      <c r="A4536" s="21"/>
      <c r="B4536" s="4"/>
      <c r="C4536" s="22"/>
      <c r="D4536" s="5" t="str">
        <f aca="false">IF(B4536="","",IFERROR(INDEX(DE_PARA!$B$6:$B$205,MATCH(B4536,DE_PARA!$A$6:$A$205,0)),"SEM DE-PARA"))</f>
        <v/>
      </c>
      <c r="E4536" s="23" t="str">
        <f aca="false">IF(A4536="","",DATE(YEAR(A4536),MONTH(A4536),1))</f>
        <v/>
      </c>
    </row>
    <row r="4537" customFormat="false" ht="15" hidden="false" customHeight="false" outlineLevel="0" collapsed="false">
      <c r="A4537" s="21"/>
      <c r="B4537" s="4"/>
      <c r="C4537" s="22"/>
      <c r="D4537" s="5" t="str">
        <f aca="false">IF(B4537="","",IFERROR(INDEX(DE_PARA!$B$6:$B$205,MATCH(B4537,DE_PARA!$A$6:$A$205,0)),"SEM DE-PARA"))</f>
        <v/>
      </c>
      <c r="E4537" s="23" t="str">
        <f aca="false">IF(A4537="","",DATE(YEAR(A4537),MONTH(A4537),1))</f>
        <v/>
      </c>
    </row>
    <row r="4538" customFormat="false" ht="15" hidden="false" customHeight="false" outlineLevel="0" collapsed="false">
      <c r="A4538" s="21"/>
      <c r="B4538" s="4"/>
      <c r="C4538" s="22"/>
      <c r="D4538" s="5" t="str">
        <f aca="false">IF(B4538="","",IFERROR(INDEX(DE_PARA!$B$6:$B$205,MATCH(B4538,DE_PARA!$A$6:$A$205,0)),"SEM DE-PARA"))</f>
        <v/>
      </c>
      <c r="E4538" s="23" t="str">
        <f aca="false">IF(A4538="","",DATE(YEAR(A4538),MONTH(A4538),1))</f>
        <v/>
      </c>
    </row>
    <row r="4539" customFormat="false" ht="15" hidden="false" customHeight="false" outlineLevel="0" collapsed="false">
      <c r="A4539" s="21"/>
      <c r="B4539" s="4"/>
      <c r="C4539" s="22"/>
      <c r="D4539" s="5" t="str">
        <f aca="false">IF(B4539="","",IFERROR(INDEX(DE_PARA!$B$6:$B$205,MATCH(B4539,DE_PARA!$A$6:$A$205,0)),"SEM DE-PARA"))</f>
        <v/>
      </c>
      <c r="E4539" s="23" t="str">
        <f aca="false">IF(A4539="","",DATE(YEAR(A4539),MONTH(A4539),1))</f>
        <v/>
      </c>
    </row>
    <row r="4540" customFormat="false" ht="15" hidden="false" customHeight="false" outlineLevel="0" collapsed="false">
      <c r="A4540" s="21"/>
      <c r="B4540" s="4"/>
      <c r="C4540" s="22"/>
      <c r="D4540" s="5" t="str">
        <f aca="false">IF(B4540="","",IFERROR(INDEX(DE_PARA!$B$6:$B$205,MATCH(B4540,DE_PARA!$A$6:$A$205,0)),"SEM DE-PARA"))</f>
        <v/>
      </c>
      <c r="E4540" s="23" t="str">
        <f aca="false">IF(A4540="","",DATE(YEAR(A4540),MONTH(A4540),1))</f>
        <v/>
      </c>
    </row>
    <row r="4541" customFormat="false" ht="15" hidden="false" customHeight="false" outlineLevel="0" collapsed="false">
      <c r="A4541" s="21"/>
      <c r="B4541" s="4"/>
      <c r="C4541" s="22"/>
      <c r="D4541" s="5" t="str">
        <f aca="false">IF(B4541="","",IFERROR(INDEX(DE_PARA!$B$6:$B$205,MATCH(B4541,DE_PARA!$A$6:$A$205,0)),"SEM DE-PARA"))</f>
        <v/>
      </c>
      <c r="E4541" s="23" t="str">
        <f aca="false">IF(A4541="","",DATE(YEAR(A4541),MONTH(A4541),1))</f>
        <v/>
      </c>
    </row>
    <row r="4542" customFormat="false" ht="15" hidden="false" customHeight="false" outlineLevel="0" collapsed="false">
      <c r="A4542" s="21"/>
      <c r="B4542" s="4"/>
      <c r="C4542" s="22"/>
      <c r="D4542" s="5" t="str">
        <f aca="false">IF(B4542="","",IFERROR(INDEX(DE_PARA!$B$6:$B$205,MATCH(B4542,DE_PARA!$A$6:$A$205,0)),"SEM DE-PARA"))</f>
        <v/>
      </c>
      <c r="E4542" s="23" t="str">
        <f aca="false">IF(A4542="","",DATE(YEAR(A4542),MONTH(A4542),1))</f>
        <v/>
      </c>
    </row>
    <row r="4543" customFormat="false" ht="15" hidden="false" customHeight="false" outlineLevel="0" collapsed="false">
      <c r="A4543" s="21"/>
      <c r="B4543" s="4"/>
      <c r="C4543" s="22"/>
      <c r="D4543" s="5" t="str">
        <f aca="false">IF(B4543="","",IFERROR(INDEX(DE_PARA!$B$6:$B$205,MATCH(B4543,DE_PARA!$A$6:$A$205,0)),"SEM DE-PARA"))</f>
        <v/>
      </c>
      <c r="E4543" s="23" t="str">
        <f aca="false">IF(A4543="","",DATE(YEAR(A4543),MONTH(A4543),1))</f>
        <v/>
      </c>
    </row>
    <row r="4544" customFormat="false" ht="15" hidden="false" customHeight="false" outlineLevel="0" collapsed="false">
      <c r="A4544" s="21"/>
      <c r="B4544" s="4"/>
      <c r="C4544" s="22"/>
      <c r="D4544" s="5" t="str">
        <f aca="false">IF(B4544="","",IFERROR(INDEX(DE_PARA!$B$6:$B$205,MATCH(B4544,DE_PARA!$A$6:$A$205,0)),"SEM DE-PARA"))</f>
        <v/>
      </c>
      <c r="E4544" s="23" t="str">
        <f aca="false">IF(A4544="","",DATE(YEAR(A4544),MONTH(A4544),1))</f>
        <v/>
      </c>
    </row>
    <row r="4545" customFormat="false" ht="15" hidden="false" customHeight="false" outlineLevel="0" collapsed="false">
      <c r="A4545" s="21"/>
      <c r="B4545" s="4"/>
      <c r="C4545" s="22"/>
      <c r="D4545" s="5" t="str">
        <f aca="false">IF(B4545="","",IFERROR(INDEX(DE_PARA!$B$6:$B$205,MATCH(B4545,DE_PARA!$A$6:$A$205,0)),"SEM DE-PARA"))</f>
        <v/>
      </c>
      <c r="E4545" s="23" t="str">
        <f aca="false">IF(A4545="","",DATE(YEAR(A4545),MONTH(A4545),1))</f>
        <v/>
      </c>
    </row>
    <row r="4546" customFormat="false" ht="15" hidden="false" customHeight="false" outlineLevel="0" collapsed="false">
      <c r="A4546" s="21"/>
      <c r="B4546" s="4"/>
      <c r="C4546" s="22"/>
      <c r="D4546" s="5" t="str">
        <f aca="false">IF(B4546="","",IFERROR(INDEX(DE_PARA!$B$6:$B$205,MATCH(B4546,DE_PARA!$A$6:$A$205,0)),"SEM DE-PARA"))</f>
        <v/>
      </c>
      <c r="E4546" s="23" t="str">
        <f aca="false">IF(A4546="","",DATE(YEAR(A4546),MONTH(A4546),1))</f>
        <v/>
      </c>
    </row>
    <row r="4547" customFormat="false" ht="15" hidden="false" customHeight="false" outlineLevel="0" collapsed="false">
      <c r="A4547" s="21"/>
      <c r="B4547" s="4"/>
      <c r="C4547" s="22"/>
      <c r="D4547" s="5" t="str">
        <f aca="false">IF(B4547="","",IFERROR(INDEX(DE_PARA!$B$6:$B$205,MATCH(B4547,DE_PARA!$A$6:$A$205,0)),"SEM DE-PARA"))</f>
        <v/>
      </c>
      <c r="E4547" s="23" t="str">
        <f aca="false">IF(A4547="","",DATE(YEAR(A4547),MONTH(A4547),1))</f>
        <v/>
      </c>
    </row>
    <row r="4548" customFormat="false" ht="15" hidden="false" customHeight="false" outlineLevel="0" collapsed="false">
      <c r="A4548" s="21"/>
      <c r="B4548" s="4"/>
      <c r="C4548" s="22"/>
      <c r="D4548" s="5" t="str">
        <f aca="false">IF(B4548="","",IFERROR(INDEX(DE_PARA!$B$6:$B$205,MATCH(B4548,DE_PARA!$A$6:$A$205,0)),"SEM DE-PARA"))</f>
        <v/>
      </c>
      <c r="E4548" s="23" t="str">
        <f aca="false">IF(A4548="","",DATE(YEAR(A4548),MONTH(A4548),1))</f>
        <v/>
      </c>
    </row>
    <row r="4549" customFormat="false" ht="15" hidden="false" customHeight="false" outlineLevel="0" collapsed="false">
      <c r="A4549" s="21"/>
      <c r="B4549" s="4"/>
      <c r="C4549" s="22"/>
      <c r="D4549" s="5" t="str">
        <f aca="false">IF(B4549="","",IFERROR(INDEX(DE_PARA!$B$6:$B$205,MATCH(B4549,DE_PARA!$A$6:$A$205,0)),"SEM DE-PARA"))</f>
        <v/>
      </c>
      <c r="E4549" s="23" t="str">
        <f aca="false">IF(A4549="","",DATE(YEAR(A4549),MONTH(A4549),1))</f>
        <v/>
      </c>
    </row>
    <row r="4550" customFormat="false" ht="15" hidden="false" customHeight="false" outlineLevel="0" collapsed="false">
      <c r="A4550" s="21"/>
      <c r="B4550" s="4"/>
      <c r="C4550" s="22"/>
      <c r="D4550" s="5" t="str">
        <f aca="false">IF(B4550="","",IFERROR(INDEX(DE_PARA!$B$6:$B$205,MATCH(B4550,DE_PARA!$A$6:$A$205,0)),"SEM DE-PARA"))</f>
        <v/>
      </c>
      <c r="E4550" s="23" t="str">
        <f aca="false">IF(A4550="","",DATE(YEAR(A4550),MONTH(A4550),1))</f>
        <v/>
      </c>
    </row>
    <row r="4551" customFormat="false" ht="15" hidden="false" customHeight="false" outlineLevel="0" collapsed="false">
      <c r="A4551" s="21"/>
      <c r="B4551" s="4"/>
      <c r="C4551" s="22"/>
      <c r="D4551" s="5" t="str">
        <f aca="false">IF(B4551="","",IFERROR(INDEX(DE_PARA!$B$6:$B$205,MATCH(B4551,DE_PARA!$A$6:$A$205,0)),"SEM DE-PARA"))</f>
        <v/>
      </c>
      <c r="E4551" s="23" t="str">
        <f aca="false">IF(A4551="","",DATE(YEAR(A4551),MONTH(A4551),1))</f>
        <v/>
      </c>
    </row>
    <row r="4552" customFormat="false" ht="15" hidden="false" customHeight="false" outlineLevel="0" collapsed="false">
      <c r="A4552" s="21"/>
      <c r="B4552" s="4"/>
      <c r="C4552" s="22"/>
      <c r="D4552" s="5" t="str">
        <f aca="false">IF(B4552="","",IFERROR(INDEX(DE_PARA!$B$6:$B$205,MATCH(B4552,DE_PARA!$A$6:$A$205,0)),"SEM DE-PARA"))</f>
        <v/>
      </c>
      <c r="E4552" s="23" t="str">
        <f aca="false">IF(A4552="","",DATE(YEAR(A4552),MONTH(A4552),1))</f>
        <v/>
      </c>
    </row>
    <row r="4553" customFormat="false" ht="15" hidden="false" customHeight="false" outlineLevel="0" collapsed="false">
      <c r="A4553" s="21"/>
      <c r="B4553" s="4"/>
      <c r="C4553" s="22"/>
      <c r="D4553" s="5" t="str">
        <f aca="false">IF(B4553="","",IFERROR(INDEX(DE_PARA!$B$6:$B$205,MATCH(B4553,DE_PARA!$A$6:$A$205,0)),"SEM DE-PARA"))</f>
        <v/>
      </c>
      <c r="E4553" s="23" t="str">
        <f aca="false">IF(A4553="","",DATE(YEAR(A4553),MONTH(A4553),1))</f>
        <v/>
      </c>
    </row>
    <row r="4554" customFormat="false" ht="15" hidden="false" customHeight="false" outlineLevel="0" collapsed="false">
      <c r="A4554" s="21"/>
      <c r="B4554" s="4"/>
      <c r="C4554" s="22"/>
      <c r="D4554" s="5" t="str">
        <f aca="false">IF(B4554="","",IFERROR(INDEX(DE_PARA!$B$6:$B$205,MATCH(B4554,DE_PARA!$A$6:$A$205,0)),"SEM DE-PARA"))</f>
        <v/>
      </c>
      <c r="E4554" s="23" t="str">
        <f aca="false">IF(A4554="","",DATE(YEAR(A4554),MONTH(A4554),1))</f>
        <v/>
      </c>
    </row>
    <row r="4555" customFormat="false" ht="15" hidden="false" customHeight="false" outlineLevel="0" collapsed="false">
      <c r="A4555" s="21"/>
      <c r="B4555" s="4"/>
      <c r="C4555" s="22"/>
      <c r="D4555" s="5" t="str">
        <f aca="false">IF(B4555="","",IFERROR(INDEX(DE_PARA!$B$6:$B$205,MATCH(B4555,DE_PARA!$A$6:$A$205,0)),"SEM DE-PARA"))</f>
        <v/>
      </c>
      <c r="E4555" s="23" t="str">
        <f aca="false">IF(A4555="","",DATE(YEAR(A4555),MONTH(A4555),1))</f>
        <v/>
      </c>
    </row>
    <row r="4556" customFormat="false" ht="15" hidden="false" customHeight="false" outlineLevel="0" collapsed="false">
      <c r="A4556" s="21"/>
      <c r="B4556" s="4"/>
      <c r="C4556" s="22"/>
      <c r="D4556" s="5" t="str">
        <f aca="false">IF(B4556="","",IFERROR(INDEX(DE_PARA!$B$6:$B$205,MATCH(B4556,DE_PARA!$A$6:$A$205,0)),"SEM DE-PARA"))</f>
        <v/>
      </c>
      <c r="E4556" s="23" t="str">
        <f aca="false">IF(A4556="","",DATE(YEAR(A4556),MONTH(A4556),1))</f>
        <v/>
      </c>
    </row>
    <row r="4557" customFormat="false" ht="15" hidden="false" customHeight="false" outlineLevel="0" collapsed="false">
      <c r="A4557" s="21"/>
      <c r="B4557" s="4"/>
      <c r="C4557" s="22"/>
      <c r="D4557" s="5" t="str">
        <f aca="false">IF(B4557="","",IFERROR(INDEX(DE_PARA!$B$6:$B$205,MATCH(B4557,DE_PARA!$A$6:$A$205,0)),"SEM DE-PARA"))</f>
        <v/>
      </c>
      <c r="E4557" s="23" t="str">
        <f aca="false">IF(A4557="","",DATE(YEAR(A4557),MONTH(A4557),1))</f>
        <v/>
      </c>
    </row>
    <row r="4558" customFormat="false" ht="15" hidden="false" customHeight="false" outlineLevel="0" collapsed="false">
      <c r="A4558" s="21"/>
      <c r="B4558" s="4"/>
      <c r="C4558" s="22"/>
      <c r="D4558" s="5" t="str">
        <f aca="false">IF(B4558="","",IFERROR(INDEX(DE_PARA!$B$6:$B$205,MATCH(B4558,DE_PARA!$A$6:$A$205,0)),"SEM DE-PARA"))</f>
        <v/>
      </c>
      <c r="E4558" s="23" t="str">
        <f aca="false">IF(A4558="","",DATE(YEAR(A4558),MONTH(A4558),1))</f>
        <v/>
      </c>
    </row>
    <row r="4559" customFormat="false" ht="15" hidden="false" customHeight="false" outlineLevel="0" collapsed="false">
      <c r="A4559" s="21"/>
      <c r="B4559" s="4"/>
      <c r="C4559" s="22"/>
      <c r="D4559" s="5" t="str">
        <f aca="false">IF(B4559="","",IFERROR(INDEX(DE_PARA!$B$6:$B$205,MATCH(B4559,DE_PARA!$A$6:$A$205,0)),"SEM DE-PARA"))</f>
        <v/>
      </c>
      <c r="E4559" s="23" t="str">
        <f aca="false">IF(A4559="","",DATE(YEAR(A4559),MONTH(A4559),1))</f>
        <v/>
      </c>
    </row>
    <row r="4560" customFormat="false" ht="15" hidden="false" customHeight="false" outlineLevel="0" collapsed="false">
      <c r="A4560" s="21"/>
      <c r="B4560" s="4"/>
      <c r="C4560" s="22"/>
      <c r="D4560" s="5" t="str">
        <f aca="false">IF(B4560="","",IFERROR(INDEX(DE_PARA!$B$6:$B$205,MATCH(B4560,DE_PARA!$A$6:$A$205,0)),"SEM DE-PARA"))</f>
        <v/>
      </c>
      <c r="E4560" s="23" t="str">
        <f aca="false">IF(A4560="","",DATE(YEAR(A4560),MONTH(A4560),1))</f>
        <v/>
      </c>
    </row>
    <row r="4561" customFormat="false" ht="15" hidden="false" customHeight="false" outlineLevel="0" collapsed="false">
      <c r="A4561" s="21"/>
      <c r="B4561" s="4"/>
      <c r="C4561" s="22"/>
      <c r="D4561" s="5" t="str">
        <f aca="false">IF(B4561="","",IFERROR(INDEX(DE_PARA!$B$6:$B$205,MATCH(B4561,DE_PARA!$A$6:$A$205,0)),"SEM DE-PARA"))</f>
        <v/>
      </c>
      <c r="E4561" s="23" t="str">
        <f aca="false">IF(A4561="","",DATE(YEAR(A4561),MONTH(A4561),1))</f>
        <v/>
      </c>
    </row>
    <row r="4562" customFormat="false" ht="15" hidden="false" customHeight="false" outlineLevel="0" collapsed="false">
      <c r="A4562" s="21"/>
      <c r="B4562" s="4"/>
      <c r="C4562" s="22"/>
      <c r="D4562" s="5" t="str">
        <f aca="false">IF(B4562="","",IFERROR(INDEX(DE_PARA!$B$6:$B$205,MATCH(B4562,DE_PARA!$A$6:$A$205,0)),"SEM DE-PARA"))</f>
        <v/>
      </c>
      <c r="E4562" s="23" t="str">
        <f aca="false">IF(A4562="","",DATE(YEAR(A4562),MONTH(A4562),1))</f>
        <v/>
      </c>
    </row>
    <row r="4563" customFormat="false" ht="15" hidden="false" customHeight="false" outlineLevel="0" collapsed="false">
      <c r="A4563" s="21"/>
      <c r="B4563" s="4"/>
      <c r="C4563" s="22"/>
      <c r="D4563" s="5" t="str">
        <f aca="false">IF(B4563="","",IFERROR(INDEX(DE_PARA!$B$6:$B$205,MATCH(B4563,DE_PARA!$A$6:$A$205,0)),"SEM DE-PARA"))</f>
        <v/>
      </c>
      <c r="E4563" s="23" t="str">
        <f aca="false">IF(A4563="","",DATE(YEAR(A4563),MONTH(A4563),1))</f>
        <v/>
      </c>
    </row>
    <row r="4564" customFormat="false" ht="15" hidden="false" customHeight="false" outlineLevel="0" collapsed="false">
      <c r="A4564" s="21"/>
      <c r="B4564" s="4"/>
      <c r="C4564" s="22"/>
      <c r="D4564" s="5" t="str">
        <f aca="false">IF(B4564="","",IFERROR(INDEX(DE_PARA!$B$6:$B$205,MATCH(B4564,DE_PARA!$A$6:$A$205,0)),"SEM DE-PARA"))</f>
        <v/>
      </c>
      <c r="E4564" s="23" t="str">
        <f aca="false">IF(A4564="","",DATE(YEAR(A4564),MONTH(A4564),1))</f>
        <v/>
      </c>
    </row>
    <row r="4565" customFormat="false" ht="15" hidden="false" customHeight="false" outlineLevel="0" collapsed="false">
      <c r="A4565" s="21"/>
      <c r="B4565" s="4"/>
      <c r="C4565" s="22"/>
      <c r="D4565" s="5" t="str">
        <f aca="false">IF(B4565="","",IFERROR(INDEX(DE_PARA!$B$6:$B$205,MATCH(B4565,DE_PARA!$A$6:$A$205,0)),"SEM DE-PARA"))</f>
        <v/>
      </c>
      <c r="E4565" s="23" t="str">
        <f aca="false">IF(A4565="","",DATE(YEAR(A4565),MONTH(A4565),1))</f>
        <v/>
      </c>
    </row>
    <row r="4566" customFormat="false" ht="15" hidden="false" customHeight="false" outlineLevel="0" collapsed="false">
      <c r="A4566" s="21"/>
      <c r="B4566" s="4"/>
      <c r="C4566" s="22"/>
      <c r="D4566" s="5" t="str">
        <f aca="false">IF(B4566="","",IFERROR(INDEX(DE_PARA!$B$6:$B$205,MATCH(B4566,DE_PARA!$A$6:$A$205,0)),"SEM DE-PARA"))</f>
        <v/>
      </c>
      <c r="E4566" s="23" t="str">
        <f aca="false">IF(A4566="","",DATE(YEAR(A4566),MONTH(A4566),1))</f>
        <v/>
      </c>
    </row>
    <row r="4567" customFormat="false" ht="15" hidden="false" customHeight="false" outlineLevel="0" collapsed="false">
      <c r="A4567" s="21"/>
      <c r="B4567" s="4"/>
      <c r="C4567" s="22"/>
      <c r="D4567" s="5" t="str">
        <f aca="false">IF(B4567="","",IFERROR(INDEX(DE_PARA!$B$6:$B$205,MATCH(B4567,DE_PARA!$A$6:$A$205,0)),"SEM DE-PARA"))</f>
        <v/>
      </c>
      <c r="E4567" s="23" t="str">
        <f aca="false">IF(A4567="","",DATE(YEAR(A4567),MONTH(A4567),1))</f>
        <v/>
      </c>
    </row>
    <row r="4568" customFormat="false" ht="15" hidden="false" customHeight="false" outlineLevel="0" collapsed="false">
      <c r="A4568" s="21"/>
      <c r="B4568" s="4"/>
      <c r="C4568" s="22"/>
      <c r="D4568" s="5" t="str">
        <f aca="false">IF(B4568="","",IFERROR(INDEX(DE_PARA!$B$6:$B$205,MATCH(B4568,DE_PARA!$A$6:$A$205,0)),"SEM DE-PARA"))</f>
        <v/>
      </c>
      <c r="E4568" s="23" t="str">
        <f aca="false">IF(A4568="","",DATE(YEAR(A4568),MONTH(A4568),1))</f>
        <v/>
      </c>
    </row>
    <row r="4569" customFormat="false" ht="15" hidden="false" customHeight="false" outlineLevel="0" collapsed="false">
      <c r="A4569" s="21"/>
      <c r="B4569" s="4"/>
      <c r="C4569" s="22"/>
      <c r="D4569" s="5" t="str">
        <f aca="false">IF(B4569="","",IFERROR(INDEX(DE_PARA!$B$6:$B$205,MATCH(B4569,DE_PARA!$A$6:$A$205,0)),"SEM DE-PARA"))</f>
        <v/>
      </c>
      <c r="E4569" s="23" t="str">
        <f aca="false">IF(A4569="","",DATE(YEAR(A4569),MONTH(A4569),1))</f>
        <v/>
      </c>
    </row>
    <row r="4570" customFormat="false" ht="15" hidden="false" customHeight="false" outlineLevel="0" collapsed="false">
      <c r="A4570" s="21"/>
      <c r="B4570" s="4"/>
      <c r="C4570" s="22"/>
      <c r="D4570" s="5" t="str">
        <f aca="false">IF(B4570="","",IFERROR(INDEX(DE_PARA!$B$6:$B$205,MATCH(B4570,DE_PARA!$A$6:$A$205,0)),"SEM DE-PARA"))</f>
        <v/>
      </c>
      <c r="E4570" s="23" t="str">
        <f aca="false">IF(A4570="","",DATE(YEAR(A4570),MONTH(A4570),1))</f>
        <v/>
      </c>
    </row>
    <row r="4571" customFormat="false" ht="15" hidden="false" customHeight="false" outlineLevel="0" collapsed="false">
      <c r="A4571" s="21"/>
      <c r="B4571" s="4"/>
      <c r="C4571" s="22"/>
      <c r="D4571" s="5" t="str">
        <f aca="false">IF(B4571="","",IFERROR(INDEX(DE_PARA!$B$6:$B$205,MATCH(B4571,DE_PARA!$A$6:$A$205,0)),"SEM DE-PARA"))</f>
        <v/>
      </c>
      <c r="E4571" s="23" t="str">
        <f aca="false">IF(A4571="","",DATE(YEAR(A4571),MONTH(A4571),1))</f>
        <v/>
      </c>
    </row>
    <row r="4572" customFormat="false" ht="15" hidden="false" customHeight="false" outlineLevel="0" collapsed="false">
      <c r="A4572" s="21"/>
      <c r="B4572" s="4"/>
      <c r="C4572" s="22"/>
      <c r="D4572" s="5" t="str">
        <f aca="false">IF(B4572="","",IFERROR(INDEX(DE_PARA!$B$6:$B$205,MATCH(B4572,DE_PARA!$A$6:$A$205,0)),"SEM DE-PARA"))</f>
        <v/>
      </c>
      <c r="E4572" s="23" t="str">
        <f aca="false">IF(A4572="","",DATE(YEAR(A4572),MONTH(A4572),1))</f>
        <v/>
      </c>
    </row>
    <row r="4573" customFormat="false" ht="15" hidden="false" customHeight="false" outlineLevel="0" collapsed="false">
      <c r="A4573" s="21"/>
      <c r="B4573" s="4"/>
      <c r="C4573" s="22"/>
      <c r="D4573" s="5" t="str">
        <f aca="false">IF(B4573="","",IFERROR(INDEX(DE_PARA!$B$6:$B$205,MATCH(B4573,DE_PARA!$A$6:$A$205,0)),"SEM DE-PARA"))</f>
        <v/>
      </c>
      <c r="E4573" s="23" t="str">
        <f aca="false">IF(A4573="","",DATE(YEAR(A4573),MONTH(A4573),1))</f>
        <v/>
      </c>
    </row>
    <row r="4574" customFormat="false" ht="15" hidden="false" customHeight="false" outlineLevel="0" collapsed="false">
      <c r="A4574" s="21"/>
      <c r="B4574" s="4"/>
      <c r="C4574" s="22"/>
      <c r="D4574" s="5" t="str">
        <f aca="false">IF(B4574="","",IFERROR(INDEX(DE_PARA!$B$6:$B$205,MATCH(B4574,DE_PARA!$A$6:$A$205,0)),"SEM DE-PARA"))</f>
        <v/>
      </c>
      <c r="E4574" s="23" t="str">
        <f aca="false">IF(A4574="","",DATE(YEAR(A4574),MONTH(A4574),1))</f>
        <v/>
      </c>
    </row>
    <row r="4575" customFormat="false" ht="15" hidden="false" customHeight="false" outlineLevel="0" collapsed="false">
      <c r="A4575" s="21"/>
      <c r="B4575" s="4"/>
      <c r="C4575" s="22"/>
      <c r="D4575" s="5" t="str">
        <f aca="false">IF(B4575="","",IFERROR(INDEX(DE_PARA!$B$6:$B$205,MATCH(B4575,DE_PARA!$A$6:$A$205,0)),"SEM DE-PARA"))</f>
        <v/>
      </c>
      <c r="E4575" s="23" t="str">
        <f aca="false">IF(A4575="","",DATE(YEAR(A4575),MONTH(A4575),1))</f>
        <v/>
      </c>
    </row>
    <row r="4576" customFormat="false" ht="15" hidden="false" customHeight="false" outlineLevel="0" collapsed="false">
      <c r="A4576" s="21"/>
      <c r="B4576" s="4"/>
      <c r="C4576" s="22"/>
      <c r="D4576" s="5" t="str">
        <f aca="false">IF(B4576="","",IFERROR(INDEX(DE_PARA!$B$6:$B$205,MATCH(B4576,DE_PARA!$A$6:$A$205,0)),"SEM DE-PARA"))</f>
        <v/>
      </c>
      <c r="E4576" s="23" t="str">
        <f aca="false">IF(A4576="","",DATE(YEAR(A4576),MONTH(A4576),1))</f>
        <v/>
      </c>
    </row>
    <row r="4577" customFormat="false" ht="15" hidden="false" customHeight="false" outlineLevel="0" collapsed="false">
      <c r="A4577" s="21"/>
      <c r="B4577" s="4"/>
      <c r="C4577" s="22"/>
      <c r="D4577" s="5" t="str">
        <f aca="false">IF(B4577="","",IFERROR(INDEX(DE_PARA!$B$6:$B$205,MATCH(B4577,DE_PARA!$A$6:$A$205,0)),"SEM DE-PARA"))</f>
        <v/>
      </c>
      <c r="E4577" s="23" t="str">
        <f aca="false">IF(A4577="","",DATE(YEAR(A4577),MONTH(A4577),1))</f>
        <v/>
      </c>
    </row>
    <row r="4578" customFormat="false" ht="15" hidden="false" customHeight="false" outlineLevel="0" collapsed="false">
      <c r="A4578" s="21"/>
      <c r="B4578" s="4"/>
      <c r="C4578" s="22"/>
      <c r="D4578" s="5" t="str">
        <f aca="false">IF(B4578="","",IFERROR(INDEX(DE_PARA!$B$6:$B$205,MATCH(B4578,DE_PARA!$A$6:$A$205,0)),"SEM DE-PARA"))</f>
        <v/>
      </c>
      <c r="E4578" s="23" t="str">
        <f aca="false">IF(A4578="","",DATE(YEAR(A4578),MONTH(A4578),1))</f>
        <v/>
      </c>
    </row>
    <row r="4579" customFormat="false" ht="15" hidden="false" customHeight="false" outlineLevel="0" collapsed="false">
      <c r="A4579" s="21"/>
      <c r="B4579" s="4"/>
      <c r="C4579" s="22"/>
      <c r="D4579" s="5" t="str">
        <f aca="false">IF(B4579="","",IFERROR(INDEX(DE_PARA!$B$6:$B$205,MATCH(B4579,DE_PARA!$A$6:$A$205,0)),"SEM DE-PARA"))</f>
        <v/>
      </c>
      <c r="E4579" s="23" t="str">
        <f aca="false">IF(A4579="","",DATE(YEAR(A4579),MONTH(A4579),1))</f>
        <v/>
      </c>
    </row>
    <row r="4580" customFormat="false" ht="15" hidden="false" customHeight="false" outlineLevel="0" collapsed="false">
      <c r="A4580" s="21"/>
      <c r="B4580" s="4"/>
      <c r="C4580" s="22"/>
      <c r="D4580" s="5" t="str">
        <f aca="false">IF(B4580="","",IFERROR(INDEX(DE_PARA!$B$6:$B$205,MATCH(B4580,DE_PARA!$A$6:$A$205,0)),"SEM DE-PARA"))</f>
        <v/>
      </c>
      <c r="E4580" s="23" t="str">
        <f aca="false">IF(A4580="","",DATE(YEAR(A4580),MONTH(A4580),1))</f>
        <v/>
      </c>
    </row>
    <row r="4581" customFormat="false" ht="15" hidden="false" customHeight="false" outlineLevel="0" collapsed="false">
      <c r="A4581" s="21"/>
      <c r="B4581" s="4"/>
      <c r="C4581" s="22"/>
      <c r="D4581" s="5" t="str">
        <f aca="false">IF(B4581="","",IFERROR(INDEX(DE_PARA!$B$6:$B$205,MATCH(B4581,DE_PARA!$A$6:$A$205,0)),"SEM DE-PARA"))</f>
        <v/>
      </c>
      <c r="E4581" s="23" t="str">
        <f aca="false">IF(A4581="","",DATE(YEAR(A4581),MONTH(A4581),1))</f>
        <v/>
      </c>
    </row>
    <row r="4582" customFormat="false" ht="15" hidden="false" customHeight="false" outlineLevel="0" collapsed="false">
      <c r="A4582" s="21"/>
      <c r="B4582" s="4"/>
      <c r="C4582" s="22"/>
      <c r="D4582" s="5" t="str">
        <f aca="false">IF(B4582="","",IFERROR(INDEX(DE_PARA!$B$6:$B$205,MATCH(B4582,DE_PARA!$A$6:$A$205,0)),"SEM DE-PARA"))</f>
        <v/>
      </c>
      <c r="E4582" s="23" t="str">
        <f aca="false">IF(A4582="","",DATE(YEAR(A4582),MONTH(A4582),1))</f>
        <v/>
      </c>
    </row>
    <row r="4583" customFormat="false" ht="15" hidden="false" customHeight="false" outlineLevel="0" collapsed="false">
      <c r="A4583" s="21"/>
      <c r="B4583" s="4"/>
      <c r="C4583" s="22"/>
      <c r="D4583" s="5" t="str">
        <f aca="false">IF(B4583="","",IFERROR(INDEX(DE_PARA!$B$6:$B$205,MATCH(B4583,DE_PARA!$A$6:$A$205,0)),"SEM DE-PARA"))</f>
        <v/>
      </c>
      <c r="E4583" s="23" t="str">
        <f aca="false">IF(A4583="","",DATE(YEAR(A4583),MONTH(A4583),1))</f>
        <v/>
      </c>
    </row>
    <row r="4584" customFormat="false" ht="15" hidden="false" customHeight="false" outlineLevel="0" collapsed="false">
      <c r="A4584" s="21"/>
      <c r="B4584" s="4"/>
      <c r="C4584" s="22"/>
      <c r="D4584" s="5" t="str">
        <f aca="false">IF(B4584="","",IFERROR(INDEX(DE_PARA!$B$6:$B$205,MATCH(B4584,DE_PARA!$A$6:$A$205,0)),"SEM DE-PARA"))</f>
        <v/>
      </c>
      <c r="E4584" s="23" t="str">
        <f aca="false">IF(A4584="","",DATE(YEAR(A4584),MONTH(A4584),1))</f>
        <v/>
      </c>
    </row>
    <row r="4585" customFormat="false" ht="15" hidden="false" customHeight="false" outlineLevel="0" collapsed="false">
      <c r="A4585" s="21"/>
      <c r="B4585" s="4"/>
      <c r="C4585" s="22"/>
      <c r="D4585" s="5" t="str">
        <f aca="false">IF(B4585="","",IFERROR(INDEX(DE_PARA!$B$6:$B$205,MATCH(B4585,DE_PARA!$A$6:$A$205,0)),"SEM DE-PARA"))</f>
        <v/>
      </c>
      <c r="E4585" s="23" t="str">
        <f aca="false">IF(A4585="","",DATE(YEAR(A4585),MONTH(A4585),1))</f>
        <v/>
      </c>
    </row>
    <row r="4586" customFormat="false" ht="15" hidden="false" customHeight="false" outlineLevel="0" collapsed="false">
      <c r="A4586" s="21"/>
      <c r="B4586" s="4"/>
      <c r="C4586" s="22"/>
      <c r="D4586" s="5" t="str">
        <f aca="false">IF(B4586="","",IFERROR(INDEX(DE_PARA!$B$6:$B$205,MATCH(B4586,DE_PARA!$A$6:$A$205,0)),"SEM DE-PARA"))</f>
        <v/>
      </c>
      <c r="E4586" s="23" t="str">
        <f aca="false">IF(A4586="","",DATE(YEAR(A4586),MONTH(A4586),1))</f>
        <v/>
      </c>
    </row>
    <row r="4587" customFormat="false" ht="15" hidden="false" customHeight="false" outlineLevel="0" collapsed="false">
      <c r="A4587" s="21"/>
      <c r="B4587" s="4"/>
      <c r="C4587" s="22"/>
      <c r="D4587" s="5" t="str">
        <f aca="false">IF(B4587="","",IFERROR(INDEX(DE_PARA!$B$6:$B$205,MATCH(B4587,DE_PARA!$A$6:$A$205,0)),"SEM DE-PARA"))</f>
        <v/>
      </c>
      <c r="E4587" s="23" t="str">
        <f aca="false">IF(A4587="","",DATE(YEAR(A4587),MONTH(A4587),1))</f>
        <v/>
      </c>
    </row>
    <row r="4588" customFormat="false" ht="15" hidden="false" customHeight="false" outlineLevel="0" collapsed="false">
      <c r="A4588" s="21"/>
      <c r="B4588" s="4"/>
      <c r="C4588" s="22"/>
      <c r="D4588" s="5" t="str">
        <f aca="false">IF(B4588="","",IFERROR(INDEX(DE_PARA!$B$6:$B$205,MATCH(B4588,DE_PARA!$A$6:$A$205,0)),"SEM DE-PARA"))</f>
        <v/>
      </c>
      <c r="E4588" s="23" t="str">
        <f aca="false">IF(A4588="","",DATE(YEAR(A4588),MONTH(A4588),1))</f>
        <v/>
      </c>
    </row>
    <row r="4589" customFormat="false" ht="15" hidden="false" customHeight="false" outlineLevel="0" collapsed="false">
      <c r="A4589" s="21"/>
      <c r="B4589" s="4"/>
      <c r="C4589" s="22"/>
      <c r="D4589" s="5" t="str">
        <f aca="false">IF(B4589="","",IFERROR(INDEX(DE_PARA!$B$6:$B$205,MATCH(B4589,DE_PARA!$A$6:$A$205,0)),"SEM DE-PARA"))</f>
        <v/>
      </c>
      <c r="E4589" s="23" t="str">
        <f aca="false">IF(A4589="","",DATE(YEAR(A4589),MONTH(A4589),1))</f>
        <v/>
      </c>
    </row>
    <row r="4590" customFormat="false" ht="15" hidden="false" customHeight="false" outlineLevel="0" collapsed="false">
      <c r="A4590" s="21"/>
      <c r="B4590" s="4"/>
      <c r="C4590" s="22"/>
      <c r="D4590" s="5" t="str">
        <f aca="false">IF(B4590="","",IFERROR(INDEX(DE_PARA!$B$6:$B$205,MATCH(B4590,DE_PARA!$A$6:$A$205,0)),"SEM DE-PARA"))</f>
        <v/>
      </c>
      <c r="E4590" s="23" t="str">
        <f aca="false">IF(A4590="","",DATE(YEAR(A4590),MONTH(A4590),1))</f>
        <v/>
      </c>
    </row>
    <row r="4591" customFormat="false" ht="15" hidden="false" customHeight="false" outlineLevel="0" collapsed="false">
      <c r="A4591" s="21"/>
      <c r="B4591" s="4"/>
      <c r="C4591" s="22"/>
      <c r="D4591" s="5" t="str">
        <f aca="false">IF(B4591="","",IFERROR(INDEX(DE_PARA!$B$6:$B$205,MATCH(B4591,DE_PARA!$A$6:$A$205,0)),"SEM DE-PARA"))</f>
        <v/>
      </c>
      <c r="E4591" s="23" t="str">
        <f aca="false">IF(A4591="","",DATE(YEAR(A4591),MONTH(A4591),1))</f>
        <v/>
      </c>
    </row>
    <row r="4592" customFormat="false" ht="15" hidden="false" customHeight="false" outlineLevel="0" collapsed="false">
      <c r="A4592" s="21"/>
      <c r="B4592" s="4"/>
      <c r="C4592" s="22"/>
      <c r="D4592" s="5" t="str">
        <f aca="false">IF(B4592="","",IFERROR(INDEX(DE_PARA!$B$6:$B$205,MATCH(B4592,DE_PARA!$A$6:$A$205,0)),"SEM DE-PARA"))</f>
        <v/>
      </c>
      <c r="E4592" s="23" t="str">
        <f aca="false">IF(A4592="","",DATE(YEAR(A4592),MONTH(A4592),1))</f>
        <v/>
      </c>
    </row>
    <row r="4593" customFormat="false" ht="15" hidden="false" customHeight="false" outlineLevel="0" collapsed="false">
      <c r="A4593" s="21"/>
      <c r="B4593" s="4"/>
      <c r="C4593" s="22"/>
      <c r="D4593" s="5" t="str">
        <f aca="false">IF(B4593="","",IFERROR(INDEX(DE_PARA!$B$6:$B$205,MATCH(B4593,DE_PARA!$A$6:$A$205,0)),"SEM DE-PARA"))</f>
        <v/>
      </c>
      <c r="E4593" s="23" t="str">
        <f aca="false">IF(A4593="","",DATE(YEAR(A4593),MONTH(A4593),1))</f>
        <v/>
      </c>
    </row>
    <row r="4594" customFormat="false" ht="15" hidden="false" customHeight="false" outlineLevel="0" collapsed="false">
      <c r="A4594" s="21"/>
      <c r="B4594" s="4"/>
      <c r="C4594" s="22"/>
      <c r="D4594" s="5" t="str">
        <f aca="false">IF(B4594="","",IFERROR(INDEX(DE_PARA!$B$6:$B$205,MATCH(B4594,DE_PARA!$A$6:$A$205,0)),"SEM DE-PARA"))</f>
        <v/>
      </c>
      <c r="E4594" s="23" t="str">
        <f aca="false">IF(A4594="","",DATE(YEAR(A4594),MONTH(A4594),1))</f>
        <v/>
      </c>
    </row>
    <row r="4595" customFormat="false" ht="15" hidden="false" customHeight="false" outlineLevel="0" collapsed="false">
      <c r="A4595" s="21"/>
      <c r="B4595" s="4"/>
      <c r="C4595" s="22"/>
      <c r="D4595" s="5" t="str">
        <f aca="false">IF(B4595="","",IFERROR(INDEX(DE_PARA!$B$6:$B$205,MATCH(B4595,DE_PARA!$A$6:$A$205,0)),"SEM DE-PARA"))</f>
        <v/>
      </c>
      <c r="E4595" s="23" t="str">
        <f aca="false">IF(A4595="","",DATE(YEAR(A4595),MONTH(A4595),1))</f>
        <v/>
      </c>
    </row>
    <row r="4596" customFormat="false" ht="15" hidden="false" customHeight="false" outlineLevel="0" collapsed="false">
      <c r="A4596" s="21"/>
      <c r="B4596" s="4"/>
      <c r="C4596" s="22"/>
      <c r="D4596" s="5" t="str">
        <f aca="false">IF(B4596="","",IFERROR(INDEX(DE_PARA!$B$6:$B$205,MATCH(B4596,DE_PARA!$A$6:$A$205,0)),"SEM DE-PARA"))</f>
        <v/>
      </c>
      <c r="E4596" s="23" t="str">
        <f aca="false">IF(A4596="","",DATE(YEAR(A4596),MONTH(A4596),1))</f>
        <v/>
      </c>
    </row>
    <row r="4597" customFormat="false" ht="15" hidden="false" customHeight="false" outlineLevel="0" collapsed="false">
      <c r="A4597" s="21"/>
      <c r="B4597" s="4"/>
      <c r="C4597" s="22"/>
      <c r="D4597" s="5" t="str">
        <f aca="false">IF(B4597="","",IFERROR(INDEX(DE_PARA!$B$6:$B$205,MATCH(B4597,DE_PARA!$A$6:$A$205,0)),"SEM DE-PARA"))</f>
        <v/>
      </c>
      <c r="E4597" s="23" t="str">
        <f aca="false">IF(A4597="","",DATE(YEAR(A4597),MONTH(A4597),1))</f>
        <v/>
      </c>
    </row>
    <row r="4598" customFormat="false" ht="15" hidden="false" customHeight="false" outlineLevel="0" collapsed="false">
      <c r="A4598" s="21"/>
      <c r="B4598" s="4"/>
      <c r="C4598" s="22"/>
      <c r="D4598" s="5" t="str">
        <f aca="false">IF(B4598="","",IFERROR(INDEX(DE_PARA!$B$6:$B$205,MATCH(B4598,DE_PARA!$A$6:$A$205,0)),"SEM DE-PARA"))</f>
        <v/>
      </c>
      <c r="E4598" s="23" t="str">
        <f aca="false">IF(A4598="","",DATE(YEAR(A4598),MONTH(A4598),1))</f>
        <v/>
      </c>
    </row>
    <row r="4599" customFormat="false" ht="15" hidden="false" customHeight="false" outlineLevel="0" collapsed="false">
      <c r="A4599" s="21"/>
      <c r="B4599" s="4"/>
      <c r="C4599" s="22"/>
      <c r="D4599" s="5" t="str">
        <f aca="false">IF(B4599="","",IFERROR(INDEX(DE_PARA!$B$6:$B$205,MATCH(B4599,DE_PARA!$A$6:$A$205,0)),"SEM DE-PARA"))</f>
        <v/>
      </c>
      <c r="E4599" s="23" t="str">
        <f aca="false">IF(A4599="","",DATE(YEAR(A4599),MONTH(A4599),1))</f>
        <v/>
      </c>
    </row>
    <row r="4600" customFormat="false" ht="15" hidden="false" customHeight="false" outlineLevel="0" collapsed="false">
      <c r="A4600" s="21"/>
      <c r="B4600" s="4"/>
      <c r="C4600" s="22"/>
      <c r="D4600" s="5" t="str">
        <f aca="false">IF(B4600="","",IFERROR(INDEX(DE_PARA!$B$6:$B$205,MATCH(B4600,DE_PARA!$A$6:$A$205,0)),"SEM DE-PARA"))</f>
        <v/>
      </c>
      <c r="E4600" s="23" t="str">
        <f aca="false">IF(A4600="","",DATE(YEAR(A4600),MONTH(A4600),1))</f>
        <v/>
      </c>
    </row>
    <row r="4601" customFormat="false" ht="15" hidden="false" customHeight="false" outlineLevel="0" collapsed="false">
      <c r="A4601" s="21"/>
      <c r="B4601" s="4"/>
      <c r="C4601" s="22"/>
      <c r="D4601" s="5" t="str">
        <f aca="false">IF(B4601="","",IFERROR(INDEX(DE_PARA!$B$6:$B$205,MATCH(B4601,DE_PARA!$A$6:$A$205,0)),"SEM DE-PARA"))</f>
        <v/>
      </c>
      <c r="E4601" s="23" t="str">
        <f aca="false">IF(A4601="","",DATE(YEAR(A4601),MONTH(A4601),1))</f>
        <v/>
      </c>
    </row>
    <row r="4602" customFormat="false" ht="15" hidden="false" customHeight="false" outlineLevel="0" collapsed="false">
      <c r="A4602" s="21"/>
      <c r="B4602" s="4"/>
      <c r="C4602" s="22"/>
      <c r="D4602" s="5" t="str">
        <f aca="false">IF(B4602="","",IFERROR(INDEX(DE_PARA!$B$6:$B$205,MATCH(B4602,DE_PARA!$A$6:$A$205,0)),"SEM DE-PARA"))</f>
        <v/>
      </c>
      <c r="E4602" s="23" t="str">
        <f aca="false">IF(A4602="","",DATE(YEAR(A4602),MONTH(A4602),1))</f>
        <v/>
      </c>
    </row>
    <row r="4603" customFormat="false" ht="15" hidden="false" customHeight="false" outlineLevel="0" collapsed="false">
      <c r="A4603" s="21"/>
      <c r="B4603" s="4"/>
      <c r="C4603" s="22"/>
      <c r="D4603" s="5" t="str">
        <f aca="false">IF(B4603="","",IFERROR(INDEX(DE_PARA!$B$6:$B$205,MATCH(B4603,DE_PARA!$A$6:$A$205,0)),"SEM DE-PARA"))</f>
        <v/>
      </c>
      <c r="E4603" s="23" t="str">
        <f aca="false">IF(A4603="","",DATE(YEAR(A4603),MONTH(A4603),1))</f>
        <v/>
      </c>
    </row>
    <row r="4604" customFormat="false" ht="15" hidden="false" customHeight="false" outlineLevel="0" collapsed="false">
      <c r="A4604" s="21"/>
      <c r="B4604" s="4"/>
      <c r="C4604" s="22"/>
      <c r="D4604" s="5" t="str">
        <f aca="false">IF(B4604="","",IFERROR(INDEX(DE_PARA!$B$6:$B$205,MATCH(B4604,DE_PARA!$A$6:$A$205,0)),"SEM DE-PARA"))</f>
        <v/>
      </c>
      <c r="E4604" s="23" t="str">
        <f aca="false">IF(A4604="","",DATE(YEAR(A4604),MONTH(A4604),1))</f>
        <v/>
      </c>
    </row>
    <row r="4605" customFormat="false" ht="15" hidden="false" customHeight="false" outlineLevel="0" collapsed="false">
      <c r="A4605" s="21"/>
      <c r="B4605" s="4"/>
      <c r="C4605" s="22"/>
      <c r="D4605" s="5" t="str">
        <f aca="false">IF(B4605="","",IFERROR(INDEX(DE_PARA!$B$6:$B$205,MATCH(B4605,DE_PARA!$A$6:$A$205,0)),"SEM DE-PARA"))</f>
        <v/>
      </c>
      <c r="E4605" s="23" t="str">
        <f aca="false">IF(A4605="","",DATE(YEAR(A4605),MONTH(A4605),1))</f>
        <v/>
      </c>
    </row>
    <row r="4606" customFormat="false" ht="15" hidden="false" customHeight="false" outlineLevel="0" collapsed="false">
      <c r="A4606" s="21"/>
      <c r="B4606" s="4"/>
      <c r="C4606" s="22"/>
      <c r="D4606" s="5" t="str">
        <f aca="false">IF(B4606="","",IFERROR(INDEX(DE_PARA!$B$6:$B$205,MATCH(B4606,DE_PARA!$A$6:$A$205,0)),"SEM DE-PARA"))</f>
        <v/>
      </c>
      <c r="E4606" s="23" t="str">
        <f aca="false">IF(A4606="","",DATE(YEAR(A4606),MONTH(A4606),1))</f>
        <v/>
      </c>
    </row>
    <row r="4607" customFormat="false" ht="15" hidden="false" customHeight="false" outlineLevel="0" collapsed="false">
      <c r="A4607" s="21"/>
      <c r="B4607" s="4"/>
      <c r="C4607" s="22"/>
      <c r="D4607" s="5" t="str">
        <f aca="false">IF(B4607="","",IFERROR(INDEX(DE_PARA!$B$6:$B$205,MATCH(B4607,DE_PARA!$A$6:$A$205,0)),"SEM DE-PARA"))</f>
        <v/>
      </c>
      <c r="E4607" s="23" t="str">
        <f aca="false">IF(A4607="","",DATE(YEAR(A4607),MONTH(A4607),1))</f>
        <v/>
      </c>
    </row>
    <row r="4608" customFormat="false" ht="15" hidden="false" customHeight="false" outlineLevel="0" collapsed="false">
      <c r="A4608" s="21"/>
      <c r="B4608" s="4"/>
      <c r="C4608" s="22"/>
      <c r="D4608" s="5" t="str">
        <f aca="false">IF(B4608="","",IFERROR(INDEX(DE_PARA!$B$6:$B$205,MATCH(B4608,DE_PARA!$A$6:$A$205,0)),"SEM DE-PARA"))</f>
        <v/>
      </c>
      <c r="E4608" s="23" t="str">
        <f aca="false">IF(A4608="","",DATE(YEAR(A4608),MONTH(A4608),1))</f>
        <v/>
      </c>
    </row>
    <row r="4609" customFormat="false" ht="15" hidden="false" customHeight="false" outlineLevel="0" collapsed="false">
      <c r="A4609" s="21"/>
      <c r="B4609" s="4"/>
      <c r="C4609" s="22"/>
      <c r="D4609" s="5" t="str">
        <f aca="false">IF(B4609="","",IFERROR(INDEX(DE_PARA!$B$6:$B$205,MATCH(B4609,DE_PARA!$A$6:$A$205,0)),"SEM DE-PARA"))</f>
        <v/>
      </c>
      <c r="E4609" s="23" t="str">
        <f aca="false">IF(A4609="","",DATE(YEAR(A4609),MONTH(A4609),1))</f>
        <v/>
      </c>
    </row>
    <row r="4610" customFormat="false" ht="15" hidden="false" customHeight="false" outlineLevel="0" collapsed="false">
      <c r="A4610" s="21"/>
      <c r="B4610" s="4"/>
      <c r="C4610" s="22"/>
      <c r="D4610" s="5" t="str">
        <f aca="false">IF(B4610="","",IFERROR(INDEX(DE_PARA!$B$6:$B$205,MATCH(B4610,DE_PARA!$A$6:$A$205,0)),"SEM DE-PARA"))</f>
        <v/>
      </c>
      <c r="E4610" s="23" t="str">
        <f aca="false">IF(A4610="","",DATE(YEAR(A4610),MONTH(A4610),1))</f>
        <v/>
      </c>
    </row>
    <row r="4611" customFormat="false" ht="15" hidden="false" customHeight="false" outlineLevel="0" collapsed="false">
      <c r="A4611" s="21"/>
      <c r="B4611" s="4"/>
      <c r="C4611" s="22"/>
      <c r="D4611" s="5" t="str">
        <f aca="false">IF(B4611="","",IFERROR(INDEX(DE_PARA!$B$6:$B$205,MATCH(B4611,DE_PARA!$A$6:$A$205,0)),"SEM DE-PARA"))</f>
        <v/>
      </c>
      <c r="E4611" s="23" t="str">
        <f aca="false">IF(A4611="","",DATE(YEAR(A4611),MONTH(A4611),1))</f>
        <v/>
      </c>
    </row>
    <row r="4612" customFormat="false" ht="15" hidden="false" customHeight="false" outlineLevel="0" collapsed="false">
      <c r="A4612" s="21"/>
      <c r="B4612" s="4"/>
      <c r="C4612" s="22"/>
      <c r="D4612" s="5" t="str">
        <f aca="false">IF(B4612="","",IFERROR(INDEX(DE_PARA!$B$6:$B$205,MATCH(B4612,DE_PARA!$A$6:$A$205,0)),"SEM DE-PARA"))</f>
        <v/>
      </c>
      <c r="E4612" s="23" t="str">
        <f aca="false">IF(A4612="","",DATE(YEAR(A4612),MONTH(A4612),1))</f>
        <v/>
      </c>
    </row>
    <row r="4613" customFormat="false" ht="15" hidden="false" customHeight="false" outlineLevel="0" collapsed="false">
      <c r="A4613" s="21"/>
      <c r="B4613" s="4"/>
      <c r="C4613" s="22"/>
      <c r="D4613" s="5" t="str">
        <f aca="false">IF(B4613="","",IFERROR(INDEX(DE_PARA!$B$6:$B$205,MATCH(B4613,DE_PARA!$A$6:$A$205,0)),"SEM DE-PARA"))</f>
        <v/>
      </c>
      <c r="E4613" s="23" t="str">
        <f aca="false">IF(A4613="","",DATE(YEAR(A4613),MONTH(A4613),1))</f>
        <v/>
      </c>
    </row>
    <row r="4614" customFormat="false" ht="15" hidden="false" customHeight="false" outlineLevel="0" collapsed="false">
      <c r="A4614" s="21"/>
      <c r="B4614" s="4"/>
      <c r="C4614" s="22"/>
      <c r="D4614" s="5" t="str">
        <f aca="false">IF(B4614="","",IFERROR(INDEX(DE_PARA!$B$6:$B$205,MATCH(B4614,DE_PARA!$A$6:$A$205,0)),"SEM DE-PARA"))</f>
        <v/>
      </c>
      <c r="E4614" s="23" t="str">
        <f aca="false">IF(A4614="","",DATE(YEAR(A4614),MONTH(A4614),1))</f>
        <v/>
      </c>
    </row>
    <row r="4615" customFormat="false" ht="15" hidden="false" customHeight="false" outlineLevel="0" collapsed="false">
      <c r="A4615" s="21"/>
      <c r="B4615" s="4"/>
      <c r="C4615" s="22"/>
      <c r="D4615" s="5" t="str">
        <f aca="false">IF(B4615="","",IFERROR(INDEX(DE_PARA!$B$6:$B$205,MATCH(B4615,DE_PARA!$A$6:$A$205,0)),"SEM DE-PARA"))</f>
        <v/>
      </c>
      <c r="E4615" s="23" t="str">
        <f aca="false">IF(A4615="","",DATE(YEAR(A4615),MONTH(A4615),1))</f>
        <v/>
      </c>
    </row>
    <row r="4616" customFormat="false" ht="15" hidden="false" customHeight="false" outlineLevel="0" collapsed="false">
      <c r="A4616" s="21"/>
      <c r="B4616" s="4"/>
      <c r="C4616" s="22"/>
      <c r="D4616" s="5" t="str">
        <f aca="false">IF(B4616="","",IFERROR(INDEX(DE_PARA!$B$6:$B$205,MATCH(B4616,DE_PARA!$A$6:$A$205,0)),"SEM DE-PARA"))</f>
        <v/>
      </c>
      <c r="E4616" s="23" t="str">
        <f aca="false">IF(A4616="","",DATE(YEAR(A4616),MONTH(A4616),1))</f>
        <v/>
      </c>
    </row>
    <row r="4617" customFormat="false" ht="15" hidden="false" customHeight="false" outlineLevel="0" collapsed="false">
      <c r="A4617" s="21"/>
      <c r="B4617" s="4"/>
      <c r="C4617" s="22"/>
      <c r="D4617" s="5" t="str">
        <f aca="false">IF(B4617="","",IFERROR(INDEX(DE_PARA!$B$6:$B$205,MATCH(B4617,DE_PARA!$A$6:$A$205,0)),"SEM DE-PARA"))</f>
        <v/>
      </c>
      <c r="E4617" s="23" t="str">
        <f aca="false">IF(A4617="","",DATE(YEAR(A4617),MONTH(A4617),1))</f>
        <v/>
      </c>
    </row>
    <row r="4618" customFormat="false" ht="15" hidden="false" customHeight="false" outlineLevel="0" collapsed="false">
      <c r="A4618" s="21"/>
      <c r="B4618" s="4"/>
      <c r="C4618" s="22"/>
      <c r="D4618" s="5" t="str">
        <f aca="false">IF(B4618="","",IFERROR(INDEX(DE_PARA!$B$6:$B$205,MATCH(B4618,DE_PARA!$A$6:$A$205,0)),"SEM DE-PARA"))</f>
        <v/>
      </c>
      <c r="E4618" s="23" t="str">
        <f aca="false">IF(A4618="","",DATE(YEAR(A4618),MONTH(A4618),1))</f>
        <v/>
      </c>
    </row>
    <row r="4619" customFormat="false" ht="15" hidden="false" customHeight="false" outlineLevel="0" collapsed="false">
      <c r="A4619" s="21"/>
      <c r="B4619" s="4"/>
      <c r="C4619" s="22"/>
      <c r="D4619" s="5" t="str">
        <f aca="false">IF(B4619="","",IFERROR(INDEX(DE_PARA!$B$6:$B$205,MATCH(B4619,DE_PARA!$A$6:$A$205,0)),"SEM DE-PARA"))</f>
        <v/>
      </c>
      <c r="E4619" s="23" t="str">
        <f aca="false">IF(A4619="","",DATE(YEAR(A4619),MONTH(A4619),1))</f>
        <v/>
      </c>
    </row>
    <row r="4620" customFormat="false" ht="15" hidden="false" customHeight="false" outlineLevel="0" collapsed="false">
      <c r="A4620" s="21"/>
      <c r="B4620" s="4"/>
      <c r="C4620" s="22"/>
      <c r="D4620" s="5" t="str">
        <f aca="false">IF(B4620="","",IFERROR(INDEX(DE_PARA!$B$6:$B$205,MATCH(B4620,DE_PARA!$A$6:$A$205,0)),"SEM DE-PARA"))</f>
        <v/>
      </c>
      <c r="E4620" s="23" t="str">
        <f aca="false">IF(A4620="","",DATE(YEAR(A4620),MONTH(A4620),1))</f>
        <v/>
      </c>
    </row>
    <row r="4621" customFormat="false" ht="15" hidden="false" customHeight="false" outlineLevel="0" collapsed="false">
      <c r="A4621" s="21"/>
      <c r="B4621" s="4"/>
      <c r="C4621" s="22"/>
      <c r="D4621" s="5" t="str">
        <f aca="false">IF(B4621="","",IFERROR(INDEX(DE_PARA!$B$6:$B$205,MATCH(B4621,DE_PARA!$A$6:$A$205,0)),"SEM DE-PARA"))</f>
        <v/>
      </c>
      <c r="E4621" s="23" t="str">
        <f aca="false">IF(A4621="","",DATE(YEAR(A4621),MONTH(A4621),1))</f>
        <v/>
      </c>
    </row>
    <row r="4622" customFormat="false" ht="15" hidden="false" customHeight="false" outlineLevel="0" collapsed="false">
      <c r="A4622" s="21"/>
      <c r="B4622" s="4"/>
      <c r="C4622" s="22"/>
      <c r="D4622" s="5" t="str">
        <f aca="false">IF(B4622="","",IFERROR(INDEX(DE_PARA!$B$6:$B$205,MATCH(B4622,DE_PARA!$A$6:$A$205,0)),"SEM DE-PARA"))</f>
        <v/>
      </c>
      <c r="E4622" s="23" t="str">
        <f aca="false">IF(A4622="","",DATE(YEAR(A4622),MONTH(A4622),1))</f>
        <v/>
      </c>
    </row>
    <row r="4623" customFormat="false" ht="15" hidden="false" customHeight="false" outlineLevel="0" collapsed="false">
      <c r="A4623" s="21"/>
      <c r="B4623" s="4"/>
      <c r="C4623" s="22"/>
      <c r="D4623" s="5" t="str">
        <f aca="false">IF(B4623="","",IFERROR(INDEX(DE_PARA!$B$6:$B$205,MATCH(B4623,DE_PARA!$A$6:$A$205,0)),"SEM DE-PARA"))</f>
        <v/>
      </c>
      <c r="E4623" s="23" t="str">
        <f aca="false">IF(A4623="","",DATE(YEAR(A4623),MONTH(A4623),1))</f>
        <v/>
      </c>
    </row>
    <row r="4624" customFormat="false" ht="15" hidden="false" customHeight="false" outlineLevel="0" collapsed="false">
      <c r="A4624" s="21"/>
      <c r="B4624" s="4"/>
      <c r="C4624" s="22"/>
      <c r="D4624" s="5" t="str">
        <f aca="false">IF(B4624="","",IFERROR(INDEX(DE_PARA!$B$6:$B$205,MATCH(B4624,DE_PARA!$A$6:$A$205,0)),"SEM DE-PARA"))</f>
        <v/>
      </c>
      <c r="E4624" s="23" t="str">
        <f aca="false">IF(A4624="","",DATE(YEAR(A4624),MONTH(A4624),1))</f>
        <v/>
      </c>
    </row>
    <row r="4625" customFormat="false" ht="15" hidden="false" customHeight="false" outlineLevel="0" collapsed="false">
      <c r="A4625" s="21"/>
      <c r="B4625" s="4"/>
      <c r="C4625" s="22"/>
      <c r="D4625" s="5" t="str">
        <f aca="false">IF(B4625="","",IFERROR(INDEX(DE_PARA!$B$6:$B$205,MATCH(B4625,DE_PARA!$A$6:$A$205,0)),"SEM DE-PARA"))</f>
        <v/>
      </c>
      <c r="E4625" s="23" t="str">
        <f aca="false">IF(A4625="","",DATE(YEAR(A4625),MONTH(A4625),1))</f>
        <v/>
      </c>
    </row>
    <row r="4626" customFormat="false" ht="15" hidden="false" customHeight="false" outlineLevel="0" collapsed="false">
      <c r="A4626" s="21"/>
      <c r="B4626" s="4"/>
      <c r="C4626" s="22"/>
      <c r="D4626" s="5" t="str">
        <f aca="false">IF(B4626="","",IFERROR(INDEX(DE_PARA!$B$6:$B$205,MATCH(B4626,DE_PARA!$A$6:$A$205,0)),"SEM DE-PARA"))</f>
        <v/>
      </c>
      <c r="E4626" s="23" t="str">
        <f aca="false">IF(A4626="","",DATE(YEAR(A4626),MONTH(A4626),1))</f>
        <v/>
      </c>
    </row>
    <row r="4627" customFormat="false" ht="15" hidden="false" customHeight="false" outlineLevel="0" collapsed="false">
      <c r="A4627" s="21"/>
      <c r="B4627" s="4"/>
      <c r="C4627" s="22"/>
      <c r="D4627" s="5" t="str">
        <f aca="false">IF(B4627="","",IFERROR(INDEX(DE_PARA!$B$6:$B$205,MATCH(B4627,DE_PARA!$A$6:$A$205,0)),"SEM DE-PARA"))</f>
        <v/>
      </c>
      <c r="E4627" s="23" t="str">
        <f aca="false">IF(A4627="","",DATE(YEAR(A4627),MONTH(A4627),1))</f>
        <v/>
      </c>
    </row>
    <row r="4628" customFormat="false" ht="15" hidden="false" customHeight="false" outlineLevel="0" collapsed="false">
      <c r="A4628" s="21"/>
      <c r="B4628" s="4"/>
      <c r="C4628" s="22"/>
      <c r="D4628" s="5" t="str">
        <f aca="false">IF(B4628="","",IFERROR(INDEX(DE_PARA!$B$6:$B$205,MATCH(B4628,DE_PARA!$A$6:$A$205,0)),"SEM DE-PARA"))</f>
        <v/>
      </c>
      <c r="E4628" s="23" t="str">
        <f aca="false">IF(A4628="","",DATE(YEAR(A4628),MONTH(A4628),1))</f>
        <v/>
      </c>
    </row>
    <row r="4629" customFormat="false" ht="15" hidden="false" customHeight="false" outlineLevel="0" collapsed="false">
      <c r="A4629" s="21"/>
      <c r="B4629" s="4"/>
      <c r="C4629" s="22"/>
      <c r="D4629" s="5" t="str">
        <f aca="false">IF(B4629="","",IFERROR(INDEX(DE_PARA!$B$6:$B$205,MATCH(B4629,DE_PARA!$A$6:$A$205,0)),"SEM DE-PARA"))</f>
        <v/>
      </c>
      <c r="E4629" s="23" t="str">
        <f aca="false">IF(A4629="","",DATE(YEAR(A4629),MONTH(A4629),1))</f>
        <v/>
      </c>
    </row>
    <row r="4630" customFormat="false" ht="15" hidden="false" customHeight="false" outlineLevel="0" collapsed="false">
      <c r="A4630" s="21"/>
      <c r="B4630" s="4"/>
      <c r="C4630" s="22"/>
      <c r="D4630" s="5" t="str">
        <f aca="false">IF(B4630="","",IFERROR(INDEX(DE_PARA!$B$6:$B$205,MATCH(B4630,DE_PARA!$A$6:$A$205,0)),"SEM DE-PARA"))</f>
        <v/>
      </c>
      <c r="E4630" s="23" t="str">
        <f aca="false">IF(A4630="","",DATE(YEAR(A4630),MONTH(A4630),1))</f>
        <v/>
      </c>
    </row>
    <row r="4631" customFormat="false" ht="15" hidden="false" customHeight="false" outlineLevel="0" collapsed="false">
      <c r="A4631" s="21"/>
      <c r="B4631" s="4"/>
      <c r="C4631" s="22"/>
      <c r="D4631" s="5" t="str">
        <f aca="false">IF(B4631="","",IFERROR(INDEX(DE_PARA!$B$6:$B$205,MATCH(B4631,DE_PARA!$A$6:$A$205,0)),"SEM DE-PARA"))</f>
        <v/>
      </c>
      <c r="E4631" s="23" t="str">
        <f aca="false">IF(A4631="","",DATE(YEAR(A4631),MONTH(A4631),1))</f>
        <v/>
      </c>
    </row>
    <row r="4632" customFormat="false" ht="15" hidden="false" customHeight="false" outlineLevel="0" collapsed="false">
      <c r="A4632" s="21"/>
      <c r="B4632" s="4"/>
      <c r="C4632" s="22"/>
      <c r="D4632" s="5" t="str">
        <f aca="false">IF(B4632="","",IFERROR(INDEX(DE_PARA!$B$6:$B$205,MATCH(B4632,DE_PARA!$A$6:$A$205,0)),"SEM DE-PARA"))</f>
        <v/>
      </c>
      <c r="E4632" s="23" t="str">
        <f aca="false">IF(A4632="","",DATE(YEAR(A4632),MONTH(A4632),1))</f>
        <v/>
      </c>
    </row>
    <row r="4633" customFormat="false" ht="15" hidden="false" customHeight="false" outlineLevel="0" collapsed="false">
      <c r="A4633" s="21"/>
      <c r="B4633" s="4"/>
      <c r="C4633" s="22"/>
      <c r="D4633" s="5" t="str">
        <f aca="false">IF(B4633="","",IFERROR(INDEX(DE_PARA!$B$6:$B$205,MATCH(B4633,DE_PARA!$A$6:$A$205,0)),"SEM DE-PARA"))</f>
        <v/>
      </c>
      <c r="E4633" s="23" t="str">
        <f aca="false">IF(A4633="","",DATE(YEAR(A4633),MONTH(A4633),1))</f>
        <v/>
      </c>
    </row>
    <row r="4634" customFormat="false" ht="15" hidden="false" customHeight="false" outlineLevel="0" collapsed="false">
      <c r="A4634" s="21"/>
      <c r="B4634" s="4"/>
      <c r="C4634" s="22"/>
      <c r="D4634" s="5" t="str">
        <f aca="false">IF(B4634="","",IFERROR(INDEX(DE_PARA!$B$6:$B$205,MATCH(B4634,DE_PARA!$A$6:$A$205,0)),"SEM DE-PARA"))</f>
        <v/>
      </c>
      <c r="E4634" s="23" t="str">
        <f aca="false">IF(A4634="","",DATE(YEAR(A4634),MONTH(A4634),1))</f>
        <v/>
      </c>
    </row>
    <row r="4635" customFormat="false" ht="15" hidden="false" customHeight="false" outlineLevel="0" collapsed="false">
      <c r="A4635" s="21"/>
      <c r="B4635" s="4"/>
      <c r="C4635" s="22"/>
      <c r="D4635" s="5" t="str">
        <f aca="false">IF(B4635="","",IFERROR(INDEX(DE_PARA!$B$6:$B$205,MATCH(B4635,DE_PARA!$A$6:$A$205,0)),"SEM DE-PARA"))</f>
        <v/>
      </c>
      <c r="E4635" s="23" t="str">
        <f aca="false">IF(A4635="","",DATE(YEAR(A4635),MONTH(A4635),1))</f>
        <v/>
      </c>
    </row>
    <row r="4636" customFormat="false" ht="15" hidden="false" customHeight="false" outlineLevel="0" collapsed="false">
      <c r="A4636" s="21"/>
      <c r="B4636" s="4"/>
      <c r="C4636" s="22"/>
      <c r="D4636" s="5" t="str">
        <f aca="false">IF(B4636="","",IFERROR(INDEX(DE_PARA!$B$6:$B$205,MATCH(B4636,DE_PARA!$A$6:$A$205,0)),"SEM DE-PARA"))</f>
        <v/>
      </c>
      <c r="E4636" s="23" t="str">
        <f aca="false">IF(A4636="","",DATE(YEAR(A4636),MONTH(A4636),1))</f>
        <v/>
      </c>
    </row>
    <row r="4637" customFormat="false" ht="15" hidden="false" customHeight="false" outlineLevel="0" collapsed="false">
      <c r="A4637" s="21"/>
      <c r="B4637" s="4"/>
      <c r="C4637" s="22"/>
      <c r="D4637" s="5" t="str">
        <f aca="false">IF(B4637="","",IFERROR(INDEX(DE_PARA!$B$6:$B$205,MATCH(B4637,DE_PARA!$A$6:$A$205,0)),"SEM DE-PARA"))</f>
        <v/>
      </c>
      <c r="E4637" s="23" t="str">
        <f aca="false">IF(A4637="","",DATE(YEAR(A4637),MONTH(A4637),1))</f>
        <v/>
      </c>
    </row>
    <row r="4638" customFormat="false" ht="15" hidden="false" customHeight="false" outlineLevel="0" collapsed="false">
      <c r="A4638" s="21"/>
      <c r="B4638" s="4"/>
      <c r="C4638" s="22"/>
      <c r="D4638" s="5" t="str">
        <f aca="false">IF(B4638="","",IFERROR(INDEX(DE_PARA!$B$6:$B$205,MATCH(B4638,DE_PARA!$A$6:$A$205,0)),"SEM DE-PARA"))</f>
        <v/>
      </c>
      <c r="E4638" s="23" t="str">
        <f aca="false">IF(A4638="","",DATE(YEAR(A4638),MONTH(A4638),1))</f>
        <v/>
      </c>
    </row>
    <row r="4639" customFormat="false" ht="15" hidden="false" customHeight="false" outlineLevel="0" collapsed="false">
      <c r="A4639" s="21"/>
      <c r="B4639" s="4"/>
      <c r="C4639" s="22"/>
      <c r="D4639" s="5" t="str">
        <f aca="false">IF(B4639="","",IFERROR(INDEX(DE_PARA!$B$6:$B$205,MATCH(B4639,DE_PARA!$A$6:$A$205,0)),"SEM DE-PARA"))</f>
        <v/>
      </c>
      <c r="E4639" s="23" t="str">
        <f aca="false">IF(A4639="","",DATE(YEAR(A4639),MONTH(A4639),1))</f>
        <v/>
      </c>
    </row>
    <row r="4640" customFormat="false" ht="15" hidden="false" customHeight="false" outlineLevel="0" collapsed="false">
      <c r="A4640" s="21"/>
      <c r="B4640" s="4"/>
      <c r="C4640" s="22"/>
      <c r="D4640" s="5" t="str">
        <f aca="false">IF(B4640="","",IFERROR(INDEX(DE_PARA!$B$6:$B$205,MATCH(B4640,DE_PARA!$A$6:$A$205,0)),"SEM DE-PARA"))</f>
        <v/>
      </c>
      <c r="E4640" s="23" t="str">
        <f aca="false">IF(A4640="","",DATE(YEAR(A4640),MONTH(A4640),1))</f>
        <v/>
      </c>
    </row>
    <row r="4641" customFormat="false" ht="15" hidden="false" customHeight="false" outlineLevel="0" collapsed="false">
      <c r="A4641" s="21"/>
      <c r="B4641" s="4"/>
      <c r="C4641" s="22"/>
      <c r="D4641" s="5" t="str">
        <f aca="false">IF(B4641="","",IFERROR(INDEX(DE_PARA!$B$6:$B$205,MATCH(B4641,DE_PARA!$A$6:$A$205,0)),"SEM DE-PARA"))</f>
        <v/>
      </c>
      <c r="E4641" s="23" t="str">
        <f aca="false">IF(A4641="","",DATE(YEAR(A4641),MONTH(A4641),1))</f>
        <v/>
      </c>
    </row>
    <row r="4642" customFormat="false" ht="15" hidden="false" customHeight="false" outlineLevel="0" collapsed="false">
      <c r="A4642" s="21"/>
      <c r="B4642" s="4"/>
      <c r="C4642" s="22"/>
      <c r="D4642" s="5" t="str">
        <f aca="false">IF(B4642="","",IFERROR(INDEX(DE_PARA!$B$6:$B$205,MATCH(B4642,DE_PARA!$A$6:$A$205,0)),"SEM DE-PARA"))</f>
        <v/>
      </c>
      <c r="E4642" s="23" t="str">
        <f aca="false">IF(A4642="","",DATE(YEAR(A4642),MONTH(A4642),1))</f>
        <v/>
      </c>
    </row>
    <row r="4643" customFormat="false" ht="15" hidden="false" customHeight="false" outlineLevel="0" collapsed="false">
      <c r="A4643" s="21"/>
      <c r="B4643" s="4"/>
      <c r="C4643" s="22"/>
      <c r="D4643" s="5" t="str">
        <f aca="false">IF(B4643="","",IFERROR(INDEX(DE_PARA!$B$6:$B$205,MATCH(B4643,DE_PARA!$A$6:$A$205,0)),"SEM DE-PARA"))</f>
        <v/>
      </c>
      <c r="E4643" s="23" t="str">
        <f aca="false">IF(A4643="","",DATE(YEAR(A4643),MONTH(A4643),1))</f>
        <v/>
      </c>
    </row>
    <row r="4644" customFormat="false" ht="15" hidden="false" customHeight="false" outlineLevel="0" collapsed="false">
      <c r="A4644" s="21"/>
      <c r="B4644" s="4"/>
      <c r="C4644" s="22"/>
      <c r="D4644" s="5" t="str">
        <f aca="false">IF(B4644="","",IFERROR(INDEX(DE_PARA!$B$6:$B$205,MATCH(B4644,DE_PARA!$A$6:$A$205,0)),"SEM DE-PARA"))</f>
        <v/>
      </c>
      <c r="E4644" s="23" t="str">
        <f aca="false">IF(A4644="","",DATE(YEAR(A4644),MONTH(A4644),1))</f>
        <v/>
      </c>
    </row>
    <row r="4645" customFormat="false" ht="15" hidden="false" customHeight="false" outlineLevel="0" collapsed="false">
      <c r="A4645" s="21"/>
      <c r="B4645" s="4"/>
      <c r="C4645" s="22"/>
      <c r="D4645" s="5" t="str">
        <f aca="false">IF(B4645="","",IFERROR(INDEX(DE_PARA!$B$6:$B$205,MATCH(B4645,DE_PARA!$A$6:$A$205,0)),"SEM DE-PARA"))</f>
        <v/>
      </c>
      <c r="E4645" s="23" t="str">
        <f aca="false">IF(A4645="","",DATE(YEAR(A4645),MONTH(A4645),1))</f>
        <v/>
      </c>
    </row>
    <row r="4646" customFormat="false" ht="15" hidden="false" customHeight="false" outlineLevel="0" collapsed="false">
      <c r="A4646" s="21"/>
      <c r="B4646" s="4"/>
      <c r="C4646" s="22"/>
      <c r="D4646" s="5" t="str">
        <f aca="false">IF(B4646="","",IFERROR(INDEX(DE_PARA!$B$6:$B$205,MATCH(B4646,DE_PARA!$A$6:$A$205,0)),"SEM DE-PARA"))</f>
        <v/>
      </c>
      <c r="E4646" s="23" t="str">
        <f aca="false">IF(A4646="","",DATE(YEAR(A4646),MONTH(A4646),1))</f>
        <v/>
      </c>
    </row>
    <row r="4647" customFormat="false" ht="15" hidden="false" customHeight="false" outlineLevel="0" collapsed="false">
      <c r="A4647" s="21"/>
      <c r="B4647" s="4"/>
      <c r="C4647" s="22"/>
      <c r="D4647" s="5" t="str">
        <f aca="false">IF(B4647="","",IFERROR(INDEX(DE_PARA!$B$6:$B$205,MATCH(B4647,DE_PARA!$A$6:$A$205,0)),"SEM DE-PARA"))</f>
        <v/>
      </c>
      <c r="E4647" s="23" t="str">
        <f aca="false">IF(A4647="","",DATE(YEAR(A4647),MONTH(A4647),1))</f>
        <v/>
      </c>
    </row>
    <row r="4648" customFormat="false" ht="15" hidden="false" customHeight="false" outlineLevel="0" collapsed="false">
      <c r="A4648" s="21"/>
      <c r="B4648" s="4"/>
      <c r="C4648" s="22"/>
      <c r="D4648" s="5" t="str">
        <f aca="false">IF(B4648="","",IFERROR(INDEX(DE_PARA!$B$6:$B$205,MATCH(B4648,DE_PARA!$A$6:$A$205,0)),"SEM DE-PARA"))</f>
        <v/>
      </c>
      <c r="E4648" s="23" t="str">
        <f aca="false">IF(A4648="","",DATE(YEAR(A4648),MONTH(A4648),1))</f>
        <v/>
      </c>
    </row>
    <row r="4649" customFormat="false" ht="15" hidden="false" customHeight="false" outlineLevel="0" collapsed="false">
      <c r="A4649" s="21"/>
      <c r="B4649" s="4"/>
      <c r="C4649" s="22"/>
      <c r="D4649" s="5" t="str">
        <f aca="false">IF(B4649="","",IFERROR(INDEX(DE_PARA!$B$6:$B$205,MATCH(B4649,DE_PARA!$A$6:$A$205,0)),"SEM DE-PARA"))</f>
        <v/>
      </c>
      <c r="E4649" s="23" t="str">
        <f aca="false">IF(A4649="","",DATE(YEAR(A4649),MONTH(A4649),1))</f>
        <v/>
      </c>
    </row>
    <row r="4650" customFormat="false" ht="15" hidden="false" customHeight="false" outlineLevel="0" collapsed="false">
      <c r="A4650" s="21"/>
      <c r="B4650" s="4"/>
      <c r="C4650" s="22"/>
      <c r="D4650" s="5" t="str">
        <f aca="false">IF(B4650="","",IFERROR(INDEX(DE_PARA!$B$6:$B$205,MATCH(B4650,DE_PARA!$A$6:$A$205,0)),"SEM DE-PARA"))</f>
        <v/>
      </c>
      <c r="E4650" s="23" t="str">
        <f aca="false">IF(A4650="","",DATE(YEAR(A4650),MONTH(A4650),1))</f>
        <v/>
      </c>
    </row>
    <row r="4651" customFormat="false" ht="15" hidden="false" customHeight="false" outlineLevel="0" collapsed="false">
      <c r="A4651" s="21"/>
      <c r="B4651" s="4"/>
      <c r="C4651" s="22"/>
      <c r="D4651" s="5" t="str">
        <f aca="false">IF(B4651="","",IFERROR(INDEX(DE_PARA!$B$6:$B$205,MATCH(B4651,DE_PARA!$A$6:$A$205,0)),"SEM DE-PARA"))</f>
        <v/>
      </c>
      <c r="E4651" s="23" t="str">
        <f aca="false">IF(A4651="","",DATE(YEAR(A4651),MONTH(A4651),1))</f>
        <v/>
      </c>
    </row>
    <row r="4652" customFormat="false" ht="15" hidden="false" customHeight="false" outlineLevel="0" collapsed="false">
      <c r="A4652" s="21"/>
      <c r="B4652" s="4"/>
      <c r="C4652" s="22"/>
      <c r="D4652" s="5" t="str">
        <f aca="false">IF(B4652="","",IFERROR(INDEX(DE_PARA!$B$6:$B$205,MATCH(B4652,DE_PARA!$A$6:$A$205,0)),"SEM DE-PARA"))</f>
        <v/>
      </c>
      <c r="E4652" s="23" t="str">
        <f aca="false">IF(A4652="","",DATE(YEAR(A4652),MONTH(A4652),1))</f>
        <v/>
      </c>
    </row>
    <row r="4653" customFormat="false" ht="15" hidden="false" customHeight="false" outlineLevel="0" collapsed="false">
      <c r="A4653" s="21"/>
      <c r="B4653" s="4"/>
      <c r="C4653" s="22"/>
      <c r="D4653" s="5" t="str">
        <f aca="false">IF(B4653="","",IFERROR(INDEX(DE_PARA!$B$6:$B$205,MATCH(B4653,DE_PARA!$A$6:$A$205,0)),"SEM DE-PARA"))</f>
        <v/>
      </c>
      <c r="E4653" s="23" t="str">
        <f aca="false">IF(A4653="","",DATE(YEAR(A4653),MONTH(A4653),1))</f>
        <v/>
      </c>
    </row>
    <row r="4654" customFormat="false" ht="15" hidden="false" customHeight="false" outlineLevel="0" collapsed="false">
      <c r="A4654" s="21"/>
      <c r="B4654" s="4"/>
      <c r="C4654" s="22"/>
      <c r="D4654" s="5" t="str">
        <f aca="false">IF(B4654="","",IFERROR(INDEX(DE_PARA!$B$6:$B$205,MATCH(B4654,DE_PARA!$A$6:$A$205,0)),"SEM DE-PARA"))</f>
        <v/>
      </c>
      <c r="E4654" s="23" t="str">
        <f aca="false">IF(A4654="","",DATE(YEAR(A4654),MONTH(A4654),1))</f>
        <v/>
      </c>
    </row>
    <row r="4655" customFormat="false" ht="15" hidden="false" customHeight="false" outlineLevel="0" collapsed="false">
      <c r="A4655" s="21"/>
      <c r="B4655" s="4"/>
      <c r="C4655" s="22"/>
      <c r="D4655" s="5" t="str">
        <f aca="false">IF(B4655="","",IFERROR(INDEX(DE_PARA!$B$6:$B$205,MATCH(B4655,DE_PARA!$A$6:$A$205,0)),"SEM DE-PARA"))</f>
        <v/>
      </c>
      <c r="E4655" s="23" t="str">
        <f aca="false">IF(A4655="","",DATE(YEAR(A4655),MONTH(A4655),1))</f>
        <v/>
      </c>
    </row>
    <row r="4656" customFormat="false" ht="15" hidden="false" customHeight="false" outlineLevel="0" collapsed="false">
      <c r="A4656" s="21"/>
      <c r="B4656" s="4"/>
      <c r="C4656" s="22"/>
      <c r="D4656" s="5" t="str">
        <f aca="false">IF(B4656="","",IFERROR(INDEX(DE_PARA!$B$6:$B$205,MATCH(B4656,DE_PARA!$A$6:$A$205,0)),"SEM DE-PARA"))</f>
        <v/>
      </c>
      <c r="E4656" s="23" t="str">
        <f aca="false">IF(A4656="","",DATE(YEAR(A4656),MONTH(A4656),1))</f>
        <v/>
      </c>
    </row>
    <row r="4657" customFormat="false" ht="15" hidden="false" customHeight="false" outlineLevel="0" collapsed="false">
      <c r="A4657" s="21"/>
      <c r="B4657" s="4"/>
      <c r="C4657" s="22"/>
      <c r="D4657" s="5" t="str">
        <f aca="false">IF(B4657="","",IFERROR(INDEX(DE_PARA!$B$6:$B$205,MATCH(B4657,DE_PARA!$A$6:$A$205,0)),"SEM DE-PARA"))</f>
        <v/>
      </c>
      <c r="E4657" s="23" t="str">
        <f aca="false">IF(A4657="","",DATE(YEAR(A4657),MONTH(A4657),1))</f>
        <v/>
      </c>
    </row>
    <row r="4658" customFormat="false" ht="15" hidden="false" customHeight="false" outlineLevel="0" collapsed="false">
      <c r="A4658" s="21"/>
      <c r="B4658" s="4"/>
      <c r="C4658" s="22"/>
      <c r="D4658" s="5" t="str">
        <f aca="false">IF(B4658="","",IFERROR(INDEX(DE_PARA!$B$6:$B$205,MATCH(B4658,DE_PARA!$A$6:$A$205,0)),"SEM DE-PARA"))</f>
        <v/>
      </c>
      <c r="E4658" s="23" t="str">
        <f aca="false">IF(A4658="","",DATE(YEAR(A4658),MONTH(A4658),1))</f>
        <v/>
      </c>
    </row>
    <row r="4659" customFormat="false" ht="15" hidden="false" customHeight="false" outlineLevel="0" collapsed="false">
      <c r="A4659" s="21"/>
      <c r="B4659" s="4"/>
      <c r="C4659" s="22"/>
      <c r="D4659" s="5" t="str">
        <f aca="false">IF(B4659="","",IFERROR(INDEX(DE_PARA!$B$6:$B$205,MATCH(B4659,DE_PARA!$A$6:$A$205,0)),"SEM DE-PARA"))</f>
        <v/>
      </c>
      <c r="E4659" s="23" t="str">
        <f aca="false">IF(A4659="","",DATE(YEAR(A4659),MONTH(A4659),1))</f>
        <v/>
      </c>
    </row>
    <row r="4660" customFormat="false" ht="15" hidden="false" customHeight="false" outlineLevel="0" collapsed="false">
      <c r="A4660" s="21"/>
      <c r="B4660" s="4"/>
      <c r="C4660" s="22"/>
      <c r="D4660" s="5" t="str">
        <f aca="false">IF(B4660="","",IFERROR(INDEX(DE_PARA!$B$6:$B$205,MATCH(B4660,DE_PARA!$A$6:$A$205,0)),"SEM DE-PARA"))</f>
        <v/>
      </c>
      <c r="E4660" s="23" t="str">
        <f aca="false">IF(A4660="","",DATE(YEAR(A4660),MONTH(A4660),1))</f>
        <v/>
      </c>
    </row>
    <row r="4661" customFormat="false" ht="15" hidden="false" customHeight="false" outlineLevel="0" collapsed="false">
      <c r="A4661" s="21"/>
      <c r="B4661" s="4"/>
      <c r="C4661" s="22"/>
      <c r="D4661" s="5" t="str">
        <f aca="false">IF(B4661="","",IFERROR(INDEX(DE_PARA!$B$6:$B$205,MATCH(B4661,DE_PARA!$A$6:$A$205,0)),"SEM DE-PARA"))</f>
        <v/>
      </c>
      <c r="E4661" s="23" t="str">
        <f aca="false">IF(A4661="","",DATE(YEAR(A4661),MONTH(A4661),1))</f>
        <v/>
      </c>
    </row>
    <row r="4662" customFormat="false" ht="15" hidden="false" customHeight="false" outlineLevel="0" collapsed="false">
      <c r="A4662" s="21"/>
      <c r="B4662" s="4"/>
      <c r="C4662" s="22"/>
      <c r="D4662" s="5" t="str">
        <f aca="false">IF(B4662="","",IFERROR(INDEX(DE_PARA!$B$6:$B$205,MATCH(B4662,DE_PARA!$A$6:$A$205,0)),"SEM DE-PARA"))</f>
        <v/>
      </c>
      <c r="E4662" s="23" t="str">
        <f aca="false">IF(A4662="","",DATE(YEAR(A4662),MONTH(A4662),1))</f>
        <v/>
      </c>
    </row>
    <row r="4663" customFormat="false" ht="15" hidden="false" customHeight="false" outlineLevel="0" collapsed="false">
      <c r="A4663" s="21"/>
      <c r="B4663" s="4"/>
      <c r="C4663" s="22"/>
      <c r="D4663" s="5" t="str">
        <f aca="false">IF(B4663="","",IFERROR(INDEX(DE_PARA!$B$6:$B$205,MATCH(B4663,DE_PARA!$A$6:$A$205,0)),"SEM DE-PARA"))</f>
        <v/>
      </c>
      <c r="E4663" s="23" t="str">
        <f aca="false">IF(A4663="","",DATE(YEAR(A4663),MONTH(A4663),1))</f>
        <v/>
      </c>
    </row>
    <row r="4664" customFormat="false" ht="15" hidden="false" customHeight="false" outlineLevel="0" collapsed="false">
      <c r="A4664" s="21"/>
      <c r="B4664" s="4"/>
      <c r="C4664" s="22"/>
      <c r="D4664" s="5" t="str">
        <f aca="false">IF(B4664="","",IFERROR(INDEX(DE_PARA!$B$6:$B$205,MATCH(B4664,DE_PARA!$A$6:$A$205,0)),"SEM DE-PARA"))</f>
        <v/>
      </c>
      <c r="E4664" s="23" t="str">
        <f aca="false">IF(A4664="","",DATE(YEAR(A4664),MONTH(A4664),1))</f>
        <v/>
      </c>
    </row>
    <row r="4665" customFormat="false" ht="15" hidden="false" customHeight="false" outlineLevel="0" collapsed="false">
      <c r="A4665" s="21"/>
      <c r="B4665" s="4"/>
      <c r="C4665" s="22"/>
      <c r="D4665" s="5" t="str">
        <f aca="false">IF(B4665="","",IFERROR(INDEX(DE_PARA!$B$6:$B$205,MATCH(B4665,DE_PARA!$A$6:$A$205,0)),"SEM DE-PARA"))</f>
        <v/>
      </c>
      <c r="E4665" s="23" t="str">
        <f aca="false">IF(A4665="","",DATE(YEAR(A4665),MONTH(A4665),1))</f>
        <v/>
      </c>
    </row>
    <row r="4666" customFormat="false" ht="15" hidden="false" customHeight="false" outlineLevel="0" collapsed="false">
      <c r="A4666" s="21"/>
      <c r="B4666" s="4"/>
      <c r="C4666" s="22"/>
      <c r="D4666" s="5" t="str">
        <f aca="false">IF(B4666="","",IFERROR(INDEX(DE_PARA!$B$6:$B$205,MATCH(B4666,DE_PARA!$A$6:$A$205,0)),"SEM DE-PARA"))</f>
        <v/>
      </c>
      <c r="E4666" s="23" t="str">
        <f aca="false">IF(A4666="","",DATE(YEAR(A4666),MONTH(A4666),1))</f>
        <v/>
      </c>
    </row>
    <row r="4667" customFormat="false" ht="15" hidden="false" customHeight="false" outlineLevel="0" collapsed="false">
      <c r="A4667" s="21"/>
      <c r="B4667" s="4"/>
      <c r="C4667" s="22"/>
      <c r="D4667" s="5" t="str">
        <f aca="false">IF(B4667="","",IFERROR(INDEX(DE_PARA!$B$6:$B$205,MATCH(B4667,DE_PARA!$A$6:$A$205,0)),"SEM DE-PARA"))</f>
        <v/>
      </c>
      <c r="E4667" s="23" t="str">
        <f aca="false">IF(A4667="","",DATE(YEAR(A4667),MONTH(A4667),1))</f>
        <v/>
      </c>
    </row>
    <row r="4668" customFormat="false" ht="15" hidden="false" customHeight="false" outlineLevel="0" collapsed="false">
      <c r="A4668" s="21"/>
      <c r="B4668" s="4"/>
      <c r="C4668" s="22"/>
      <c r="D4668" s="5" t="str">
        <f aca="false">IF(B4668="","",IFERROR(INDEX(DE_PARA!$B$6:$B$205,MATCH(B4668,DE_PARA!$A$6:$A$205,0)),"SEM DE-PARA"))</f>
        <v/>
      </c>
      <c r="E4668" s="23" t="str">
        <f aca="false">IF(A4668="","",DATE(YEAR(A4668),MONTH(A4668),1))</f>
        <v/>
      </c>
    </row>
    <row r="4669" customFormat="false" ht="15" hidden="false" customHeight="false" outlineLevel="0" collapsed="false">
      <c r="A4669" s="21"/>
      <c r="B4669" s="4"/>
      <c r="C4669" s="22"/>
      <c r="D4669" s="5" t="str">
        <f aca="false">IF(B4669="","",IFERROR(INDEX(DE_PARA!$B$6:$B$205,MATCH(B4669,DE_PARA!$A$6:$A$205,0)),"SEM DE-PARA"))</f>
        <v/>
      </c>
      <c r="E4669" s="23" t="str">
        <f aca="false">IF(A4669="","",DATE(YEAR(A4669),MONTH(A4669),1))</f>
        <v/>
      </c>
    </row>
    <row r="4670" customFormat="false" ht="15" hidden="false" customHeight="false" outlineLevel="0" collapsed="false">
      <c r="A4670" s="21"/>
      <c r="B4670" s="4"/>
      <c r="C4670" s="22"/>
      <c r="D4670" s="5" t="str">
        <f aca="false">IF(B4670="","",IFERROR(INDEX(DE_PARA!$B$6:$B$205,MATCH(B4670,DE_PARA!$A$6:$A$205,0)),"SEM DE-PARA"))</f>
        <v/>
      </c>
      <c r="E4670" s="23" t="str">
        <f aca="false">IF(A4670="","",DATE(YEAR(A4670),MONTH(A4670),1))</f>
        <v/>
      </c>
    </row>
    <row r="4671" customFormat="false" ht="15" hidden="false" customHeight="false" outlineLevel="0" collapsed="false">
      <c r="A4671" s="21"/>
      <c r="B4671" s="4"/>
      <c r="C4671" s="22"/>
      <c r="D4671" s="5" t="str">
        <f aca="false">IF(B4671="","",IFERROR(INDEX(DE_PARA!$B$6:$B$205,MATCH(B4671,DE_PARA!$A$6:$A$205,0)),"SEM DE-PARA"))</f>
        <v/>
      </c>
      <c r="E4671" s="23" t="str">
        <f aca="false">IF(A4671="","",DATE(YEAR(A4671),MONTH(A4671),1))</f>
        <v/>
      </c>
    </row>
    <row r="4672" customFormat="false" ht="15" hidden="false" customHeight="false" outlineLevel="0" collapsed="false">
      <c r="A4672" s="21"/>
      <c r="B4672" s="4"/>
      <c r="C4672" s="22"/>
      <c r="D4672" s="5" t="str">
        <f aca="false">IF(B4672="","",IFERROR(INDEX(DE_PARA!$B$6:$B$205,MATCH(B4672,DE_PARA!$A$6:$A$205,0)),"SEM DE-PARA"))</f>
        <v/>
      </c>
      <c r="E4672" s="23" t="str">
        <f aca="false">IF(A4672="","",DATE(YEAR(A4672),MONTH(A4672),1))</f>
        <v/>
      </c>
    </row>
    <row r="4673" customFormat="false" ht="15" hidden="false" customHeight="false" outlineLevel="0" collapsed="false">
      <c r="A4673" s="21"/>
      <c r="B4673" s="4"/>
      <c r="C4673" s="22"/>
      <c r="D4673" s="5" t="str">
        <f aca="false">IF(B4673="","",IFERROR(INDEX(DE_PARA!$B$6:$B$205,MATCH(B4673,DE_PARA!$A$6:$A$205,0)),"SEM DE-PARA"))</f>
        <v/>
      </c>
      <c r="E4673" s="23" t="str">
        <f aca="false">IF(A4673="","",DATE(YEAR(A4673),MONTH(A4673),1))</f>
        <v/>
      </c>
    </row>
    <row r="4674" customFormat="false" ht="15" hidden="false" customHeight="false" outlineLevel="0" collapsed="false">
      <c r="A4674" s="21"/>
      <c r="B4674" s="4"/>
      <c r="C4674" s="22"/>
      <c r="D4674" s="5" t="str">
        <f aca="false">IF(B4674="","",IFERROR(INDEX(DE_PARA!$B$6:$B$205,MATCH(B4674,DE_PARA!$A$6:$A$205,0)),"SEM DE-PARA"))</f>
        <v/>
      </c>
      <c r="E4674" s="23" t="str">
        <f aca="false">IF(A4674="","",DATE(YEAR(A4674),MONTH(A4674),1))</f>
        <v/>
      </c>
    </row>
    <row r="4675" customFormat="false" ht="15" hidden="false" customHeight="false" outlineLevel="0" collapsed="false">
      <c r="A4675" s="21"/>
      <c r="B4675" s="4"/>
      <c r="C4675" s="22"/>
      <c r="D4675" s="5" t="str">
        <f aca="false">IF(B4675="","",IFERROR(INDEX(DE_PARA!$B$6:$B$205,MATCH(B4675,DE_PARA!$A$6:$A$205,0)),"SEM DE-PARA"))</f>
        <v/>
      </c>
      <c r="E4675" s="23" t="str">
        <f aca="false">IF(A4675="","",DATE(YEAR(A4675),MONTH(A4675),1))</f>
        <v/>
      </c>
    </row>
    <row r="4676" customFormat="false" ht="15" hidden="false" customHeight="false" outlineLevel="0" collapsed="false">
      <c r="A4676" s="21"/>
      <c r="B4676" s="4"/>
      <c r="C4676" s="22"/>
      <c r="D4676" s="5" t="str">
        <f aca="false">IF(B4676="","",IFERROR(INDEX(DE_PARA!$B$6:$B$205,MATCH(B4676,DE_PARA!$A$6:$A$205,0)),"SEM DE-PARA"))</f>
        <v/>
      </c>
      <c r="E4676" s="23" t="str">
        <f aca="false">IF(A4676="","",DATE(YEAR(A4676),MONTH(A4676),1))</f>
        <v/>
      </c>
    </row>
    <row r="4677" customFormat="false" ht="15" hidden="false" customHeight="false" outlineLevel="0" collapsed="false">
      <c r="A4677" s="21"/>
      <c r="B4677" s="4"/>
      <c r="C4677" s="22"/>
      <c r="D4677" s="5" t="str">
        <f aca="false">IF(B4677="","",IFERROR(INDEX(DE_PARA!$B$6:$B$205,MATCH(B4677,DE_PARA!$A$6:$A$205,0)),"SEM DE-PARA"))</f>
        <v/>
      </c>
      <c r="E4677" s="23" t="str">
        <f aca="false">IF(A4677="","",DATE(YEAR(A4677),MONTH(A4677),1))</f>
        <v/>
      </c>
    </row>
    <row r="4678" customFormat="false" ht="15" hidden="false" customHeight="false" outlineLevel="0" collapsed="false">
      <c r="A4678" s="21"/>
      <c r="B4678" s="4"/>
      <c r="C4678" s="22"/>
      <c r="D4678" s="5" t="str">
        <f aca="false">IF(B4678="","",IFERROR(INDEX(DE_PARA!$B$6:$B$205,MATCH(B4678,DE_PARA!$A$6:$A$205,0)),"SEM DE-PARA"))</f>
        <v/>
      </c>
      <c r="E4678" s="23" t="str">
        <f aca="false">IF(A4678="","",DATE(YEAR(A4678),MONTH(A4678),1))</f>
        <v/>
      </c>
    </row>
    <row r="4679" customFormat="false" ht="15" hidden="false" customHeight="false" outlineLevel="0" collapsed="false">
      <c r="A4679" s="21"/>
      <c r="B4679" s="4"/>
      <c r="C4679" s="22"/>
      <c r="D4679" s="5" t="str">
        <f aca="false">IF(B4679="","",IFERROR(INDEX(DE_PARA!$B$6:$B$205,MATCH(B4679,DE_PARA!$A$6:$A$205,0)),"SEM DE-PARA"))</f>
        <v/>
      </c>
      <c r="E4679" s="23" t="str">
        <f aca="false">IF(A4679="","",DATE(YEAR(A4679),MONTH(A4679),1))</f>
        <v/>
      </c>
    </row>
    <row r="4680" customFormat="false" ht="15" hidden="false" customHeight="false" outlineLevel="0" collapsed="false">
      <c r="A4680" s="21"/>
      <c r="B4680" s="4"/>
      <c r="C4680" s="22"/>
      <c r="D4680" s="5" t="str">
        <f aca="false">IF(B4680="","",IFERROR(INDEX(DE_PARA!$B$6:$B$205,MATCH(B4680,DE_PARA!$A$6:$A$205,0)),"SEM DE-PARA"))</f>
        <v/>
      </c>
      <c r="E4680" s="23" t="str">
        <f aca="false">IF(A4680="","",DATE(YEAR(A4680),MONTH(A4680),1))</f>
        <v/>
      </c>
    </row>
    <row r="4681" customFormat="false" ht="15" hidden="false" customHeight="false" outlineLevel="0" collapsed="false">
      <c r="A4681" s="21"/>
      <c r="B4681" s="4"/>
      <c r="C4681" s="22"/>
      <c r="D4681" s="5" t="str">
        <f aca="false">IF(B4681="","",IFERROR(INDEX(DE_PARA!$B$6:$B$205,MATCH(B4681,DE_PARA!$A$6:$A$205,0)),"SEM DE-PARA"))</f>
        <v/>
      </c>
      <c r="E4681" s="23" t="str">
        <f aca="false">IF(A4681="","",DATE(YEAR(A4681),MONTH(A4681),1))</f>
        <v/>
      </c>
    </row>
    <row r="4682" customFormat="false" ht="15" hidden="false" customHeight="false" outlineLevel="0" collapsed="false">
      <c r="A4682" s="21"/>
      <c r="B4682" s="4"/>
      <c r="C4682" s="22"/>
      <c r="D4682" s="5" t="str">
        <f aca="false">IF(B4682="","",IFERROR(INDEX(DE_PARA!$B$6:$B$205,MATCH(B4682,DE_PARA!$A$6:$A$205,0)),"SEM DE-PARA"))</f>
        <v/>
      </c>
      <c r="E4682" s="23" t="str">
        <f aca="false">IF(A4682="","",DATE(YEAR(A4682),MONTH(A4682),1))</f>
        <v/>
      </c>
    </row>
    <row r="4683" customFormat="false" ht="15" hidden="false" customHeight="false" outlineLevel="0" collapsed="false">
      <c r="A4683" s="21"/>
      <c r="B4683" s="4"/>
      <c r="C4683" s="22"/>
      <c r="D4683" s="5" t="str">
        <f aca="false">IF(B4683="","",IFERROR(INDEX(DE_PARA!$B$6:$B$205,MATCH(B4683,DE_PARA!$A$6:$A$205,0)),"SEM DE-PARA"))</f>
        <v/>
      </c>
      <c r="E4683" s="23" t="str">
        <f aca="false">IF(A4683="","",DATE(YEAR(A4683),MONTH(A4683),1))</f>
        <v/>
      </c>
    </row>
    <row r="4684" customFormat="false" ht="15" hidden="false" customHeight="false" outlineLevel="0" collapsed="false">
      <c r="A4684" s="21"/>
      <c r="B4684" s="4"/>
      <c r="C4684" s="22"/>
      <c r="D4684" s="5" t="str">
        <f aca="false">IF(B4684="","",IFERROR(INDEX(DE_PARA!$B$6:$B$205,MATCH(B4684,DE_PARA!$A$6:$A$205,0)),"SEM DE-PARA"))</f>
        <v/>
      </c>
      <c r="E4684" s="23" t="str">
        <f aca="false">IF(A4684="","",DATE(YEAR(A4684),MONTH(A4684),1))</f>
        <v/>
      </c>
    </row>
    <row r="4685" customFormat="false" ht="15" hidden="false" customHeight="false" outlineLevel="0" collapsed="false">
      <c r="A4685" s="21"/>
      <c r="B4685" s="4"/>
      <c r="C4685" s="22"/>
      <c r="D4685" s="5" t="str">
        <f aca="false">IF(B4685="","",IFERROR(INDEX(DE_PARA!$B$6:$B$205,MATCH(B4685,DE_PARA!$A$6:$A$205,0)),"SEM DE-PARA"))</f>
        <v/>
      </c>
      <c r="E4685" s="23" t="str">
        <f aca="false">IF(A4685="","",DATE(YEAR(A4685),MONTH(A4685),1))</f>
        <v/>
      </c>
    </row>
    <row r="4686" customFormat="false" ht="15" hidden="false" customHeight="false" outlineLevel="0" collapsed="false">
      <c r="A4686" s="21"/>
      <c r="B4686" s="4"/>
      <c r="C4686" s="22"/>
      <c r="D4686" s="5" t="str">
        <f aca="false">IF(B4686="","",IFERROR(INDEX(DE_PARA!$B$6:$B$205,MATCH(B4686,DE_PARA!$A$6:$A$205,0)),"SEM DE-PARA"))</f>
        <v/>
      </c>
      <c r="E4686" s="23" t="str">
        <f aca="false">IF(A4686="","",DATE(YEAR(A4686),MONTH(A4686),1))</f>
        <v/>
      </c>
    </row>
    <row r="4687" customFormat="false" ht="15" hidden="false" customHeight="false" outlineLevel="0" collapsed="false">
      <c r="A4687" s="21"/>
      <c r="B4687" s="4"/>
      <c r="C4687" s="22"/>
      <c r="D4687" s="5" t="str">
        <f aca="false">IF(B4687="","",IFERROR(INDEX(DE_PARA!$B$6:$B$205,MATCH(B4687,DE_PARA!$A$6:$A$205,0)),"SEM DE-PARA"))</f>
        <v/>
      </c>
      <c r="E4687" s="23" t="str">
        <f aca="false">IF(A4687="","",DATE(YEAR(A4687),MONTH(A4687),1))</f>
        <v/>
      </c>
    </row>
    <row r="4688" customFormat="false" ht="15" hidden="false" customHeight="false" outlineLevel="0" collapsed="false">
      <c r="A4688" s="21"/>
      <c r="B4688" s="4"/>
      <c r="C4688" s="22"/>
      <c r="D4688" s="5" t="str">
        <f aca="false">IF(B4688="","",IFERROR(INDEX(DE_PARA!$B$6:$B$205,MATCH(B4688,DE_PARA!$A$6:$A$205,0)),"SEM DE-PARA"))</f>
        <v/>
      </c>
      <c r="E4688" s="23" t="str">
        <f aca="false">IF(A4688="","",DATE(YEAR(A4688),MONTH(A4688),1))</f>
        <v/>
      </c>
    </row>
    <row r="4689" customFormat="false" ht="15" hidden="false" customHeight="false" outlineLevel="0" collapsed="false">
      <c r="A4689" s="21"/>
      <c r="B4689" s="4"/>
      <c r="C4689" s="22"/>
      <c r="D4689" s="5" t="str">
        <f aca="false">IF(B4689="","",IFERROR(INDEX(DE_PARA!$B$6:$B$205,MATCH(B4689,DE_PARA!$A$6:$A$205,0)),"SEM DE-PARA"))</f>
        <v/>
      </c>
      <c r="E4689" s="23" t="str">
        <f aca="false">IF(A4689="","",DATE(YEAR(A4689),MONTH(A4689),1))</f>
        <v/>
      </c>
    </row>
    <row r="4690" customFormat="false" ht="15" hidden="false" customHeight="false" outlineLevel="0" collapsed="false">
      <c r="A4690" s="21"/>
      <c r="B4690" s="4"/>
      <c r="C4690" s="22"/>
      <c r="D4690" s="5" t="str">
        <f aca="false">IF(B4690="","",IFERROR(INDEX(DE_PARA!$B$6:$B$205,MATCH(B4690,DE_PARA!$A$6:$A$205,0)),"SEM DE-PARA"))</f>
        <v/>
      </c>
      <c r="E4690" s="23" t="str">
        <f aca="false">IF(A4690="","",DATE(YEAR(A4690),MONTH(A4690),1))</f>
        <v/>
      </c>
    </row>
    <row r="4691" customFormat="false" ht="15" hidden="false" customHeight="false" outlineLevel="0" collapsed="false">
      <c r="A4691" s="21"/>
      <c r="B4691" s="4"/>
      <c r="C4691" s="22"/>
      <c r="D4691" s="5" t="str">
        <f aca="false">IF(B4691="","",IFERROR(INDEX(DE_PARA!$B$6:$B$205,MATCH(B4691,DE_PARA!$A$6:$A$205,0)),"SEM DE-PARA"))</f>
        <v/>
      </c>
      <c r="E4691" s="23" t="str">
        <f aca="false">IF(A4691="","",DATE(YEAR(A4691),MONTH(A4691),1))</f>
        <v/>
      </c>
    </row>
    <row r="4692" customFormat="false" ht="15" hidden="false" customHeight="false" outlineLevel="0" collapsed="false">
      <c r="A4692" s="21"/>
      <c r="B4692" s="4"/>
      <c r="C4692" s="22"/>
      <c r="D4692" s="5" t="str">
        <f aca="false">IF(B4692="","",IFERROR(INDEX(DE_PARA!$B$6:$B$205,MATCH(B4692,DE_PARA!$A$6:$A$205,0)),"SEM DE-PARA"))</f>
        <v/>
      </c>
      <c r="E4692" s="23" t="str">
        <f aca="false">IF(A4692="","",DATE(YEAR(A4692),MONTH(A4692),1))</f>
        <v/>
      </c>
    </row>
    <row r="4693" customFormat="false" ht="15" hidden="false" customHeight="false" outlineLevel="0" collapsed="false">
      <c r="A4693" s="21"/>
      <c r="B4693" s="4"/>
      <c r="C4693" s="22"/>
      <c r="D4693" s="5" t="str">
        <f aca="false">IF(B4693="","",IFERROR(INDEX(DE_PARA!$B$6:$B$205,MATCH(B4693,DE_PARA!$A$6:$A$205,0)),"SEM DE-PARA"))</f>
        <v/>
      </c>
      <c r="E4693" s="23" t="str">
        <f aca="false">IF(A4693="","",DATE(YEAR(A4693),MONTH(A4693),1))</f>
        <v/>
      </c>
    </row>
    <row r="4694" customFormat="false" ht="15" hidden="false" customHeight="false" outlineLevel="0" collapsed="false">
      <c r="A4694" s="21"/>
      <c r="B4694" s="4"/>
      <c r="C4694" s="22"/>
      <c r="D4694" s="5" t="str">
        <f aca="false">IF(B4694="","",IFERROR(INDEX(DE_PARA!$B$6:$B$205,MATCH(B4694,DE_PARA!$A$6:$A$205,0)),"SEM DE-PARA"))</f>
        <v/>
      </c>
      <c r="E4694" s="23" t="str">
        <f aca="false">IF(A4694="","",DATE(YEAR(A4694),MONTH(A4694),1))</f>
        <v/>
      </c>
    </row>
    <row r="4695" customFormat="false" ht="15" hidden="false" customHeight="false" outlineLevel="0" collapsed="false">
      <c r="A4695" s="21"/>
      <c r="B4695" s="4"/>
      <c r="C4695" s="22"/>
      <c r="D4695" s="5" t="str">
        <f aca="false">IF(B4695="","",IFERROR(INDEX(DE_PARA!$B$6:$B$205,MATCH(B4695,DE_PARA!$A$6:$A$205,0)),"SEM DE-PARA"))</f>
        <v/>
      </c>
      <c r="E4695" s="23" t="str">
        <f aca="false">IF(A4695="","",DATE(YEAR(A4695),MONTH(A4695),1))</f>
        <v/>
      </c>
    </row>
    <row r="4696" customFormat="false" ht="15" hidden="false" customHeight="false" outlineLevel="0" collapsed="false">
      <c r="A4696" s="21"/>
      <c r="B4696" s="4"/>
      <c r="C4696" s="22"/>
      <c r="D4696" s="5" t="str">
        <f aca="false">IF(B4696="","",IFERROR(INDEX(DE_PARA!$B$6:$B$205,MATCH(B4696,DE_PARA!$A$6:$A$205,0)),"SEM DE-PARA"))</f>
        <v/>
      </c>
      <c r="E4696" s="23" t="str">
        <f aca="false">IF(A4696="","",DATE(YEAR(A4696),MONTH(A4696),1))</f>
        <v/>
      </c>
    </row>
    <row r="4697" customFormat="false" ht="15" hidden="false" customHeight="false" outlineLevel="0" collapsed="false">
      <c r="A4697" s="21"/>
      <c r="B4697" s="4"/>
      <c r="C4697" s="22"/>
      <c r="D4697" s="5" t="str">
        <f aca="false">IF(B4697="","",IFERROR(INDEX(DE_PARA!$B$6:$B$205,MATCH(B4697,DE_PARA!$A$6:$A$205,0)),"SEM DE-PARA"))</f>
        <v/>
      </c>
      <c r="E4697" s="23" t="str">
        <f aca="false">IF(A4697="","",DATE(YEAR(A4697),MONTH(A4697),1))</f>
        <v/>
      </c>
    </row>
    <row r="4698" customFormat="false" ht="15" hidden="false" customHeight="false" outlineLevel="0" collapsed="false">
      <c r="A4698" s="21"/>
      <c r="B4698" s="4"/>
      <c r="C4698" s="22"/>
      <c r="D4698" s="5" t="str">
        <f aca="false">IF(B4698="","",IFERROR(INDEX(DE_PARA!$B$6:$B$205,MATCH(B4698,DE_PARA!$A$6:$A$205,0)),"SEM DE-PARA"))</f>
        <v/>
      </c>
      <c r="E4698" s="23" t="str">
        <f aca="false">IF(A4698="","",DATE(YEAR(A4698),MONTH(A4698),1))</f>
        <v/>
      </c>
    </row>
    <row r="4699" customFormat="false" ht="15" hidden="false" customHeight="false" outlineLevel="0" collapsed="false">
      <c r="A4699" s="21"/>
      <c r="B4699" s="4"/>
      <c r="C4699" s="22"/>
      <c r="D4699" s="5" t="str">
        <f aca="false">IF(B4699="","",IFERROR(INDEX(DE_PARA!$B$6:$B$205,MATCH(B4699,DE_PARA!$A$6:$A$205,0)),"SEM DE-PARA"))</f>
        <v/>
      </c>
      <c r="E4699" s="23" t="str">
        <f aca="false">IF(A4699="","",DATE(YEAR(A4699),MONTH(A4699),1))</f>
        <v/>
      </c>
    </row>
    <row r="4700" customFormat="false" ht="15" hidden="false" customHeight="false" outlineLevel="0" collapsed="false">
      <c r="A4700" s="21"/>
      <c r="B4700" s="4"/>
      <c r="C4700" s="22"/>
      <c r="D4700" s="5" t="str">
        <f aca="false">IF(B4700="","",IFERROR(INDEX(DE_PARA!$B$6:$B$205,MATCH(B4700,DE_PARA!$A$6:$A$205,0)),"SEM DE-PARA"))</f>
        <v/>
      </c>
      <c r="E4700" s="23" t="str">
        <f aca="false">IF(A4700="","",DATE(YEAR(A4700),MONTH(A4700),1))</f>
        <v/>
      </c>
    </row>
    <row r="4701" customFormat="false" ht="15" hidden="false" customHeight="false" outlineLevel="0" collapsed="false">
      <c r="A4701" s="21"/>
      <c r="B4701" s="4"/>
      <c r="C4701" s="22"/>
      <c r="D4701" s="5" t="str">
        <f aca="false">IF(B4701="","",IFERROR(INDEX(DE_PARA!$B$6:$B$205,MATCH(B4701,DE_PARA!$A$6:$A$205,0)),"SEM DE-PARA"))</f>
        <v/>
      </c>
      <c r="E4701" s="23" t="str">
        <f aca="false">IF(A4701="","",DATE(YEAR(A4701),MONTH(A4701),1))</f>
        <v/>
      </c>
    </row>
    <row r="4702" customFormat="false" ht="15" hidden="false" customHeight="false" outlineLevel="0" collapsed="false">
      <c r="A4702" s="21"/>
      <c r="B4702" s="4"/>
      <c r="C4702" s="22"/>
      <c r="D4702" s="5" t="str">
        <f aca="false">IF(B4702="","",IFERROR(INDEX(DE_PARA!$B$6:$B$205,MATCH(B4702,DE_PARA!$A$6:$A$205,0)),"SEM DE-PARA"))</f>
        <v/>
      </c>
      <c r="E4702" s="23" t="str">
        <f aca="false">IF(A4702="","",DATE(YEAR(A4702),MONTH(A4702),1))</f>
        <v/>
      </c>
    </row>
    <row r="4703" customFormat="false" ht="15" hidden="false" customHeight="false" outlineLevel="0" collapsed="false">
      <c r="A4703" s="21"/>
      <c r="B4703" s="4"/>
      <c r="C4703" s="22"/>
      <c r="D4703" s="5" t="str">
        <f aca="false">IF(B4703="","",IFERROR(INDEX(DE_PARA!$B$6:$B$205,MATCH(B4703,DE_PARA!$A$6:$A$205,0)),"SEM DE-PARA"))</f>
        <v/>
      </c>
      <c r="E4703" s="23" t="str">
        <f aca="false">IF(A4703="","",DATE(YEAR(A4703),MONTH(A4703),1))</f>
        <v/>
      </c>
    </row>
    <row r="4704" customFormat="false" ht="15" hidden="false" customHeight="false" outlineLevel="0" collapsed="false">
      <c r="A4704" s="21"/>
      <c r="B4704" s="4"/>
      <c r="C4704" s="22"/>
      <c r="D4704" s="5" t="str">
        <f aca="false">IF(B4704="","",IFERROR(INDEX(DE_PARA!$B$6:$B$205,MATCH(B4704,DE_PARA!$A$6:$A$205,0)),"SEM DE-PARA"))</f>
        <v/>
      </c>
      <c r="E4704" s="23" t="str">
        <f aca="false">IF(A4704="","",DATE(YEAR(A4704),MONTH(A4704),1))</f>
        <v/>
      </c>
    </row>
    <row r="4705" customFormat="false" ht="15" hidden="false" customHeight="false" outlineLevel="0" collapsed="false">
      <c r="A4705" s="21"/>
      <c r="B4705" s="4"/>
      <c r="C4705" s="22"/>
      <c r="D4705" s="5" t="str">
        <f aca="false">IF(B4705="","",IFERROR(INDEX(DE_PARA!$B$6:$B$205,MATCH(B4705,DE_PARA!$A$6:$A$205,0)),"SEM DE-PARA"))</f>
        <v/>
      </c>
      <c r="E4705" s="23" t="str">
        <f aca="false">IF(A4705="","",DATE(YEAR(A4705),MONTH(A4705),1))</f>
        <v/>
      </c>
    </row>
    <row r="4706" customFormat="false" ht="15" hidden="false" customHeight="false" outlineLevel="0" collapsed="false">
      <c r="A4706" s="21"/>
      <c r="B4706" s="4"/>
      <c r="C4706" s="22"/>
      <c r="D4706" s="5" t="str">
        <f aca="false">IF(B4706="","",IFERROR(INDEX(DE_PARA!$B$6:$B$205,MATCH(B4706,DE_PARA!$A$6:$A$205,0)),"SEM DE-PARA"))</f>
        <v/>
      </c>
      <c r="E4706" s="23" t="str">
        <f aca="false">IF(A4706="","",DATE(YEAR(A4706),MONTH(A4706),1))</f>
        <v/>
      </c>
    </row>
    <row r="4707" customFormat="false" ht="15" hidden="false" customHeight="false" outlineLevel="0" collapsed="false">
      <c r="A4707" s="21"/>
      <c r="B4707" s="4"/>
      <c r="C4707" s="22"/>
      <c r="D4707" s="5" t="str">
        <f aca="false">IF(B4707="","",IFERROR(INDEX(DE_PARA!$B$6:$B$205,MATCH(B4707,DE_PARA!$A$6:$A$205,0)),"SEM DE-PARA"))</f>
        <v/>
      </c>
      <c r="E4707" s="23" t="str">
        <f aca="false">IF(A4707="","",DATE(YEAR(A4707),MONTH(A4707),1))</f>
        <v/>
      </c>
    </row>
    <row r="4708" customFormat="false" ht="15" hidden="false" customHeight="false" outlineLevel="0" collapsed="false">
      <c r="A4708" s="21"/>
      <c r="B4708" s="4"/>
      <c r="C4708" s="22"/>
      <c r="D4708" s="5" t="str">
        <f aca="false">IF(B4708="","",IFERROR(INDEX(DE_PARA!$B$6:$B$205,MATCH(B4708,DE_PARA!$A$6:$A$205,0)),"SEM DE-PARA"))</f>
        <v/>
      </c>
      <c r="E4708" s="23" t="str">
        <f aca="false">IF(A4708="","",DATE(YEAR(A4708),MONTH(A4708),1))</f>
        <v/>
      </c>
    </row>
    <row r="4709" customFormat="false" ht="15" hidden="false" customHeight="false" outlineLevel="0" collapsed="false">
      <c r="A4709" s="21"/>
      <c r="B4709" s="4"/>
      <c r="C4709" s="22"/>
      <c r="D4709" s="5" t="str">
        <f aca="false">IF(B4709="","",IFERROR(INDEX(DE_PARA!$B$6:$B$205,MATCH(B4709,DE_PARA!$A$6:$A$205,0)),"SEM DE-PARA"))</f>
        <v/>
      </c>
      <c r="E4709" s="23" t="str">
        <f aca="false">IF(A4709="","",DATE(YEAR(A4709),MONTH(A4709),1))</f>
        <v/>
      </c>
    </row>
    <row r="4710" customFormat="false" ht="15" hidden="false" customHeight="false" outlineLevel="0" collapsed="false">
      <c r="A4710" s="21"/>
      <c r="B4710" s="4"/>
      <c r="C4710" s="22"/>
      <c r="D4710" s="5" t="str">
        <f aca="false">IF(B4710="","",IFERROR(INDEX(DE_PARA!$B$6:$B$205,MATCH(B4710,DE_PARA!$A$6:$A$205,0)),"SEM DE-PARA"))</f>
        <v/>
      </c>
      <c r="E4710" s="23" t="str">
        <f aca="false">IF(A4710="","",DATE(YEAR(A4710),MONTH(A4710),1))</f>
        <v/>
      </c>
    </row>
    <row r="4711" customFormat="false" ht="15" hidden="false" customHeight="false" outlineLevel="0" collapsed="false">
      <c r="A4711" s="21"/>
      <c r="B4711" s="4"/>
      <c r="C4711" s="22"/>
      <c r="D4711" s="5" t="str">
        <f aca="false">IF(B4711="","",IFERROR(INDEX(DE_PARA!$B$6:$B$205,MATCH(B4711,DE_PARA!$A$6:$A$205,0)),"SEM DE-PARA"))</f>
        <v/>
      </c>
      <c r="E4711" s="23" t="str">
        <f aca="false">IF(A4711="","",DATE(YEAR(A4711),MONTH(A4711),1))</f>
        <v/>
      </c>
    </row>
    <row r="4712" customFormat="false" ht="15" hidden="false" customHeight="false" outlineLevel="0" collapsed="false">
      <c r="A4712" s="21"/>
      <c r="B4712" s="4"/>
      <c r="C4712" s="22"/>
      <c r="D4712" s="5" t="str">
        <f aca="false">IF(B4712="","",IFERROR(INDEX(DE_PARA!$B$6:$B$205,MATCH(B4712,DE_PARA!$A$6:$A$205,0)),"SEM DE-PARA"))</f>
        <v/>
      </c>
      <c r="E4712" s="23" t="str">
        <f aca="false">IF(A4712="","",DATE(YEAR(A4712),MONTH(A4712),1))</f>
        <v/>
      </c>
    </row>
    <row r="4713" customFormat="false" ht="15" hidden="false" customHeight="false" outlineLevel="0" collapsed="false">
      <c r="A4713" s="21"/>
      <c r="B4713" s="4"/>
      <c r="C4713" s="22"/>
      <c r="D4713" s="5" t="str">
        <f aca="false">IF(B4713="","",IFERROR(INDEX(DE_PARA!$B$6:$B$205,MATCH(B4713,DE_PARA!$A$6:$A$205,0)),"SEM DE-PARA"))</f>
        <v/>
      </c>
      <c r="E4713" s="23" t="str">
        <f aca="false">IF(A4713="","",DATE(YEAR(A4713),MONTH(A4713),1))</f>
        <v/>
      </c>
    </row>
    <row r="4714" customFormat="false" ht="15" hidden="false" customHeight="false" outlineLevel="0" collapsed="false">
      <c r="A4714" s="21"/>
      <c r="B4714" s="4"/>
      <c r="C4714" s="22"/>
      <c r="D4714" s="5" t="str">
        <f aca="false">IF(B4714="","",IFERROR(INDEX(DE_PARA!$B$6:$B$205,MATCH(B4714,DE_PARA!$A$6:$A$205,0)),"SEM DE-PARA"))</f>
        <v/>
      </c>
      <c r="E4714" s="23" t="str">
        <f aca="false">IF(A4714="","",DATE(YEAR(A4714),MONTH(A4714),1))</f>
        <v/>
      </c>
    </row>
    <row r="4715" customFormat="false" ht="15" hidden="false" customHeight="false" outlineLevel="0" collapsed="false">
      <c r="A4715" s="21"/>
      <c r="B4715" s="4"/>
      <c r="C4715" s="22"/>
      <c r="D4715" s="5" t="str">
        <f aca="false">IF(B4715="","",IFERROR(INDEX(DE_PARA!$B$6:$B$205,MATCH(B4715,DE_PARA!$A$6:$A$205,0)),"SEM DE-PARA"))</f>
        <v/>
      </c>
      <c r="E4715" s="23" t="str">
        <f aca="false">IF(A4715="","",DATE(YEAR(A4715),MONTH(A4715),1))</f>
        <v/>
      </c>
    </row>
    <row r="4716" customFormat="false" ht="15" hidden="false" customHeight="false" outlineLevel="0" collapsed="false">
      <c r="A4716" s="21"/>
      <c r="B4716" s="4"/>
      <c r="C4716" s="22"/>
      <c r="D4716" s="5" t="str">
        <f aca="false">IF(B4716="","",IFERROR(INDEX(DE_PARA!$B$6:$B$205,MATCH(B4716,DE_PARA!$A$6:$A$205,0)),"SEM DE-PARA"))</f>
        <v/>
      </c>
      <c r="E4716" s="23" t="str">
        <f aca="false">IF(A4716="","",DATE(YEAR(A4716),MONTH(A4716),1))</f>
        <v/>
      </c>
    </row>
    <row r="4717" customFormat="false" ht="15" hidden="false" customHeight="false" outlineLevel="0" collapsed="false">
      <c r="A4717" s="21"/>
      <c r="B4717" s="4"/>
      <c r="C4717" s="22"/>
      <c r="D4717" s="5" t="str">
        <f aca="false">IF(B4717="","",IFERROR(INDEX(DE_PARA!$B$6:$B$205,MATCH(B4717,DE_PARA!$A$6:$A$205,0)),"SEM DE-PARA"))</f>
        <v/>
      </c>
      <c r="E4717" s="23" t="str">
        <f aca="false">IF(A4717="","",DATE(YEAR(A4717),MONTH(A4717),1))</f>
        <v/>
      </c>
    </row>
    <row r="4718" customFormat="false" ht="15" hidden="false" customHeight="false" outlineLevel="0" collapsed="false">
      <c r="A4718" s="21"/>
      <c r="B4718" s="4"/>
      <c r="C4718" s="22"/>
      <c r="D4718" s="5" t="str">
        <f aca="false">IF(B4718="","",IFERROR(INDEX(DE_PARA!$B$6:$B$205,MATCH(B4718,DE_PARA!$A$6:$A$205,0)),"SEM DE-PARA"))</f>
        <v/>
      </c>
      <c r="E4718" s="23" t="str">
        <f aca="false">IF(A4718="","",DATE(YEAR(A4718),MONTH(A4718),1))</f>
        <v/>
      </c>
    </row>
    <row r="4719" customFormat="false" ht="15" hidden="false" customHeight="false" outlineLevel="0" collapsed="false">
      <c r="A4719" s="21"/>
      <c r="B4719" s="4"/>
      <c r="C4719" s="22"/>
      <c r="D4719" s="5" t="str">
        <f aca="false">IF(B4719="","",IFERROR(INDEX(DE_PARA!$B$6:$B$205,MATCH(B4719,DE_PARA!$A$6:$A$205,0)),"SEM DE-PARA"))</f>
        <v/>
      </c>
      <c r="E4719" s="23" t="str">
        <f aca="false">IF(A4719="","",DATE(YEAR(A4719),MONTH(A4719),1))</f>
        <v/>
      </c>
    </row>
    <row r="4720" customFormat="false" ht="15" hidden="false" customHeight="false" outlineLevel="0" collapsed="false">
      <c r="A4720" s="21"/>
      <c r="B4720" s="4"/>
      <c r="C4720" s="22"/>
      <c r="D4720" s="5" t="str">
        <f aca="false">IF(B4720="","",IFERROR(INDEX(DE_PARA!$B$6:$B$205,MATCH(B4720,DE_PARA!$A$6:$A$205,0)),"SEM DE-PARA"))</f>
        <v/>
      </c>
      <c r="E4720" s="23" t="str">
        <f aca="false">IF(A4720="","",DATE(YEAR(A4720),MONTH(A4720),1))</f>
        <v/>
      </c>
    </row>
    <row r="4721" customFormat="false" ht="15" hidden="false" customHeight="false" outlineLevel="0" collapsed="false">
      <c r="A4721" s="21"/>
      <c r="B4721" s="4"/>
      <c r="C4721" s="22"/>
      <c r="D4721" s="5" t="str">
        <f aca="false">IF(B4721="","",IFERROR(INDEX(DE_PARA!$B$6:$B$205,MATCH(B4721,DE_PARA!$A$6:$A$205,0)),"SEM DE-PARA"))</f>
        <v/>
      </c>
      <c r="E4721" s="23" t="str">
        <f aca="false">IF(A4721="","",DATE(YEAR(A4721),MONTH(A4721),1))</f>
        <v/>
      </c>
    </row>
    <row r="4722" customFormat="false" ht="15" hidden="false" customHeight="false" outlineLevel="0" collapsed="false">
      <c r="A4722" s="21"/>
      <c r="B4722" s="4"/>
      <c r="C4722" s="22"/>
      <c r="D4722" s="5" t="str">
        <f aca="false">IF(B4722="","",IFERROR(INDEX(DE_PARA!$B$6:$B$205,MATCH(B4722,DE_PARA!$A$6:$A$205,0)),"SEM DE-PARA"))</f>
        <v/>
      </c>
      <c r="E4722" s="23" t="str">
        <f aca="false">IF(A4722="","",DATE(YEAR(A4722),MONTH(A4722),1))</f>
        <v/>
      </c>
    </row>
    <row r="4723" customFormat="false" ht="15" hidden="false" customHeight="false" outlineLevel="0" collapsed="false">
      <c r="A4723" s="21"/>
      <c r="B4723" s="4"/>
      <c r="C4723" s="22"/>
      <c r="D4723" s="5" t="str">
        <f aca="false">IF(B4723="","",IFERROR(INDEX(DE_PARA!$B$6:$B$205,MATCH(B4723,DE_PARA!$A$6:$A$205,0)),"SEM DE-PARA"))</f>
        <v/>
      </c>
      <c r="E4723" s="23" t="str">
        <f aca="false">IF(A4723="","",DATE(YEAR(A4723),MONTH(A4723),1))</f>
        <v/>
      </c>
    </row>
    <row r="4724" customFormat="false" ht="15" hidden="false" customHeight="false" outlineLevel="0" collapsed="false">
      <c r="A4724" s="21"/>
      <c r="B4724" s="4"/>
      <c r="C4724" s="22"/>
      <c r="D4724" s="5" t="str">
        <f aca="false">IF(B4724="","",IFERROR(INDEX(DE_PARA!$B$6:$B$205,MATCH(B4724,DE_PARA!$A$6:$A$205,0)),"SEM DE-PARA"))</f>
        <v/>
      </c>
      <c r="E4724" s="23" t="str">
        <f aca="false">IF(A4724="","",DATE(YEAR(A4724),MONTH(A4724),1))</f>
        <v/>
      </c>
    </row>
    <row r="4725" customFormat="false" ht="15" hidden="false" customHeight="false" outlineLevel="0" collapsed="false">
      <c r="A4725" s="21"/>
      <c r="B4725" s="4"/>
      <c r="C4725" s="22"/>
      <c r="D4725" s="5" t="str">
        <f aca="false">IF(B4725="","",IFERROR(INDEX(DE_PARA!$B$6:$B$205,MATCH(B4725,DE_PARA!$A$6:$A$205,0)),"SEM DE-PARA"))</f>
        <v/>
      </c>
      <c r="E4725" s="23" t="str">
        <f aca="false">IF(A4725="","",DATE(YEAR(A4725),MONTH(A4725),1))</f>
        <v/>
      </c>
    </row>
    <row r="4726" customFormat="false" ht="15" hidden="false" customHeight="false" outlineLevel="0" collapsed="false">
      <c r="A4726" s="21"/>
      <c r="B4726" s="4"/>
      <c r="C4726" s="22"/>
      <c r="D4726" s="5" t="str">
        <f aca="false">IF(B4726="","",IFERROR(INDEX(DE_PARA!$B$6:$B$205,MATCH(B4726,DE_PARA!$A$6:$A$205,0)),"SEM DE-PARA"))</f>
        <v/>
      </c>
      <c r="E4726" s="23" t="str">
        <f aca="false">IF(A4726="","",DATE(YEAR(A4726),MONTH(A4726),1))</f>
        <v/>
      </c>
    </row>
    <row r="4727" customFormat="false" ht="15" hidden="false" customHeight="false" outlineLevel="0" collapsed="false">
      <c r="A4727" s="21"/>
      <c r="B4727" s="4"/>
      <c r="C4727" s="22"/>
      <c r="D4727" s="5" t="str">
        <f aca="false">IF(B4727="","",IFERROR(INDEX(DE_PARA!$B$6:$B$205,MATCH(B4727,DE_PARA!$A$6:$A$205,0)),"SEM DE-PARA"))</f>
        <v/>
      </c>
      <c r="E4727" s="23" t="str">
        <f aca="false">IF(A4727="","",DATE(YEAR(A4727),MONTH(A4727),1))</f>
        <v/>
      </c>
    </row>
    <row r="4728" customFormat="false" ht="15" hidden="false" customHeight="false" outlineLevel="0" collapsed="false">
      <c r="A4728" s="21"/>
      <c r="B4728" s="4"/>
      <c r="C4728" s="22"/>
      <c r="D4728" s="5" t="str">
        <f aca="false">IF(B4728="","",IFERROR(INDEX(DE_PARA!$B$6:$B$205,MATCH(B4728,DE_PARA!$A$6:$A$205,0)),"SEM DE-PARA"))</f>
        <v/>
      </c>
      <c r="E4728" s="23" t="str">
        <f aca="false">IF(A4728="","",DATE(YEAR(A4728),MONTH(A4728),1))</f>
        <v/>
      </c>
    </row>
    <row r="4729" customFormat="false" ht="15" hidden="false" customHeight="false" outlineLevel="0" collapsed="false">
      <c r="A4729" s="21"/>
      <c r="B4729" s="4"/>
      <c r="C4729" s="22"/>
      <c r="D4729" s="5" t="str">
        <f aca="false">IF(B4729="","",IFERROR(INDEX(DE_PARA!$B$6:$B$205,MATCH(B4729,DE_PARA!$A$6:$A$205,0)),"SEM DE-PARA"))</f>
        <v/>
      </c>
      <c r="E4729" s="23" t="str">
        <f aca="false">IF(A4729="","",DATE(YEAR(A4729),MONTH(A4729),1))</f>
        <v/>
      </c>
    </row>
    <row r="4730" customFormat="false" ht="15" hidden="false" customHeight="false" outlineLevel="0" collapsed="false">
      <c r="A4730" s="21"/>
      <c r="B4730" s="4"/>
      <c r="C4730" s="22"/>
      <c r="D4730" s="5" t="str">
        <f aca="false">IF(B4730="","",IFERROR(INDEX(DE_PARA!$B$6:$B$205,MATCH(B4730,DE_PARA!$A$6:$A$205,0)),"SEM DE-PARA"))</f>
        <v/>
      </c>
      <c r="E4730" s="23" t="str">
        <f aca="false">IF(A4730="","",DATE(YEAR(A4730),MONTH(A4730),1))</f>
        <v/>
      </c>
    </row>
    <row r="4731" customFormat="false" ht="15" hidden="false" customHeight="false" outlineLevel="0" collapsed="false">
      <c r="A4731" s="21"/>
      <c r="B4731" s="4"/>
      <c r="C4731" s="22"/>
      <c r="D4731" s="5" t="str">
        <f aca="false">IF(B4731="","",IFERROR(INDEX(DE_PARA!$B$6:$B$205,MATCH(B4731,DE_PARA!$A$6:$A$205,0)),"SEM DE-PARA"))</f>
        <v/>
      </c>
      <c r="E4731" s="23" t="str">
        <f aca="false">IF(A4731="","",DATE(YEAR(A4731),MONTH(A4731),1))</f>
        <v/>
      </c>
    </row>
    <row r="4732" customFormat="false" ht="15" hidden="false" customHeight="false" outlineLevel="0" collapsed="false">
      <c r="A4732" s="21"/>
      <c r="B4732" s="4"/>
      <c r="C4732" s="22"/>
      <c r="D4732" s="5" t="str">
        <f aca="false">IF(B4732="","",IFERROR(INDEX(DE_PARA!$B$6:$B$205,MATCH(B4732,DE_PARA!$A$6:$A$205,0)),"SEM DE-PARA"))</f>
        <v/>
      </c>
      <c r="E4732" s="23" t="str">
        <f aca="false">IF(A4732="","",DATE(YEAR(A4732),MONTH(A4732),1))</f>
        <v/>
      </c>
    </row>
    <row r="4733" customFormat="false" ht="15" hidden="false" customHeight="false" outlineLevel="0" collapsed="false">
      <c r="A4733" s="21"/>
      <c r="B4733" s="4"/>
      <c r="C4733" s="22"/>
      <c r="D4733" s="5" t="str">
        <f aca="false">IF(B4733="","",IFERROR(INDEX(DE_PARA!$B$6:$B$205,MATCH(B4733,DE_PARA!$A$6:$A$205,0)),"SEM DE-PARA"))</f>
        <v/>
      </c>
      <c r="E4733" s="23" t="str">
        <f aca="false">IF(A4733="","",DATE(YEAR(A4733),MONTH(A4733),1))</f>
        <v/>
      </c>
    </row>
    <row r="4734" customFormat="false" ht="15" hidden="false" customHeight="false" outlineLevel="0" collapsed="false">
      <c r="A4734" s="21"/>
      <c r="B4734" s="4"/>
      <c r="C4734" s="22"/>
      <c r="D4734" s="5" t="str">
        <f aca="false">IF(B4734="","",IFERROR(INDEX(DE_PARA!$B$6:$B$205,MATCH(B4734,DE_PARA!$A$6:$A$205,0)),"SEM DE-PARA"))</f>
        <v/>
      </c>
      <c r="E4734" s="23" t="str">
        <f aca="false">IF(A4734="","",DATE(YEAR(A4734),MONTH(A4734),1))</f>
        <v/>
      </c>
    </row>
    <row r="4735" customFormat="false" ht="15" hidden="false" customHeight="false" outlineLevel="0" collapsed="false">
      <c r="A4735" s="21"/>
      <c r="B4735" s="4"/>
      <c r="C4735" s="22"/>
      <c r="D4735" s="5" t="str">
        <f aca="false">IF(B4735="","",IFERROR(INDEX(DE_PARA!$B$6:$B$205,MATCH(B4735,DE_PARA!$A$6:$A$205,0)),"SEM DE-PARA"))</f>
        <v/>
      </c>
      <c r="E4735" s="23" t="str">
        <f aca="false">IF(A4735="","",DATE(YEAR(A4735),MONTH(A4735),1))</f>
        <v/>
      </c>
    </row>
    <row r="4736" customFormat="false" ht="15" hidden="false" customHeight="false" outlineLevel="0" collapsed="false">
      <c r="A4736" s="21"/>
      <c r="B4736" s="4"/>
      <c r="C4736" s="22"/>
      <c r="D4736" s="5" t="str">
        <f aca="false">IF(B4736="","",IFERROR(INDEX(DE_PARA!$B$6:$B$205,MATCH(B4736,DE_PARA!$A$6:$A$205,0)),"SEM DE-PARA"))</f>
        <v/>
      </c>
      <c r="E4736" s="23" t="str">
        <f aca="false">IF(A4736="","",DATE(YEAR(A4736),MONTH(A4736),1))</f>
        <v/>
      </c>
    </row>
    <row r="4737" customFormat="false" ht="15" hidden="false" customHeight="false" outlineLevel="0" collapsed="false">
      <c r="A4737" s="21"/>
      <c r="B4737" s="4"/>
      <c r="C4737" s="22"/>
      <c r="D4737" s="5" t="str">
        <f aca="false">IF(B4737="","",IFERROR(INDEX(DE_PARA!$B$6:$B$205,MATCH(B4737,DE_PARA!$A$6:$A$205,0)),"SEM DE-PARA"))</f>
        <v/>
      </c>
      <c r="E4737" s="23" t="str">
        <f aca="false">IF(A4737="","",DATE(YEAR(A4737),MONTH(A4737),1))</f>
        <v/>
      </c>
    </row>
    <row r="4738" customFormat="false" ht="15" hidden="false" customHeight="false" outlineLevel="0" collapsed="false">
      <c r="A4738" s="21"/>
      <c r="B4738" s="4"/>
      <c r="C4738" s="22"/>
      <c r="D4738" s="5" t="str">
        <f aca="false">IF(B4738="","",IFERROR(INDEX(DE_PARA!$B$6:$B$205,MATCH(B4738,DE_PARA!$A$6:$A$205,0)),"SEM DE-PARA"))</f>
        <v/>
      </c>
      <c r="E4738" s="23" t="str">
        <f aca="false">IF(A4738="","",DATE(YEAR(A4738),MONTH(A4738),1))</f>
        <v/>
      </c>
    </row>
    <row r="4739" customFormat="false" ht="15" hidden="false" customHeight="false" outlineLevel="0" collapsed="false">
      <c r="A4739" s="21"/>
      <c r="B4739" s="4"/>
      <c r="C4739" s="22"/>
      <c r="D4739" s="5" t="str">
        <f aca="false">IF(B4739="","",IFERROR(INDEX(DE_PARA!$B$6:$B$205,MATCH(B4739,DE_PARA!$A$6:$A$205,0)),"SEM DE-PARA"))</f>
        <v/>
      </c>
      <c r="E4739" s="23" t="str">
        <f aca="false">IF(A4739="","",DATE(YEAR(A4739),MONTH(A4739),1))</f>
        <v/>
      </c>
    </row>
    <row r="4740" customFormat="false" ht="15" hidden="false" customHeight="false" outlineLevel="0" collapsed="false">
      <c r="A4740" s="21"/>
      <c r="B4740" s="4"/>
      <c r="C4740" s="22"/>
      <c r="D4740" s="5" t="str">
        <f aca="false">IF(B4740="","",IFERROR(INDEX(DE_PARA!$B$6:$B$205,MATCH(B4740,DE_PARA!$A$6:$A$205,0)),"SEM DE-PARA"))</f>
        <v/>
      </c>
      <c r="E4740" s="23" t="str">
        <f aca="false">IF(A4740="","",DATE(YEAR(A4740),MONTH(A4740),1))</f>
        <v/>
      </c>
    </row>
    <row r="4741" customFormat="false" ht="15" hidden="false" customHeight="false" outlineLevel="0" collapsed="false">
      <c r="A4741" s="21"/>
      <c r="B4741" s="4"/>
      <c r="C4741" s="22"/>
      <c r="D4741" s="5" t="str">
        <f aca="false">IF(B4741="","",IFERROR(INDEX(DE_PARA!$B$6:$B$205,MATCH(B4741,DE_PARA!$A$6:$A$205,0)),"SEM DE-PARA"))</f>
        <v/>
      </c>
      <c r="E4741" s="23" t="str">
        <f aca="false">IF(A4741="","",DATE(YEAR(A4741),MONTH(A4741),1))</f>
        <v/>
      </c>
    </row>
    <row r="4742" customFormat="false" ht="15" hidden="false" customHeight="false" outlineLevel="0" collapsed="false">
      <c r="A4742" s="21"/>
      <c r="B4742" s="4"/>
      <c r="C4742" s="22"/>
      <c r="D4742" s="5" t="str">
        <f aca="false">IF(B4742="","",IFERROR(INDEX(DE_PARA!$B$6:$B$205,MATCH(B4742,DE_PARA!$A$6:$A$205,0)),"SEM DE-PARA"))</f>
        <v/>
      </c>
      <c r="E4742" s="23" t="str">
        <f aca="false">IF(A4742="","",DATE(YEAR(A4742),MONTH(A4742),1))</f>
        <v/>
      </c>
    </row>
    <row r="4743" customFormat="false" ht="15" hidden="false" customHeight="false" outlineLevel="0" collapsed="false">
      <c r="A4743" s="21"/>
      <c r="B4743" s="4"/>
      <c r="C4743" s="22"/>
      <c r="D4743" s="5" t="str">
        <f aca="false">IF(B4743="","",IFERROR(INDEX(DE_PARA!$B$6:$B$205,MATCH(B4743,DE_PARA!$A$6:$A$205,0)),"SEM DE-PARA"))</f>
        <v/>
      </c>
      <c r="E4743" s="23" t="str">
        <f aca="false">IF(A4743="","",DATE(YEAR(A4743),MONTH(A4743),1))</f>
        <v/>
      </c>
    </row>
    <row r="4744" customFormat="false" ht="15" hidden="false" customHeight="false" outlineLevel="0" collapsed="false">
      <c r="A4744" s="21"/>
      <c r="B4744" s="4"/>
      <c r="C4744" s="22"/>
      <c r="D4744" s="5" t="str">
        <f aca="false">IF(B4744="","",IFERROR(INDEX(DE_PARA!$B$6:$B$205,MATCH(B4744,DE_PARA!$A$6:$A$205,0)),"SEM DE-PARA"))</f>
        <v/>
      </c>
      <c r="E4744" s="23" t="str">
        <f aca="false">IF(A4744="","",DATE(YEAR(A4744),MONTH(A4744),1))</f>
        <v/>
      </c>
    </row>
    <row r="4745" customFormat="false" ht="15" hidden="false" customHeight="false" outlineLevel="0" collapsed="false">
      <c r="A4745" s="21"/>
      <c r="B4745" s="4"/>
      <c r="C4745" s="22"/>
      <c r="D4745" s="5" t="str">
        <f aca="false">IF(B4745="","",IFERROR(INDEX(DE_PARA!$B$6:$B$205,MATCH(B4745,DE_PARA!$A$6:$A$205,0)),"SEM DE-PARA"))</f>
        <v/>
      </c>
      <c r="E4745" s="23" t="str">
        <f aca="false">IF(A4745="","",DATE(YEAR(A4745),MONTH(A4745),1))</f>
        <v/>
      </c>
    </row>
    <row r="4746" customFormat="false" ht="15" hidden="false" customHeight="false" outlineLevel="0" collapsed="false">
      <c r="A4746" s="21"/>
      <c r="B4746" s="4"/>
      <c r="C4746" s="22"/>
      <c r="D4746" s="5" t="str">
        <f aca="false">IF(B4746="","",IFERROR(INDEX(DE_PARA!$B$6:$B$205,MATCH(B4746,DE_PARA!$A$6:$A$205,0)),"SEM DE-PARA"))</f>
        <v/>
      </c>
      <c r="E4746" s="23" t="str">
        <f aca="false">IF(A4746="","",DATE(YEAR(A4746),MONTH(A4746),1))</f>
        <v/>
      </c>
    </row>
    <row r="4747" customFormat="false" ht="15" hidden="false" customHeight="false" outlineLevel="0" collapsed="false">
      <c r="A4747" s="21"/>
      <c r="B4747" s="4"/>
      <c r="C4747" s="22"/>
      <c r="D4747" s="5" t="str">
        <f aca="false">IF(B4747="","",IFERROR(INDEX(DE_PARA!$B$6:$B$205,MATCH(B4747,DE_PARA!$A$6:$A$205,0)),"SEM DE-PARA"))</f>
        <v/>
      </c>
      <c r="E4747" s="23" t="str">
        <f aca="false">IF(A4747="","",DATE(YEAR(A4747),MONTH(A4747),1))</f>
        <v/>
      </c>
    </row>
    <row r="4748" customFormat="false" ht="15" hidden="false" customHeight="false" outlineLevel="0" collapsed="false">
      <c r="A4748" s="21"/>
      <c r="B4748" s="4"/>
      <c r="C4748" s="22"/>
      <c r="D4748" s="5" t="str">
        <f aca="false">IF(B4748="","",IFERROR(INDEX(DE_PARA!$B$6:$B$205,MATCH(B4748,DE_PARA!$A$6:$A$205,0)),"SEM DE-PARA"))</f>
        <v/>
      </c>
      <c r="E4748" s="23" t="str">
        <f aca="false">IF(A4748="","",DATE(YEAR(A4748),MONTH(A4748),1))</f>
        <v/>
      </c>
    </row>
    <row r="4749" customFormat="false" ht="15" hidden="false" customHeight="false" outlineLevel="0" collapsed="false">
      <c r="A4749" s="21"/>
      <c r="B4749" s="4"/>
      <c r="C4749" s="22"/>
      <c r="D4749" s="5" t="str">
        <f aca="false">IF(B4749="","",IFERROR(INDEX(DE_PARA!$B$6:$B$205,MATCH(B4749,DE_PARA!$A$6:$A$205,0)),"SEM DE-PARA"))</f>
        <v/>
      </c>
      <c r="E4749" s="23" t="str">
        <f aca="false">IF(A4749="","",DATE(YEAR(A4749),MONTH(A4749),1))</f>
        <v/>
      </c>
    </row>
    <row r="4750" customFormat="false" ht="15" hidden="false" customHeight="false" outlineLevel="0" collapsed="false">
      <c r="A4750" s="21"/>
      <c r="B4750" s="4"/>
      <c r="C4750" s="22"/>
      <c r="D4750" s="5" t="str">
        <f aca="false">IF(B4750="","",IFERROR(INDEX(DE_PARA!$B$6:$B$205,MATCH(B4750,DE_PARA!$A$6:$A$205,0)),"SEM DE-PARA"))</f>
        <v/>
      </c>
      <c r="E4750" s="23" t="str">
        <f aca="false">IF(A4750="","",DATE(YEAR(A4750),MONTH(A4750),1))</f>
        <v/>
      </c>
    </row>
    <row r="4751" customFormat="false" ht="15" hidden="false" customHeight="false" outlineLevel="0" collapsed="false">
      <c r="A4751" s="21"/>
      <c r="B4751" s="4"/>
      <c r="C4751" s="22"/>
      <c r="D4751" s="5" t="str">
        <f aca="false">IF(B4751="","",IFERROR(INDEX(DE_PARA!$B$6:$B$205,MATCH(B4751,DE_PARA!$A$6:$A$205,0)),"SEM DE-PARA"))</f>
        <v/>
      </c>
      <c r="E4751" s="23" t="str">
        <f aca="false">IF(A4751="","",DATE(YEAR(A4751),MONTH(A4751),1))</f>
        <v/>
      </c>
    </row>
    <row r="4752" customFormat="false" ht="15" hidden="false" customHeight="false" outlineLevel="0" collapsed="false">
      <c r="A4752" s="21"/>
      <c r="B4752" s="4"/>
      <c r="C4752" s="22"/>
      <c r="D4752" s="5" t="str">
        <f aca="false">IF(B4752="","",IFERROR(INDEX(DE_PARA!$B$6:$B$205,MATCH(B4752,DE_PARA!$A$6:$A$205,0)),"SEM DE-PARA"))</f>
        <v/>
      </c>
      <c r="E4752" s="23" t="str">
        <f aca="false">IF(A4752="","",DATE(YEAR(A4752),MONTH(A4752),1))</f>
        <v/>
      </c>
    </row>
    <row r="4753" customFormat="false" ht="15" hidden="false" customHeight="false" outlineLevel="0" collapsed="false">
      <c r="A4753" s="21"/>
      <c r="B4753" s="4"/>
      <c r="C4753" s="22"/>
      <c r="D4753" s="5" t="str">
        <f aca="false">IF(B4753="","",IFERROR(INDEX(DE_PARA!$B$6:$B$205,MATCH(B4753,DE_PARA!$A$6:$A$205,0)),"SEM DE-PARA"))</f>
        <v/>
      </c>
      <c r="E4753" s="23" t="str">
        <f aca="false">IF(A4753="","",DATE(YEAR(A4753),MONTH(A4753),1))</f>
        <v/>
      </c>
    </row>
    <row r="4754" customFormat="false" ht="15" hidden="false" customHeight="false" outlineLevel="0" collapsed="false">
      <c r="A4754" s="21"/>
      <c r="B4754" s="4"/>
      <c r="C4754" s="22"/>
      <c r="D4754" s="5" t="str">
        <f aca="false">IF(B4754="","",IFERROR(INDEX(DE_PARA!$B$6:$B$205,MATCH(B4754,DE_PARA!$A$6:$A$205,0)),"SEM DE-PARA"))</f>
        <v/>
      </c>
      <c r="E4754" s="23" t="str">
        <f aca="false">IF(A4754="","",DATE(YEAR(A4754),MONTH(A4754),1))</f>
        <v/>
      </c>
    </row>
    <row r="4755" customFormat="false" ht="15" hidden="false" customHeight="false" outlineLevel="0" collapsed="false">
      <c r="A4755" s="21"/>
      <c r="B4755" s="4"/>
      <c r="C4755" s="22"/>
      <c r="D4755" s="5" t="str">
        <f aca="false">IF(B4755="","",IFERROR(INDEX(DE_PARA!$B$6:$B$205,MATCH(B4755,DE_PARA!$A$6:$A$205,0)),"SEM DE-PARA"))</f>
        <v/>
      </c>
      <c r="E4755" s="23" t="str">
        <f aca="false">IF(A4755="","",DATE(YEAR(A4755),MONTH(A4755),1))</f>
        <v/>
      </c>
    </row>
    <row r="4756" customFormat="false" ht="15" hidden="false" customHeight="false" outlineLevel="0" collapsed="false">
      <c r="A4756" s="21"/>
      <c r="B4756" s="4"/>
      <c r="C4756" s="22"/>
      <c r="D4756" s="5" t="str">
        <f aca="false">IF(B4756="","",IFERROR(INDEX(DE_PARA!$B$6:$B$205,MATCH(B4756,DE_PARA!$A$6:$A$205,0)),"SEM DE-PARA"))</f>
        <v/>
      </c>
      <c r="E4756" s="23" t="str">
        <f aca="false">IF(A4756="","",DATE(YEAR(A4756),MONTH(A4756),1))</f>
        <v/>
      </c>
    </row>
    <row r="4757" customFormat="false" ht="15" hidden="false" customHeight="false" outlineLevel="0" collapsed="false">
      <c r="A4757" s="21"/>
      <c r="B4757" s="4"/>
      <c r="C4757" s="22"/>
      <c r="D4757" s="5" t="str">
        <f aca="false">IF(B4757="","",IFERROR(INDEX(DE_PARA!$B$6:$B$205,MATCH(B4757,DE_PARA!$A$6:$A$205,0)),"SEM DE-PARA"))</f>
        <v/>
      </c>
      <c r="E4757" s="23" t="str">
        <f aca="false">IF(A4757="","",DATE(YEAR(A4757),MONTH(A4757),1))</f>
        <v/>
      </c>
    </row>
    <row r="4758" customFormat="false" ht="15" hidden="false" customHeight="false" outlineLevel="0" collapsed="false">
      <c r="A4758" s="21"/>
      <c r="B4758" s="4"/>
      <c r="C4758" s="22"/>
      <c r="D4758" s="5" t="str">
        <f aca="false">IF(B4758="","",IFERROR(INDEX(DE_PARA!$B$6:$B$205,MATCH(B4758,DE_PARA!$A$6:$A$205,0)),"SEM DE-PARA"))</f>
        <v/>
      </c>
      <c r="E4758" s="23" t="str">
        <f aca="false">IF(A4758="","",DATE(YEAR(A4758),MONTH(A4758),1))</f>
        <v/>
      </c>
    </row>
    <row r="4759" customFormat="false" ht="15" hidden="false" customHeight="false" outlineLevel="0" collapsed="false">
      <c r="A4759" s="21"/>
      <c r="B4759" s="4"/>
      <c r="C4759" s="22"/>
      <c r="D4759" s="5" t="str">
        <f aca="false">IF(B4759="","",IFERROR(INDEX(DE_PARA!$B$6:$B$205,MATCH(B4759,DE_PARA!$A$6:$A$205,0)),"SEM DE-PARA"))</f>
        <v/>
      </c>
      <c r="E4759" s="23" t="str">
        <f aca="false">IF(A4759="","",DATE(YEAR(A4759),MONTH(A4759),1))</f>
        <v/>
      </c>
    </row>
    <row r="4760" customFormat="false" ht="15" hidden="false" customHeight="false" outlineLevel="0" collapsed="false">
      <c r="A4760" s="21"/>
      <c r="B4760" s="4"/>
      <c r="C4760" s="22"/>
      <c r="D4760" s="5" t="str">
        <f aca="false">IF(B4760="","",IFERROR(INDEX(DE_PARA!$B$6:$B$205,MATCH(B4760,DE_PARA!$A$6:$A$205,0)),"SEM DE-PARA"))</f>
        <v/>
      </c>
      <c r="E4760" s="23" t="str">
        <f aca="false">IF(A4760="","",DATE(YEAR(A4760),MONTH(A4760),1))</f>
        <v/>
      </c>
    </row>
    <row r="4761" customFormat="false" ht="15" hidden="false" customHeight="false" outlineLevel="0" collapsed="false">
      <c r="A4761" s="21"/>
      <c r="B4761" s="4"/>
      <c r="C4761" s="22"/>
      <c r="D4761" s="5" t="str">
        <f aca="false">IF(B4761="","",IFERROR(INDEX(DE_PARA!$B$6:$B$205,MATCH(B4761,DE_PARA!$A$6:$A$205,0)),"SEM DE-PARA"))</f>
        <v/>
      </c>
      <c r="E4761" s="23" t="str">
        <f aca="false">IF(A4761="","",DATE(YEAR(A4761),MONTH(A4761),1))</f>
        <v/>
      </c>
    </row>
    <row r="4762" customFormat="false" ht="15" hidden="false" customHeight="false" outlineLevel="0" collapsed="false">
      <c r="A4762" s="21"/>
      <c r="B4762" s="4"/>
      <c r="C4762" s="22"/>
      <c r="D4762" s="5" t="str">
        <f aca="false">IF(B4762="","",IFERROR(INDEX(DE_PARA!$B$6:$B$205,MATCH(B4762,DE_PARA!$A$6:$A$205,0)),"SEM DE-PARA"))</f>
        <v/>
      </c>
      <c r="E4762" s="23" t="str">
        <f aca="false">IF(A4762="","",DATE(YEAR(A4762),MONTH(A4762),1))</f>
        <v/>
      </c>
    </row>
    <row r="4763" customFormat="false" ht="15" hidden="false" customHeight="false" outlineLevel="0" collapsed="false">
      <c r="A4763" s="21"/>
      <c r="B4763" s="4"/>
      <c r="C4763" s="22"/>
      <c r="D4763" s="5" t="str">
        <f aca="false">IF(B4763="","",IFERROR(INDEX(DE_PARA!$B$6:$B$205,MATCH(B4763,DE_PARA!$A$6:$A$205,0)),"SEM DE-PARA"))</f>
        <v/>
      </c>
      <c r="E4763" s="23" t="str">
        <f aca="false">IF(A4763="","",DATE(YEAR(A4763),MONTH(A4763),1))</f>
        <v/>
      </c>
    </row>
    <row r="4764" customFormat="false" ht="15" hidden="false" customHeight="false" outlineLevel="0" collapsed="false">
      <c r="A4764" s="21"/>
      <c r="B4764" s="4"/>
      <c r="C4764" s="22"/>
      <c r="D4764" s="5" t="str">
        <f aca="false">IF(B4764="","",IFERROR(INDEX(DE_PARA!$B$6:$B$205,MATCH(B4764,DE_PARA!$A$6:$A$205,0)),"SEM DE-PARA"))</f>
        <v/>
      </c>
      <c r="E4764" s="23" t="str">
        <f aca="false">IF(A4764="","",DATE(YEAR(A4764),MONTH(A4764),1))</f>
        <v/>
      </c>
    </row>
    <row r="4765" customFormat="false" ht="15" hidden="false" customHeight="false" outlineLevel="0" collapsed="false">
      <c r="A4765" s="21"/>
      <c r="B4765" s="4"/>
      <c r="C4765" s="22"/>
      <c r="D4765" s="5" t="str">
        <f aca="false">IF(B4765="","",IFERROR(INDEX(DE_PARA!$B$6:$B$205,MATCH(B4765,DE_PARA!$A$6:$A$205,0)),"SEM DE-PARA"))</f>
        <v/>
      </c>
      <c r="E4765" s="23" t="str">
        <f aca="false">IF(A4765="","",DATE(YEAR(A4765),MONTH(A4765),1))</f>
        <v/>
      </c>
    </row>
    <row r="4766" customFormat="false" ht="15" hidden="false" customHeight="false" outlineLevel="0" collapsed="false">
      <c r="A4766" s="21"/>
      <c r="B4766" s="4"/>
      <c r="C4766" s="22"/>
      <c r="D4766" s="5" t="str">
        <f aca="false">IF(B4766="","",IFERROR(INDEX(DE_PARA!$B$6:$B$205,MATCH(B4766,DE_PARA!$A$6:$A$205,0)),"SEM DE-PARA"))</f>
        <v/>
      </c>
      <c r="E4766" s="23" t="str">
        <f aca="false">IF(A4766="","",DATE(YEAR(A4766),MONTH(A4766),1))</f>
        <v/>
      </c>
    </row>
    <row r="4767" customFormat="false" ht="15" hidden="false" customHeight="false" outlineLevel="0" collapsed="false">
      <c r="A4767" s="21"/>
      <c r="B4767" s="4"/>
      <c r="C4767" s="22"/>
      <c r="D4767" s="5" t="str">
        <f aca="false">IF(B4767="","",IFERROR(INDEX(DE_PARA!$B$6:$B$205,MATCH(B4767,DE_PARA!$A$6:$A$205,0)),"SEM DE-PARA"))</f>
        <v/>
      </c>
      <c r="E4767" s="23" t="str">
        <f aca="false">IF(A4767="","",DATE(YEAR(A4767),MONTH(A4767),1))</f>
        <v/>
      </c>
    </row>
    <row r="4768" customFormat="false" ht="15" hidden="false" customHeight="false" outlineLevel="0" collapsed="false">
      <c r="A4768" s="21"/>
      <c r="B4768" s="4"/>
      <c r="C4768" s="22"/>
      <c r="D4768" s="5" t="str">
        <f aca="false">IF(B4768="","",IFERROR(INDEX(DE_PARA!$B$6:$B$205,MATCH(B4768,DE_PARA!$A$6:$A$205,0)),"SEM DE-PARA"))</f>
        <v/>
      </c>
      <c r="E4768" s="23" t="str">
        <f aca="false">IF(A4768="","",DATE(YEAR(A4768),MONTH(A4768),1))</f>
        <v/>
      </c>
    </row>
    <row r="4769" customFormat="false" ht="15" hidden="false" customHeight="false" outlineLevel="0" collapsed="false">
      <c r="A4769" s="21"/>
      <c r="B4769" s="4"/>
      <c r="C4769" s="22"/>
      <c r="D4769" s="5" t="str">
        <f aca="false">IF(B4769="","",IFERROR(INDEX(DE_PARA!$B$6:$B$205,MATCH(B4769,DE_PARA!$A$6:$A$205,0)),"SEM DE-PARA"))</f>
        <v/>
      </c>
      <c r="E4769" s="23" t="str">
        <f aca="false">IF(A4769="","",DATE(YEAR(A4769),MONTH(A4769),1))</f>
        <v/>
      </c>
    </row>
    <row r="4770" customFormat="false" ht="15" hidden="false" customHeight="false" outlineLevel="0" collapsed="false">
      <c r="A4770" s="21"/>
      <c r="B4770" s="4"/>
      <c r="C4770" s="22"/>
      <c r="D4770" s="5" t="str">
        <f aca="false">IF(B4770="","",IFERROR(INDEX(DE_PARA!$B$6:$B$205,MATCH(B4770,DE_PARA!$A$6:$A$205,0)),"SEM DE-PARA"))</f>
        <v/>
      </c>
      <c r="E4770" s="23" t="str">
        <f aca="false">IF(A4770="","",DATE(YEAR(A4770),MONTH(A4770),1))</f>
        <v/>
      </c>
    </row>
    <row r="4771" customFormat="false" ht="15" hidden="false" customHeight="false" outlineLevel="0" collapsed="false">
      <c r="A4771" s="21"/>
      <c r="B4771" s="4"/>
      <c r="C4771" s="22"/>
      <c r="D4771" s="5" t="str">
        <f aca="false">IF(B4771="","",IFERROR(INDEX(DE_PARA!$B$6:$B$205,MATCH(B4771,DE_PARA!$A$6:$A$205,0)),"SEM DE-PARA"))</f>
        <v/>
      </c>
      <c r="E4771" s="23" t="str">
        <f aca="false">IF(A4771="","",DATE(YEAR(A4771),MONTH(A4771),1))</f>
        <v/>
      </c>
    </row>
    <row r="4772" customFormat="false" ht="15" hidden="false" customHeight="false" outlineLevel="0" collapsed="false">
      <c r="A4772" s="21"/>
      <c r="B4772" s="4"/>
      <c r="C4772" s="22"/>
      <c r="D4772" s="5" t="str">
        <f aca="false">IF(B4772="","",IFERROR(INDEX(DE_PARA!$B$6:$B$205,MATCH(B4772,DE_PARA!$A$6:$A$205,0)),"SEM DE-PARA"))</f>
        <v/>
      </c>
      <c r="E4772" s="23" t="str">
        <f aca="false">IF(A4772="","",DATE(YEAR(A4772),MONTH(A4772),1))</f>
        <v/>
      </c>
    </row>
    <row r="4773" customFormat="false" ht="15" hidden="false" customHeight="false" outlineLevel="0" collapsed="false">
      <c r="A4773" s="21"/>
      <c r="B4773" s="4"/>
      <c r="C4773" s="22"/>
      <c r="D4773" s="5" t="str">
        <f aca="false">IF(B4773="","",IFERROR(INDEX(DE_PARA!$B$6:$B$205,MATCH(B4773,DE_PARA!$A$6:$A$205,0)),"SEM DE-PARA"))</f>
        <v/>
      </c>
      <c r="E4773" s="23" t="str">
        <f aca="false">IF(A4773="","",DATE(YEAR(A4773),MONTH(A4773),1))</f>
        <v/>
      </c>
    </row>
    <row r="4774" customFormat="false" ht="15" hidden="false" customHeight="false" outlineLevel="0" collapsed="false">
      <c r="A4774" s="21"/>
      <c r="B4774" s="4"/>
      <c r="C4774" s="22"/>
      <c r="D4774" s="5" t="str">
        <f aca="false">IF(B4774="","",IFERROR(INDEX(DE_PARA!$B$6:$B$205,MATCH(B4774,DE_PARA!$A$6:$A$205,0)),"SEM DE-PARA"))</f>
        <v/>
      </c>
      <c r="E4774" s="23" t="str">
        <f aca="false">IF(A4774="","",DATE(YEAR(A4774),MONTH(A4774),1))</f>
        <v/>
      </c>
    </row>
    <row r="4775" customFormat="false" ht="15" hidden="false" customHeight="false" outlineLevel="0" collapsed="false">
      <c r="A4775" s="21"/>
      <c r="B4775" s="4"/>
      <c r="C4775" s="22"/>
      <c r="D4775" s="5" t="str">
        <f aca="false">IF(B4775="","",IFERROR(INDEX(DE_PARA!$B$6:$B$205,MATCH(B4775,DE_PARA!$A$6:$A$205,0)),"SEM DE-PARA"))</f>
        <v/>
      </c>
      <c r="E4775" s="23" t="str">
        <f aca="false">IF(A4775="","",DATE(YEAR(A4775),MONTH(A4775),1))</f>
        <v/>
      </c>
    </row>
    <row r="4776" customFormat="false" ht="15" hidden="false" customHeight="false" outlineLevel="0" collapsed="false">
      <c r="A4776" s="21"/>
      <c r="B4776" s="4"/>
      <c r="C4776" s="22"/>
      <c r="D4776" s="5" t="str">
        <f aca="false">IF(B4776="","",IFERROR(INDEX(DE_PARA!$B$6:$B$205,MATCH(B4776,DE_PARA!$A$6:$A$205,0)),"SEM DE-PARA"))</f>
        <v/>
      </c>
      <c r="E4776" s="23" t="str">
        <f aca="false">IF(A4776="","",DATE(YEAR(A4776),MONTH(A4776),1))</f>
        <v/>
      </c>
    </row>
    <row r="4777" customFormat="false" ht="15" hidden="false" customHeight="false" outlineLevel="0" collapsed="false">
      <c r="A4777" s="21"/>
      <c r="B4777" s="4"/>
      <c r="C4777" s="22"/>
      <c r="D4777" s="5" t="str">
        <f aca="false">IF(B4777="","",IFERROR(INDEX(DE_PARA!$B$6:$B$205,MATCH(B4777,DE_PARA!$A$6:$A$205,0)),"SEM DE-PARA"))</f>
        <v/>
      </c>
      <c r="E4777" s="23" t="str">
        <f aca="false">IF(A4777="","",DATE(YEAR(A4777),MONTH(A4777),1))</f>
        <v/>
      </c>
    </row>
    <row r="4778" customFormat="false" ht="15" hidden="false" customHeight="false" outlineLevel="0" collapsed="false">
      <c r="A4778" s="21"/>
      <c r="B4778" s="4"/>
      <c r="C4778" s="22"/>
      <c r="D4778" s="5" t="str">
        <f aca="false">IF(B4778="","",IFERROR(INDEX(DE_PARA!$B$6:$B$205,MATCH(B4778,DE_PARA!$A$6:$A$205,0)),"SEM DE-PARA"))</f>
        <v/>
      </c>
      <c r="E4778" s="23" t="str">
        <f aca="false">IF(A4778="","",DATE(YEAR(A4778),MONTH(A4778),1))</f>
        <v/>
      </c>
    </row>
    <row r="4779" customFormat="false" ht="15" hidden="false" customHeight="false" outlineLevel="0" collapsed="false">
      <c r="A4779" s="21"/>
      <c r="B4779" s="4"/>
      <c r="C4779" s="22"/>
      <c r="D4779" s="5" t="str">
        <f aca="false">IF(B4779="","",IFERROR(INDEX(DE_PARA!$B$6:$B$205,MATCH(B4779,DE_PARA!$A$6:$A$205,0)),"SEM DE-PARA"))</f>
        <v/>
      </c>
      <c r="E4779" s="23" t="str">
        <f aca="false">IF(A4779="","",DATE(YEAR(A4779),MONTH(A4779),1))</f>
        <v/>
      </c>
    </row>
    <row r="4780" customFormat="false" ht="15" hidden="false" customHeight="false" outlineLevel="0" collapsed="false">
      <c r="A4780" s="21"/>
      <c r="B4780" s="4"/>
      <c r="C4780" s="22"/>
      <c r="D4780" s="5" t="str">
        <f aca="false">IF(B4780="","",IFERROR(INDEX(DE_PARA!$B$6:$B$205,MATCH(B4780,DE_PARA!$A$6:$A$205,0)),"SEM DE-PARA"))</f>
        <v/>
      </c>
      <c r="E4780" s="23" t="str">
        <f aca="false">IF(A4780="","",DATE(YEAR(A4780),MONTH(A4780),1))</f>
        <v/>
      </c>
    </row>
    <row r="4781" customFormat="false" ht="15" hidden="false" customHeight="false" outlineLevel="0" collapsed="false">
      <c r="A4781" s="21"/>
      <c r="B4781" s="4"/>
      <c r="C4781" s="22"/>
      <c r="D4781" s="5" t="str">
        <f aca="false">IF(B4781="","",IFERROR(INDEX(DE_PARA!$B$6:$B$205,MATCH(B4781,DE_PARA!$A$6:$A$205,0)),"SEM DE-PARA"))</f>
        <v/>
      </c>
      <c r="E4781" s="23" t="str">
        <f aca="false">IF(A4781="","",DATE(YEAR(A4781),MONTH(A4781),1))</f>
        <v/>
      </c>
    </row>
    <row r="4782" customFormat="false" ht="15" hidden="false" customHeight="false" outlineLevel="0" collapsed="false">
      <c r="A4782" s="21"/>
      <c r="B4782" s="4"/>
      <c r="C4782" s="22"/>
      <c r="D4782" s="5" t="str">
        <f aca="false">IF(B4782="","",IFERROR(INDEX(DE_PARA!$B$6:$B$205,MATCH(B4782,DE_PARA!$A$6:$A$205,0)),"SEM DE-PARA"))</f>
        <v/>
      </c>
      <c r="E4782" s="23" t="str">
        <f aca="false">IF(A4782="","",DATE(YEAR(A4782),MONTH(A4782),1))</f>
        <v/>
      </c>
    </row>
    <row r="4783" customFormat="false" ht="15" hidden="false" customHeight="false" outlineLevel="0" collapsed="false">
      <c r="A4783" s="21"/>
      <c r="B4783" s="4"/>
      <c r="C4783" s="22"/>
      <c r="D4783" s="5" t="str">
        <f aca="false">IF(B4783="","",IFERROR(INDEX(DE_PARA!$B$6:$B$205,MATCH(B4783,DE_PARA!$A$6:$A$205,0)),"SEM DE-PARA"))</f>
        <v/>
      </c>
      <c r="E4783" s="23" t="str">
        <f aca="false">IF(A4783="","",DATE(YEAR(A4783),MONTH(A4783),1))</f>
        <v/>
      </c>
    </row>
    <row r="4784" customFormat="false" ht="15" hidden="false" customHeight="false" outlineLevel="0" collapsed="false">
      <c r="A4784" s="21"/>
      <c r="B4784" s="4"/>
      <c r="C4784" s="22"/>
      <c r="D4784" s="5" t="str">
        <f aca="false">IF(B4784="","",IFERROR(INDEX(DE_PARA!$B$6:$B$205,MATCH(B4784,DE_PARA!$A$6:$A$205,0)),"SEM DE-PARA"))</f>
        <v/>
      </c>
      <c r="E4784" s="23" t="str">
        <f aca="false">IF(A4784="","",DATE(YEAR(A4784),MONTH(A4784),1))</f>
        <v/>
      </c>
    </row>
    <row r="4785" customFormat="false" ht="15" hidden="false" customHeight="false" outlineLevel="0" collapsed="false">
      <c r="A4785" s="21"/>
      <c r="B4785" s="4"/>
      <c r="C4785" s="22"/>
      <c r="D4785" s="5" t="str">
        <f aca="false">IF(B4785="","",IFERROR(INDEX(DE_PARA!$B$6:$B$205,MATCH(B4785,DE_PARA!$A$6:$A$205,0)),"SEM DE-PARA"))</f>
        <v/>
      </c>
      <c r="E4785" s="23" t="str">
        <f aca="false">IF(A4785="","",DATE(YEAR(A4785),MONTH(A4785),1))</f>
        <v/>
      </c>
    </row>
    <row r="4786" customFormat="false" ht="15" hidden="false" customHeight="false" outlineLevel="0" collapsed="false">
      <c r="A4786" s="21"/>
      <c r="B4786" s="4"/>
      <c r="C4786" s="22"/>
      <c r="D4786" s="5" t="str">
        <f aca="false">IF(B4786="","",IFERROR(INDEX(DE_PARA!$B$6:$B$205,MATCH(B4786,DE_PARA!$A$6:$A$205,0)),"SEM DE-PARA"))</f>
        <v/>
      </c>
      <c r="E4786" s="23" t="str">
        <f aca="false">IF(A4786="","",DATE(YEAR(A4786),MONTH(A4786),1))</f>
        <v/>
      </c>
    </row>
    <row r="4787" customFormat="false" ht="15" hidden="false" customHeight="false" outlineLevel="0" collapsed="false">
      <c r="A4787" s="21"/>
      <c r="B4787" s="4"/>
      <c r="C4787" s="22"/>
      <c r="D4787" s="5" t="str">
        <f aca="false">IF(B4787="","",IFERROR(INDEX(DE_PARA!$B$6:$B$205,MATCH(B4787,DE_PARA!$A$6:$A$205,0)),"SEM DE-PARA"))</f>
        <v/>
      </c>
      <c r="E4787" s="23" t="str">
        <f aca="false">IF(A4787="","",DATE(YEAR(A4787),MONTH(A4787),1))</f>
        <v/>
      </c>
    </row>
    <row r="4788" customFormat="false" ht="15" hidden="false" customHeight="false" outlineLevel="0" collapsed="false">
      <c r="A4788" s="21"/>
      <c r="B4788" s="4"/>
      <c r="C4788" s="22"/>
      <c r="D4788" s="5" t="str">
        <f aca="false">IF(B4788="","",IFERROR(INDEX(DE_PARA!$B$6:$B$205,MATCH(B4788,DE_PARA!$A$6:$A$205,0)),"SEM DE-PARA"))</f>
        <v/>
      </c>
      <c r="E4788" s="23" t="str">
        <f aca="false">IF(A4788="","",DATE(YEAR(A4788),MONTH(A4788),1))</f>
        <v/>
      </c>
    </row>
    <row r="4789" customFormat="false" ht="15" hidden="false" customHeight="false" outlineLevel="0" collapsed="false">
      <c r="A4789" s="21"/>
      <c r="B4789" s="4"/>
      <c r="C4789" s="22"/>
      <c r="D4789" s="5" t="str">
        <f aca="false">IF(B4789="","",IFERROR(INDEX(DE_PARA!$B$6:$B$205,MATCH(B4789,DE_PARA!$A$6:$A$205,0)),"SEM DE-PARA"))</f>
        <v/>
      </c>
      <c r="E4789" s="23" t="str">
        <f aca="false">IF(A4789="","",DATE(YEAR(A4789),MONTH(A4789),1))</f>
        <v/>
      </c>
    </row>
    <row r="4790" customFormat="false" ht="15" hidden="false" customHeight="false" outlineLevel="0" collapsed="false">
      <c r="A4790" s="21"/>
      <c r="B4790" s="4"/>
      <c r="C4790" s="22"/>
      <c r="D4790" s="5" t="str">
        <f aca="false">IF(B4790="","",IFERROR(INDEX(DE_PARA!$B$6:$B$205,MATCH(B4790,DE_PARA!$A$6:$A$205,0)),"SEM DE-PARA"))</f>
        <v/>
      </c>
      <c r="E4790" s="23" t="str">
        <f aca="false">IF(A4790="","",DATE(YEAR(A4790),MONTH(A4790),1))</f>
        <v/>
      </c>
    </row>
    <row r="4791" customFormat="false" ht="15" hidden="false" customHeight="false" outlineLevel="0" collapsed="false">
      <c r="A4791" s="21"/>
      <c r="B4791" s="4"/>
      <c r="C4791" s="22"/>
      <c r="D4791" s="5" t="str">
        <f aca="false">IF(B4791="","",IFERROR(INDEX(DE_PARA!$B$6:$B$205,MATCH(B4791,DE_PARA!$A$6:$A$205,0)),"SEM DE-PARA"))</f>
        <v/>
      </c>
      <c r="E4791" s="23" t="str">
        <f aca="false">IF(A4791="","",DATE(YEAR(A4791),MONTH(A4791),1))</f>
        <v/>
      </c>
    </row>
    <row r="4792" customFormat="false" ht="15" hidden="false" customHeight="false" outlineLevel="0" collapsed="false">
      <c r="A4792" s="21"/>
      <c r="B4792" s="4"/>
      <c r="C4792" s="22"/>
      <c r="D4792" s="5" t="str">
        <f aca="false">IF(B4792="","",IFERROR(INDEX(DE_PARA!$B$6:$B$205,MATCH(B4792,DE_PARA!$A$6:$A$205,0)),"SEM DE-PARA"))</f>
        <v/>
      </c>
      <c r="E4792" s="23" t="str">
        <f aca="false">IF(A4792="","",DATE(YEAR(A4792),MONTH(A4792),1))</f>
        <v/>
      </c>
    </row>
    <row r="4793" customFormat="false" ht="15" hidden="false" customHeight="false" outlineLevel="0" collapsed="false">
      <c r="A4793" s="21"/>
      <c r="B4793" s="4"/>
      <c r="C4793" s="22"/>
      <c r="D4793" s="5" t="str">
        <f aca="false">IF(B4793="","",IFERROR(INDEX(DE_PARA!$B$6:$B$205,MATCH(B4793,DE_PARA!$A$6:$A$205,0)),"SEM DE-PARA"))</f>
        <v/>
      </c>
      <c r="E4793" s="23" t="str">
        <f aca="false">IF(A4793="","",DATE(YEAR(A4793),MONTH(A4793),1))</f>
        <v/>
      </c>
    </row>
    <row r="4794" customFormat="false" ht="15" hidden="false" customHeight="false" outlineLevel="0" collapsed="false">
      <c r="A4794" s="21"/>
      <c r="B4794" s="4"/>
      <c r="C4794" s="22"/>
      <c r="D4794" s="5" t="str">
        <f aca="false">IF(B4794="","",IFERROR(INDEX(DE_PARA!$B$6:$B$205,MATCH(B4794,DE_PARA!$A$6:$A$205,0)),"SEM DE-PARA"))</f>
        <v/>
      </c>
      <c r="E4794" s="23" t="str">
        <f aca="false">IF(A4794="","",DATE(YEAR(A4794),MONTH(A4794),1))</f>
        <v/>
      </c>
    </row>
    <row r="4795" customFormat="false" ht="15" hidden="false" customHeight="false" outlineLevel="0" collapsed="false">
      <c r="A4795" s="21"/>
      <c r="B4795" s="4"/>
      <c r="C4795" s="22"/>
      <c r="D4795" s="5" t="str">
        <f aca="false">IF(B4795="","",IFERROR(INDEX(DE_PARA!$B$6:$B$205,MATCH(B4795,DE_PARA!$A$6:$A$205,0)),"SEM DE-PARA"))</f>
        <v/>
      </c>
      <c r="E4795" s="23" t="str">
        <f aca="false">IF(A4795="","",DATE(YEAR(A4795),MONTH(A4795),1))</f>
        <v/>
      </c>
    </row>
    <row r="4796" customFormat="false" ht="15" hidden="false" customHeight="false" outlineLevel="0" collapsed="false">
      <c r="A4796" s="21"/>
      <c r="B4796" s="4"/>
      <c r="C4796" s="22"/>
      <c r="D4796" s="5" t="str">
        <f aca="false">IF(B4796="","",IFERROR(INDEX(DE_PARA!$B$6:$B$205,MATCH(B4796,DE_PARA!$A$6:$A$205,0)),"SEM DE-PARA"))</f>
        <v/>
      </c>
      <c r="E4796" s="23" t="str">
        <f aca="false">IF(A4796="","",DATE(YEAR(A4796),MONTH(A4796),1))</f>
        <v/>
      </c>
    </row>
    <row r="4797" customFormat="false" ht="15" hidden="false" customHeight="false" outlineLevel="0" collapsed="false">
      <c r="A4797" s="21"/>
      <c r="B4797" s="4"/>
      <c r="C4797" s="22"/>
      <c r="D4797" s="5" t="str">
        <f aca="false">IF(B4797="","",IFERROR(INDEX(DE_PARA!$B$6:$B$205,MATCH(B4797,DE_PARA!$A$6:$A$205,0)),"SEM DE-PARA"))</f>
        <v/>
      </c>
      <c r="E4797" s="23" t="str">
        <f aca="false">IF(A4797="","",DATE(YEAR(A4797),MONTH(A4797),1))</f>
        <v/>
      </c>
    </row>
    <row r="4798" customFormat="false" ht="15" hidden="false" customHeight="false" outlineLevel="0" collapsed="false">
      <c r="A4798" s="21"/>
      <c r="B4798" s="4"/>
      <c r="C4798" s="22"/>
      <c r="D4798" s="5" t="str">
        <f aca="false">IF(B4798="","",IFERROR(INDEX(DE_PARA!$B$6:$B$205,MATCH(B4798,DE_PARA!$A$6:$A$205,0)),"SEM DE-PARA"))</f>
        <v/>
      </c>
      <c r="E4798" s="23" t="str">
        <f aca="false">IF(A4798="","",DATE(YEAR(A4798),MONTH(A4798),1))</f>
        <v/>
      </c>
    </row>
    <row r="4799" customFormat="false" ht="15" hidden="false" customHeight="false" outlineLevel="0" collapsed="false">
      <c r="A4799" s="21"/>
      <c r="B4799" s="4"/>
      <c r="C4799" s="22"/>
      <c r="D4799" s="5" t="str">
        <f aca="false">IF(B4799="","",IFERROR(INDEX(DE_PARA!$B$6:$B$205,MATCH(B4799,DE_PARA!$A$6:$A$205,0)),"SEM DE-PARA"))</f>
        <v/>
      </c>
      <c r="E4799" s="23" t="str">
        <f aca="false">IF(A4799="","",DATE(YEAR(A4799),MONTH(A4799),1))</f>
        <v/>
      </c>
    </row>
    <row r="4800" customFormat="false" ht="15" hidden="false" customHeight="false" outlineLevel="0" collapsed="false">
      <c r="A4800" s="21"/>
      <c r="B4800" s="4"/>
      <c r="C4800" s="22"/>
      <c r="D4800" s="5" t="str">
        <f aca="false">IF(B4800="","",IFERROR(INDEX(DE_PARA!$B$6:$B$205,MATCH(B4800,DE_PARA!$A$6:$A$205,0)),"SEM DE-PARA"))</f>
        <v/>
      </c>
      <c r="E4800" s="23" t="str">
        <f aca="false">IF(A4800="","",DATE(YEAR(A4800),MONTH(A4800),1))</f>
        <v/>
      </c>
    </row>
    <row r="4801" customFormat="false" ht="15" hidden="false" customHeight="false" outlineLevel="0" collapsed="false">
      <c r="A4801" s="21"/>
      <c r="B4801" s="4"/>
      <c r="C4801" s="22"/>
      <c r="D4801" s="5" t="str">
        <f aca="false">IF(B4801="","",IFERROR(INDEX(DE_PARA!$B$6:$B$205,MATCH(B4801,DE_PARA!$A$6:$A$205,0)),"SEM DE-PARA"))</f>
        <v/>
      </c>
      <c r="E4801" s="23" t="str">
        <f aca="false">IF(A4801="","",DATE(YEAR(A4801),MONTH(A4801),1))</f>
        <v/>
      </c>
    </row>
    <row r="4802" customFormat="false" ht="15" hidden="false" customHeight="false" outlineLevel="0" collapsed="false">
      <c r="A4802" s="21"/>
      <c r="B4802" s="4"/>
      <c r="C4802" s="22"/>
      <c r="D4802" s="5" t="str">
        <f aca="false">IF(B4802="","",IFERROR(INDEX(DE_PARA!$B$6:$B$205,MATCH(B4802,DE_PARA!$A$6:$A$205,0)),"SEM DE-PARA"))</f>
        <v/>
      </c>
      <c r="E4802" s="23" t="str">
        <f aca="false">IF(A4802="","",DATE(YEAR(A4802),MONTH(A4802),1))</f>
        <v/>
      </c>
    </row>
    <row r="4803" customFormat="false" ht="15" hidden="false" customHeight="false" outlineLevel="0" collapsed="false">
      <c r="A4803" s="21"/>
      <c r="B4803" s="4"/>
      <c r="C4803" s="22"/>
      <c r="D4803" s="5" t="str">
        <f aca="false">IF(B4803="","",IFERROR(INDEX(DE_PARA!$B$6:$B$205,MATCH(B4803,DE_PARA!$A$6:$A$205,0)),"SEM DE-PARA"))</f>
        <v/>
      </c>
      <c r="E4803" s="23" t="str">
        <f aca="false">IF(A4803="","",DATE(YEAR(A4803),MONTH(A4803),1))</f>
        <v/>
      </c>
    </row>
    <row r="4804" customFormat="false" ht="15" hidden="false" customHeight="false" outlineLevel="0" collapsed="false">
      <c r="A4804" s="21"/>
      <c r="B4804" s="4"/>
      <c r="C4804" s="22"/>
      <c r="D4804" s="5" t="str">
        <f aca="false">IF(B4804="","",IFERROR(INDEX(DE_PARA!$B$6:$B$205,MATCH(B4804,DE_PARA!$A$6:$A$205,0)),"SEM DE-PARA"))</f>
        <v/>
      </c>
      <c r="E4804" s="23" t="str">
        <f aca="false">IF(A4804="","",DATE(YEAR(A4804),MONTH(A4804),1))</f>
        <v/>
      </c>
    </row>
    <row r="4805" customFormat="false" ht="15" hidden="false" customHeight="false" outlineLevel="0" collapsed="false">
      <c r="A4805" s="21"/>
      <c r="B4805" s="4"/>
      <c r="C4805" s="22"/>
      <c r="D4805" s="5" t="str">
        <f aca="false">IF(B4805="","",IFERROR(INDEX(DE_PARA!$B$6:$B$205,MATCH(B4805,DE_PARA!$A$6:$A$205,0)),"SEM DE-PARA"))</f>
        <v/>
      </c>
      <c r="E4805" s="23" t="str">
        <f aca="false">IF(A4805="","",DATE(YEAR(A4805),MONTH(A4805),1))</f>
        <v/>
      </c>
    </row>
    <row r="4806" customFormat="false" ht="15" hidden="false" customHeight="false" outlineLevel="0" collapsed="false">
      <c r="A4806" s="21"/>
      <c r="B4806" s="4"/>
      <c r="C4806" s="22"/>
      <c r="D4806" s="5" t="str">
        <f aca="false">IF(B4806="","",IFERROR(INDEX(DE_PARA!$B$6:$B$205,MATCH(B4806,DE_PARA!$A$6:$A$205,0)),"SEM DE-PARA"))</f>
        <v/>
      </c>
      <c r="E4806" s="23" t="str">
        <f aca="false">IF(A4806="","",DATE(YEAR(A4806),MONTH(A4806),1))</f>
        <v/>
      </c>
    </row>
    <row r="4807" customFormat="false" ht="15" hidden="false" customHeight="false" outlineLevel="0" collapsed="false">
      <c r="A4807" s="21"/>
      <c r="B4807" s="4"/>
      <c r="C4807" s="22"/>
      <c r="D4807" s="5" t="str">
        <f aca="false">IF(B4807="","",IFERROR(INDEX(DE_PARA!$B$6:$B$205,MATCH(B4807,DE_PARA!$A$6:$A$205,0)),"SEM DE-PARA"))</f>
        <v/>
      </c>
      <c r="E4807" s="23" t="str">
        <f aca="false">IF(A4807="","",DATE(YEAR(A4807),MONTH(A4807),1))</f>
        <v/>
      </c>
    </row>
    <row r="4808" customFormat="false" ht="15" hidden="false" customHeight="false" outlineLevel="0" collapsed="false">
      <c r="A4808" s="21"/>
      <c r="B4808" s="4"/>
      <c r="C4808" s="22"/>
      <c r="D4808" s="5" t="str">
        <f aca="false">IF(B4808="","",IFERROR(INDEX(DE_PARA!$B$6:$B$205,MATCH(B4808,DE_PARA!$A$6:$A$205,0)),"SEM DE-PARA"))</f>
        <v/>
      </c>
      <c r="E4808" s="23" t="str">
        <f aca="false">IF(A4808="","",DATE(YEAR(A4808),MONTH(A4808),1))</f>
        <v/>
      </c>
    </row>
    <row r="4809" customFormat="false" ht="15" hidden="false" customHeight="false" outlineLevel="0" collapsed="false">
      <c r="A4809" s="21"/>
      <c r="B4809" s="4"/>
      <c r="C4809" s="22"/>
      <c r="D4809" s="5" t="str">
        <f aca="false">IF(B4809="","",IFERROR(INDEX(DE_PARA!$B$6:$B$205,MATCH(B4809,DE_PARA!$A$6:$A$205,0)),"SEM DE-PARA"))</f>
        <v/>
      </c>
      <c r="E4809" s="23" t="str">
        <f aca="false">IF(A4809="","",DATE(YEAR(A4809),MONTH(A4809),1))</f>
        <v/>
      </c>
    </row>
    <row r="4810" customFormat="false" ht="15" hidden="false" customHeight="false" outlineLevel="0" collapsed="false">
      <c r="A4810" s="21"/>
      <c r="B4810" s="4"/>
      <c r="C4810" s="22"/>
      <c r="D4810" s="5" t="str">
        <f aca="false">IF(B4810="","",IFERROR(INDEX(DE_PARA!$B$6:$B$205,MATCH(B4810,DE_PARA!$A$6:$A$205,0)),"SEM DE-PARA"))</f>
        <v/>
      </c>
      <c r="E4810" s="23" t="str">
        <f aca="false">IF(A4810="","",DATE(YEAR(A4810),MONTH(A4810),1))</f>
        <v/>
      </c>
    </row>
    <row r="4811" customFormat="false" ht="15" hidden="false" customHeight="false" outlineLevel="0" collapsed="false">
      <c r="A4811" s="21"/>
      <c r="B4811" s="4"/>
      <c r="C4811" s="22"/>
      <c r="D4811" s="5" t="str">
        <f aca="false">IF(B4811="","",IFERROR(INDEX(DE_PARA!$B$6:$B$205,MATCH(B4811,DE_PARA!$A$6:$A$205,0)),"SEM DE-PARA"))</f>
        <v/>
      </c>
      <c r="E4811" s="23" t="str">
        <f aca="false">IF(A4811="","",DATE(YEAR(A4811),MONTH(A4811),1))</f>
        <v/>
      </c>
    </row>
    <row r="4812" customFormat="false" ht="15" hidden="false" customHeight="false" outlineLevel="0" collapsed="false">
      <c r="A4812" s="21"/>
      <c r="B4812" s="4"/>
      <c r="C4812" s="22"/>
      <c r="D4812" s="5" t="str">
        <f aca="false">IF(B4812="","",IFERROR(INDEX(DE_PARA!$B$6:$B$205,MATCH(B4812,DE_PARA!$A$6:$A$205,0)),"SEM DE-PARA"))</f>
        <v/>
      </c>
      <c r="E4812" s="23" t="str">
        <f aca="false">IF(A4812="","",DATE(YEAR(A4812),MONTH(A4812),1))</f>
        <v/>
      </c>
    </row>
    <row r="4813" customFormat="false" ht="15" hidden="false" customHeight="false" outlineLevel="0" collapsed="false">
      <c r="A4813" s="21"/>
      <c r="B4813" s="4"/>
      <c r="C4813" s="22"/>
      <c r="D4813" s="5" t="str">
        <f aca="false">IF(B4813="","",IFERROR(INDEX(DE_PARA!$B$6:$B$205,MATCH(B4813,DE_PARA!$A$6:$A$205,0)),"SEM DE-PARA"))</f>
        <v/>
      </c>
      <c r="E4813" s="23" t="str">
        <f aca="false">IF(A4813="","",DATE(YEAR(A4813),MONTH(A4813),1))</f>
        <v/>
      </c>
    </row>
    <row r="4814" customFormat="false" ht="15" hidden="false" customHeight="false" outlineLevel="0" collapsed="false">
      <c r="A4814" s="21"/>
      <c r="B4814" s="4"/>
      <c r="C4814" s="22"/>
      <c r="D4814" s="5" t="str">
        <f aca="false">IF(B4814="","",IFERROR(INDEX(DE_PARA!$B$6:$B$205,MATCH(B4814,DE_PARA!$A$6:$A$205,0)),"SEM DE-PARA"))</f>
        <v/>
      </c>
      <c r="E4814" s="23" t="str">
        <f aca="false">IF(A4814="","",DATE(YEAR(A4814),MONTH(A4814),1))</f>
        <v/>
      </c>
    </row>
    <row r="4815" customFormat="false" ht="15" hidden="false" customHeight="false" outlineLevel="0" collapsed="false">
      <c r="A4815" s="21"/>
      <c r="B4815" s="4"/>
      <c r="C4815" s="22"/>
      <c r="D4815" s="5" t="str">
        <f aca="false">IF(B4815="","",IFERROR(INDEX(DE_PARA!$B$6:$B$205,MATCH(B4815,DE_PARA!$A$6:$A$205,0)),"SEM DE-PARA"))</f>
        <v/>
      </c>
      <c r="E4815" s="23" t="str">
        <f aca="false">IF(A4815="","",DATE(YEAR(A4815),MONTH(A4815),1))</f>
        <v/>
      </c>
    </row>
    <row r="4816" customFormat="false" ht="15" hidden="false" customHeight="false" outlineLevel="0" collapsed="false">
      <c r="A4816" s="21"/>
      <c r="B4816" s="4"/>
      <c r="C4816" s="22"/>
      <c r="D4816" s="5" t="str">
        <f aca="false">IF(B4816="","",IFERROR(INDEX(DE_PARA!$B$6:$B$205,MATCH(B4816,DE_PARA!$A$6:$A$205,0)),"SEM DE-PARA"))</f>
        <v/>
      </c>
      <c r="E4816" s="23" t="str">
        <f aca="false">IF(A4816="","",DATE(YEAR(A4816),MONTH(A4816),1))</f>
        <v/>
      </c>
    </row>
    <row r="4817" customFormat="false" ht="15" hidden="false" customHeight="false" outlineLevel="0" collapsed="false">
      <c r="A4817" s="21"/>
      <c r="B4817" s="4"/>
      <c r="C4817" s="22"/>
      <c r="D4817" s="5" t="str">
        <f aca="false">IF(B4817="","",IFERROR(INDEX(DE_PARA!$B$6:$B$205,MATCH(B4817,DE_PARA!$A$6:$A$205,0)),"SEM DE-PARA"))</f>
        <v/>
      </c>
      <c r="E4817" s="23" t="str">
        <f aca="false">IF(A4817="","",DATE(YEAR(A4817),MONTH(A4817),1))</f>
        <v/>
      </c>
    </row>
    <row r="4818" customFormat="false" ht="15" hidden="false" customHeight="false" outlineLevel="0" collapsed="false">
      <c r="A4818" s="21"/>
      <c r="B4818" s="4"/>
      <c r="C4818" s="22"/>
      <c r="D4818" s="5" t="str">
        <f aca="false">IF(B4818="","",IFERROR(INDEX(DE_PARA!$B$6:$B$205,MATCH(B4818,DE_PARA!$A$6:$A$205,0)),"SEM DE-PARA"))</f>
        <v/>
      </c>
      <c r="E4818" s="23" t="str">
        <f aca="false">IF(A4818="","",DATE(YEAR(A4818),MONTH(A4818),1))</f>
        <v/>
      </c>
    </row>
    <row r="4819" customFormat="false" ht="15" hidden="false" customHeight="false" outlineLevel="0" collapsed="false">
      <c r="A4819" s="21"/>
      <c r="B4819" s="4"/>
      <c r="C4819" s="22"/>
      <c r="D4819" s="5" t="str">
        <f aca="false">IF(B4819="","",IFERROR(INDEX(DE_PARA!$B$6:$B$205,MATCH(B4819,DE_PARA!$A$6:$A$205,0)),"SEM DE-PARA"))</f>
        <v/>
      </c>
      <c r="E4819" s="23" t="str">
        <f aca="false">IF(A4819="","",DATE(YEAR(A4819),MONTH(A4819),1))</f>
        <v/>
      </c>
    </row>
    <row r="4820" customFormat="false" ht="15" hidden="false" customHeight="false" outlineLevel="0" collapsed="false">
      <c r="A4820" s="21"/>
      <c r="B4820" s="4"/>
      <c r="C4820" s="22"/>
      <c r="D4820" s="5" t="str">
        <f aca="false">IF(B4820="","",IFERROR(INDEX(DE_PARA!$B$6:$B$205,MATCH(B4820,DE_PARA!$A$6:$A$205,0)),"SEM DE-PARA"))</f>
        <v/>
      </c>
      <c r="E4820" s="23" t="str">
        <f aca="false">IF(A4820="","",DATE(YEAR(A4820),MONTH(A4820),1))</f>
        <v/>
      </c>
    </row>
    <row r="4821" customFormat="false" ht="15" hidden="false" customHeight="false" outlineLevel="0" collapsed="false">
      <c r="A4821" s="21"/>
      <c r="B4821" s="4"/>
      <c r="C4821" s="22"/>
      <c r="D4821" s="5" t="str">
        <f aca="false">IF(B4821="","",IFERROR(INDEX(DE_PARA!$B$6:$B$205,MATCH(B4821,DE_PARA!$A$6:$A$205,0)),"SEM DE-PARA"))</f>
        <v/>
      </c>
      <c r="E4821" s="23" t="str">
        <f aca="false">IF(A4821="","",DATE(YEAR(A4821),MONTH(A4821),1))</f>
        <v/>
      </c>
    </row>
    <row r="4822" customFormat="false" ht="15" hidden="false" customHeight="false" outlineLevel="0" collapsed="false">
      <c r="A4822" s="21"/>
      <c r="B4822" s="4"/>
      <c r="C4822" s="22"/>
      <c r="D4822" s="5" t="str">
        <f aca="false">IF(B4822="","",IFERROR(INDEX(DE_PARA!$B$6:$B$205,MATCH(B4822,DE_PARA!$A$6:$A$205,0)),"SEM DE-PARA"))</f>
        <v/>
      </c>
      <c r="E4822" s="23" t="str">
        <f aca="false">IF(A4822="","",DATE(YEAR(A4822),MONTH(A4822),1))</f>
        <v/>
      </c>
    </row>
    <row r="4823" customFormat="false" ht="15" hidden="false" customHeight="false" outlineLevel="0" collapsed="false">
      <c r="A4823" s="21"/>
      <c r="B4823" s="4"/>
      <c r="C4823" s="22"/>
      <c r="D4823" s="5" t="str">
        <f aca="false">IF(B4823="","",IFERROR(INDEX(DE_PARA!$B$6:$B$205,MATCH(B4823,DE_PARA!$A$6:$A$205,0)),"SEM DE-PARA"))</f>
        <v/>
      </c>
      <c r="E4823" s="23" t="str">
        <f aca="false">IF(A4823="","",DATE(YEAR(A4823),MONTH(A4823),1))</f>
        <v/>
      </c>
    </row>
    <row r="4824" customFormat="false" ht="15" hidden="false" customHeight="false" outlineLevel="0" collapsed="false">
      <c r="A4824" s="21"/>
      <c r="B4824" s="4"/>
      <c r="C4824" s="22"/>
      <c r="D4824" s="5" t="str">
        <f aca="false">IF(B4824="","",IFERROR(INDEX(DE_PARA!$B$6:$B$205,MATCH(B4824,DE_PARA!$A$6:$A$205,0)),"SEM DE-PARA"))</f>
        <v/>
      </c>
      <c r="E4824" s="23" t="str">
        <f aca="false">IF(A4824="","",DATE(YEAR(A4824),MONTH(A4824),1))</f>
        <v/>
      </c>
    </row>
    <row r="4825" customFormat="false" ht="15" hidden="false" customHeight="false" outlineLevel="0" collapsed="false">
      <c r="A4825" s="21"/>
      <c r="B4825" s="4"/>
      <c r="C4825" s="22"/>
      <c r="D4825" s="5" t="str">
        <f aca="false">IF(B4825="","",IFERROR(INDEX(DE_PARA!$B$6:$B$205,MATCH(B4825,DE_PARA!$A$6:$A$205,0)),"SEM DE-PARA"))</f>
        <v/>
      </c>
      <c r="E4825" s="23" t="str">
        <f aca="false">IF(A4825="","",DATE(YEAR(A4825),MONTH(A4825),1))</f>
        <v/>
      </c>
    </row>
    <row r="4826" customFormat="false" ht="15" hidden="false" customHeight="false" outlineLevel="0" collapsed="false">
      <c r="A4826" s="21"/>
      <c r="B4826" s="4"/>
      <c r="C4826" s="22"/>
      <c r="D4826" s="5" t="str">
        <f aca="false">IF(B4826="","",IFERROR(INDEX(DE_PARA!$B$6:$B$205,MATCH(B4826,DE_PARA!$A$6:$A$205,0)),"SEM DE-PARA"))</f>
        <v/>
      </c>
      <c r="E4826" s="23" t="str">
        <f aca="false">IF(A4826="","",DATE(YEAR(A4826),MONTH(A4826),1))</f>
        <v/>
      </c>
    </row>
    <row r="4827" customFormat="false" ht="15" hidden="false" customHeight="false" outlineLevel="0" collapsed="false">
      <c r="A4827" s="21"/>
      <c r="B4827" s="4"/>
      <c r="C4827" s="22"/>
      <c r="D4827" s="5" t="str">
        <f aca="false">IF(B4827="","",IFERROR(INDEX(DE_PARA!$B$6:$B$205,MATCH(B4827,DE_PARA!$A$6:$A$205,0)),"SEM DE-PARA"))</f>
        <v/>
      </c>
      <c r="E4827" s="23" t="str">
        <f aca="false">IF(A4827="","",DATE(YEAR(A4827),MONTH(A4827),1))</f>
        <v/>
      </c>
    </row>
    <row r="4828" customFormat="false" ht="15" hidden="false" customHeight="false" outlineLevel="0" collapsed="false">
      <c r="A4828" s="21"/>
      <c r="B4828" s="4"/>
      <c r="C4828" s="22"/>
      <c r="D4828" s="5" t="str">
        <f aca="false">IF(B4828="","",IFERROR(INDEX(DE_PARA!$B$6:$B$205,MATCH(B4828,DE_PARA!$A$6:$A$205,0)),"SEM DE-PARA"))</f>
        <v/>
      </c>
      <c r="E4828" s="23" t="str">
        <f aca="false">IF(A4828="","",DATE(YEAR(A4828),MONTH(A4828),1))</f>
        <v/>
      </c>
    </row>
    <row r="4829" customFormat="false" ht="15" hidden="false" customHeight="false" outlineLevel="0" collapsed="false">
      <c r="A4829" s="21"/>
      <c r="B4829" s="4"/>
      <c r="C4829" s="22"/>
      <c r="D4829" s="5" t="str">
        <f aca="false">IF(B4829="","",IFERROR(INDEX(DE_PARA!$B$6:$B$205,MATCH(B4829,DE_PARA!$A$6:$A$205,0)),"SEM DE-PARA"))</f>
        <v/>
      </c>
      <c r="E4829" s="23" t="str">
        <f aca="false">IF(A4829="","",DATE(YEAR(A4829),MONTH(A4829),1))</f>
        <v/>
      </c>
    </row>
    <row r="4830" customFormat="false" ht="15" hidden="false" customHeight="false" outlineLevel="0" collapsed="false">
      <c r="A4830" s="21"/>
      <c r="B4830" s="4"/>
      <c r="C4830" s="22"/>
      <c r="D4830" s="5" t="str">
        <f aca="false">IF(B4830="","",IFERROR(INDEX(DE_PARA!$B$6:$B$205,MATCH(B4830,DE_PARA!$A$6:$A$205,0)),"SEM DE-PARA"))</f>
        <v/>
      </c>
      <c r="E4830" s="23" t="str">
        <f aca="false">IF(A4830="","",DATE(YEAR(A4830),MONTH(A4830),1))</f>
        <v/>
      </c>
    </row>
    <row r="4831" customFormat="false" ht="15" hidden="false" customHeight="false" outlineLevel="0" collapsed="false">
      <c r="A4831" s="21"/>
      <c r="B4831" s="4"/>
      <c r="C4831" s="22"/>
      <c r="D4831" s="5" t="str">
        <f aca="false">IF(B4831="","",IFERROR(INDEX(DE_PARA!$B$6:$B$205,MATCH(B4831,DE_PARA!$A$6:$A$205,0)),"SEM DE-PARA"))</f>
        <v/>
      </c>
      <c r="E4831" s="23" t="str">
        <f aca="false">IF(A4831="","",DATE(YEAR(A4831),MONTH(A4831),1))</f>
        <v/>
      </c>
    </row>
    <row r="4832" customFormat="false" ht="15" hidden="false" customHeight="false" outlineLevel="0" collapsed="false">
      <c r="A4832" s="21"/>
      <c r="B4832" s="4"/>
      <c r="C4832" s="22"/>
      <c r="D4832" s="5" t="str">
        <f aca="false">IF(B4832="","",IFERROR(INDEX(DE_PARA!$B$6:$B$205,MATCH(B4832,DE_PARA!$A$6:$A$205,0)),"SEM DE-PARA"))</f>
        <v/>
      </c>
      <c r="E4832" s="23" t="str">
        <f aca="false">IF(A4832="","",DATE(YEAR(A4832),MONTH(A4832),1))</f>
        <v/>
      </c>
    </row>
    <row r="4833" customFormat="false" ht="15" hidden="false" customHeight="false" outlineLevel="0" collapsed="false">
      <c r="A4833" s="21"/>
      <c r="B4833" s="4"/>
      <c r="C4833" s="22"/>
      <c r="D4833" s="5" t="str">
        <f aca="false">IF(B4833="","",IFERROR(INDEX(DE_PARA!$B$6:$B$205,MATCH(B4833,DE_PARA!$A$6:$A$205,0)),"SEM DE-PARA"))</f>
        <v/>
      </c>
      <c r="E4833" s="23" t="str">
        <f aca="false">IF(A4833="","",DATE(YEAR(A4833),MONTH(A4833),1))</f>
        <v/>
      </c>
    </row>
    <row r="4834" customFormat="false" ht="15" hidden="false" customHeight="false" outlineLevel="0" collapsed="false">
      <c r="A4834" s="21"/>
      <c r="B4834" s="4"/>
      <c r="C4834" s="22"/>
      <c r="D4834" s="5" t="str">
        <f aca="false">IF(B4834="","",IFERROR(INDEX(DE_PARA!$B$6:$B$205,MATCH(B4834,DE_PARA!$A$6:$A$205,0)),"SEM DE-PARA"))</f>
        <v/>
      </c>
      <c r="E4834" s="23" t="str">
        <f aca="false">IF(A4834="","",DATE(YEAR(A4834),MONTH(A4834),1))</f>
        <v/>
      </c>
    </row>
    <row r="4835" customFormat="false" ht="15" hidden="false" customHeight="false" outlineLevel="0" collapsed="false">
      <c r="A4835" s="21"/>
      <c r="B4835" s="4"/>
      <c r="C4835" s="22"/>
      <c r="D4835" s="5" t="str">
        <f aca="false">IF(B4835="","",IFERROR(INDEX(DE_PARA!$B$6:$B$205,MATCH(B4835,DE_PARA!$A$6:$A$205,0)),"SEM DE-PARA"))</f>
        <v/>
      </c>
      <c r="E4835" s="23" t="str">
        <f aca="false">IF(A4835="","",DATE(YEAR(A4835),MONTH(A4835),1))</f>
        <v/>
      </c>
    </row>
    <row r="4836" customFormat="false" ht="15" hidden="false" customHeight="false" outlineLevel="0" collapsed="false">
      <c r="A4836" s="21"/>
      <c r="B4836" s="4"/>
      <c r="C4836" s="22"/>
      <c r="D4836" s="5" t="str">
        <f aca="false">IF(B4836="","",IFERROR(INDEX(DE_PARA!$B$6:$B$205,MATCH(B4836,DE_PARA!$A$6:$A$205,0)),"SEM DE-PARA"))</f>
        <v/>
      </c>
      <c r="E4836" s="23" t="str">
        <f aca="false">IF(A4836="","",DATE(YEAR(A4836),MONTH(A4836),1))</f>
        <v/>
      </c>
    </row>
    <row r="4837" customFormat="false" ht="15" hidden="false" customHeight="false" outlineLevel="0" collapsed="false">
      <c r="A4837" s="21"/>
      <c r="B4837" s="4"/>
      <c r="C4837" s="22"/>
      <c r="D4837" s="5" t="str">
        <f aca="false">IF(B4837="","",IFERROR(INDEX(DE_PARA!$B$6:$B$205,MATCH(B4837,DE_PARA!$A$6:$A$205,0)),"SEM DE-PARA"))</f>
        <v/>
      </c>
      <c r="E4837" s="23" t="str">
        <f aca="false">IF(A4837="","",DATE(YEAR(A4837),MONTH(A4837),1))</f>
        <v/>
      </c>
    </row>
    <row r="4838" customFormat="false" ht="15" hidden="false" customHeight="false" outlineLevel="0" collapsed="false">
      <c r="A4838" s="21"/>
      <c r="B4838" s="4"/>
      <c r="C4838" s="22"/>
      <c r="D4838" s="5" t="str">
        <f aca="false">IF(B4838="","",IFERROR(INDEX(DE_PARA!$B$6:$B$205,MATCH(B4838,DE_PARA!$A$6:$A$205,0)),"SEM DE-PARA"))</f>
        <v/>
      </c>
      <c r="E4838" s="23" t="str">
        <f aca="false">IF(A4838="","",DATE(YEAR(A4838),MONTH(A4838),1))</f>
        <v/>
      </c>
    </row>
    <row r="4839" customFormat="false" ht="15" hidden="false" customHeight="false" outlineLevel="0" collapsed="false">
      <c r="A4839" s="21"/>
      <c r="B4839" s="4"/>
      <c r="C4839" s="22"/>
      <c r="D4839" s="5" t="str">
        <f aca="false">IF(B4839="","",IFERROR(INDEX(DE_PARA!$B$6:$B$205,MATCH(B4839,DE_PARA!$A$6:$A$205,0)),"SEM DE-PARA"))</f>
        <v/>
      </c>
      <c r="E4839" s="23" t="str">
        <f aca="false">IF(A4839="","",DATE(YEAR(A4839),MONTH(A4839),1))</f>
        <v/>
      </c>
    </row>
    <row r="4840" customFormat="false" ht="15" hidden="false" customHeight="false" outlineLevel="0" collapsed="false">
      <c r="A4840" s="21"/>
      <c r="B4840" s="4"/>
      <c r="C4840" s="22"/>
      <c r="D4840" s="5" t="str">
        <f aca="false">IF(B4840="","",IFERROR(INDEX(DE_PARA!$B$6:$B$205,MATCH(B4840,DE_PARA!$A$6:$A$205,0)),"SEM DE-PARA"))</f>
        <v/>
      </c>
      <c r="E4840" s="23" t="str">
        <f aca="false">IF(A4840="","",DATE(YEAR(A4840),MONTH(A4840),1))</f>
        <v/>
      </c>
    </row>
    <row r="4841" customFormat="false" ht="15" hidden="false" customHeight="false" outlineLevel="0" collapsed="false">
      <c r="A4841" s="21"/>
      <c r="B4841" s="4"/>
      <c r="C4841" s="22"/>
      <c r="D4841" s="5" t="str">
        <f aca="false">IF(B4841="","",IFERROR(INDEX(DE_PARA!$B$6:$B$205,MATCH(B4841,DE_PARA!$A$6:$A$205,0)),"SEM DE-PARA"))</f>
        <v/>
      </c>
      <c r="E4841" s="23" t="str">
        <f aca="false">IF(A4841="","",DATE(YEAR(A4841),MONTH(A4841),1))</f>
        <v/>
      </c>
    </row>
    <row r="4842" customFormat="false" ht="15" hidden="false" customHeight="false" outlineLevel="0" collapsed="false">
      <c r="A4842" s="21"/>
      <c r="B4842" s="4"/>
      <c r="C4842" s="22"/>
      <c r="D4842" s="5" t="str">
        <f aca="false">IF(B4842="","",IFERROR(INDEX(DE_PARA!$B$6:$B$205,MATCH(B4842,DE_PARA!$A$6:$A$205,0)),"SEM DE-PARA"))</f>
        <v/>
      </c>
      <c r="E4842" s="23" t="str">
        <f aca="false">IF(A4842="","",DATE(YEAR(A4842),MONTH(A4842),1))</f>
        <v/>
      </c>
    </row>
    <row r="4843" customFormat="false" ht="15" hidden="false" customHeight="false" outlineLevel="0" collapsed="false">
      <c r="A4843" s="21"/>
      <c r="B4843" s="4"/>
      <c r="C4843" s="22"/>
      <c r="D4843" s="5" t="str">
        <f aca="false">IF(B4843="","",IFERROR(INDEX(DE_PARA!$B$6:$B$205,MATCH(B4843,DE_PARA!$A$6:$A$205,0)),"SEM DE-PARA"))</f>
        <v/>
      </c>
      <c r="E4843" s="23" t="str">
        <f aca="false">IF(A4843="","",DATE(YEAR(A4843),MONTH(A4843),1))</f>
        <v/>
      </c>
    </row>
    <row r="4844" customFormat="false" ht="15" hidden="false" customHeight="false" outlineLevel="0" collapsed="false">
      <c r="A4844" s="21"/>
      <c r="B4844" s="4"/>
      <c r="C4844" s="22"/>
      <c r="D4844" s="5" t="str">
        <f aca="false">IF(B4844="","",IFERROR(INDEX(DE_PARA!$B$6:$B$205,MATCH(B4844,DE_PARA!$A$6:$A$205,0)),"SEM DE-PARA"))</f>
        <v/>
      </c>
      <c r="E4844" s="23" t="str">
        <f aca="false">IF(A4844="","",DATE(YEAR(A4844),MONTH(A4844),1))</f>
        <v/>
      </c>
    </row>
    <row r="4845" customFormat="false" ht="15" hidden="false" customHeight="false" outlineLevel="0" collapsed="false">
      <c r="A4845" s="21"/>
      <c r="B4845" s="4"/>
      <c r="C4845" s="22"/>
      <c r="D4845" s="5" t="str">
        <f aca="false">IF(B4845="","",IFERROR(INDEX(DE_PARA!$B$6:$B$205,MATCH(B4845,DE_PARA!$A$6:$A$205,0)),"SEM DE-PARA"))</f>
        <v/>
      </c>
      <c r="E4845" s="23" t="str">
        <f aca="false">IF(A4845="","",DATE(YEAR(A4845),MONTH(A4845),1))</f>
        <v/>
      </c>
    </row>
    <row r="4846" customFormat="false" ht="15" hidden="false" customHeight="false" outlineLevel="0" collapsed="false">
      <c r="A4846" s="21"/>
      <c r="B4846" s="4"/>
      <c r="C4846" s="22"/>
      <c r="D4846" s="5" t="str">
        <f aca="false">IF(B4846="","",IFERROR(INDEX(DE_PARA!$B$6:$B$205,MATCH(B4846,DE_PARA!$A$6:$A$205,0)),"SEM DE-PARA"))</f>
        <v/>
      </c>
      <c r="E4846" s="23" t="str">
        <f aca="false">IF(A4846="","",DATE(YEAR(A4846),MONTH(A4846),1))</f>
        <v/>
      </c>
    </row>
    <row r="4847" customFormat="false" ht="15" hidden="false" customHeight="false" outlineLevel="0" collapsed="false">
      <c r="A4847" s="21"/>
      <c r="B4847" s="4"/>
      <c r="C4847" s="22"/>
      <c r="D4847" s="5" t="str">
        <f aca="false">IF(B4847="","",IFERROR(INDEX(DE_PARA!$B$6:$B$205,MATCH(B4847,DE_PARA!$A$6:$A$205,0)),"SEM DE-PARA"))</f>
        <v/>
      </c>
      <c r="E4847" s="23" t="str">
        <f aca="false">IF(A4847="","",DATE(YEAR(A4847),MONTH(A4847),1))</f>
        <v/>
      </c>
    </row>
    <row r="4848" customFormat="false" ht="15" hidden="false" customHeight="false" outlineLevel="0" collapsed="false">
      <c r="A4848" s="21"/>
      <c r="B4848" s="4"/>
      <c r="C4848" s="22"/>
      <c r="D4848" s="5" t="str">
        <f aca="false">IF(B4848="","",IFERROR(INDEX(DE_PARA!$B$6:$B$205,MATCH(B4848,DE_PARA!$A$6:$A$205,0)),"SEM DE-PARA"))</f>
        <v/>
      </c>
      <c r="E4848" s="23" t="str">
        <f aca="false">IF(A4848="","",DATE(YEAR(A4848),MONTH(A4848),1))</f>
        <v/>
      </c>
    </row>
    <row r="4849" customFormat="false" ht="15" hidden="false" customHeight="false" outlineLevel="0" collapsed="false">
      <c r="A4849" s="21"/>
      <c r="B4849" s="4"/>
      <c r="C4849" s="22"/>
      <c r="D4849" s="5" t="str">
        <f aca="false">IF(B4849="","",IFERROR(INDEX(DE_PARA!$B$6:$B$205,MATCH(B4849,DE_PARA!$A$6:$A$205,0)),"SEM DE-PARA"))</f>
        <v/>
      </c>
      <c r="E4849" s="23" t="str">
        <f aca="false">IF(A4849="","",DATE(YEAR(A4849),MONTH(A4849),1))</f>
        <v/>
      </c>
    </row>
    <row r="4850" customFormat="false" ht="15" hidden="false" customHeight="false" outlineLevel="0" collapsed="false">
      <c r="A4850" s="21"/>
      <c r="B4850" s="4"/>
      <c r="C4850" s="22"/>
      <c r="D4850" s="5" t="str">
        <f aca="false">IF(B4850="","",IFERROR(INDEX(DE_PARA!$B$6:$B$205,MATCH(B4850,DE_PARA!$A$6:$A$205,0)),"SEM DE-PARA"))</f>
        <v/>
      </c>
      <c r="E4850" s="23" t="str">
        <f aca="false">IF(A4850="","",DATE(YEAR(A4850),MONTH(A4850),1))</f>
        <v/>
      </c>
    </row>
    <row r="4851" customFormat="false" ht="15" hidden="false" customHeight="false" outlineLevel="0" collapsed="false">
      <c r="A4851" s="21"/>
      <c r="B4851" s="4"/>
      <c r="C4851" s="22"/>
      <c r="D4851" s="5" t="str">
        <f aca="false">IF(B4851="","",IFERROR(INDEX(DE_PARA!$B$6:$B$205,MATCH(B4851,DE_PARA!$A$6:$A$205,0)),"SEM DE-PARA"))</f>
        <v/>
      </c>
      <c r="E4851" s="23" t="str">
        <f aca="false">IF(A4851="","",DATE(YEAR(A4851),MONTH(A4851),1))</f>
        <v/>
      </c>
    </row>
    <row r="4852" customFormat="false" ht="15" hidden="false" customHeight="false" outlineLevel="0" collapsed="false">
      <c r="A4852" s="21"/>
      <c r="B4852" s="4"/>
      <c r="C4852" s="22"/>
      <c r="D4852" s="5" t="str">
        <f aca="false">IF(B4852="","",IFERROR(INDEX(DE_PARA!$B$6:$B$205,MATCH(B4852,DE_PARA!$A$6:$A$205,0)),"SEM DE-PARA"))</f>
        <v/>
      </c>
      <c r="E4852" s="23" t="str">
        <f aca="false">IF(A4852="","",DATE(YEAR(A4852),MONTH(A4852),1))</f>
        <v/>
      </c>
    </row>
    <row r="4853" customFormat="false" ht="15" hidden="false" customHeight="false" outlineLevel="0" collapsed="false">
      <c r="A4853" s="21"/>
      <c r="B4853" s="4"/>
      <c r="C4853" s="22"/>
      <c r="D4853" s="5" t="str">
        <f aca="false">IF(B4853="","",IFERROR(INDEX(DE_PARA!$B$6:$B$205,MATCH(B4853,DE_PARA!$A$6:$A$205,0)),"SEM DE-PARA"))</f>
        <v/>
      </c>
      <c r="E4853" s="23" t="str">
        <f aca="false">IF(A4853="","",DATE(YEAR(A4853),MONTH(A4853),1))</f>
        <v/>
      </c>
    </row>
    <row r="4854" customFormat="false" ht="15" hidden="false" customHeight="false" outlineLevel="0" collapsed="false">
      <c r="A4854" s="21"/>
      <c r="B4854" s="4"/>
      <c r="C4854" s="22"/>
      <c r="D4854" s="5" t="str">
        <f aca="false">IF(B4854="","",IFERROR(INDEX(DE_PARA!$B$6:$B$205,MATCH(B4854,DE_PARA!$A$6:$A$205,0)),"SEM DE-PARA"))</f>
        <v/>
      </c>
      <c r="E4854" s="23" t="str">
        <f aca="false">IF(A4854="","",DATE(YEAR(A4854),MONTH(A4854),1))</f>
        <v/>
      </c>
    </row>
    <row r="4855" customFormat="false" ht="15" hidden="false" customHeight="false" outlineLevel="0" collapsed="false">
      <c r="A4855" s="21"/>
      <c r="B4855" s="4"/>
      <c r="C4855" s="22"/>
      <c r="D4855" s="5" t="str">
        <f aca="false">IF(B4855="","",IFERROR(INDEX(DE_PARA!$B$6:$B$205,MATCH(B4855,DE_PARA!$A$6:$A$205,0)),"SEM DE-PARA"))</f>
        <v/>
      </c>
      <c r="E4855" s="23" t="str">
        <f aca="false">IF(A4855="","",DATE(YEAR(A4855),MONTH(A4855),1))</f>
        <v/>
      </c>
    </row>
    <row r="4856" customFormat="false" ht="15" hidden="false" customHeight="false" outlineLevel="0" collapsed="false">
      <c r="A4856" s="21"/>
      <c r="B4856" s="4"/>
      <c r="C4856" s="22"/>
      <c r="D4856" s="5" t="str">
        <f aca="false">IF(B4856="","",IFERROR(INDEX(DE_PARA!$B$6:$B$205,MATCH(B4856,DE_PARA!$A$6:$A$205,0)),"SEM DE-PARA"))</f>
        <v/>
      </c>
      <c r="E4856" s="23" t="str">
        <f aca="false">IF(A4856="","",DATE(YEAR(A4856),MONTH(A4856),1))</f>
        <v/>
      </c>
    </row>
    <row r="4857" customFormat="false" ht="15" hidden="false" customHeight="false" outlineLevel="0" collapsed="false">
      <c r="A4857" s="21"/>
      <c r="B4857" s="4"/>
      <c r="C4857" s="22"/>
      <c r="D4857" s="5" t="str">
        <f aca="false">IF(B4857="","",IFERROR(INDEX(DE_PARA!$B$6:$B$205,MATCH(B4857,DE_PARA!$A$6:$A$205,0)),"SEM DE-PARA"))</f>
        <v/>
      </c>
      <c r="E4857" s="23" t="str">
        <f aca="false">IF(A4857="","",DATE(YEAR(A4857),MONTH(A4857),1))</f>
        <v/>
      </c>
    </row>
    <row r="4858" customFormat="false" ht="15" hidden="false" customHeight="false" outlineLevel="0" collapsed="false">
      <c r="A4858" s="21"/>
      <c r="B4858" s="4"/>
      <c r="C4858" s="22"/>
      <c r="D4858" s="5" t="str">
        <f aca="false">IF(B4858="","",IFERROR(INDEX(DE_PARA!$B$6:$B$205,MATCH(B4858,DE_PARA!$A$6:$A$205,0)),"SEM DE-PARA"))</f>
        <v/>
      </c>
      <c r="E4858" s="23" t="str">
        <f aca="false">IF(A4858="","",DATE(YEAR(A4858),MONTH(A4858),1))</f>
        <v/>
      </c>
    </row>
    <row r="4859" customFormat="false" ht="15" hidden="false" customHeight="false" outlineLevel="0" collapsed="false">
      <c r="A4859" s="21"/>
      <c r="B4859" s="4"/>
      <c r="C4859" s="22"/>
      <c r="D4859" s="5" t="str">
        <f aca="false">IF(B4859="","",IFERROR(INDEX(DE_PARA!$B$6:$B$205,MATCH(B4859,DE_PARA!$A$6:$A$205,0)),"SEM DE-PARA"))</f>
        <v/>
      </c>
      <c r="E4859" s="23" t="str">
        <f aca="false">IF(A4859="","",DATE(YEAR(A4859),MONTH(A4859),1))</f>
        <v/>
      </c>
    </row>
    <row r="4860" customFormat="false" ht="15" hidden="false" customHeight="false" outlineLevel="0" collapsed="false">
      <c r="A4860" s="21"/>
      <c r="B4860" s="4"/>
      <c r="C4860" s="22"/>
      <c r="D4860" s="5" t="str">
        <f aca="false">IF(B4860="","",IFERROR(INDEX(DE_PARA!$B$6:$B$205,MATCH(B4860,DE_PARA!$A$6:$A$205,0)),"SEM DE-PARA"))</f>
        <v/>
      </c>
      <c r="E4860" s="23" t="str">
        <f aca="false">IF(A4860="","",DATE(YEAR(A4860),MONTH(A4860),1))</f>
        <v/>
      </c>
    </row>
    <row r="4861" customFormat="false" ht="15" hidden="false" customHeight="false" outlineLevel="0" collapsed="false">
      <c r="A4861" s="21"/>
      <c r="B4861" s="4"/>
      <c r="C4861" s="22"/>
      <c r="D4861" s="5" t="str">
        <f aca="false">IF(B4861="","",IFERROR(INDEX(DE_PARA!$B$6:$B$205,MATCH(B4861,DE_PARA!$A$6:$A$205,0)),"SEM DE-PARA"))</f>
        <v/>
      </c>
      <c r="E4861" s="23" t="str">
        <f aca="false">IF(A4861="","",DATE(YEAR(A4861),MONTH(A4861),1))</f>
        <v/>
      </c>
    </row>
    <row r="4862" customFormat="false" ht="15" hidden="false" customHeight="false" outlineLevel="0" collapsed="false">
      <c r="A4862" s="21"/>
      <c r="B4862" s="4"/>
      <c r="C4862" s="22"/>
      <c r="D4862" s="5" t="str">
        <f aca="false">IF(B4862="","",IFERROR(INDEX(DE_PARA!$B$6:$B$205,MATCH(B4862,DE_PARA!$A$6:$A$205,0)),"SEM DE-PARA"))</f>
        <v/>
      </c>
      <c r="E4862" s="23" t="str">
        <f aca="false">IF(A4862="","",DATE(YEAR(A4862),MONTH(A4862),1))</f>
        <v/>
      </c>
    </row>
    <row r="4863" customFormat="false" ht="15" hidden="false" customHeight="false" outlineLevel="0" collapsed="false">
      <c r="A4863" s="21"/>
      <c r="B4863" s="4"/>
      <c r="C4863" s="22"/>
      <c r="D4863" s="5" t="str">
        <f aca="false">IF(B4863="","",IFERROR(INDEX(DE_PARA!$B$6:$B$205,MATCH(B4863,DE_PARA!$A$6:$A$205,0)),"SEM DE-PARA"))</f>
        <v/>
      </c>
      <c r="E4863" s="23" t="str">
        <f aca="false">IF(A4863="","",DATE(YEAR(A4863),MONTH(A4863),1))</f>
        <v/>
      </c>
    </row>
    <row r="4864" customFormat="false" ht="15" hidden="false" customHeight="false" outlineLevel="0" collapsed="false">
      <c r="A4864" s="21"/>
      <c r="B4864" s="4"/>
      <c r="C4864" s="22"/>
      <c r="D4864" s="5" t="str">
        <f aca="false">IF(B4864="","",IFERROR(INDEX(DE_PARA!$B$6:$B$205,MATCH(B4864,DE_PARA!$A$6:$A$205,0)),"SEM DE-PARA"))</f>
        <v/>
      </c>
      <c r="E4864" s="23" t="str">
        <f aca="false">IF(A4864="","",DATE(YEAR(A4864),MONTH(A4864),1))</f>
        <v/>
      </c>
    </row>
    <row r="4865" customFormat="false" ht="15" hidden="false" customHeight="false" outlineLevel="0" collapsed="false">
      <c r="A4865" s="21"/>
      <c r="B4865" s="4"/>
      <c r="C4865" s="22"/>
      <c r="D4865" s="5" t="str">
        <f aca="false">IF(B4865="","",IFERROR(INDEX(DE_PARA!$B$6:$B$205,MATCH(B4865,DE_PARA!$A$6:$A$205,0)),"SEM DE-PARA"))</f>
        <v/>
      </c>
      <c r="E4865" s="23" t="str">
        <f aca="false">IF(A4865="","",DATE(YEAR(A4865),MONTH(A4865),1))</f>
        <v/>
      </c>
    </row>
    <row r="4866" customFormat="false" ht="15" hidden="false" customHeight="false" outlineLevel="0" collapsed="false">
      <c r="A4866" s="21"/>
      <c r="B4866" s="4"/>
      <c r="C4866" s="22"/>
      <c r="D4866" s="5" t="str">
        <f aca="false">IF(B4866="","",IFERROR(INDEX(DE_PARA!$B$6:$B$205,MATCH(B4866,DE_PARA!$A$6:$A$205,0)),"SEM DE-PARA"))</f>
        <v/>
      </c>
      <c r="E4866" s="23" t="str">
        <f aca="false">IF(A4866="","",DATE(YEAR(A4866),MONTH(A4866),1))</f>
        <v/>
      </c>
    </row>
    <row r="4867" customFormat="false" ht="15" hidden="false" customHeight="false" outlineLevel="0" collapsed="false">
      <c r="A4867" s="21"/>
      <c r="B4867" s="4"/>
      <c r="C4867" s="22"/>
      <c r="D4867" s="5" t="str">
        <f aca="false">IF(B4867="","",IFERROR(INDEX(DE_PARA!$B$6:$B$205,MATCH(B4867,DE_PARA!$A$6:$A$205,0)),"SEM DE-PARA"))</f>
        <v/>
      </c>
      <c r="E4867" s="23" t="str">
        <f aca="false">IF(A4867="","",DATE(YEAR(A4867),MONTH(A4867),1))</f>
        <v/>
      </c>
    </row>
    <row r="4868" customFormat="false" ht="15" hidden="false" customHeight="false" outlineLevel="0" collapsed="false">
      <c r="A4868" s="21"/>
      <c r="B4868" s="4"/>
      <c r="C4868" s="22"/>
      <c r="D4868" s="5" t="str">
        <f aca="false">IF(B4868="","",IFERROR(INDEX(DE_PARA!$B$6:$B$205,MATCH(B4868,DE_PARA!$A$6:$A$205,0)),"SEM DE-PARA"))</f>
        <v/>
      </c>
      <c r="E4868" s="23" t="str">
        <f aca="false">IF(A4868="","",DATE(YEAR(A4868),MONTH(A4868),1))</f>
        <v/>
      </c>
    </row>
    <row r="4869" customFormat="false" ht="15" hidden="false" customHeight="false" outlineLevel="0" collapsed="false">
      <c r="A4869" s="21"/>
      <c r="B4869" s="4"/>
      <c r="C4869" s="22"/>
      <c r="D4869" s="5" t="str">
        <f aca="false">IF(B4869="","",IFERROR(INDEX(DE_PARA!$B$6:$B$205,MATCH(B4869,DE_PARA!$A$6:$A$205,0)),"SEM DE-PARA"))</f>
        <v/>
      </c>
      <c r="E4869" s="23" t="str">
        <f aca="false">IF(A4869="","",DATE(YEAR(A4869),MONTH(A4869),1))</f>
        <v/>
      </c>
    </row>
    <row r="4870" customFormat="false" ht="15" hidden="false" customHeight="false" outlineLevel="0" collapsed="false">
      <c r="A4870" s="21"/>
      <c r="B4870" s="4"/>
      <c r="C4870" s="22"/>
      <c r="D4870" s="5" t="str">
        <f aca="false">IF(B4870="","",IFERROR(INDEX(DE_PARA!$B$6:$B$205,MATCH(B4870,DE_PARA!$A$6:$A$205,0)),"SEM DE-PARA"))</f>
        <v/>
      </c>
      <c r="E4870" s="23" t="str">
        <f aca="false">IF(A4870="","",DATE(YEAR(A4870),MONTH(A4870),1))</f>
        <v/>
      </c>
    </row>
    <row r="4871" customFormat="false" ht="15" hidden="false" customHeight="false" outlineLevel="0" collapsed="false">
      <c r="A4871" s="21"/>
      <c r="B4871" s="4"/>
      <c r="C4871" s="22"/>
      <c r="D4871" s="5" t="str">
        <f aca="false">IF(B4871="","",IFERROR(INDEX(DE_PARA!$B$6:$B$205,MATCH(B4871,DE_PARA!$A$6:$A$205,0)),"SEM DE-PARA"))</f>
        <v/>
      </c>
      <c r="E4871" s="23" t="str">
        <f aca="false">IF(A4871="","",DATE(YEAR(A4871),MONTH(A4871),1))</f>
        <v/>
      </c>
    </row>
    <row r="4872" customFormat="false" ht="15" hidden="false" customHeight="false" outlineLevel="0" collapsed="false">
      <c r="A4872" s="21"/>
      <c r="B4872" s="4"/>
      <c r="C4872" s="22"/>
      <c r="D4872" s="5" t="str">
        <f aca="false">IF(B4872="","",IFERROR(INDEX(DE_PARA!$B$6:$B$205,MATCH(B4872,DE_PARA!$A$6:$A$205,0)),"SEM DE-PARA"))</f>
        <v/>
      </c>
      <c r="E4872" s="23" t="str">
        <f aca="false">IF(A4872="","",DATE(YEAR(A4872),MONTH(A4872),1))</f>
        <v/>
      </c>
    </row>
    <row r="4873" customFormat="false" ht="15" hidden="false" customHeight="false" outlineLevel="0" collapsed="false">
      <c r="A4873" s="21"/>
      <c r="B4873" s="4"/>
      <c r="C4873" s="22"/>
      <c r="D4873" s="5" t="str">
        <f aca="false">IF(B4873="","",IFERROR(INDEX(DE_PARA!$B$6:$B$205,MATCH(B4873,DE_PARA!$A$6:$A$205,0)),"SEM DE-PARA"))</f>
        <v/>
      </c>
      <c r="E4873" s="23" t="str">
        <f aca="false">IF(A4873="","",DATE(YEAR(A4873),MONTH(A4873),1))</f>
        <v/>
      </c>
    </row>
    <row r="4874" customFormat="false" ht="15" hidden="false" customHeight="false" outlineLevel="0" collapsed="false">
      <c r="A4874" s="21"/>
      <c r="B4874" s="4"/>
      <c r="C4874" s="22"/>
      <c r="D4874" s="5" t="str">
        <f aca="false">IF(B4874="","",IFERROR(INDEX(DE_PARA!$B$6:$B$205,MATCH(B4874,DE_PARA!$A$6:$A$205,0)),"SEM DE-PARA"))</f>
        <v/>
      </c>
      <c r="E4874" s="23" t="str">
        <f aca="false">IF(A4874="","",DATE(YEAR(A4874),MONTH(A4874),1))</f>
        <v/>
      </c>
    </row>
    <row r="4875" customFormat="false" ht="15" hidden="false" customHeight="false" outlineLevel="0" collapsed="false">
      <c r="A4875" s="21"/>
      <c r="B4875" s="4"/>
      <c r="C4875" s="22"/>
      <c r="D4875" s="5" t="str">
        <f aca="false">IF(B4875="","",IFERROR(INDEX(DE_PARA!$B$6:$B$205,MATCH(B4875,DE_PARA!$A$6:$A$205,0)),"SEM DE-PARA"))</f>
        <v/>
      </c>
      <c r="E4875" s="23" t="str">
        <f aca="false">IF(A4875="","",DATE(YEAR(A4875),MONTH(A4875),1))</f>
        <v/>
      </c>
    </row>
    <row r="4876" customFormat="false" ht="15" hidden="false" customHeight="false" outlineLevel="0" collapsed="false">
      <c r="A4876" s="21"/>
      <c r="B4876" s="4"/>
      <c r="C4876" s="22"/>
      <c r="D4876" s="5" t="str">
        <f aca="false">IF(B4876="","",IFERROR(INDEX(DE_PARA!$B$6:$B$205,MATCH(B4876,DE_PARA!$A$6:$A$205,0)),"SEM DE-PARA"))</f>
        <v/>
      </c>
      <c r="E4876" s="23" t="str">
        <f aca="false">IF(A4876="","",DATE(YEAR(A4876),MONTH(A4876),1))</f>
        <v/>
      </c>
    </row>
    <row r="4877" customFormat="false" ht="15" hidden="false" customHeight="false" outlineLevel="0" collapsed="false">
      <c r="A4877" s="21"/>
      <c r="B4877" s="4"/>
      <c r="C4877" s="22"/>
      <c r="D4877" s="5" t="str">
        <f aca="false">IF(B4877="","",IFERROR(INDEX(DE_PARA!$B$6:$B$205,MATCH(B4877,DE_PARA!$A$6:$A$205,0)),"SEM DE-PARA"))</f>
        <v/>
      </c>
      <c r="E4877" s="23" t="str">
        <f aca="false">IF(A4877="","",DATE(YEAR(A4877),MONTH(A4877),1))</f>
        <v/>
      </c>
    </row>
    <row r="4878" customFormat="false" ht="15" hidden="false" customHeight="false" outlineLevel="0" collapsed="false">
      <c r="A4878" s="21"/>
      <c r="B4878" s="4"/>
      <c r="C4878" s="22"/>
      <c r="D4878" s="5" t="str">
        <f aca="false">IF(B4878="","",IFERROR(INDEX(DE_PARA!$B$6:$B$205,MATCH(B4878,DE_PARA!$A$6:$A$205,0)),"SEM DE-PARA"))</f>
        <v/>
      </c>
      <c r="E4878" s="23" t="str">
        <f aca="false">IF(A4878="","",DATE(YEAR(A4878),MONTH(A4878),1))</f>
        <v/>
      </c>
    </row>
    <row r="4879" customFormat="false" ht="15" hidden="false" customHeight="false" outlineLevel="0" collapsed="false">
      <c r="A4879" s="21"/>
      <c r="B4879" s="4"/>
      <c r="C4879" s="22"/>
      <c r="D4879" s="5" t="str">
        <f aca="false">IF(B4879="","",IFERROR(INDEX(DE_PARA!$B$6:$B$205,MATCH(B4879,DE_PARA!$A$6:$A$205,0)),"SEM DE-PARA"))</f>
        <v/>
      </c>
      <c r="E4879" s="23" t="str">
        <f aca="false">IF(A4879="","",DATE(YEAR(A4879),MONTH(A4879),1))</f>
        <v/>
      </c>
    </row>
    <row r="4880" customFormat="false" ht="15" hidden="false" customHeight="false" outlineLevel="0" collapsed="false">
      <c r="A4880" s="21"/>
      <c r="B4880" s="4"/>
      <c r="C4880" s="22"/>
      <c r="D4880" s="5" t="str">
        <f aca="false">IF(B4880="","",IFERROR(INDEX(DE_PARA!$B$6:$B$205,MATCH(B4880,DE_PARA!$A$6:$A$205,0)),"SEM DE-PARA"))</f>
        <v/>
      </c>
      <c r="E4880" s="23" t="str">
        <f aca="false">IF(A4880="","",DATE(YEAR(A4880),MONTH(A4880),1))</f>
        <v/>
      </c>
    </row>
    <row r="4881" customFormat="false" ht="15" hidden="false" customHeight="false" outlineLevel="0" collapsed="false">
      <c r="A4881" s="21"/>
      <c r="B4881" s="4"/>
      <c r="C4881" s="22"/>
      <c r="D4881" s="5" t="str">
        <f aca="false">IF(B4881="","",IFERROR(INDEX(DE_PARA!$B$6:$B$205,MATCH(B4881,DE_PARA!$A$6:$A$205,0)),"SEM DE-PARA"))</f>
        <v/>
      </c>
      <c r="E4881" s="23" t="str">
        <f aca="false">IF(A4881="","",DATE(YEAR(A4881),MONTH(A4881),1))</f>
        <v/>
      </c>
    </row>
    <row r="4882" customFormat="false" ht="15" hidden="false" customHeight="false" outlineLevel="0" collapsed="false">
      <c r="A4882" s="21"/>
      <c r="B4882" s="4"/>
      <c r="C4882" s="22"/>
      <c r="D4882" s="5" t="str">
        <f aca="false">IF(B4882="","",IFERROR(INDEX(DE_PARA!$B$6:$B$205,MATCH(B4882,DE_PARA!$A$6:$A$205,0)),"SEM DE-PARA"))</f>
        <v/>
      </c>
      <c r="E4882" s="23" t="str">
        <f aca="false">IF(A4882="","",DATE(YEAR(A4882),MONTH(A4882),1))</f>
        <v/>
      </c>
    </row>
    <row r="4883" customFormat="false" ht="15" hidden="false" customHeight="false" outlineLevel="0" collapsed="false">
      <c r="A4883" s="21"/>
      <c r="B4883" s="4"/>
      <c r="C4883" s="22"/>
      <c r="D4883" s="5" t="str">
        <f aca="false">IF(B4883="","",IFERROR(INDEX(DE_PARA!$B$6:$B$205,MATCH(B4883,DE_PARA!$A$6:$A$205,0)),"SEM DE-PARA"))</f>
        <v/>
      </c>
      <c r="E4883" s="23" t="str">
        <f aca="false">IF(A4883="","",DATE(YEAR(A4883),MONTH(A4883),1))</f>
        <v/>
      </c>
    </row>
    <row r="4884" customFormat="false" ht="15" hidden="false" customHeight="false" outlineLevel="0" collapsed="false">
      <c r="A4884" s="21"/>
      <c r="B4884" s="4"/>
      <c r="C4884" s="22"/>
      <c r="D4884" s="5" t="str">
        <f aca="false">IF(B4884="","",IFERROR(INDEX(DE_PARA!$B$6:$B$205,MATCH(B4884,DE_PARA!$A$6:$A$205,0)),"SEM DE-PARA"))</f>
        <v/>
      </c>
      <c r="E4884" s="23" t="str">
        <f aca="false">IF(A4884="","",DATE(YEAR(A4884),MONTH(A4884),1))</f>
        <v/>
      </c>
    </row>
    <row r="4885" customFormat="false" ht="15" hidden="false" customHeight="false" outlineLevel="0" collapsed="false">
      <c r="A4885" s="21"/>
      <c r="B4885" s="4"/>
      <c r="C4885" s="22"/>
      <c r="D4885" s="5" t="str">
        <f aca="false">IF(B4885="","",IFERROR(INDEX(DE_PARA!$B$6:$B$205,MATCH(B4885,DE_PARA!$A$6:$A$205,0)),"SEM DE-PARA"))</f>
        <v/>
      </c>
      <c r="E4885" s="23" t="str">
        <f aca="false">IF(A4885="","",DATE(YEAR(A4885),MONTH(A4885),1))</f>
        <v/>
      </c>
    </row>
    <row r="4886" customFormat="false" ht="15" hidden="false" customHeight="false" outlineLevel="0" collapsed="false">
      <c r="A4886" s="21"/>
      <c r="B4886" s="4"/>
      <c r="C4886" s="22"/>
      <c r="D4886" s="5" t="str">
        <f aca="false">IF(B4886="","",IFERROR(INDEX(DE_PARA!$B$6:$B$205,MATCH(B4886,DE_PARA!$A$6:$A$205,0)),"SEM DE-PARA"))</f>
        <v/>
      </c>
      <c r="E4886" s="23" t="str">
        <f aca="false">IF(A4886="","",DATE(YEAR(A4886),MONTH(A4886),1))</f>
        <v/>
      </c>
    </row>
    <row r="4887" customFormat="false" ht="15" hidden="false" customHeight="false" outlineLevel="0" collapsed="false">
      <c r="A4887" s="21"/>
      <c r="B4887" s="4"/>
      <c r="C4887" s="22"/>
      <c r="D4887" s="5" t="str">
        <f aca="false">IF(B4887="","",IFERROR(INDEX(DE_PARA!$B$6:$B$205,MATCH(B4887,DE_PARA!$A$6:$A$205,0)),"SEM DE-PARA"))</f>
        <v/>
      </c>
      <c r="E4887" s="23" t="str">
        <f aca="false">IF(A4887="","",DATE(YEAR(A4887),MONTH(A4887),1))</f>
        <v/>
      </c>
    </row>
    <row r="4888" customFormat="false" ht="15" hidden="false" customHeight="false" outlineLevel="0" collapsed="false">
      <c r="A4888" s="21"/>
      <c r="B4888" s="4"/>
      <c r="C4888" s="22"/>
      <c r="D4888" s="5" t="str">
        <f aca="false">IF(B4888="","",IFERROR(INDEX(DE_PARA!$B$6:$B$205,MATCH(B4888,DE_PARA!$A$6:$A$205,0)),"SEM DE-PARA"))</f>
        <v/>
      </c>
      <c r="E4888" s="23" t="str">
        <f aca="false">IF(A4888="","",DATE(YEAR(A4888),MONTH(A4888),1))</f>
        <v/>
      </c>
    </row>
    <row r="4889" customFormat="false" ht="15" hidden="false" customHeight="false" outlineLevel="0" collapsed="false">
      <c r="A4889" s="21"/>
      <c r="B4889" s="4"/>
      <c r="C4889" s="22"/>
      <c r="D4889" s="5" t="str">
        <f aca="false">IF(B4889="","",IFERROR(INDEX(DE_PARA!$B$6:$B$205,MATCH(B4889,DE_PARA!$A$6:$A$205,0)),"SEM DE-PARA"))</f>
        <v/>
      </c>
      <c r="E4889" s="23" t="str">
        <f aca="false">IF(A4889="","",DATE(YEAR(A4889),MONTH(A4889),1))</f>
        <v/>
      </c>
    </row>
    <row r="4890" customFormat="false" ht="15" hidden="false" customHeight="false" outlineLevel="0" collapsed="false">
      <c r="A4890" s="21"/>
      <c r="B4890" s="4"/>
      <c r="C4890" s="22"/>
      <c r="D4890" s="5" t="str">
        <f aca="false">IF(B4890="","",IFERROR(INDEX(DE_PARA!$B$6:$B$205,MATCH(B4890,DE_PARA!$A$6:$A$205,0)),"SEM DE-PARA"))</f>
        <v/>
      </c>
      <c r="E4890" s="23" t="str">
        <f aca="false">IF(A4890="","",DATE(YEAR(A4890),MONTH(A4890),1))</f>
        <v/>
      </c>
    </row>
    <row r="4891" customFormat="false" ht="15" hidden="false" customHeight="false" outlineLevel="0" collapsed="false">
      <c r="A4891" s="21"/>
      <c r="B4891" s="4"/>
      <c r="C4891" s="22"/>
      <c r="D4891" s="5" t="str">
        <f aca="false">IF(B4891="","",IFERROR(INDEX(DE_PARA!$B$6:$B$205,MATCH(B4891,DE_PARA!$A$6:$A$205,0)),"SEM DE-PARA"))</f>
        <v/>
      </c>
      <c r="E4891" s="23" t="str">
        <f aca="false">IF(A4891="","",DATE(YEAR(A4891),MONTH(A4891),1))</f>
        <v/>
      </c>
    </row>
    <row r="4892" customFormat="false" ht="15" hidden="false" customHeight="false" outlineLevel="0" collapsed="false">
      <c r="A4892" s="21"/>
      <c r="B4892" s="4"/>
      <c r="C4892" s="22"/>
      <c r="D4892" s="5" t="str">
        <f aca="false">IF(B4892="","",IFERROR(INDEX(DE_PARA!$B$6:$B$205,MATCH(B4892,DE_PARA!$A$6:$A$205,0)),"SEM DE-PARA"))</f>
        <v/>
      </c>
      <c r="E4892" s="23" t="str">
        <f aca="false">IF(A4892="","",DATE(YEAR(A4892),MONTH(A4892),1))</f>
        <v/>
      </c>
    </row>
    <row r="4893" customFormat="false" ht="15" hidden="false" customHeight="false" outlineLevel="0" collapsed="false">
      <c r="A4893" s="21"/>
      <c r="B4893" s="4"/>
      <c r="C4893" s="22"/>
      <c r="D4893" s="5" t="str">
        <f aca="false">IF(B4893="","",IFERROR(INDEX(DE_PARA!$B$6:$B$205,MATCH(B4893,DE_PARA!$A$6:$A$205,0)),"SEM DE-PARA"))</f>
        <v/>
      </c>
      <c r="E4893" s="23" t="str">
        <f aca="false">IF(A4893="","",DATE(YEAR(A4893),MONTH(A4893),1))</f>
        <v/>
      </c>
    </row>
    <row r="4894" customFormat="false" ht="15" hidden="false" customHeight="false" outlineLevel="0" collapsed="false">
      <c r="A4894" s="21"/>
      <c r="B4894" s="4"/>
      <c r="C4894" s="22"/>
      <c r="D4894" s="5" t="str">
        <f aca="false">IF(B4894="","",IFERROR(INDEX(DE_PARA!$B$6:$B$205,MATCH(B4894,DE_PARA!$A$6:$A$205,0)),"SEM DE-PARA"))</f>
        <v/>
      </c>
      <c r="E4894" s="23" t="str">
        <f aca="false">IF(A4894="","",DATE(YEAR(A4894),MONTH(A4894),1))</f>
        <v/>
      </c>
    </row>
    <row r="4895" customFormat="false" ht="15" hidden="false" customHeight="false" outlineLevel="0" collapsed="false">
      <c r="A4895" s="21"/>
      <c r="B4895" s="4"/>
      <c r="C4895" s="22"/>
      <c r="D4895" s="5" t="str">
        <f aca="false">IF(B4895="","",IFERROR(INDEX(DE_PARA!$B$6:$B$205,MATCH(B4895,DE_PARA!$A$6:$A$205,0)),"SEM DE-PARA"))</f>
        <v/>
      </c>
      <c r="E4895" s="23" t="str">
        <f aca="false">IF(A4895="","",DATE(YEAR(A4895),MONTH(A4895),1))</f>
        <v/>
      </c>
    </row>
    <row r="4896" customFormat="false" ht="15" hidden="false" customHeight="false" outlineLevel="0" collapsed="false">
      <c r="A4896" s="21"/>
      <c r="B4896" s="4"/>
      <c r="C4896" s="22"/>
      <c r="D4896" s="5" t="str">
        <f aca="false">IF(B4896="","",IFERROR(INDEX(DE_PARA!$B$6:$B$205,MATCH(B4896,DE_PARA!$A$6:$A$205,0)),"SEM DE-PARA"))</f>
        <v/>
      </c>
      <c r="E4896" s="23" t="str">
        <f aca="false">IF(A4896="","",DATE(YEAR(A4896),MONTH(A4896),1))</f>
        <v/>
      </c>
    </row>
    <row r="4897" customFormat="false" ht="15" hidden="false" customHeight="false" outlineLevel="0" collapsed="false">
      <c r="A4897" s="21"/>
      <c r="B4897" s="4"/>
      <c r="C4897" s="22"/>
      <c r="D4897" s="5" t="str">
        <f aca="false">IF(B4897="","",IFERROR(INDEX(DE_PARA!$B$6:$B$205,MATCH(B4897,DE_PARA!$A$6:$A$205,0)),"SEM DE-PARA"))</f>
        <v/>
      </c>
      <c r="E4897" s="23" t="str">
        <f aca="false">IF(A4897="","",DATE(YEAR(A4897),MONTH(A4897),1))</f>
        <v/>
      </c>
    </row>
    <row r="4898" customFormat="false" ht="15" hidden="false" customHeight="false" outlineLevel="0" collapsed="false">
      <c r="A4898" s="21"/>
      <c r="B4898" s="4"/>
      <c r="C4898" s="22"/>
      <c r="D4898" s="5" t="str">
        <f aca="false">IF(B4898="","",IFERROR(INDEX(DE_PARA!$B$6:$B$205,MATCH(B4898,DE_PARA!$A$6:$A$205,0)),"SEM DE-PARA"))</f>
        <v/>
      </c>
      <c r="E4898" s="23" t="str">
        <f aca="false">IF(A4898="","",DATE(YEAR(A4898),MONTH(A4898),1))</f>
        <v/>
      </c>
    </row>
    <row r="4899" customFormat="false" ht="15" hidden="false" customHeight="false" outlineLevel="0" collapsed="false">
      <c r="A4899" s="21"/>
      <c r="B4899" s="4"/>
      <c r="C4899" s="22"/>
      <c r="D4899" s="5" t="str">
        <f aca="false">IF(B4899="","",IFERROR(INDEX(DE_PARA!$B$6:$B$205,MATCH(B4899,DE_PARA!$A$6:$A$205,0)),"SEM DE-PARA"))</f>
        <v/>
      </c>
      <c r="E4899" s="23" t="str">
        <f aca="false">IF(A4899="","",DATE(YEAR(A4899),MONTH(A4899),1))</f>
        <v/>
      </c>
    </row>
    <row r="4900" customFormat="false" ht="15" hidden="false" customHeight="false" outlineLevel="0" collapsed="false">
      <c r="A4900" s="21"/>
      <c r="B4900" s="4"/>
      <c r="C4900" s="22"/>
      <c r="D4900" s="5" t="str">
        <f aca="false">IF(B4900="","",IFERROR(INDEX(DE_PARA!$B$6:$B$205,MATCH(B4900,DE_PARA!$A$6:$A$205,0)),"SEM DE-PARA"))</f>
        <v/>
      </c>
      <c r="E4900" s="23" t="str">
        <f aca="false">IF(A4900="","",DATE(YEAR(A4900),MONTH(A4900),1))</f>
        <v/>
      </c>
    </row>
    <row r="4901" customFormat="false" ht="15" hidden="false" customHeight="false" outlineLevel="0" collapsed="false">
      <c r="A4901" s="21"/>
      <c r="B4901" s="4"/>
      <c r="C4901" s="22"/>
      <c r="D4901" s="5" t="str">
        <f aca="false">IF(B4901="","",IFERROR(INDEX(DE_PARA!$B$6:$B$205,MATCH(B4901,DE_PARA!$A$6:$A$205,0)),"SEM DE-PARA"))</f>
        <v/>
      </c>
      <c r="E4901" s="23" t="str">
        <f aca="false">IF(A4901="","",DATE(YEAR(A4901),MONTH(A4901),1))</f>
        <v/>
      </c>
    </row>
    <row r="4902" customFormat="false" ht="15" hidden="false" customHeight="false" outlineLevel="0" collapsed="false">
      <c r="A4902" s="21"/>
      <c r="B4902" s="4"/>
      <c r="C4902" s="22"/>
      <c r="D4902" s="5" t="str">
        <f aca="false">IF(B4902="","",IFERROR(INDEX(DE_PARA!$B$6:$B$205,MATCH(B4902,DE_PARA!$A$6:$A$205,0)),"SEM DE-PARA"))</f>
        <v/>
      </c>
      <c r="E4902" s="23" t="str">
        <f aca="false">IF(A4902="","",DATE(YEAR(A4902),MONTH(A4902),1))</f>
        <v/>
      </c>
    </row>
    <row r="4903" customFormat="false" ht="15" hidden="false" customHeight="false" outlineLevel="0" collapsed="false">
      <c r="A4903" s="21"/>
      <c r="B4903" s="4"/>
      <c r="C4903" s="22"/>
      <c r="D4903" s="5" t="str">
        <f aca="false">IF(B4903="","",IFERROR(INDEX(DE_PARA!$B$6:$B$205,MATCH(B4903,DE_PARA!$A$6:$A$205,0)),"SEM DE-PARA"))</f>
        <v/>
      </c>
      <c r="E4903" s="23" t="str">
        <f aca="false">IF(A4903="","",DATE(YEAR(A4903),MONTH(A4903),1))</f>
        <v/>
      </c>
    </row>
    <row r="4904" customFormat="false" ht="15" hidden="false" customHeight="false" outlineLevel="0" collapsed="false">
      <c r="A4904" s="21"/>
      <c r="B4904" s="4"/>
      <c r="C4904" s="22"/>
      <c r="D4904" s="5" t="str">
        <f aca="false">IF(B4904="","",IFERROR(INDEX(DE_PARA!$B$6:$B$205,MATCH(B4904,DE_PARA!$A$6:$A$205,0)),"SEM DE-PARA"))</f>
        <v/>
      </c>
      <c r="E4904" s="23" t="str">
        <f aca="false">IF(A4904="","",DATE(YEAR(A4904),MONTH(A4904),1))</f>
        <v/>
      </c>
    </row>
    <row r="4905" customFormat="false" ht="15" hidden="false" customHeight="false" outlineLevel="0" collapsed="false">
      <c r="A4905" s="21"/>
      <c r="B4905" s="4"/>
      <c r="C4905" s="22"/>
      <c r="D4905" s="5" t="str">
        <f aca="false">IF(B4905="","",IFERROR(INDEX(DE_PARA!$B$6:$B$205,MATCH(B4905,DE_PARA!$A$6:$A$205,0)),"SEM DE-PARA"))</f>
        <v/>
      </c>
      <c r="E4905" s="23" t="str">
        <f aca="false">IF(A4905="","",DATE(YEAR(A4905),MONTH(A4905),1))</f>
        <v/>
      </c>
    </row>
    <row r="4906" customFormat="false" ht="15" hidden="false" customHeight="false" outlineLevel="0" collapsed="false">
      <c r="A4906" s="21"/>
      <c r="B4906" s="4"/>
      <c r="C4906" s="22"/>
      <c r="D4906" s="5" t="str">
        <f aca="false">IF(B4906="","",IFERROR(INDEX(DE_PARA!$B$6:$B$205,MATCH(B4906,DE_PARA!$A$6:$A$205,0)),"SEM DE-PARA"))</f>
        <v/>
      </c>
      <c r="E4906" s="23" t="str">
        <f aca="false">IF(A4906="","",DATE(YEAR(A4906),MONTH(A4906),1))</f>
        <v/>
      </c>
    </row>
    <row r="4907" customFormat="false" ht="15" hidden="false" customHeight="false" outlineLevel="0" collapsed="false">
      <c r="A4907" s="21"/>
      <c r="B4907" s="4"/>
      <c r="C4907" s="22"/>
      <c r="D4907" s="5" t="str">
        <f aca="false">IF(B4907="","",IFERROR(INDEX(DE_PARA!$B$6:$B$205,MATCH(B4907,DE_PARA!$A$6:$A$205,0)),"SEM DE-PARA"))</f>
        <v/>
      </c>
      <c r="E4907" s="23" t="str">
        <f aca="false">IF(A4907="","",DATE(YEAR(A4907),MONTH(A4907),1))</f>
        <v/>
      </c>
    </row>
    <row r="4908" customFormat="false" ht="15" hidden="false" customHeight="false" outlineLevel="0" collapsed="false">
      <c r="A4908" s="21"/>
      <c r="B4908" s="4"/>
      <c r="C4908" s="22"/>
      <c r="D4908" s="5" t="str">
        <f aca="false">IF(B4908="","",IFERROR(INDEX(DE_PARA!$B$6:$B$205,MATCH(B4908,DE_PARA!$A$6:$A$205,0)),"SEM DE-PARA"))</f>
        <v/>
      </c>
      <c r="E4908" s="23" t="str">
        <f aca="false">IF(A4908="","",DATE(YEAR(A4908),MONTH(A4908),1))</f>
        <v/>
      </c>
    </row>
    <row r="4909" customFormat="false" ht="15" hidden="false" customHeight="false" outlineLevel="0" collapsed="false">
      <c r="A4909" s="21"/>
      <c r="B4909" s="4"/>
      <c r="C4909" s="22"/>
      <c r="D4909" s="5" t="str">
        <f aca="false">IF(B4909="","",IFERROR(INDEX(DE_PARA!$B$6:$B$205,MATCH(B4909,DE_PARA!$A$6:$A$205,0)),"SEM DE-PARA"))</f>
        <v/>
      </c>
      <c r="E4909" s="23" t="str">
        <f aca="false">IF(A4909="","",DATE(YEAR(A4909),MONTH(A4909),1))</f>
        <v/>
      </c>
    </row>
    <row r="4910" customFormat="false" ht="15" hidden="false" customHeight="false" outlineLevel="0" collapsed="false">
      <c r="A4910" s="21"/>
      <c r="B4910" s="4"/>
      <c r="C4910" s="22"/>
      <c r="D4910" s="5" t="str">
        <f aca="false">IF(B4910="","",IFERROR(INDEX(DE_PARA!$B$6:$B$205,MATCH(B4910,DE_PARA!$A$6:$A$205,0)),"SEM DE-PARA"))</f>
        <v/>
      </c>
      <c r="E4910" s="23" t="str">
        <f aca="false">IF(A4910="","",DATE(YEAR(A4910),MONTH(A4910),1))</f>
        <v/>
      </c>
    </row>
    <row r="4911" customFormat="false" ht="15" hidden="false" customHeight="false" outlineLevel="0" collapsed="false">
      <c r="A4911" s="21"/>
      <c r="B4911" s="4"/>
      <c r="C4911" s="22"/>
      <c r="D4911" s="5" t="str">
        <f aca="false">IF(B4911="","",IFERROR(INDEX(DE_PARA!$B$6:$B$205,MATCH(B4911,DE_PARA!$A$6:$A$205,0)),"SEM DE-PARA"))</f>
        <v/>
      </c>
      <c r="E4911" s="23" t="str">
        <f aca="false">IF(A4911="","",DATE(YEAR(A4911),MONTH(A4911),1))</f>
        <v/>
      </c>
    </row>
    <row r="4912" customFormat="false" ht="15" hidden="false" customHeight="false" outlineLevel="0" collapsed="false">
      <c r="A4912" s="21"/>
      <c r="B4912" s="4"/>
      <c r="C4912" s="22"/>
      <c r="D4912" s="5" t="str">
        <f aca="false">IF(B4912="","",IFERROR(INDEX(DE_PARA!$B$6:$B$205,MATCH(B4912,DE_PARA!$A$6:$A$205,0)),"SEM DE-PARA"))</f>
        <v/>
      </c>
      <c r="E4912" s="23" t="str">
        <f aca="false">IF(A4912="","",DATE(YEAR(A4912),MONTH(A4912),1))</f>
        <v/>
      </c>
    </row>
    <row r="4913" customFormat="false" ht="15" hidden="false" customHeight="false" outlineLevel="0" collapsed="false">
      <c r="A4913" s="21"/>
      <c r="B4913" s="4"/>
      <c r="C4913" s="22"/>
      <c r="D4913" s="5" t="str">
        <f aca="false">IF(B4913="","",IFERROR(INDEX(DE_PARA!$B$6:$B$205,MATCH(B4913,DE_PARA!$A$6:$A$205,0)),"SEM DE-PARA"))</f>
        <v/>
      </c>
      <c r="E4913" s="23" t="str">
        <f aca="false">IF(A4913="","",DATE(YEAR(A4913),MONTH(A4913),1))</f>
        <v/>
      </c>
    </row>
    <row r="4914" customFormat="false" ht="15" hidden="false" customHeight="false" outlineLevel="0" collapsed="false">
      <c r="A4914" s="21"/>
      <c r="B4914" s="4"/>
      <c r="C4914" s="22"/>
      <c r="D4914" s="5" t="str">
        <f aca="false">IF(B4914="","",IFERROR(INDEX(DE_PARA!$B$6:$B$205,MATCH(B4914,DE_PARA!$A$6:$A$205,0)),"SEM DE-PARA"))</f>
        <v/>
      </c>
      <c r="E4914" s="23" t="str">
        <f aca="false">IF(A4914="","",DATE(YEAR(A4914),MONTH(A4914),1))</f>
        <v/>
      </c>
    </row>
    <row r="4915" customFormat="false" ht="15" hidden="false" customHeight="false" outlineLevel="0" collapsed="false">
      <c r="A4915" s="21"/>
      <c r="B4915" s="4"/>
      <c r="C4915" s="22"/>
      <c r="D4915" s="5" t="str">
        <f aca="false">IF(B4915="","",IFERROR(INDEX(DE_PARA!$B$6:$B$205,MATCH(B4915,DE_PARA!$A$6:$A$205,0)),"SEM DE-PARA"))</f>
        <v/>
      </c>
      <c r="E4915" s="23" t="str">
        <f aca="false">IF(A4915="","",DATE(YEAR(A4915),MONTH(A4915),1))</f>
        <v/>
      </c>
    </row>
    <row r="4916" customFormat="false" ht="15" hidden="false" customHeight="false" outlineLevel="0" collapsed="false">
      <c r="A4916" s="21"/>
      <c r="B4916" s="4"/>
      <c r="C4916" s="22"/>
      <c r="D4916" s="5" t="str">
        <f aca="false">IF(B4916="","",IFERROR(INDEX(DE_PARA!$B$6:$B$205,MATCH(B4916,DE_PARA!$A$6:$A$205,0)),"SEM DE-PARA"))</f>
        <v/>
      </c>
      <c r="E4916" s="23" t="str">
        <f aca="false">IF(A4916="","",DATE(YEAR(A4916),MONTH(A4916),1))</f>
        <v/>
      </c>
    </row>
    <row r="4917" customFormat="false" ht="15" hidden="false" customHeight="false" outlineLevel="0" collapsed="false">
      <c r="A4917" s="21"/>
      <c r="B4917" s="4"/>
      <c r="C4917" s="22"/>
      <c r="D4917" s="5" t="str">
        <f aca="false">IF(B4917="","",IFERROR(INDEX(DE_PARA!$B$6:$B$205,MATCH(B4917,DE_PARA!$A$6:$A$205,0)),"SEM DE-PARA"))</f>
        <v/>
      </c>
      <c r="E4917" s="23" t="str">
        <f aca="false">IF(A4917="","",DATE(YEAR(A4917),MONTH(A4917),1))</f>
        <v/>
      </c>
    </row>
    <row r="4918" customFormat="false" ht="15" hidden="false" customHeight="false" outlineLevel="0" collapsed="false">
      <c r="A4918" s="21"/>
      <c r="B4918" s="4"/>
      <c r="C4918" s="22"/>
      <c r="D4918" s="5" t="str">
        <f aca="false">IF(B4918="","",IFERROR(INDEX(DE_PARA!$B$6:$B$205,MATCH(B4918,DE_PARA!$A$6:$A$205,0)),"SEM DE-PARA"))</f>
        <v/>
      </c>
      <c r="E4918" s="23" t="str">
        <f aca="false">IF(A4918="","",DATE(YEAR(A4918),MONTH(A4918),1))</f>
        <v/>
      </c>
    </row>
    <row r="4919" customFormat="false" ht="15" hidden="false" customHeight="false" outlineLevel="0" collapsed="false">
      <c r="A4919" s="21"/>
      <c r="B4919" s="4"/>
      <c r="C4919" s="22"/>
      <c r="D4919" s="5" t="str">
        <f aca="false">IF(B4919="","",IFERROR(INDEX(DE_PARA!$B$6:$B$205,MATCH(B4919,DE_PARA!$A$6:$A$205,0)),"SEM DE-PARA"))</f>
        <v/>
      </c>
      <c r="E4919" s="23" t="str">
        <f aca="false">IF(A4919="","",DATE(YEAR(A4919),MONTH(A4919),1))</f>
        <v/>
      </c>
    </row>
    <row r="4920" customFormat="false" ht="15" hidden="false" customHeight="false" outlineLevel="0" collapsed="false">
      <c r="A4920" s="21"/>
      <c r="B4920" s="4"/>
      <c r="C4920" s="22"/>
      <c r="D4920" s="5" t="str">
        <f aca="false">IF(B4920="","",IFERROR(INDEX(DE_PARA!$B$6:$B$205,MATCH(B4920,DE_PARA!$A$6:$A$205,0)),"SEM DE-PARA"))</f>
        <v/>
      </c>
      <c r="E4920" s="23" t="str">
        <f aca="false">IF(A4920="","",DATE(YEAR(A4920),MONTH(A4920),1))</f>
        <v/>
      </c>
    </row>
    <row r="4921" customFormat="false" ht="15" hidden="false" customHeight="false" outlineLevel="0" collapsed="false">
      <c r="A4921" s="21"/>
      <c r="B4921" s="4"/>
      <c r="C4921" s="22"/>
      <c r="D4921" s="5" t="str">
        <f aca="false">IF(B4921="","",IFERROR(INDEX(DE_PARA!$B$6:$B$205,MATCH(B4921,DE_PARA!$A$6:$A$205,0)),"SEM DE-PARA"))</f>
        <v/>
      </c>
      <c r="E4921" s="23" t="str">
        <f aca="false">IF(A4921="","",DATE(YEAR(A4921),MONTH(A4921),1))</f>
        <v/>
      </c>
    </row>
    <row r="4922" customFormat="false" ht="15" hidden="false" customHeight="false" outlineLevel="0" collapsed="false">
      <c r="A4922" s="21"/>
      <c r="B4922" s="4"/>
      <c r="C4922" s="22"/>
      <c r="D4922" s="5" t="str">
        <f aca="false">IF(B4922="","",IFERROR(INDEX(DE_PARA!$B$6:$B$205,MATCH(B4922,DE_PARA!$A$6:$A$205,0)),"SEM DE-PARA"))</f>
        <v/>
      </c>
      <c r="E4922" s="23" t="str">
        <f aca="false">IF(A4922="","",DATE(YEAR(A4922),MONTH(A4922),1))</f>
        <v/>
      </c>
    </row>
    <row r="4923" customFormat="false" ht="15" hidden="false" customHeight="false" outlineLevel="0" collapsed="false">
      <c r="A4923" s="21"/>
      <c r="B4923" s="4"/>
      <c r="C4923" s="22"/>
      <c r="D4923" s="5" t="str">
        <f aca="false">IF(B4923="","",IFERROR(INDEX(DE_PARA!$B$6:$B$205,MATCH(B4923,DE_PARA!$A$6:$A$205,0)),"SEM DE-PARA"))</f>
        <v/>
      </c>
      <c r="E4923" s="23" t="str">
        <f aca="false">IF(A4923="","",DATE(YEAR(A4923),MONTH(A4923),1))</f>
        <v/>
      </c>
    </row>
    <row r="4924" customFormat="false" ht="15" hidden="false" customHeight="false" outlineLevel="0" collapsed="false">
      <c r="A4924" s="21"/>
      <c r="B4924" s="4"/>
      <c r="C4924" s="22"/>
      <c r="D4924" s="5" t="str">
        <f aca="false">IF(B4924="","",IFERROR(INDEX(DE_PARA!$B$6:$B$205,MATCH(B4924,DE_PARA!$A$6:$A$205,0)),"SEM DE-PARA"))</f>
        <v/>
      </c>
      <c r="E4924" s="23" t="str">
        <f aca="false">IF(A4924="","",DATE(YEAR(A4924),MONTH(A4924),1))</f>
        <v/>
      </c>
    </row>
    <row r="4925" customFormat="false" ht="15" hidden="false" customHeight="false" outlineLevel="0" collapsed="false">
      <c r="A4925" s="21"/>
      <c r="B4925" s="4"/>
      <c r="C4925" s="22"/>
      <c r="D4925" s="5" t="str">
        <f aca="false">IF(B4925="","",IFERROR(INDEX(DE_PARA!$B$6:$B$205,MATCH(B4925,DE_PARA!$A$6:$A$205,0)),"SEM DE-PARA"))</f>
        <v/>
      </c>
      <c r="E4925" s="23" t="str">
        <f aca="false">IF(A4925="","",DATE(YEAR(A4925),MONTH(A4925),1))</f>
        <v/>
      </c>
    </row>
    <row r="4926" customFormat="false" ht="15" hidden="false" customHeight="false" outlineLevel="0" collapsed="false">
      <c r="A4926" s="21"/>
      <c r="B4926" s="4"/>
      <c r="C4926" s="22"/>
      <c r="D4926" s="5" t="str">
        <f aca="false">IF(B4926="","",IFERROR(INDEX(DE_PARA!$B$6:$B$205,MATCH(B4926,DE_PARA!$A$6:$A$205,0)),"SEM DE-PARA"))</f>
        <v/>
      </c>
      <c r="E4926" s="23" t="str">
        <f aca="false">IF(A4926="","",DATE(YEAR(A4926),MONTH(A4926),1))</f>
        <v/>
      </c>
    </row>
    <row r="4927" customFormat="false" ht="15" hidden="false" customHeight="false" outlineLevel="0" collapsed="false">
      <c r="A4927" s="21"/>
      <c r="B4927" s="4"/>
      <c r="C4927" s="22"/>
      <c r="D4927" s="5" t="str">
        <f aca="false">IF(B4927="","",IFERROR(INDEX(DE_PARA!$B$6:$B$205,MATCH(B4927,DE_PARA!$A$6:$A$205,0)),"SEM DE-PARA"))</f>
        <v/>
      </c>
      <c r="E4927" s="23" t="str">
        <f aca="false">IF(A4927="","",DATE(YEAR(A4927),MONTH(A4927),1))</f>
        <v/>
      </c>
    </row>
    <row r="4928" customFormat="false" ht="15" hidden="false" customHeight="false" outlineLevel="0" collapsed="false">
      <c r="A4928" s="21"/>
      <c r="B4928" s="4"/>
      <c r="C4928" s="22"/>
      <c r="D4928" s="5" t="str">
        <f aca="false">IF(B4928="","",IFERROR(INDEX(DE_PARA!$B$6:$B$205,MATCH(B4928,DE_PARA!$A$6:$A$205,0)),"SEM DE-PARA"))</f>
        <v/>
      </c>
      <c r="E4928" s="23" t="str">
        <f aca="false">IF(A4928="","",DATE(YEAR(A4928),MONTH(A4928),1))</f>
        <v/>
      </c>
    </row>
    <row r="4929" customFormat="false" ht="15" hidden="false" customHeight="false" outlineLevel="0" collapsed="false">
      <c r="A4929" s="21"/>
      <c r="B4929" s="4"/>
      <c r="C4929" s="22"/>
      <c r="D4929" s="5" t="str">
        <f aca="false">IF(B4929="","",IFERROR(INDEX(DE_PARA!$B$6:$B$205,MATCH(B4929,DE_PARA!$A$6:$A$205,0)),"SEM DE-PARA"))</f>
        <v/>
      </c>
      <c r="E4929" s="23" t="str">
        <f aca="false">IF(A4929="","",DATE(YEAR(A4929),MONTH(A4929),1))</f>
        <v/>
      </c>
    </row>
    <row r="4930" customFormat="false" ht="15" hidden="false" customHeight="false" outlineLevel="0" collapsed="false">
      <c r="A4930" s="21"/>
      <c r="B4930" s="4"/>
      <c r="C4930" s="22"/>
      <c r="D4930" s="5" t="str">
        <f aca="false">IF(B4930="","",IFERROR(INDEX(DE_PARA!$B$6:$B$205,MATCH(B4930,DE_PARA!$A$6:$A$205,0)),"SEM DE-PARA"))</f>
        <v/>
      </c>
      <c r="E4930" s="23" t="str">
        <f aca="false">IF(A4930="","",DATE(YEAR(A4930),MONTH(A4930),1))</f>
        <v/>
      </c>
    </row>
    <row r="4931" customFormat="false" ht="15" hidden="false" customHeight="false" outlineLevel="0" collapsed="false">
      <c r="A4931" s="21"/>
      <c r="B4931" s="4"/>
      <c r="C4931" s="22"/>
      <c r="D4931" s="5" t="str">
        <f aca="false">IF(B4931="","",IFERROR(INDEX(DE_PARA!$B$6:$B$205,MATCH(B4931,DE_PARA!$A$6:$A$205,0)),"SEM DE-PARA"))</f>
        <v/>
      </c>
      <c r="E4931" s="23" t="str">
        <f aca="false">IF(A4931="","",DATE(YEAR(A4931),MONTH(A4931),1))</f>
        <v/>
      </c>
    </row>
    <row r="4932" customFormat="false" ht="15" hidden="false" customHeight="false" outlineLevel="0" collapsed="false">
      <c r="A4932" s="21"/>
      <c r="B4932" s="4"/>
      <c r="C4932" s="22"/>
      <c r="D4932" s="5" t="str">
        <f aca="false">IF(B4932="","",IFERROR(INDEX(DE_PARA!$B$6:$B$205,MATCH(B4932,DE_PARA!$A$6:$A$205,0)),"SEM DE-PARA"))</f>
        <v/>
      </c>
      <c r="E4932" s="23" t="str">
        <f aca="false">IF(A4932="","",DATE(YEAR(A4932),MONTH(A4932),1))</f>
        <v/>
      </c>
    </row>
    <row r="4933" customFormat="false" ht="15" hidden="false" customHeight="false" outlineLevel="0" collapsed="false">
      <c r="A4933" s="21"/>
      <c r="B4933" s="4"/>
      <c r="C4933" s="22"/>
      <c r="D4933" s="5" t="str">
        <f aca="false">IF(B4933="","",IFERROR(INDEX(DE_PARA!$B$6:$B$205,MATCH(B4933,DE_PARA!$A$6:$A$205,0)),"SEM DE-PARA"))</f>
        <v/>
      </c>
      <c r="E4933" s="23" t="str">
        <f aca="false">IF(A4933="","",DATE(YEAR(A4933),MONTH(A4933),1))</f>
        <v/>
      </c>
    </row>
    <row r="4934" customFormat="false" ht="15" hidden="false" customHeight="false" outlineLevel="0" collapsed="false">
      <c r="A4934" s="21"/>
      <c r="B4934" s="4"/>
      <c r="C4934" s="22"/>
      <c r="D4934" s="5" t="str">
        <f aca="false">IF(B4934="","",IFERROR(INDEX(DE_PARA!$B$6:$B$205,MATCH(B4934,DE_PARA!$A$6:$A$205,0)),"SEM DE-PARA"))</f>
        <v/>
      </c>
      <c r="E4934" s="23" t="str">
        <f aca="false">IF(A4934="","",DATE(YEAR(A4934),MONTH(A4934),1))</f>
        <v/>
      </c>
    </row>
    <row r="4935" customFormat="false" ht="15" hidden="false" customHeight="false" outlineLevel="0" collapsed="false">
      <c r="A4935" s="21"/>
      <c r="B4935" s="4"/>
      <c r="C4935" s="22"/>
      <c r="D4935" s="5" t="str">
        <f aca="false">IF(B4935="","",IFERROR(INDEX(DE_PARA!$B$6:$B$205,MATCH(B4935,DE_PARA!$A$6:$A$205,0)),"SEM DE-PARA"))</f>
        <v/>
      </c>
      <c r="E4935" s="23" t="str">
        <f aca="false">IF(A4935="","",DATE(YEAR(A4935),MONTH(A4935),1))</f>
        <v/>
      </c>
    </row>
    <row r="4936" customFormat="false" ht="15" hidden="false" customHeight="false" outlineLevel="0" collapsed="false">
      <c r="A4936" s="21"/>
      <c r="B4936" s="4"/>
      <c r="C4936" s="22"/>
      <c r="D4936" s="5" t="str">
        <f aca="false">IF(B4936="","",IFERROR(INDEX(DE_PARA!$B$6:$B$205,MATCH(B4936,DE_PARA!$A$6:$A$205,0)),"SEM DE-PARA"))</f>
        <v/>
      </c>
      <c r="E4936" s="23" t="str">
        <f aca="false">IF(A4936="","",DATE(YEAR(A4936),MONTH(A4936),1))</f>
        <v/>
      </c>
    </row>
    <row r="4937" customFormat="false" ht="15" hidden="false" customHeight="false" outlineLevel="0" collapsed="false">
      <c r="A4937" s="21"/>
      <c r="B4937" s="4"/>
      <c r="C4937" s="22"/>
      <c r="D4937" s="5" t="str">
        <f aca="false">IF(B4937="","",IFERROR(INDEX(DE_PARA!$B$6:$B$205,MATCH(B4937,DE_PARA!$A$6:$A$205,0)),"SEM DE-PARA"))</f>
        <v/>
      </c>
      <c r="E4937" s="23" t="str">
        <f aca="false">IF(A4937="","",DATE(YEAR(A4937),MONTH(A4937),1))</f>
        <v/>
      </c>
    </row>
    <row r="4938" customFormat="false" ht="15" hidden="false" customHeight="false" outlineLevel="0" collapsed="false">
      <c r="A4938" s="21"/>
      <c r="B4938" s="4"/>
      <c r="C4938" s="22"/>
      <c r="D4938" s="5" t="str">
        <f aca="false">IF(B4938="","",IFERROR(INDEX(DE_PARA!$B$6:$B$205,MATCH(B4938,DE_PARA!$A$6:$A$205,0)),"SEM DE-PARA"))</f>
        <v/>
      </c>
      <c r="E4938" s="23" t="str">
        <f aca="false">IF(A4938="","",DATE(YEAR(A4938),MONTH(A4938),1))</f>
        <v/>
      </c>
    </row>
    <row r="4939" customFormat="false" ht="15" hidden="false" customHeight="false" outlineLevel="0" collapsed="false">
      <c r="A4939" s="21"/>
      <c r="B4939" s="4"/>
      <c r="C4939" s="22"/>
      <c r="D4939" s="5" t="str">
        <f aca="false">IF(B4939="","",IFERROR(INDEX(DE_PARA!$B$6:$B$205,MATCH(B4939,DE_PARA!$A$6:$A$205,0)),"SEM DE-PARA"))</f>
        <v/>
      </c>
      <c r="E4939" s="23" t="str">
        <f aca="false">IF(A4939="","",DATE(YEAR(A4939),MONTH(A4939),1))</f>
        <v/>
      </c>
    </row>
    <row r="4940" customFormat="false" ht="15" hidden="false" customHeight="false" outlineLevel="0" collapsed="false">
      <c r="A4940" s="21"/>
      <c r="B4940" s="4"/>
      <c r="C4940" s="22"/>
      <c r="D4940" s="5" t="str">
        <f aca="false">IF(B4940="","",IFERROR(INDEX(DE_PARA!$B$6:$B$205,MATCH(B4940,DE_PARA!$A$6:$A$205,0)),"SEM DE-PARA"))</f>
        <v/>
      </c>
      <c r="E4940" s="23" t="str">
        <f aca="false">IF(A4940="","",DATE(YEAR(A4940),MONTH(A4940),1))</f>
        <v/>
      </c>
    </row>
    <row r="4941" customFormat="false" ht="15" hidden="false" customHeight="false" outlineLevel="0" collapsed="false">
      <c r="A4941" s="21"/>
      <c r="B4941" s="4"/>
      <c r="C4941" s="22"/>
      <c r="D4941" s="5" t="str">
        <f aca="false">IF(B4941="","",IFERROR(INDEX(DE_PARA!$B$6:$B$205,MATCH(B4941,DE_PARA!$A$6:$A$205,0)),"SEM DE-PARA"))</f>
        <v/>
      </c>
      <c r="E4941" s="23" t="str">
        <f aca="false">IF(A4941="","",DATE(YEAR(A4941),MONTH(A4941),1))</f>
        <v/>
      </c>
    </row>
    <row r="4942" customFormat="false" ht="15" hidden="false" customHeight="false" outlineLevel="0" collapsed="false">
      <c r="A4942" s="21"/>
      <c r="B4942" s="4"/>
      <c r="C4942" s="22"/>
      <c r="D4942" s="5" t="str">
        <f aca="false">IF(B4942="","",IFERROR(INDEX(DE_PARA!$B$6:$B$205,MATCH(B4942,DE_PARA!$A$6:$A$205,0)),"SEM DE-PARA"))</f>
        <v/>
      </c>
      <c r="E4942" s="23" t="str">
        <f aca="false">IF(A4942="","",DATE(YEAR(A4942),MONTH(A4942),1))</f>
        <v/>
      </c>
    </row>
    <row r="4943" customFormat="false" ht="15" hidden="false" customHeight="false" outlineLevel="0" collapsed="false">
      <c r="A4943" s="21"/>
      <c r="B4943" s="4"/>
      <c r="C4943" s="22"/>
      <c r="D4943" s="5" t="str">
        <f aca="false">IF(B4943="","",IFERROR(INDEX(DE_PARA!$B$6:$B$205,MATCH(B4943,DE_PARA!$A$6:$A$205,0)),"SEM DE-PARA"))</f>
        <v/>
      </c>
      <c r="E4943" s="23" t="str">
        <f aca="false">IF(A4943="","",DATE(YEAR(A4943),MONTH(A4943),1))</f>
        <v/>
      </c>
    </row>
    <row r="4944" customFormat="false" ht="15" hidden="false" customHeight="false" outlineLevel="0" collapsed="false">
      <c r="A4944" s="21"/>
      <c r="B4944" s="4"/>
      <c r="C4944" s="22"/>
      <c r="D4944" s="5" t="str">
        <f aca="false">IF(B4944="","",IFERROR(INDEX(DE_PARA!$B$6:$B$205,MATCH(B4944,DE_PARA!$A$6:$A$205,0)),"SEM DE-PARA"))</f>
        <v/>
      </c>
      <c r="E4944" s="23" t="str">
        <f aca="false">IF(A4944="","",DATE(YEAR(A4944),MONTH(A4944),1))</f>
        <v/>
      </c>
    </row>
    <row r="4945" customFormat="false" ht="15" hidden="false" customHeight="false" outlineLevel="0" collapsed="false">
      <c r="A4945" s="21"/>
      <c r="B4945" s="4"/>
      <c r="C4945" s="22"/>
      <c r="D4945" s="5" t="str">
        <f aca="false">IF(B4945="","",IFERROR(INDEX(DE_PARA!$B$6:$B$205,MATCH(B4945,DE_PARA!$A$6:$A$205,0)),"SEM DE-PARA"))</f>
        <v/>
      </c>
      <c r="E4945" s="23" t="str">
        <f aca="false">IF(A4945="","",DATE(YEAR(A4945),MONTH(A4945),1))</f>
        <v/>
      </c>
    </row>
    <row r="4946" customFormat="false" ht="15" hidden="false" customHeight="false" outlineLevel="0" collapsed="false">
      <c r="A4946" s="21"/>
      <c r="B4946" s="4"/>
      <c r="C4946" s="22"/>
      <c r="D4946" s="5" t="str">
        <f aca="false">IF(B4946="","",IFERROR(INDEX(DE_PARA!$B$6:$B$205,MATCH(B4946,DE_PARA!$A$6:$A$205,0)),"SEM DE-PARA"))</f>
        <v/>
      </c>
      <c r="E4946" s="23" t="str">
        <f aca="false">IF(A4946="","",DATE(YEAR(A4946),MONTH(A4946),1))</f>
        <v/>
      </c>
    </row>
    <row r="4947" customFormat="false" ht="15" hidden="false" customHeight="false" outlineLevel="0" collapsed="false">
      <c r="A4947" s="21"/>
      <c r="B4947" s="4"/>
      <c r="C4947" s="22"/>
      <c r="D4947" s="5" t="str">
        <f aca="false">IF(B4947="","",IFERROR(INDEX(DE_PARA!$B$6:$B$205,MATCH(B4947,DE_PARA!$A$6:$A$205,0)),"SEM DE-PARA"))</f>
        <v/>
      </c>
      <c r="E4947" s="23" t="str">
        <f aca="false">IF(A4947="","",DATE(YEAR(A4947),MONTH(A4947),1))</f>
        <v/>
      </c>
    </row>
    <row r="4948" customFormat="false" ht="15" hidden="false" customHeight="false" outlineLevel="0" collapsed="false">
      <c r="A4948" s="21"/>
      <c r="B4948" s="4"/>
      <c r="C4948" s="22"/>
      <c r="D4948" s="5" t="str">
        <f aca="false">IF(B4948="","",IFERROR(INDEX(DE_PARA!$B$6:$B$205,MATCH(B4948,DE_PARA!$A$6:$A$205,0)),"SEM DE-PARA"))</f>
        <v/>
      </c>
      <c r="E4948" s="23" t="str">
        <f aca="false">IF(A4948="","",DATE(YEAR(A4948),MONTH(A4948),1))</f>
        <v/>
      </c>
    </row>
    <row r="4949" customFormat="false" ht="15" hidden="false" customHeight="false" outlineLevel="0" collapsed="false">
      <c r="A4949" s="21"/>
      <c r="B4949" s="4"/>
      <c r="C4949" s="22"/>
      <c r="D4949" s="5" t="str">
        <f aca="false">IF(B4949="","",IFERROR(INDEX(DE_PARA!$B$6:$B$205,MATCH(B4949,DE_PARA!$A$6:$A$205,0)),"SEM DE-PARA"))</f>
        <v/>
      </c>
      <c r="E4949" s="23" t="str">
        <f aca="false">IF(A4949="","",DATE(YEAR(A4949),MONTH(A4949),1))</f>
        <v/>
      </c>
    </row>
    <row r="4950" customFormat="false" ht="15" hidden="false" customHeight="false" outlineLevel="0" collapsed="false">
      <c r="A4950" s="21"/>
      <c r="B4950" s="4"/>
      <c r="C4950" s="22"/>
      <c r="D4950" s="5" t="str">
        <f aca="false">IF(B4950="","",IFERROR(INDEX(DE_PARA!$B$6:$B$205,MATCH(B4950,DE_PARA!$A$6:$A$205,0)),"SEM DE-PARA"))</f>
        <v/>
      </c>
      <c r="E4950" s="23" t="str">
        <f aca="false">IF(A4950="","",DATE(YEAR(A4950),MONTH(A4950),1))</f>
        <v/>
      </c>
    </row>
    <row r="4951" customFormat="false" ht="15" hidden="false" customHeight="false" outlineLevel="0" collapsed="false">
      <c r="A4951" s="21"/>
      <c r="B4951" s="4"/>
      <c r="C4951" s="22"/>
      <c r="D4951" s="5" t="str">
        <f aca="false">IF(B4951="","",IFERROR(INDEX(DE_PARA!$B$6:$B$205,MATCH(B4951,DE_PARA!$A$6:$A$205,0)),"SEM DE-PARA"))</f>
        <v/>
      </c>
      <c r="E4951" s="23" t="str">
        <f aca="false">IF(A4951="","",DATE(YEAR(A4951),MONTH(A4951),1))</f>
        <v/>
      </c>
    </row>
    <row r="4952" customFormat="false" ht="15" hidden="false" customHeight="false" outlineLevel="0" collapsed="false">
      <c r="A4952" s="21"/>
      <c r="B4952" s="4"/>
      <c r="C4952" s="22"/>
      <c r="D4952" s="5" t="str">
        <f aca="false">IF(B4952="","",IFERROR(INDEX(DE_PARA!$B$6:$B$205,MATCH(B4952,DE_PARA!$A$6:$A$205,0)),"SEM DE-PARA"))</f>
        <v/>
      </c>
      <c r="E4952" s="23" t="str">
        <f aca="false">IF(A4952="","",DATE(YEAR(A4952),MONTH(A4952),1))</f>
        <v/>
      </c>
    </row>
    <row r="4953" customFormat="false" ht="15" hidden="false" customHeight="false" outlineLevel="0" collapsed="false">
      <c r="A4953" s="21"/>
      <c r="B4953" s="4"/>
      <c r="C4953" s="22"/>
      <c r="D4953" s="5" t="str">
        <f aca="false">IF(B4953="","",IFERROR(INDEX(DE_PARA!$B$6:$B$205,MATCH(B4953,DE_PARA!$A$6:$A$205,0)),"SEM DE-PARA"))</f>
        <v/>
      </c>
      <c r="E4953" s="23" t="str">
        <f aca="false">IF(A4953="","",DATE(YEAR(A4953),MONTH(A4953),1))</f>
        <v/>
      </c>
    </row>
    <row r="4954" customFormat="false" ht="15" hidden="false" customHeight="false" outlineLevel="0" collapsed="false">
      <c r="A4954" s="21"/>
      <c r="B4954" s="4"/>
      <c r="C4954" s="22"/>
      <c r="D4954" s="5" t="str">
        <f aca="false">IF(B4954="","",IFERROR(INDEX(DE_PARA!$B$6:$B$205,MATCH(B4954,DE_PARA!$A$6:$A$205,0)),"SEM DE-PARA"))</f>
        <v/>
      </c>
      <c r="E4954" s="23" t="str">
        <f aca="false">IF(A4954="","",DATE(YEAR(A4954),MONTH(A4954),1))</f>
        <v/>
      </c>
    </row>
    <row r="4955" customFormat="false" ht="15" hidden="false" customHeight="false" outlineLevel="0" collapsed="false">
      <c r="A4955" s="21"/>
      <c r="B4955" s="4"/>
      <c r="C4955" s="22"/>
      <c r="D4955" s="5" t="str">
        <f aca="false">IF(B4955="","",IFERROR(INDEX(DE_PARA!$B$6:$B$205,MATCH(B4955,DE_PARA!$A$6:$A$205,0)),"SEM DE-PARA"))</f>
        <v/>
      </c>
      <c r="E4955" s="23" t="str">
        <f aca="false">IF(A4955="","",DATE(YEAR(A4955),MONTH(A4955),1))</f>
        <v/>
      </c>
    </row>
    <row r="4956" customFormat="false" ht="15" hidden="false" customHeight="false" outlineLevel="0" collapsed="false">
      <c r="A4956" s="21"/>
      <c r="B4956" s="4"/>
      <c r="C4956" s="22"/>
      <c r="D4956" s="5" t="str">
        <f aca="false">IF(B4956="","",IFERROR(INDEX(DE_PARA!$B$6:$B$205,MATCH(B4956,DE_PARA!$A$6:$A$205,0)),"SEM DE-PARA"))</f>
        <v/>
      </c>
      <c r="E4956" s="23" t="str">
        <f aca="false">IF(A4956="","",DATE(YEAR(A4956),MONTH(A4956),1))</f>
        <v/>
      </c>
    </row>
    <row r="4957" customFormat="false" ht="15" hidden="false" customHeight="false" outlineLevel="0" collapsed="false">
      <c r="A4957" s="21"/>
      <c r="B4957" s="4"/>
      <c r="C4957" s="22"/>
      <c r="D4957" s="5" t="str">
        <f aca="false">IF(B4957="","",IFERROR(INDEX(DE_PARA!$B$6:$B$205,MATCH(B4957,DE_PARA!$A$6:$A$205,0)),"SEM DE-PARA"))</f>
        <v/>
      </c>
      <c r="E4957" s="23" t="str">
        <f aca="false">IF(A4957="","",DATE(YEAR(A4957),MONTH(A4957),1))</f>
        <v/>
      </c>
    </row>
    <row r="4958" customFormat="false" ht="15" hidden="false" customHeight="false" outlineLevel="0" collapsed="false">
      <c r="A4958" s="21"/>
      <c r="B4958" s="4"/>
      <c r="C4958" s="22"/>
      <c r="D4958" s="5" t="str">
        <f aca="false">IF(B4958="","",IFERROR(INDEX(DE_PARA!$B$6:$B$205,MATCH(B4958,DE_PARA!$A$6:$A$205,0)),"SEM DE-PARA"))</f>
        <v/>
      </c>
      <c r="E4958" s="23" t="str">
        <f aca="false">IF(A4958="","",DATE(YEAR(A4958),MONTH(A4958),1))</f>
        <v/>
      </c>
    </row>
    <row r="4959" customFormat="false" ht="15" hidden="false" customHeight="false" outlineLevel="0" collapsed="false">
      <c r="A4959" s="21"/>
      <c r="B4959" s="4"/>
      <c r="C4959" s="22"/>
      <c r="D4959" s="5" t="str">
        <f aca="false">IF(B4959="","",IFERROR(INDEX(DE_PARA!$B$6:$B$205,MATCH(B4959,DE_PARA!$A$6:$A$205,0)),"SEM DE-PARA"))</f>
        <v/>
      </c>
      <c r="E4959" s="23" t="str">
        <f aca="false">IF(A4959="","",DATE(YEAR(A4959),MONTH(A4959),1))</f>
        <v/>
      </c>
    </row>
    <row r="4960" customFormat="false" ht="15" hidden="false" customHeight="false" outlineLevel="0" collapsed="false">
      <c r="A4960" s="21"/>
      <c r="B4960" s="4"/>
      <c r="C4960" s="22"/>
      <c r="D4960" s="5" t="str">
        <f aca="false">IF(B4960="","",IFERROR(INDEX(DE_PARA!$B$6:$B$205,MATCH(B4960,DE_PARA!$A$6:$A$205,0)),"SEM DE-PARA"))</f>
        <v/>
      </c>
      <c r="E4960" s="23" t="str">
        <f aca="false">IF(A4960="","",DATE(YEAR(A4960),MONTH(A4960),1))</f>
        <v/>
      </c>
    </row>
    <row r="4961" customFormat="false" ht="15" hidden="false" customHeight="false" outlineLevel="0" collapsed="false">
      <c r="A4961" s="21"/>
      <c r="B4961" s="4"/>
      <c r="C4961" s="22"/>
      <c r="D4961" s="5" t="str">
        <f aca="false">IF(B4961="","",IFERROR(INDEX(DE_PARA!$B$6:$B$205,MATCH(B4961,DE_PARA!$A$6:$A$205,0)),"SEM DE-PARA"))</f>
        <v/>
      </c>
      <c r="E4961" s="23" t="str">
        <f aca="false">IF(A4961="","",DATE(YEAR(A4961),MONTH(A4961),1))</f>
        <v/>
      </c>
    </row>
    <row r="4962" customFormat="false" ht="15" hidden="false" customHeight="false" outlineLevel="0" collapsed="false">
      <c r="A4962" s="21"/>
      <c r="B4962" s="4"/>
      <c r="C4962" s="22"/>
      <c r="D4962" s="5" t="str">
        <f aca="false">IF(B4962="","",IFERROR(INDEX(DE_PARA!$B$6:$B$205,MATCH(B4962,DE_PARA!$A$6:$A$205,0)),"SEM DE-PARA"))</f>
        <v/>
      </c>
      <c r="E4962" s="23" t="str">
        <f aca="false">IF(A4962="","",DATE(YEAR(A4962),MONTH(A4962),1))</f>
        <v/>
      </c>
    </row>
    <row r="4963" customFormat="false" ht="15" hidden="false" customHeight="false" outlineLevel="0" collapsed="false">
      <c r="A4963" s="21"/>
      <c r="B4963" s="4"/>
      <c r="C4963" s="22"/>
      <c r="D4963" s="5" t="str">
        <f aca="false">IF(B4963="","",IFERROR(INDEX(DE_PARA!$B$6:$B$205,MATCH(B4963,DE_PARA!$A$6:$A$205,0)),"SEM DE-PARA"))</f>
        <v/>
      </c>
      <c r="E4963" s="23" t="str">
        <f aca="false">IF(A4963="","",DATE(YEAR(A4963),MONTH(A4963),1))</f>
        <v/>
      </c>
    </row>
    <row r="4964" customFormat="false" ht="15" hidden="false" customHeight="false" outlineLevel="0" collapsed="false">
      <c r="A4964" s="21"/>
      <c r="B4964" s="4"/>
      <c r="C4964" s="22"/>
      <c r="D4964" s="5" t="str">
        <f aca="false">IF(B4964="","",IFERROR(INDEX(DE_PARA!$B$6:$B$205,MATCH(B4964,DE_PARA!$A$6:$A$205,0)),"SEM DE-PARA"))</f>
        <v/>
      </c>
      <c r="E4964" s="23" t="str">
        <f aca="false">IF(A4964="","",DATE(YEAR(A4964),MONTH(A4964),1))</f>
        <v/>
      </c>
    </row>
    <row r="4965" customFormat="false" ht="15" hidden="false" customHeight="false" outlineLevel="0" collapsed="false">
      <c r="A4965" s="21"/>
      <c r="B4965" s="4"/>
      <c r="C4965" s="22"/>
      <c r="D4965" s="5" t="str">
        <f aca="false">IF(B4965="","",IFERROR(INDEX(DE_PARA!$B$6:$B$205,MATCH(B4965,DE_PARA!$A$6:$A$205,0)),"SEM DE-PARA"))</f>
        <v/>
      </c>
      <c r="E4965" s="23" t="str">
        <f aca="false">IF(A4965="","",DATE(YEAR(A4965),MONTH(A4965),1))</f>
        <v/>
      </c>
    </row>
    <row r="4966" customFormat="false" ht="15" hidden="false" customHeight="false" outlineLevel="0" collapsed="false">
      <c r="A4966" s="21"/>
      <c r="B4966" s="4"/>
      <c r="C4966" s="22"/>
      <c r="D4966" s="5" t="str">
        <f aca="false">IF(B4966="","",IFERROR(INDEX(DE_PARA!$B$6:$B$205,MATCH(B4966,DE_PARA!$A$6:$A$205,0)),"SEM DE-PARA"))</f>
        <v/>
      </c>
      <c r="E4966" s="23" t="str">
        <f aca="false">IF(A4966="","",DATE(YEAR(A4966),MONTH(A4966),1))</f>
        <v/>
      </c>
    </row>
    <row r="4967" customFormat="false" ht="15" hidden="false" customHeight="false" outlineLevel="0" collapsed="false">
      <c r="A4967" s="21"/>
      <c r="B4967" s="4"/>
      <c r="C4967" s="22"/>
      <c r="D4967" s="5" t="str">
        <f aca="false">IF(B4967="","",IFERROR(INDEX(DE_PARA!$B$6:$B$205,MATCH(B4967,DE_PARA!$A$6:$A$205,0)),"SEM DE-PARA"))</f>
        <v/>
      </c>
      <c r="E4967" s="23" t="str">
        <f aca="false">IF(A4967="","",DATE(YEAR(A4967),MONTH(A4967),1))</f>
        <v/>
      </c>
    </row>
    <row r="4968" customFormat="false" ht="15" hidden="false" customHeight="false" outlineLevel="0" collapsed="false">
      <c r="A4968" s="21"/>
      <c r="B4968" s="4"/>
      <c r="C4968" s="22"/>
      <c r="D4968" s="5" t="str">
        <f aca="false">IF(B4968="","",IFERROR(INDEX(DE_PARA!$B$6:$B$205,MATCH(B4968,DE_PARA!$A$6:$A$205,0)),"SEM DE-PARA"))</f>
        <v/>
      </c>
      <c r="E4968" s="23" t="str">
        <f aca="false">IF(A4968="","",DATE(YEAR(A4968),MONTH(A4968),1))</f>
        <v/>
      </c>
    </row>
    <row r="4969" customFormat="false" ht="15" hidden="false" customHeight="false" outlineLevel="0" collapsed="false">
      <c r="A4969" s="21"/>
      <c r="B4969" s="4"/>
      <c r="C4969" s="22"/>
      <c r="D4969" s="5" t="str">
        <f aca="false">IF(B4969="","",IFERROR(INDEX(DE_PARA!$B$6:$B$205,MATCH(B4969,DE_PARA!$A$6:$A$205,0)),"SEM DE-PARA"))</f>
        <v/>
      </c>
      <c r="E4969" s="23" t="str">
        <f aca="false">IF(A4969="","",DATE(YEAR(A4969),MONTH(A4969),1))</f>
        <v/>
      </c>
    </row>
    <row r="4970" customFormat="false" ht="15" hidden="false" customHeight="false" outlineLevel="0" collapsed="false">
      <c r="A4970" s="21"/>
      <c r="B4970" s="4"/>
      <c r="C4970" s="22"/>
      <c r="D4970" s="5" t="str">
        <f aca="false">IF(B4970="","",IFERROR(INDEX(DE_PARA!$B$6:$B$205,MATCH(B4970,DE_PARA!$A$6:$A$205,0)),"SEM DE-PARA"))</f>
        <v/>
      </c>
      <c r="E4970" s="23" t="str">
        <f aca="false">IF(A4970="","",DATE(YEAR(A4970),MONTH(A4970),1))</f>
        <v/>
      </c>
    </row>
    <row r="4971" customFormat="false" ht="15" hidden="false" customHeight="false" outlineLevel="0" collapsed="false">
      <c r="A4971" s="21"/>
      <c r="B4971" s="4"/>
      <c r="C4971" s="22"/>
      <c r="D4971" s="5" t="str">
        <f aca="false">IF(B4971="","",IFERROR(INDEX(DE_PARA!$B$6:$B$205,MATCH(B4971,DE_PARA!$A$6:$A$205,0)),"SEM DE-PARA"))</f>
        <v/>
      </c>
      <c r="E4971" s="23" t="str">
        <f aca="false">IF(A4971="","",DATE(YEAR(A4971),MONTH(A4971),1))</f>
        <v/>
      </c>
    </row>
    <row r="4972" customFormat="false" ht="15" hidden="false" customHeight="false" outlineLevel="0" collapsed="false">
      <c r="A4972" s="21"/>
      <c r="B4972" s="4"/>
      <c r="C4972" s="22"/>
      <c r="D4972" s="5" t="str">
        <f aca="false">IF(B4972="","",IFERROR(INDEX(DE_PARA!$B$6:$B$205,MATCH(B4972,DE_PARA!$A$6:$A$205,0)),"SEM DE-PARA"))</f>
        <v/>
      </c>
      <c r="E4972" s="23" t="str">
        <f aca="false">IF(A4972="","",DATE(YEAR(A4972),MONTH(A4972),1))</f>
        <v/>
      </c>
    </row>
    <row r="4973" customFormat="false" ht="15" hidden="false" customHeight="false" outlineLevel="0" collapsed="false">
      <c r="A4973" s="21"/>
      <c r="B4973" s="4"/>
      <c r="C4973" s="22"/>
      <c r="D4973" s="5" t="str">
        <f aca="false">IF(B4973="","",IFERROR(INDEX(DE_PARA!$B$6:$B$205,MATCH(B4973,DE_PARA!$A$6:$A$205,0)),"SEM DE-PARA"))</f>
        <v/>
      </c>
      <c r="E4973" s="23" t="str">
        <f aca="false">IF(A4973="","",DATE(YEAR(A4973),MONTH(A4973),1))</f>
        <v/>
      </c>
    </row>
    <row r="4974" customFormat="false" ht="15" hidden="false" customHeight="false" outlineLevel="0" collapsed="false">
      <c r="A4974" s="21"/>
      <c r="B4974" s="4"/>
      <c r="C4974" s="22"/>
      <c r="D4974" s="5" t="str">
        <f aca="false">IF(B4974="","",IFERROR(INDEX(DE_PARA!$B$6:$B$205,MATCH(B4974,DE_PARA!$A$6:$A$205,0)),"SEM DE-PARA"))</f>
        <v/>
      </c>
      <c r="E4974" s="23" t="str">
        <f aca="false">IF(A4974="","",DATE(YEAR(A4974),MONTH(A4974),1))</f>
        <v/>
      </c>
    </row>
    <row r="4975" customFormat="false" ht="15" hidden="false" customHeight="false" outlineLevel="0" collapsed="false">
      <c r="A4975" s="21"/>
      <c r="B4975" s="4"/>
      <c r="C4975" s="22"/>
      <c r="D4975" s="5" t="str">
        <f aca="false">IF(B4975="","",IFERROR(INDEX(DE_PARA!$B$6:$B$205,MATCH(B4975,DE_PARA!$A$6:$A$205,0)),"SEM DE-PARA"))</f>
        <v/>
      </c>
      <c r="E4975" s="23" t="str">
        <f aca="false">IF(A4975="","",DATE(YEAR(A4975),MONTH(A4975),1))</f>
        <v/>
      </c>
    </row>
    <row r="4976" customFormat="false" ht="15" hidden="false" customHeight="false" outlineLevel="0" collapsed="false">
      <c r="A4976" s="21"/>
      <c r="B4976" s="4"/>
      <c r="C4976" s="22"/>
      <c r="D4976" s="5" t="str">
        <f aca="false">IF(B4976="","",IFERROR(INDEX(DE_PARA!$B$6:$B$205,MATCH(B4976,DE_PARA!$A$6:$A$205,0)),"SEM DE-PARA"))</f>
        <v/>
      </c>
      <c r="E4976" s="23" t="str">
        <f aca="false">IF(A4976="","",DATE(YEAR(A4976),MONTH(A4976),1))</f>
        <v/>
      </c>
    </row>
    <row r="4977" customFormat="false" ht="15" hidden="false" customHeight="false" outlineLevel="0" collapsed="false">
      <c r="A4977" s="21"/>
      <c r="B4977" s="4"/>
      <c r="C4977" s="22"/>
      <c r="D4977" s="5" t="str">
        <f aca="false">IF(B4977="","",IFERROR(INDEX(DE_PARA!$B$6:$B$205,MATCH(B4977,DE_PARA!$A$6:$A$205,0)),"SEM DE-PARA"))</f>
        <v/>
      </c>
      <c r="E4977" s="23" t="str">
        <f aca="false">IF(A4977="","",DATE(YEAR(A4977),MONTH(A4977),1))</f>
        <v/>
      </c>
    </row>
    <row r="4978" customFormat="false" ht="15" hidden="false" customHeight="false" outlineLevel="0" collapsed="false">
      <c r="A4978" s="21"/>
      <c r="B4978" s="4"/>
      <c r="C4978" s="22"/>
      <c r="D4978" s="5" t="str">
        <f aca="false">IF(B4978="","",IFERROR(INDEX(DE_PARA!$B$6:$B$205,MATCH(B4978,DE_PARA!$A$6:$A$205,0)),"SEM DE-PARA"))</f>
        <v/>
      </c>
      <c r="E4978" s="23" t="str">
        <f aca="false">IF(A4978="","",DATE(YEAR(A4978),MONTH(A4978),1))</f>
        <v/>
      </c>
    </row>
    <row r="4979" customFormat="false" ht="15" hidden="false" customHeight="false" outlineLevel="0" collapsed="false">
      <c r="A4979" s="21"/>
      <c r="B4979" s="4"/>
      <c r="C4979" s="22"/>
      <c r="D4979" s="5" t="str">
        <f aca="false">IF(B4979="","",IFERROR(INDEX(DE_PARA!$B$6:$B$205,MATCH(B4979,DE_PARA!$A$6:$A$205,0)),"SEM DE-PARA"))</f>
        <v/>
      </c>
      <c r="E4979" s="23" t="str">
        <f aca="false">IF(A4979="","",DATE(YEAR(A4979),MONTH(A4979),1))</f>
        <v/>
      </c>
    </row>
    <row r="4980" customFormat="false" ht="15" hidden="false" customHeight="false" outlineLevel="0" collapsed="false">
      <c r="A4980" s="21"/>
      <c r="B4980" s="4"/>
      <c r="C4980" s="22"/>
      <c r="D4980" s="5" t="str">
        <f aca="false">IF(B4980="","",IFERROR(INDEX(DE_PARA!$B$6:$B$205,MATCH(B4980,DE_PARA!$A$6:$A$205,0)),"SEM DE-PARA"))</f>
        <v/>
      </c>
      <c r="E4980" s="23" t="str">
        <f aca="false">IF(A4980="","",DATE(YEAR(A4980),MONTH(A4980),1))</f>
        <v/>
      </c>
    </row>
    <row r="4981" customFormat="false" ht="15" hidden="false" customHeight="false" outlineLevel="0" collapsed="false">
      <c r="A4981" s="21"/>
      <c r="B4981" s="4"/>
      <c r="C4981" s="22"/>
      <c r="D4981" s="5" t="str">
        <f aca="false">IF(B4981="","",IFERROR(INDEX(DE_PARA!$B$6:$B$205,MATCH(B4981,DE_PARA!$A$6:$A$205,0)),"SEM DE-PARA"))</f>
        <v/>
      </c>
      <c r="E4981" s="23" t="str">
        <f aca="false">IF(A4981="","",DATE(YEAR(A4981),MONTH(A4981),1))</f>
        <v/>
      </c>
    </row>
    <row r="4982" customFormat="false" ht="15" hidden="false" customHeight="false" outlineLevel="0" collapsed="false">
      <c r="A4982" s="21"/>
      <c r="B4982" s="4"/>
      <c r="C4982" s="22"/>
      <c r="D4982" s="5" t="str">
        <f aca="false">IF(B4982="","",IFERROR(INDEX(DE_PARA!$B$6:$B$205,MATCH(B4982,DE_PARA!$A$6:$A$205,0)),"SEM DE-PARA"))</f>
        <v/>
      </c>
      <c r="E4982" s="23" t="str">
        <f aca="false">IF(A4982="","",DATE(YEAR(A4982),MONTH(A4982),1))</f>
        <v/>
      </c>
    </row>
    <row r="4983" customFormat="false" ht="15" hidden="false" customHeight="false" outlineLevel="0" collapsed="false">
      <c r="A4983" s="21"/>
      <c r="B4983" s="4"/>
      <c r="C4983" s="22"/>
      <c r="D4983" s="5" t="str">
        <f aca="false">IF(B4983="","",IFERROR(INDEX(DE_PARA!$B$6:$B$205,MATCH(B4983,DE_PARA!$A$6:$A$205,0)),"SEM DE-PARA"))</f>
        <v/>
      </c>
      <c r="E4983" s="23" t="str">
        <f aca="false">IF(A4983="","",DATE(YEAR(A4983),MONTH(A4983),1))</f>
        <v/>
      </c>
    </row>
    <row r="4984" customFormat="false" ht="15" hidden="false" customHeight="false" outlineLevel="0" collapsed="false">
      <c r="A4984" s="21"/>
      <c r="B4984" s="4"/>
      <c r="C4984" s="22"/>
      <c r="D4984" s="5" t="str">
        <f aca="false">IF(B4984="","",IFERROR(INDEX(DE_PARA!$B$6:$B$205,MATCH(B4984,DE_PARA!$A$6:$A$205,0)),"SEM DE-PARA"))</f>
        <v/>
      </c>
      <c r="E4984" s="23" t="str">
        <f aca="false">IF(A4984="","",DATE(YEAR(A4984),MONTH(A4984),1))</f>
        <v/>
      </c>
    </row>
    <row r="4985" customFormat="false" ht="15" hidden="false" customHeight="false" outlineLevel="0" collapsed="false">
      <c r="A4985" s="21"/>
      <c r="B4985" s="4"/>
      <c r="C4985" s="22"/>
      <c r="D4985" s="5" t="str">
        <f aca="false">IF(B4985="","",IFERROR(INDEX(DE_PARA!$B$6:$B$205,MATCH(B4985,DE_PARA!$A$6:$A$205,0)),"SEM DE-PARA"))</f>
        <v/>
      </c>
      <c r="E4985" s="23" t="str">
        <f aca="false">IF(A4985="","",DATE(YEAR(A4985),MONTH(A4985),1))</f>
        <v/>
      </c>
    </row>
    <row r="4986" customFormat="false" ht="15" hidden="false" customHeight="false" outlineLevel="0" collapsed="false">
      <c r="A4986" s="21"/>
      <c r="B4986" s="4"/>
      <c r="C4986" s="22"/>
      <c r="D4986" s="5" t="str">
        <f aca="false">IF(B4986="","",IFERROR(INDEX(DE_PARA!$B$6:$B$205,MATCH(B4986,DE_PARA!$A$6:$A$205,0)),"SEM DE-PARA"))</f>
        <v/>
      </c>
      <c r="E4986" s="23" t="str">
        <f aca="false">IF(A4986="","",DATE(YEAR(A4986),MONTH(A4986),1))</f>
        <v/>
      </c>
    </row>
    <row r="4987" customFormat="false" ht="15" hidden="false" customHeight="false" outlineLevel="0" collapsed="false">
      <c r="A4987" s="21"/>
      <c r="B4987" s="4"/>
      <c r="C4987" s="22"/>
      <c r="D4987" s="5" t="str">
        <f aca="false">IF(B4987="","",IFERROR(INDEX(DE_PARA!$B$6:$B$205,MATCH(B4987,DE_PARA!$A$6:$A$205,0)),"SEM DE-PARA"))</f>
        <v/>
      </c>
      <c r="E4987" s="23" t="str">
        <f aca="false">IF(A4987="","",DATE(YEAR(A4987),MONTH(A4987),1))</f>
        <v/>
      </c>
    </row>
    <row r="4988" customFormat="false" ht="15" hidden="false" customHeight="false" outlineLevel="0" collapsed="false">
      <c r="A4988" s="21"/>
      <c r="B4988" s="4"/>
      <c r="C4988" s="22"/>
      <c r="D4988" s="5" t="str">
        <f aca="false">IF(B4988="","",IFERROR(INDEX(DE_PARA!$B$6:$B$205,MATCH(B4988,DE_PARA!$A$6:$A$205,0)),"SEM DE-PARA"))</f>
        <v/>
      </c>
      <c r="E4988" s="23" t="str">
        <f aca="false">IF(A4988="","",DATE(YEAR(A4988),MONTH(A4988),1))</f>
        <v/>
      </c>
    </row>
    <row r="4989" customFormat="false" ht="15" hidden="false" customHeight="false" outlineLevel="0" collapsed="false">
      <c r="A4989" s="21"/>
      <c r="B4989" s="4"/>
      <c r="C4989" s="22"/>
      <c r="D4989" s="5" t="str">
        <f aca="false">IF(B4989="","",IFERROR(INDEX(DE_PARA!$B$6:$B$205,MATCH(B4989,DE_PARA!$A$6:$A$205,0)),"SEM DE-PARA"))</f>
        <v/>
      </c>
      <c r="E4989" s="23" t="str">
        <f aca="false">IF(A4989="","",DATE(YEAR(A4989),MONTH(A4989),1))</f>
        <v/>
      </c>
    </row>
    <row r="4990" customFormat="false" ht="15" hidden="false" customHeight="false" outlineLevel="0" collapsed="false">
      <c r="A4990" s="21"/>
      <c r="B4990" s="4"/>
      <c r="C4990" s="22"/>
      <c r="D4990" s="5" t="str">
        <f aca="false">IF(B4990="","",IFERROR(INDEX(DE_PARA!$B$6:$B$205,MATCH(B4990,DE_PARA!$A$6:$A$205,0)),"SEM DE-PARA"))</f>
        <v/>
      </c>
      <c r="E4990" s="23" t="str">
        <f aca="false">IF(A4990="","",DATE(YEAR(A4990),MONTH(A4990),1))</f>
        <v/>
      </c>
    </row>
    <row r="4991" customFormat="false" ht="15" hidden="false" customHeight="false" outlineLevel="0" collapsed="false">
      <c r="A4991" s="21"/>
      <c r="B4991" s="4"/>
      <c r="C4991" s="22"/>
      <c r="D4991" s="5" t="str">
        <f aca="false">IF(B4991="","",IFERROR(INDEX(DE_PARA!$B$6:$B$205,MATCH(B4991,DE_PARA!$A$6:$A$205,0)),"SEM DE-PARA"))</f>
        <v/>
      </c>
      <c r="E4991" s="23" t="str">
        <f aca="false">IF(A4991="","",DATE(YEAR(A4991),MONTH(A4991),1))</f>
        <v/>
      </c>
    </row>
    <row r="4992" customFormat="false" ht="15" hidden="false" customHeight="false" outlineLevel="0" collapsed="false">
      <c r="A4992" s="21"/>
      <c r="B4992" s="4"/>
      <c r="C4992" s="22"/>
      <c r="D4992" s="5" t="str">
        <f aca="false">IF(B4992="","",IFERROR(INDEX(DE_PARA!$B$6:$B$205,MATCH(B4992,DE_PARA!$A$6:$A$205,0)),"SEM DE-PARA"))</f>
        <v/>
      </c>
      <c r="E4992" s="23" t="str">
        <f aca="false">IF(A4992="","",DATE(YEAR(A4992),MONTH(A4992),1))</f>
        <v/>
      </c>
    </row>
    <row r="4993" customFormat="false" ht="15" hidden="false" customHeight="false" outlineLevel="0" collapsed="false">
      <c r="A4993" s="21"/>
      <c r="B4993" s="4"/>
      <c r="C4993" s="22"/>
      <c r="D4993" s="5" t="str">
        <f aca="false">IF(B4993="","",IFERROR(INDEX(DE_PARA!$B$6:$B$205,MATCH(B4993,DE_PARA!$A$6:$A$205,0)),"SEM DE-PARA"))</f>
        <v/>
      </c>
      <c r="E4993" s="23" t="str">
        <f aca="false">IF(A4993="","",DATE(YEAR(A4993),MONTH(A4993),1))</f>
        <v/>
      </c>
    </row>
    <row r="4994" customFormat="false" ht="15" hidden="false" customHeight="false" outlineLevel="0" collapsed="false">
      <c r="A4994" s="21"/>
      <c r="B4994" s="4"/>
      <c r="C4994" s="22"/>
      <c r="D4994" s="5" t="str">
        <f aca="false">IF(B4994="","",IFERROR(INDEX(DE_PARA!$B$6:$B$205,MATCH(B4994,DE_PARA!$A$6:$A$205,0)),"SEM DE-PARA"))</f>
        <v/>
      </c>
      <c r="E4994" s="23" t="str">
        <f aca="false">IF(A4994="","",DATE(YEAR(A4994),MONTH(A4994),1))</f>
        <v/>
      </c>
    </row>
    <row r="4995" customFormat="false" ht="15" hidden="false" customHeight="false" outlineLevel="0" collapsed="false">
      <c r="A4995" s="21"/>
      <c r="B4995" s="4"/>
      <c r="C4995" s="22"/>
      <c r="D4995" s="5" t="str">
        <f aca="false">IF(B4995="","",IFERROR(INDEX(DE_PARA!$B$6:$B$205,MATCH(B4995,DE_PARA!$A$6:$A$205,0)),"SEM DE-PARA"))</f>
        <v/>
      </c>
      <c r="E4995" s="23" t="str">
        <f aca="false">IF(A4995="","",DATE(YEAR(A4995),MONTH(A4995),1))</f>
        <v/>
      </c>
    </row>
    <row r="4996" customFormat="false" ht="15" hidden="false" customHeight="false" outlineLevel="0" collapsed="false">
      <c r="A4996" s="21"/>
      <c r="B4996" s="4"/>
      <c r="C4996" s="22"/>
      <c r="D4996" s="5" t="str">
        <f aca="false">IF(B4996="","",IFERROR(INDEX(DE_PARA!$B$6:$B$205,MATCH(B4996,DE_PARA!$A$6:$A$205,0)),"SEM DE-PARA"))</f>
        <v/>
      </c>
      <c r="E4996" s="23" t="str">
        <f aca="false">IF(A4996="","",DATE(YEAR(A4996),MONTH(A4996),1))</f>
        <v/>
      </c>
    </row>
    <row r="4997" customFormat="false" ht="15" hidden="false" customHeight="false" outlineLevel="0" collapsed="false">
      <c r="A4997" s="21"/>
      <c r="B4997" s="4"/>
      <c r="C4997" s="22"/>
      <c r="D4997" s="5" t="str">
        <f aca="false">IF(B4997="","",IFERROR(INDEX(DE_PARA!$B$6:$B$205,MATCH(B4997,DE_PARA!$A$6:$A$205,0)),"SEM DE-PARA"))</f>
        <v/>
      </c>
      <c r="E4997" s="23" t="str">
        <f aca="false">IF(A4997="","",DATE(YEAR(A4997),MONTH(A4997),1))</f>
        <v/>
      </c>
    </row>
    <row r="4998" customFormat="false" ht="15" hidden="false" customHeight="false" outlineLevel="0" collapsed="false">
      <c r="A4998" s="21"/>
      <c r="B4998" s="4"/>
      <c r="C4998" s="22"/>
      <c r="D4998" s="5" t="str">
        <f aca="false">IF(B4998="","",IFERROR(INDEX(DE_PARA!$B$6:$B$205,MATCH(B4998,DE_PARA!$A$6:$A$205,0)),"SEM DE-PARA"))</f>
        <v/>
      </c>
      <c r="E4998" s="23" t="str">
        <f aca="false">IF(A4998="","",DATE(YEAR(A4998),MONTH(A4998),1))</f>
        <v/>
      </c>
    </row>
    <row r="4999" customFormat="false" ht="15" hidden="false" customHeight="false" outlineLevel="0" collapsed="false">
      <c r="A4999" s="21"/>
      <c r="B4999" s="4"/>
      <c r="C4999" s="22"/>
      <c r="D4999" s="5" t="str">
        <f aca="false">IF(B4999="","",IFERROR(INDEX(DE_PARA!$B$6:$B$205,MATCH(B4999,DE_PARA!$A$6:$A$205,0)),"SEM DE-PARA"))</f>
        <v/>
      </c>
      <c r="E4999" s="23" t="str">
        <f aca="false">IF(A4999="","",DATE(YEAR(A4999),MONTH(A4999),1))</f>
        <v/>
      </c>
    </row>
    <row r="5000" customFormat="false" ht="15" hidden="false" customHeight="false" outlineLevel="0" collapsed="false">
      <c r="A5000" s="21"/>
      <c r="B5000" s="4"/>
      <c r="C5000" s="22"/>
      <c r="D5000" s="5" t="str">
        <f aca="false">IF(B5000="","",IFERROR(INDEX(DE_PARA!$B$6:$B$205,MATCH(B5000,DE_PARA!$A$6:$A$205,0)),"SEM DE-PARA"))</f>
        <v/>
      </c>
      <c r="E5000" s="23" t="str">
        <f aca="false">IF(A5000="","",DATE(YEAR(A5000),MONTH(A5000),1))</f>
        <v/>
      </c>
    </row>
    <row r="5001" customFormat="false" ht="15" hidden="false" customHeight="false" outlineLevel="0" collapsed="false">
      <c r="A5001" s="21"/>
      <c r="B5001" s="4"/>
      <c r="C5001" s="22"/>
      <c r="D5001" s="5" t="str">
        <f aca="false">IF(B5001="","",IFERROR(INDEX(DE_PARA!$B$6:$B$205,MATCH(B5001,DE_PARA!$A$6:$A$205,0)),"SEM DE-PARA"))</f>
        <v/>
      </c>
      <c r="E5001" s="23" t="str">
        <f aca="false">IF(A5001="","",DATE(YEAR(A5001),MONTH(A5001),1))</f>
        <v/>
      </c>
    </row>
    <row r="5002" customFormat="false" ht="15" hidden="false" customHeight="false" outlineLevel="0" collapsed="false">
      <c r="A5002" s="21"/>
      <c r="B5002" s="4"/>
      <c r="C5002" s="22"/>
      <c r="D5002" s="5" t="str">
        <f aca="false">IF(B5002="","",IFERROR(INDEX(DE_PARA!$B$6:$B$205,MATCH(B5002,DE_PARA!$A$6:$A$205,0)),"SEM DE-PARA"))</f>
        <v/>
      </c>
      <c r="E5002" s="23" t="str">
        <f aca="false">IF(A5002="","",DATE(YEAR(A5002),MONTH(A5002),1))</f>
        <v/>
      </c>
    </row>
    <row r="5003" customFormat="false" ht="15" hidden="false" customHeight="false" outlineLevel="0" collapsed="false">
      <c r="A5003" s="21"/>
      <c r="B5003" s="4"/>
      <c r="C5003" s="22"/>
      <c r="D5003" s="5" t="str">
        <f aca="false">IF(B5003="","",IFERROR(INDEX(DE_PARA!$B$6:$B$205,MATCH(B5003,DE_PARA!$A$6:$A$205,0)),"SEM DE-PARA"))</f>
        <v/>
      </c>
      <c r="E5003" s="23" t="str">
        <f aca="false">IF(A5003="","",DATE(YEAR(A5003),MONTH(A5003),1))</f>
        <v/>
      </c>
    </row>
    <row r="5004" customFormat="false" ht="15" hidden="false" customHeight="false" outlineLevel="0" collapsed="false">
      <c r="A5004" s="21"/>
      <c r="B5004" s="4"/>
      <c r="C5004" s="22"/>
      <c r="D5004" s="5" t="str">
        <f aca="false">IF(B5004="","",IFERROR(INDEX(DE_PARA!$B$6:$B$205,MATCH(B5004,DE_PARA!$A$6:$A$205,0)),"SEM DE-PARA"))</f>
        <v/>
      </c>
      <c r="E5004" s="23" t="str">
        <f aca="false">IF(A5004="","",DATE(YEAR(A5004),MONTH(A5004),1))</f>
        <v/>
      </c>
    </row>
    <row r="5005" customFormat="false" ht="15" hidden="false" customHeight="false" outlineLevel="0" collapsed="false">
      <c r="A5005" s="21"/>
      <c r="B5005" s="4"/>
      <c r="C5005" s="22"/>
      <c r="D5005" s="5" t="str">
        <f aca="false">IF(B5005="","",IFERROR(INDEX(DE_PARA!$B$6:$B$205,MATCH(B5005,DE_PARA!$A$6:$A$205,0)),"SEM DE-PARA"))</f>
        <v/>
      </c>
      <c r="E5005" s="23" t="str">
        <f aca="false">IF(A5005="","",DATE(YEAR(A5005),MONTH(A5005),1))</f>
        <v/>
      </c>
    </row>
  </sheetData>
  <autoFilter ref="A5:E5005"/>
  <conditionalFormatting sqref="D6:D5005">
    <cfRule type="cellIs" priority="2" operator="equal" aboveAverage="0" equalAverage="0" bottom="0" percent="0" rank="0" text="" dxfId="5">
      <formula>"SEM DE-PARA"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50"/>
  </cols>
  <sheetData>
    <row r="1" customFormat="false" ht="17.35" hidden="false" customHeight="false" outlineLevel="0" collapsed="false">
      <c r="A1" s="1" t="s">
        <v>181</v>
      </c>
      <c r="B1" s="7"/>
    </row>
    <row r="2" customFormat="false" ht="15" hidden="false" customHeight="false" outlineLevel="0" collapsed="false">
      <c r="A2" s="8" t="s">
        <v>182</v>
      </c>
      <c r="B2" s="7"/>
    </row>
    <row r="3" customFormat="false" ht="15" hidden="false" customHeight="false" outlineLevel="0" collapsed="false">
      <c r="A3" s="7"/>
      <c r="B3" s="7"/>
    </row>
    <row r="4" customFormat="false" ht="15" hidden="false" customHeight="false" outlineLevel="0" collapsed="false">
      <c r="A4" s="7"/>
      <c r="B4" s="7"/>
    </row>
    <row r="5" customFormat="false" ht="15" hidden="false" customHeight="false" outlineLevel="0" collapsed="false">
      <c r="A5" s="17" t="s">
        <v>183</v>
      </c>
      <c r="B5" s="17" t="s">
        <v>184</v>
      </c>
    </row>
    <row r="6" customFormat="false" ht="15" hidden="false" customHeight="false" outlineLevel="0" collapsed="false">
      <c r="A6" s="11" t="s">
        <v>62</v>
      </c>
      <c r="B6" s="11" t="s">
        <v>62</v>
      </c>
    </row>
    <row r="7" customFormat="false" ht="15" hidden="false" customHeight="false" outlineLevel="0" collapsed="false">
      <c r="A7" s="11" t="s">
        <v>65</v>
      </c>
      <c r="B7" s="11" t="s">
        <v>65</v>
      </c>
    </row>
    <row r="8" customFormat="false" ht="15" hidden="false" customHeight="false" outlineLevel="0" collapsed="false">
      <c r="A8" s="11" t="s">
        <v>68</v>
      </c>
      <c r="B8" s="11" t="s">
        <v>68</v>
      </c>
    </row>
    <row r="9" customFormat="false" ht="15" hidden="false" customHeight="false" outlineLevel="0" collapsed="false">
      <c r="A9" s="11" t="s">
        <v>71</v>
      </c>
      <c r="B9" s="11" t="s">
        <v>71</v>
      </c>
    </row>
    <row r="10" customFormat="false" ht="15" hidden="false" customHeight="false" outlineLevel="0" collapsed="false">
      <c r="A10" s="11" t="s">
        <v>74</v>
      </c>
      <c r="B10" s="11" t="s">
        <v>74</v>
      </c>
    </row>
    <row r="11" customFormat="false" ht="15" hidden="false" customHeight="false" outlineLevel="0" collapsed="false">
      <c r="A11" s="11" t="s">
        <v>77</v>
      </c>
      <c r="B11" s="11" t="s">
        <v>77</v>
      </c>
    </row>
    <row r="12" customFormat="false" ht="15" hidden="false" customHeight="false" outlineLevel="0" collapsed="false">
      <c r="A12" s="11" t="s">
        <v>80</v>
      </c>
      <c r="B12" s="11" t="s">
        <v>80</v>
      </c>
    </row>
    <row r="13" customFormat="false" ht="15" hidden="false" customHeight="false" outlineLevel="0" collapsed="false">
      <c r="A13" s="11" t="s">
        <v>83</v>
      </c>
      <c r="B13" s="11" t="s">
        <v>83</v>
      </c>
    </row>
    <row r="14" customFormat="false" ht="15" hidden="false" customHeight="false" outlineLevel="0" collapsed="false">
      <c r="A14" s="11" t="s">
        <v>86</v>
      </c>
      <c r="B14" s="11" t="s">
        <v>86</v>
      </c>
    </row>
    <row r="15" customFormat="false" ht="15" hidden="false" customHeight="false" outlineLevel="0" collapsed="false">
      <c r="A15" s="11" t="s">
        <v>89</v>
      </c>
      <c r="B15" s="11" t="s">
        <v>89</v>
      </c>
    </row>
    <row r="16" customFormat="false" ht="15" hidden="false" customHeight="false" outlineLevel="0" collapsed="false">
      <c r="A16" s="11" t="s">
        <v>92</v>
      </c>
      <c r="B16" s="11" t="s">
        <v>92</v>
      </c>
    </row>
    <row r="17" customFormat="false" ht="15" hidden="false" customHeight="false" outlineLevel="0" collapsed="false">
      <c r="A17" s="11" t="s">
        <v>95</v>
      </c>
      <c r="B17" s="11" t="s">
        <v>95</v>
      </c>
    </row>
    <row r="18" customFormat="false" ht="15" hidden="false" customHeight="false" outlineLevel="0" collapsed="false">
      <c r="A18" s="11" t="s">
        <v>98</v>
      </c>
      <c r="B18" s="11" t="s">
        <v>98</v>
      </c>
    </row>
    <row r="19" customFormat="false" ht="15" hidden="false" customHeight="false" outlineLevel="0" collapsed="false">
      <c r="A19" s="11" t="s">
        <v>101</v>
      </c>
      <c r="B19" s="11" t="s">
        <v>101</v>
      </c>
    </row>
    <row r="20" customFormat="false" ht="15" hidden="false" customHeight="false" outlineLevel="0" collapsed="false">
      <c r="A20" s="11" t="s">
        <v>104</v>
      </c>
      <c r="B20" s="11" t="s">
        <v>104</v>
      </c>
    </row>
    <row r="21" customFormat="false" ht="15" hidden="false" customHeight="false" outlineLevel="0" collapsed="false">
      <c r="A21" s="11" t="s">
        <v>107</v>
      </c>
      <c r="B21" s="11" t="s">
        <v>107</v>
      </c>
    </row>
    <row r="22" customFormat="false" ht="15" hidden="false" customHeight="false" outlineLevel="0" collapsed="false">
      <c r="A22" s="11" t="s">
        <v>110</v>
      </c>
      <c r="B22" s="11" t="s">
        <v>110</v>
      </c>
    </row>
    <row r="23" customFormat="false" ht="15" hidden="false" customHeight="false" outlineLevel="0" collapsed="false">
      <c r="A23" s="11" t="s">
        <v>113</v>
      </c>
      <c r="B23" s="11" t="s">
        <v>113</v>
      </c>
    </row>
    <row r="24" customFormat="false" ht="15" hidden="false" customHeight="false" outlineLevel="0" collapsed="false">
      <c r="A24" s="11" t="s">
        <v>116</v>
      </c>
      <c r="B24" s="11" t="s">
        <v>116</v>
      </c>
    </row>
    <row r="25" customFormat="false" ht="15" hidden="false" customHeight="false" outlineLevel="0" collapsed="false">
      <c r="A25" s="11" t="s">
        <v>119</v>
      </c>
      <c r="B25" s="11" t="s">
        <v>119</v>
      </c>
    </row>
    <row r="26" customFormat="false" ht="15" hidden="false" customHeight="false" outlineLevel="0" collapsed="false">
      <c r="A26" s="11" t="s">
        <v>122</v>
      </c>
      <c r="B26" s="11" t="s">
        <v>122</v>
      </c>
    </row>
    <row r="27" customFormat="false" ht="15" hidden="false" customHeight="false" outlineLevel="0" collapsed="false">
      <c r="A27" s="11" t="s">
        <v>125</v>
      </c>
      <c r="B27" s="11" t="s">
        <v>125</v>
      </c>
    </row>
    <row r="28" customFormat="false" ht="15" hidden="false" customHeight="false" outlineLevel="0" collapsed="false">
      <c r="A28" s="11" t="s">
        <v>128</v>
      </c>
      <c r="B28" s="11" t="s">
        <v>128</v>
      </c>
    </row>
    <row r="29" customFormat="false" ht="15" hidden="false" customHeight="false" outlineLevel="0" collapsed="false">
      <c r="A29" s="11" t="s">
        <v>131</v>
      </c>
      <c r="B29" s="11" t="s">
        <v>131</v>
      </c>
    </row>
    <row r="30" customFormat="false" ht="15" hidden="false" customHeight="false" outlineLevel="0" collapsed="false">
      <c r="A30" s="11" t="s">
        <v>134</v>
      </c>
      <c r="B30" s="11" t="s">
        <v>134</v>
      </c>
    </row>
    <row r="31" customFormat="false" ht="15" hidden="false" customHeight="false" outlineLevel="0" collapsed="false">
      <c r="A31" s="11" t="s">
        <v>137</v>
      </c>
      <c r="B31" s="11" t="s">
        <v>137</v>
      </c>
    </row>
    <row r="32" customFormat="false" ht="15" hidden="false" customHeight="false" outlineLevel="0" collapsed="false">
      <c r="A32" s="11" t="s">
        <v>140</v>
      </c>
      <c r="B32" s="11" t="s">
        <v>140</v>
      </c>
    </row>
    <row r="33" customFormat="false" ht="15" hidden="false" customHeight="false" outlineLevel="0" collapsed="false">
      <c r="A33" s="11" t="s">
        <v>143</v>
      </c>
      <c r="B33" s="11" t="s">
        <v>143</v>
      </c>
    </row>
    <row r="34" customFormat="false" ht="15" hidden="false" customHeight="false" outlineLevel="0" collapsed="false">
      <c r="A34" s="11" t="s">
        <v>146</v>
      </c>
      <c r="B34" s="11" t="s">
        <v>146</v>
      </c>
    </row>
    <row r="35" customFormat="false" ht="15" hidden="false" customHeight="false" outlineLevel="0" collapsed="false">
      <c r="A35" s="11" t="s">
        <v>149</v>
      </c>
      <c r="B35" s="11" t="s">
        <v>149</v>
      </c>
    </row>
    <row r="36" customFormat="false" ht="15" hidden="false" customHeight="false" outlineLevel="0" collapsed="false">
      <c r="A36" s="11" t="s">
        <v>152</v>
      </c>
      <c r="B36" s="11" t="s">
        <v>152</v>
      </c>
    </row>
    <row r="37" customFormat="false" ht="15" hidden="false" customHeight="false" outlineLevel="0" collapsed="false">
      <c r="A37" s="11" t="s">
        <v>155</v>
      </c>
      <c r="B37" s="11" t="s">
        <v>155</v>
      </c>
    </row>
    <row r="38" customFormat="false" ht="15" hidden="false" customHeight="false" outlineLevel="0" collapsed="false">
      <c r="A38" s="11" t="s">
        <v>158</v>
      </c>
      <c r="B38" s="11" t="s">
        <v>158</v>
      </c>
    </row>
    <row r="39" customFormat="false" ht="15" hidden="false" customHeight="false" outlineLevel="0" collapsed="false">
      <c r="A39" s="11" t="s">
        <v>161</v>
      </c>
      <c r="B39" s="11" t="s">
        <v>161</v>
      </c>
    </row>
    <row r="40" customFormat="false" ht="15" hidden="false" customHeight="false" outlineLevel="0" collapsed="false">
      <c r="A40" s="11" t="s">
        <v>164</v>
      </c>
      <c r="B40" s="11" t="s">
        <v>164</v>
      </c>
    </row>
    <row r="41" customFormat="false" ht="15" hidden="false" customHeight="false" outlineLevel="0" collapsed="false">
      <c r="A41" s="11" t="s">
        <v>167</v>
      </c>
      <c r="B41" s="11" t="s">
        <v>167</v>
      </c>
    </row>
    <row r="42" customFormat="false" ht="15" hidden="false" customHeight="false" outlineLevel="0" collapsed="false">
      <c r="A42" s="11" t="s">
        <v>170</v>
      </c>
      <c r="B42" s="11" t="s">
        <v>170</v>
      </c>
    </row>
    <row r="43" customFormat="false" ht="15" hidden="false" customHeight="false" outlineLevel="0" collapsed="false">
      <c r="A43" s="11" t="s">
        <v>45</v>
      </c>
      <c r="B43" s="11" t="s">
        <v>45</v>
      </c>
    </row>
    <row r="44" customFormat="false" ht="15" hidden="false" customHeight="false" outlineLevel="0" collapsed="false">
      <c r="A44" s="11" t="s">
        <v>185</v>
      </c>
      <c r="B44" s="11" t="s">
        <v>110</v>
      </c>
    </row>
    <row r="45" customFormat="false" ht="15" hidden="false" customHeight="false" outlineLevel="0" collapsed="false">
      <c r="A45" s="11" t="s">
        <v>186</v>
      </c>
      <c r="B45" s="11" t="s">
        <v>155</v>
      </c>
    </row>
    <row r="46" customFormat="false" ht="15" hidden="false" customHeight="false" outlineLevel="0" collapsed="false">
      <c r="A46" s="11" t="s">
        <v>187</v>
      </c>
      <c r="B46" s="11" t="s">
        <v>146</v>
      </c>
    </row>
    <row r="47" customFormat="false" ht="15" hidden="false" customHeight="false" outlineLevel="0" collapsed="false">
      <c r="A47" s="11" t="s">
        <v>188</v>
      </c>
      <c r="B47" s="11" t="s">
        <v>65</v>
      </c>
    </row>
    <row r="48" customFormat="false" ht="15" hidden="false" customHeight="false" outlineLevel="0" collapsed="false">
      <c r="A48" s="11" t="s">
        <v>189</v>
      </c>
      <c r="B48" s="11" t="s">
        <v>83</v>
      </c>
    </row>
    <row r="49" customFormat="false" ht="15" hidden="false" customHeight="false" outlineLevel="0" collapsed="false">
      <c r="A49" s="11"/>
      <c r="B49" s="11"/>
    </row>
    <row r="50" customFormat="false" ht="15" hidden="false" customHeight="false" outlineLevel="0" collapsed="false">
      <c r="A50" s="11"/>
      <c r="B50" s="11"/>
    </row>
    <row r="51" customFormat="false" ht="15" hidden="false" customHeight="false" outlineLevel="0" collapsed="false">
      <c r="A51" s="11"/>
      <c r="B51" s="11"/>
    </row>
    <row r="52" customFormat="false" ht="15" hidden="false" customHeight="false" outlineLevel="0" collapsed="false">
      <c r="A52" s="11"/>
      <c r="B52" s="11"/>
    </row>
    <row r="53" customFormat="false" ht="15" hidden="false" customHeight="false" outlineLevel="0" collapsed="false">
      <c r="A53" s="11"/>
      <c r="B53" s="11"/>
    </row>
    <row r="54" customFormat="false" ht="15" hidden="false" customHeight="false" outlineLevel="0" collapsed="false">
      <c r="A54" s="11"/>
      <c r="B54" s="11"/>
    </row>
    <row r="55" customFormat="false" ht="15" hidden="false" customHeight="false" outlineLevel="0" collapsed="false">
      <c r="A55" s="11"/>
      <c r="B55" s="11"/>
    </row>
    <row r="56" customFormat="false" ht="15" hidden="false" customHeight="false" outlineLevel="0" collapsed="false">
      <c r="A56" s="11"/>
      <c r="B56" s="11"/>
    </row>
    <row r="57" customFormat="false" ht="15" hidden="false" customHeight="false" outlineLevel="0" collapsed="false">
      <c r="A57" s="11"/>
      <c r="B57" s="11"/>
    </row>
    <row r="58" customFormat="false" ht="15" hidden="false" customHeight="false" outlineLevel="0" collapsed="false">
      <c r="A58" s="11"/>
      <c r="B58" s="11"/>
    </row>
    <row r="59" customFormat="false" ht="15" hidden="false" customHeight="false" outlineLevel="0" collapsed="false">
      <c r="A59" s="11"/>
      <c r="B59" s="11"/>
    </row>
    <row r="60" customFormat="false" ht="15" hidden="false" customHeight="false" outlineLevel="0" collapsed="false">
      <c r="A60" s="11"/>
      <c r="B60" s="11"/>
    </row>
    <row r="61" customFormat="false" ht="15" hidden="false" customHeight="false" outlineLevel="0" collapsed="false">
      <c r="A61" s="11"/>
      <c r="B61" s="11"/>
    </row>
    <row r="62" customFormat="false" ht="15" hidden="false" customHeight="false" outlineLevel="0" collapsed="false">
      <c r="A62" s="11"/>
      <c r="B62" s="11"/>
    </row>
    <row r="63" customFormat="false" ht="15" hidden="false" customHeight="false" outlineLevel="0" collapsed="false">
      <c r="A63" s="11"/>
      <c r="B63" s="11"/>
    </row>
    <row r="64" customFormat="false" ht="15" hidden="false" customHeight="false" outlineLevel="0" collapsed="false">
      <c r="A64" s="11"/>
      <c r="B64" s="11"/>
    </row>
    <row r="65" customFormat="false" ht="15" hidden="false" customHeight="false" outlineLevel="0" collapsed="false">
      <c r="A65" s="11"/>
      <c r="B65" s="11"/>
    </row>
    <row r="66" customFormat="false" ht="15" hidden="false" customHeight="false" outlineLevel="0" collapsed="false">
      <c r="A66" s="11"/>
      <c r="B66" s="11"/>
    </row>
    <row r="67" customFormat="false" ht="15" hidden="false" customHeight="false" outlineLevel="0" collapsed="false">
      <c r="A67" s="11"/>
      <c r="B67" s="11"/>
    </row>
    <row r="68" customFormat="false" ht="15" hidden="false" customHeight="false" outlineLevel="0" collapsed="false">
      <c r="A68" s="11"/>
      <c r="B68" s="11"/>
    </row>
    <row r="69" customFormat="false" ht="15" hidden="false" customHeight="false" outlineLevel="0" collapsed="false">
      <c r="A69" s="11"/>
      <c r="B69" s="11"/>
    </row>
    <row r="70" customFormat="false" ht="15" hidden="false" customHeight="false" outlineLevel="0" collapsed="false">
      <c r="A70" s="11"/>
      <c r="B70" s="11"/>
    </row>
    <row r="71" customFormat="false" ht="15" hidden="false" customHeight="false" outlineLevel="0" collapsed="false">
      <c r="A71" s="11"/>
      <c r="B71" s="11"/>
    </row>
    <row r="72" customFormat="false" ht="15" hidden="false" customHeight="false" outlineLevel="0" collapsed="false">
      <c r="A72" s="11"/>
      <c r="B72" s="11"/>
    </row>
    <row r="73" customFormat="false" ht="15" hidden="false" customHeight="false" outlineLevel="0" collapsed="false">
      <c r="A73" s="11"/>
      <c r="B73" s="11"/>
    </row>
    <row r="74" customFormat="false" ht="15" hidden="false" customHeight="false" outlineLevel="0" collapsed="false">
      <c r="A74" s="11"/>
      <c r="B74" s="11"/>
    </row>
    <row r="75" customFormat="false" ht="15" hidden="false" customHeight="false" outlineLevel="0" collapsed="false">
      <c r="A75" s="11"/>
      <c r="B75" s="11"/>
    </row>
    <row r="76" customFormat="false" ht="15" hidden="false" customHeight="false" outlineLevel="0" collapsed="false">
      <c r="A76" s="11"/>
      <c r="B76" s="11"/>
    </row>
    <row r="77" customFormat="false" ht="15" hidden="false" customHeight="false" outlineLevel="0" collapsed="false">
      <c r="A77" s="11"/>
      <c r="B77" s="11"/>
    </row>
    <row r="78" customFormat="false" ht="15" hidden="false" customHeight="false" outlineLevel="0" collapsed="false">
      <c r="A78" s="11"/>
      <c r="B78" s="11"/>
    </row>
    <row r="79" customFormat="false" ht="15" hidden="false" customHeight="false" outlineLevel="0" collapsed="false">
      <c r="A79" s="11"/>
      <c r="B79" s="11"/>
    </row>
    <row r="80" customFormat="false" ht="15" hidden="false" customHeight="false" outlineLevel="0" collapsed="false">
      <c r="A80" s="11"/>
      <c r="B80" s="11"/>
    </row>
    <row r="81" customFormat="false" ht="15" hidden="false" customHeight="false" outlineLevel="0" collapsed="false">
      <c r="A81" s="11"/>
      <c r="B81" s="11"/>
    </row>
    <row r="82" customFormat="false" ht="15" hidden="false" customHeight="false" outlineLevel="0" collapsed="false">
      <c r="A82" s="11"/>
      <c r="B82" s="11"/>
    </row>
    <row r="83" customFormat="false" ht="15" hidden="false" customHeight="false" outlineLevel="0" collapsed="false">
      <c r="A83" s="11"/>
      <c r="B83" s="11"/>
    </row>
    <row r="84" customFormat="false" ht="15" hidden="false" customHeight="false" outlineLevel="0" collapsed="false">
      <c r="A84" s="11"/>
      <c r="B84" s="11"/>
    </row>
    <row r="85" customFormat="false" ht="15" hidden="false" customHeight="false" outlineLevel="0" collapsed="false">
      <c r="A85" s="11"/>
      <c r="B85" s="11"/>
    </row>
    <row r="86" customFormat="false" ht="15" hidden="false" customHeight="false" outlineLevel="0" collapsed="false">
      <c r="A86" s="11"/>
      <c r="B86" s="11"/>
    </row>
    <row r="87" customFormat="false" ht="15" hidden="false" customHeight="false" outlineLevel="0" collapsed="false">
      <c r="A87" s="11"/>
      <c r="B87" s="11"/>
    </row>
    <row r="88" customFormat="false" ht="15" hidden="false" customHeight="false" outlineLevel="0" collapsed="false">
      <c r="A88" s="11"/>
      <c r="B88" s="11"/>
    </row>
    <row r="89" customFormat="false" ht="15" hidden="false" customHeight="false" outlineLevel="0" collapsed="false">
      <c r="A89" s="11"/>
      <c r="B89" s="11"/>
    </row>
    <row r="90" customFormat="false" ht="15" hidden="false" customHeight="false" outlineLevel="0" collapsed="false">
      <c r="A90" s="11"/>
      <c r="B90" s="11"/>
    </row>
    <row r="91" customFormat="false" ht="15" hidden="false" customHeight="false" outlineLevel="0" collapsed="false">
      <c r="A91" s="11"/>
      <c r="B91" s="11"/>
    </row>
    <row r="92" customFormat="false" ht="15" hidden="false" customHeight="false" outlineLevel="0" collapsed="false">
      <c r="A92" s="11"/>
      <c r="B92" s="11"/>
    </row>
    <row r="93" customFormat="false" ht="15" hidden="false" customHeight="false" outlineLevel="0" collapsed="false">
      <c r="A93" s="11"/>
      <c r="B93" s="11"/>
    </row>
    <row r="94" customFormat="false" ht="15" hidden="false" customHeight="false" outlineLevel="0" collapsed="false">
      <c r="A94" s="11"/>
      <c r="B94" s="11"/>
    </row>
    <row r="95" customFormat="false" ht="15" hidden="false" customHeight="false" outlineLevel="0" collapsed="false">
      <c r="A95" s="11"/>
      <c r="B95" s="11"/>
    </row>
    <row r="96" customFormat="false" ht="15" hidden="false" customHeight="false" outlineLevel="0" collapsed="false">
      <c r="A96" s="11"/>
      <c r="B96" s="11"/>
    </row>
    <row r="97" customFormat="false" ht="15" hidden="false" customHeight="false" outlineLevel="0" collapsed="false">
      <c r="A97" s="11"/>
      <c r="B97" s="11"/>
    </row>
    <row r="98" customFormat="false" ht="15" hidden="false" customHeight="false" outlineLevel="0" collapsed="false">
      <c r="A98" s="11"/>
      <c r="B98" s="11"/>
    </row>
    <row r="99" customFormat="false" ht="15" hidden="false" customHeight="false" outlineLevel="0" collapsed="false">
      <c r="A99" s="11"/>
      <c r="B99" s="11"/>
    </row>
    <row r="100" customFormat="false" ht="15" hidden="false" customHeight="false" outlineLevel="0" collapsed="false">
      <c r="A100" s="11"/>
      <c r="B100" s="11"/>
    </row>
    <row r="101" customFormat="false" ht="15" hidden="false" customHeight="false" outlineLevel="0" collapsed="false">
      <c r="A101" s="11"/>
      <c r="B101" s="11"/>
    </row>
    <row r="102" customFormat="false" ht="15" hidden="false" customHeight="false" outlineLevel="0" collapsed="false">
      <c r="A102" s="11"/>
      <c r="B102" s="11"/>
    </row>
    <row r="103" customFormat="false" ht="15" hidden="false" customHeight="false" outlineLevel="0" collapsed="false">
      <c r="A103" s="11"/>
      <c r="B103" s="11"/>
    </row>
    <row r="104" customFormat="false" ht="15" hidden="false" customHeight="false" outlineLevel="0" collapsed="false">
      <c r="A104" s="11"/>
      <c r="B104" s="11"/>
    </row>
    <row r="105" customFormat="false" ht="15" hidden="false" customHeight="false" outlineLevel="0" collapsed="false">
      <c r="A105" s="11"/>
      <c r="B105" s="11"/>
    </row>
    <row r="106" customFormat="false" ht="15" hidden="false" customHeight="false" outlineLevel="0" collapsed="false">
      <c r="A106" s="11"/>
      <c r="B106" s="11"/>
    </row>
    <row r="107" customFormat="false" ht="15" hidden="false" customHeight="false" outlineLevel="0" collapsed="false">
      <c r="A107" s="11"/>
      <c r="B107" s="11"/>
    </row>
    <row r="108" customFormat="false" ht="15" hidden="false" customHeight="false" outlineLevel="0" collapsed="false">
      <c r="A108" s="11"/>
      <c r="B108" s="11"/>
    </row>
    <row r="109" customFormat="false" ht="15" hidden="false" customHeight="false" outlineLevel="0" collapsed="false">
      <c r="A109" s="11"/>
      <c r="B109" s="11"/>
    </row>
    <row r="110" customFormat="false" ht="15" hidden="false" customHeight="false" outlineLevel="0" collapsed="false">
      <c r="A110" s="11"/>
      <c r="B110" s="11"/>
    </row>
    <row r="111" customFormat="false" ht="15" hidden="false" customHeight="false" outlineLevel="0" collapsed="false">
      <c r="A111" s="11"/>
      <c r="B111" s="11"/>
    </row>
    <row r="112" customFormat="false" ht="15" hidden="false" customHeight="false" outlineLevel="0" collapsed="false">
      <c r="A112" s="11"/>
      <c r="B112" s="11"/>
    </row>
    <row r="113" customFormat="false" ht="15" hidden="false" customHeight="false" outlineLevel="0" collapsed="false">
      <c r="A113" s="11"/>
      <c r="B113" s="11"/>
    </row>
    <row r="114" customFormat="false" ht="15" hidden="false" customHeight="false" outlineLevel="0" collapsed="false">
      <c r="A114" s="11"/>
      <c r="B114" s="11"/>
    </row>
    <row r="115" customFormat="false" ht="15" hidden="false" customHeight="false" outlineLevel="0" collapsed="false">
      <c r="A115" s="11"/>
      <c r="B115" s="11"/>
    </row>
    <row r="116" customFormat="false" ht="15" hidden="false" customHeight="false" outlineLevel="0" collapsed="false">
      <c r="A116" s="11"/>
      <c r="B116" s="11"/>
    </row>
    <row r="117" customFormat="false" ht="15" hidden="false" customHeight="false" outlineLevel="0" collapsed="false">
      <c r="A117" s="11"/>
      <c r="B117" s="11"/>
    </row>
    <row r="118" customFormat="false" ht="15" hidden="false" customHeight="false" outlineLevel="0" collapsed="false">
      <c r="A118" s="11"/>
      <c r="B118" s="11"/>
    </row>
    <row r="119" customFormat="false" ht="15" hidden="false" customHeight="false" outlineLevel="0" collapsed="false">
      <c r="A119" s="11"/>
      <c r="B119" s="11"/>
    </row>
    <row r="120" customFormat="false" ht="15" hidden="false" customHeight="false" outlineLevel="0" collapsed="false">
      <c r="A120" s="11"/>
      <c r="B120" s="11"/>
    </row>
    <row r="121" customFormat="false" ht="15" hidden="false" customHeight="false" outlineLevel="0" collapsed="false">
      <c r="A121" s="11"/>
      <c r="B121" s="11"/>
    </row>
    <row r="122" customFormat="false" ht="15" hidden="false" customHeight="false" outlineLevel="0" collapsed="false">
      <c r="A122" s="11"/>
      <c r="B122" s="11"/>
    </row>
    <row r="123" customFormat="false" ht="15" hidden="false" customHeight="false" outlineLevel="0" collapsed="false">
      <c r="A123" s="11"/>
      <c r="B123" s="11"/>
    </row>
    <row r="124" customFormat="false" ht="15" hidden="false" customHeight="false" outlineLevel="0" collapsed="false">
      <c r="A124" s="11"/>
      <c r="B124" s="11"/>
    </row>
    <row r="125" customFormat="false" ht="15" hidden="false" customHeight="false" outlineLevel="0" collapsed="false">
      <c r="A125" s="11"/>
      <c r="B125" s="11"/>
    </row>
    <row r="126" customFormat="false" ht="15" hidden="false" customHeight="false" outlineLevel="0" collapsed="false">
      <c r="A126" s="11"/>
      <c r="B126" s="11"/>
    </row>
    <row r="127" customFormat="false" ht="15" hidden="false" customHeight="false" outlineLevel="0" collapsed="false">
      <c r="A127" s="11"/>
      <c r="B127" s="11"/>
    </row>
    <row r="128" customFormat="false" ht="15" hidden="false" customHeight="false" outlineLevel="0" collapsed="false">
      <c r="A128" s="11"/>
      <c r="B128" s="11"/>
    </row>
    <row r="129" customFormat="false" ht="15" hidden="false" customHeight="false" outlineLevel="0" collapsed="false">
      <c r="A129" s="11"/>
      <c r="B129" s="11"/>
    </row>
    <row r="130" customFormat="false" ht="15" hidden="false" customHeight="false" outlineLevel="0" collapsed="false">
      <c r="A130" s="11"/>
      <c r="B130" s="11"/>
    </row>
    <row r="131" customFormat="false" ht="15" hidden="false" customHeight="false" outlineLevel="0" collapsed="false">
      <c r="A131" s="11"/>
      <c r="B131" s="11"/>
    </row>
    <row r="132" customFormat="false" ht="15" hidden="false" customHeight="false" outlineLevel="0" collapsed="false">
      <c r="A132" s="11"/>
      <c r="B132" s="11"/>
    </row>
    <row r="133" customFormat="false" ht="15" hidden="false" customHeight="false" outlineLevel="0" collapsed="false">
      <c r="A133" s="11"/>
      <c r="B133" s="11"/>
    </row>
    <row r="134" customFormat="false" ht="15" hidden="false" customHeight="false" outlineLevel="0" collapsed="false">
      <c r="A134" s="11"/>
      <c r="B134" s="11"/>
    </row>
    <row r="135" customFormat="false" ht="15" hidden="false" customHeight="false" outlineLevel="0" collapsed="false">
      <c r="A135" s="11"/>
      <c r="B135" s="11"/>
    </row>
    <row r="136" customFormat="false" ht="15" hidden="false" customHeight="false" outlineLevel="0" collapsed="false">
      <c r="A136" s="11"/>
      <c r="B136" s="11"/>
    </row>
    <row r="137" customFormat="false" ht="15" hidden="false" customHeight="false" outlineLevel="0" collapsed="false">
      <c r="A137" s="11"/>
      <c r="B137" s="11"/>
    </row>
    <row r="138" customFormat="false" ht="15" hidden="false" customHeight="false" outlineLevel="0" collapsed="false">
      <c r="A138" s="11"/>
      <c r="B138" s="11"/>
    </row>
    <row r="139" customFormat="false" ht="15" hidden="false" customHeight="false" outlineLevel="0" collapsed="false">
      <c r="A139" s="11"/>
      <c r="B139" s="11"/>
    </row>
    <row r="140" customFormat="false" ht="15" hidden="false" customHeight="false" outlineLevel="0" collapsed="false">
      <c r="A140" s="11"/>
      <c r="B140" s="11"/>
    </row>
    <row r="141" customFormat="false" ht="15" hidden="false" customHeight="false" outlineLevel="0" collapsed="false">
      <c r="A141" s="11"/>
      <c r="B141" s="11"/>
    </row>
    <row r="142" customFormat="false" ht="15" hidden="false" customHeight="false" outlineLevel="0" collapsed="false">
      <c r="A142" s="11"/>
      <c r="B142" s="11"/>
    </row>
    <row r="143" customFormat="false" ht="15" hidden="false" customHeight="false" outlineLevel="0" collapsed="false">
      <c r="A143" s="11"/>
      <c r="B143" s="11"/>
    </row>
    <row r="144" customFormat="false" ht="15" hidden="false" customHeight="false" outlineLevel="0" collapsed="false">
      <c r="A144" s="11"/>
      <c r="B144" s="11"/>
    </row>
    <row r="145" customFormat="false" ht="15" hidden="false" customHeight="false" outlineLevel="0" collapsed="false">
      <c r="A145" s="11"/>
      <c r="B145" s="11"/>
    </row>
    <row r="146" customFormat="false" ht="15" hidden="false" customHeight="false" outlineLevel="0" collapsed="false">
      <c r="A146" s="11"/>
      <c r="B146" s="11"/>
    </row>
    <row r="147" customFormat="false" ht="15" hidden="false" customHeight="false" outlineLevel="0" collapsed="false">
      <c r="A147" s="11"/>
      <c r="B147" s="11"/>
    </row>
    <row r="148" customFormat="false" ht="15" hidden="false" customHeight="false" outlineLevel="0" collapsed="false">
      <c r="A148" s="11"/>
      <c r="B148" s="11"/>
    </row>
    <row r="149" customFormat="false" ht="15" hidden="false" customHeight="false" outlineLevel="0" collapsed="false">
      <c r="A149" s="11"/>
      <c r="B149" s="11"/>
    </row>
    <row r="150" customFormat="false" ht="15" hidden="false" customHeight="false" outlineLevel="0" collapsed="false">
      <c r="A150" s="11"/>
      <c r="B150" s="11"/>
    </row>
    <row r="151" customFormat="false" ht="15" hidden="false" customHeight="false" outlineLevel="0" collapsed="false">
      <c r="A151" s="11"/>
      <c r="B151" s="11"/>
    </row>
    <row r="152" customFormat="false" ht="15" hidden="false" customHeight="false" outlineLevel="0" collapsed="false">
      <c r="A152" s="11"/>
      <c r="B152" s="11"/>
    </row>
    <row r="153" customFormat="false" ht="15" hidden="false" customHeight="false" outlineLevel="0" collapsed="false">
      <c r="A153" s="11"/>
      <c r="B153" s="11"/>
    </row>
    <row r="154" customFormat="false" ht="15" hidden="false" customHeight="false" outlineLevel="0" collapsed="false">
      <c r="A154" s="11"/>
      <c r="B154" s="11"/>
    </row>
    <row r="155" customFormat="false" ht="15" hidden="false" customHeight="false" outlineLevel="0" collapsed="false">
      <c r="A155" s="11"/>
      <c r="B155" s="11"/>
    </row>
    <row r="156" customFormat="false" ht="15" hidden="false" customHeight="false" outlineLevel="0" collapsed="false">
      <c r="A156" s="11"/>
      <c r="B156" s="11"/>
    </row>
    <row r="157" customFormat="false" ht="15" hidden="false" customHeight="false" outlineLevel="0" collapsed="false">
      <c r="A157" s="11"/>
      <c r="B157" s="11"/>
    </row>
    <row r="158" customFormat="false" ht="15" hidden="false" customHeight="false" outlineLevel="0" collapsed="false">
      <c r="A158" s="11"/>
      <c r="B158" s="11"/>
    </row>
    <row r="159" customFormat="false" ht="15" hidden="false" customHeight="false" outlineLevel="0" collapsed="false">
      <c r="A159" s="11"/>
      <c r="B159" s="11"/>
    </row>
    <row r="160" customFormat="false" ht="15" hidden="false" customHeight="false" outlineLevel="0" collapsed="false">
      <c r="A160" s="11"/>
      <c r="B160" s="11"/>
    </row>
    <row r="161" customFormat="false" ht="15" hidden="false" customHeight="false" outlineLevel="0" collapsed="false">
      <c r="A161" s="11"/>
      <c r="B161" s="11"/>
    </row>
    <row r="162" customFormat="false" ht="15" hidden="false" customHeight="false" outlineLevel="0" collapsed="false">
      <c r="A162" s="11"/>
      <c r="B162" s="11"/>
    </row>
    <row r="163" customFormat="false" ht="15" hidden="false" customHeight="false" outlineLevel="0" collapsed="false">
      <c r="A163" s="11"/>
      <c r="B163" s="11"/>
    </row>
    <row r="164" customFormat="false" ht="15" hidden="false" customHeight="false" outlineLevel="0" collapsed="false">
      <c r="A164" s="11"/>
      <c r="B164" s="11"/>
    </row>
    <row r="165" customFormat="false" ht="15" hidden="false" customHeight="false" outlineLevel="0" collapsed="false">
      <c r="A165" s="11"/>
      <c r="B165" s="11"/>
    </row>
    <row r="166" customFormat="false" ht="15" hidden="false" customHeight="false" outlineLevel="0" collapsed="false">
      <c r="A166" s="11"/>
      <c r="B166" s="11"/>
    </row>
    <row r="167" customFormat="false" ht="15" hidden="false" customHeight="false" outlineLevel="0" collapsed="false">
      <c r="A167" s="11"/>
      <c r="B167" s="11"/>
    </row>
    <row r="168" customFormat="false" ht="15" hidden="false" customHeight="false" outlineLevel="0" collapsed="false">
      <c r="A168" s="11"/>
      <c r="B168" s="11"/>
    </row>
    <row r="169" customFormat="false" ht="15" hidden="false" customHeight="false" outlineLevel="0" collapsed="false">
      <c r="A169" s="11"/>
      <c r="B169" s="11"/>
    </row>
    <row r="170" customFormat="false" ht="15" hidden="false" customHeight="false" outlineLevel="0" collapsed="false">
      <c r="A170" s="11"/>
      <c r="B170" s="11"/>
    </row>
    <row r="171" customFormat="false" ht="15" hidden="false" customHeight="false" outlineLevel="0" collapsed="false">
      <c r="A171" s="11"/>
      <c r="B171" s="11"/>
    </row>
    <row r="172" customFormat="false" ht="15" hidden="false" customHeight="false" outlineLevel="0" collapsed="false">
      <c r="A172" s="11"/>
      <c r="B172" s="11"/>
    </row>
    <row r="173" customFormat="false" ht="15" hidden="false" customHeight="false" outlineLevel="0" collapsed="false">
      <c r="A173" s="11"/>
      <c r="B173" s="11"/>
    </row>
    <row r="174" customFormat="false" ht="15" hidden="false" customHeight="false" outlineLevel="0" collapsed="false">
      <c r="A174" s="11"/>
      <c r="B174" s="11"/>
    </row>
    <row r="175" customFormat="false" ht="15" hidden="false" customHeight="false" outlineLevel="0" collapsed="false">
      <c r="A175" s="11"/>
      <c r="B175" s="11"/>
    </row>
    <row r="176" customFormat="false" ht="15" hidden="false" customHeight="false" outlineLevel="0" collapsed="false">
      <c r="A176" s="11"/>
      <c r="B176" s="11"/>
    </row>
    <row r="177" customFormat="false" ht="15" hidden="false" customHeight="false" outlineLevel="0" collapsed="false">
      <c r="A177" s="11"/>
      <c r="B177" s="11"/>
    </row>
    <row r="178" customFormat="false" ht="15" hidden="false" customHeight="false" outlineLevel="0" collapsed="false">
      <c r="A178" s="11"/>
      <c r="B178" s="11"/>
    </row>
    <row r="179" customFormat="false" ht="15" hidden="false" customHeight="false" outlineLevel="0" collapsed="false">
      <c r="A179" s="11"/>
      <c r="B179" s="11"/>
    </row>
    <row r="180" customFormat="false" ht="15" hidden="false" customHeight="false" outlineLevel="0" collapsed="false">
      <c r="A180" s="11"/>
      <c r="B180" s="11"/>
    </row>
    <row r="181" customFormat="false" ht="15" hidden="false" customHeight="false" outlineLevel="0" collapsed="false">
      <c r="A181" s="11"/>
      <c r="B181" s="11"/>
    </row>
    <row r="182" customFormat="false" ht="15" hidden="false" customHeight="false" outlineLevel="0" collapsed="false">
      <c r="A182" s="11"/>
      <c r="B182" s="11"/>
    </row>
    <row r="183" customFormat="false" ht="15" hidden="false" customHeight="false" outlineLevel="0" collapsed="false">
      <c r="A183" s="11"/>
      <c r="B183" s="11"/>
    </row>
    <row r="184" customFormat="false" ht="15" hidden="false" customHeight="false" outlineLevel="0" collapsed="false">
      <c r="A184" s="11"/>
      <c r="B184" s="11"/>
    </row>
    <row r="185" customFormat="false" ht="15" hidden="false" customHeight="false" outlineLevel="0" collapsed="false">
      <c r="A185" s="11"/>
      <c r="B185" s="11"/>
    </row>
    <row r="186" customFormat="false" ht="15" hidden="false" customHeight="false" outlineLevel="0" collapsed="false">
      <c r="A186" s="11"/>
      <c r="B186" s="11"/>
    </row>
    <row r="187" customFormat="false" ht="15" hidden="false" customHeight="false" outlineLevel="0" collapsed="false">
      <c r="A187" s="11"/>
      <c r="B187" s="11"/>
    </row>
    <row r="188" customFormat="false" ht="15" hidden="false" customHeight="false" outlineLevel="0" collapsed="false">
      <c r="A188" s="11"/>
      <c r="B188" s="11"/>
    </row>
    <row r="189" customFormat="false" ht="15" hidden="false" customHeight="false" outlineLevel="0" collapsed="false">
      <c r="A189" s="11"/>
      <c r="B189" s="11"/>
    </row>
    <row r="190" customFormat="false" ht="15" hidden="false" customHeight="false" outlineLevel="0" collapsed="false">
      <c r="A190" s="11"/>
      <c r="B190" s="11"/>
    </row>
    <row r="191" customFormat="false" ht="15" hidden="false" customHeight="false" outlineLevel="0" collapsed="false">
      <c r="A191" s="11"/>
      <c r="B191" s="11"/>
    </row>
    <row r="192" customFormat="false" ht="15" hidden="false" customHeight="false" outlineLevel="0" collapsed="false">
      <c r="A192" s="11"/>
      <c r="B192" s="11"/>
    </row>
    <row r="193" customFormat="false" ht="15" hidden="false" customHeight="false" outlineLevel="0" collapsed="false">
      <c r="A193" s="11"/>
      <c r="B193" s="11"/>
    </row>
    <row r="194" customFormat="false" ht="15" hidden="false" customHeight="false" outlineLevel="0" collapsed="false">
      <c r="A194" s="11"/>
      <c r="B194" s="11"/>
    </row>
    <row r="195" customFormat="false" ht="15" hidden="false" customHeight="false" outlineLevel="0" collapsed="false">
      <c r="A195" s="11"/>
      <c r="B195" s="11"/>
    </row>
    <row r="196" customFormat="false" ht="15" hidden="false" customHeight="false" outlineLevel="0" collapsed="false">
      <c r="A196" s="11"/>
      <c r="B196" s="11"/>
    </row>
    <row r="197" customFormat="false" ht="15" hidden="false" customHeight="false" outlineLevel="0" collapsed="false">
      <c r="A197" s="11"/>
      <c r="B197" s="11"/>
    </row>
    <row r="198" customFormat="false" ht="15" hidden="false" customHeight="false" outlineLevel="0" collapsed="false">
      <c r="A198" s="11"/>
      <c r="B198" s="11"/>
    </row>
    <row r="199" customFormat="false" ht="15" hidden="false" customHeight="false" outlineLevel="0" collapsed="false">
      <c r="A199" s="11"/>
      <c r="B199" s="11"/>
    </row>
    <row r="200" customFormat="false" ht="15" hidden="false" customHeight="false" outlineLevel="0" collapsed="false">
      <c r="A200" s="11"/>
      <c r="B200" s="11"/>
    </row>
    <row r="201" customFormat="false" ht="15" hidden="false" customHeight="false" outlineLevel="0" collapsed="false">
      <c r="A201" s="11"/>
      <c r="B201" s="11"/>
    </row>
    <row r="202" customFormat="false" ht="15" hidden="false" customHeight="false" outlineLevel="0" collapsed="false">
      <c r="A202" s="11"/>
      <c r="B202" s="11"/>
    </row>
    <row r="203" customFormat="false" ht="15" hidden="false" customHeight="false" outlineLevel="0" collapsed="false">
      <c r="A203" s="11"/>
      <c r="B203" s="11"/>
    </row>
    <row r="204" customFormat="false" ht="15" hidden="false" customHeight="false" outlineLevel="0" collapsed="false">
      <c r="A204" s="11"/>
      <c r="B204" s="11"/>
    </row>
    <row r="205" customFormat="false" ht="15" hidden="false" customHeight="false" outlineLevel="0" collapsed="false">
      <c r="A205" s="11"/>
      <c r="B205" s="11"/>
    </row>
  </sheetData>
  <dataValidations count="1">
    <dataValidation allowBlank="true" errorStyle="stop" operator="between" showDropDown="false" showErrorMessage="false" showInputMessage="false" sqref="B6:B205" type="list">
      <formula1>ORCAMENTO!$B$6:$B$55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tru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81" min="10" style="0" width="11.5"/>
  </cols>
  <sheetData>
    <row r="1" customFormat="false" ht="17.35" hidden="false" customHeight="false" outlineLevel="0" collapsed="false">
      <c r="A1" s="1" t="s">
        <v>190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customFormat="false" ht="15" hidden="false" customHeight="false" outlineLevel="0" collapsed="false">
      <c r="A2" s="8" t="s">
        <v>191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</row>
    <row r="7" customFormat="false" ht="15" hidden="false" customHeight="false" outlineLevel="0" collapsed="false">
      <c r="A7" s="17" t="s">
        <v>54</v>
      </c>
      <c r="B7" s="17" t="s">
        <v>55</v>
      </c>
      <c r="C7" s="17"/>
      <c r="D7" s="17"/>
      <c r="E7" s="17"/>
      <c r="F7" s="17"/>
      <c r="G7" s="17"/>
      <c r="H7" s="17" t="s">
        <v>192</v>
      </c>
      <c r="I7" s="17"/>
      <c r="J7" s="24" t="n">
        <f aca="false">FLUXO_MENSAL!J7</f>
        <v>45627</v>
      </c>
      <c r="K7" s="24" t="n">
        <f aca="false">FLUXO_MENSAL!K7</f>
        <v>45658</v>
      </c>
      <c r="L7" s="24" t="n">
        <f aca="false">FLUXO_MENSAL!L7</f>
        <v>45689</v>
      </c>
      <c r="M7" s="24" t="n">
        <f aca="false">FLUXO_MENSAL!M7</f>
        <v>45717</v>
      </c>
      <c r="N7" s="24" t="n">
        <f aca="false">FLUXO_MENSAL!N7</f>
        <v>45748</v>
      </c>
      <c r="O7" s="24" t="n">
        <f aca="false">FLUXO_MENSAL!O7</f>
        <v>45778</v>
      </c>
      <c r="P7" s="24" t="n">
        <f aca="false">FLUXO_MENSAL!P7</f>
        <v>45809</v>
      </c>
      <c r="Q7" s="24" t="n">
        <f aca="false">FLUXO_MENSAL!Q7</f>
        <v>45839</v>
      </c>
      <c r="R7" s="24" t="n">
        <f aca="false">FLUXO_MENSAL!R7</f>
        <v>45870</v>
      </c>
      <c r="S7" s="24" t="n">
        <f aca="false">FLUXO_MENSAL!S7</f>
        <v>45901</v>
      </c>
      <c r="T7" s="24" t="n">
        <f aca="false">FLUXO_MENSAL!T7</f>
        <v>45931</v>
      </c>
      <c r="U7" s="24" t="n">
        <f aca="false">FLUXO_MENSAL!U7</f>
        <v>45962</v>
      </c>
      <c r="V7" s="24" t="n">
        <f aca="false">FLUXO_MENSAL!V7</f>
        <v>45992</v>
      </c>
      <c r="W7" s="24" t="n">
        <f aca="false">FLUXO_MENSAL!W7</f>
        <v>46023</v>
      </c>
      <c r="X7" s="24" t="n">
        <f aca="false">FLUXO_MENSAL!X7</f>
        <v>46054</v>
      </c>
      <c r="Y7" s="24" t="n">
        <f aca="false">FLUXO_MENSAL!Y7</f>
        <v>46082</v>
      </c>
      <c r="Z7" s="24" t="n">
        <f aca="false">FLUXO_MENSAL!Z7</f>
        <v>46113</v>
      </c>
      <c r="AA7" s="24" t="n">
        <f aca="false">FLUXO_MENSAL!AA7</f>
        <v>46143</v>
      </c>
      <c r="AB7" s="24" t="n">
        <f aca="false">FLUXO_MENSAL!AB7</f>
        <v>46174</v>
      </c>
      <c r="AC7" s="24" t="n">
        <f aca="false">FLUXO_MENSAL!AC7</f>
        <v>46204</v>
      </c>
      <c r="AD7" s="24" t="n">
        <f aca="false">FLUXO_MENSAL!AD7</f>
        <v>46235</v>
      </c>
      <c r="AE7" s="24" t="n">
        <f aca="false">FLUXO_MENSAL!AE7</f>
        <v>46266</v>
      </c>
      <c r="AF7" s="24" t="n">
        <f aca="false">FLUXO_MENSAL!AF7</f>
        <v>46296</v>
      </c>
      <c r="AG7" s="24" t="n">
        <f aca="false">FLUXO_MENSAL!AG7</f>
        <v>46327</v>
      </c>
      <c r="AH7" s="24" t="n">
        <f aca="false">FLUXO_MENSAL!AH7</f>
        <v>46357</v>
      </c>
      <c r="AI7" s="24" t="n">
        <f aca="false">FLUXO_MENSAL!AI7</f>
        <v>46388</v>
      </c>
      <c r="AJ7" s="24" t="n">
        <f aca="false">FLUXO_MENSAL!AJ7</f>
        <v>46419</v>
      </c>
      <c r="AK7" s="24" t="n">
        <f aca="false">FLUXO_MENSAL!AK7</f>
        <v>46447</v>
      </c>
      <c r="AL7" s="24" t="n">
        <f aca="false">FLUXO_MENSAL!AL7</f>
        <v>46478</v>
      </c>
      <c r="AM7" s="24" t="n">
        <f aca="false">FLUXO_MENSAL!AM7</f>
        <v>46508</v>
      </c>
      <c r="AN7" s="24" t="n">
        <f aca="false">FLUXO_MENSAL!AN7</f>
        <v>46539</v>
      </c>
      <c r="AO7" s="24" t="n">
        <f aca="false">FLUXO_MENSAL!AO7</f>
        <v>46569</v>
      </c>
      <c r="AP7" s="24" t="n">
        <f aca="false">FLUXO_MENSAL!AP7</f>
        <v>46600</v>
      </c>
      <c r="AQ7" s="24" t="n">
        <f aca="false">FLUXO_MENSAL!AQ7</f>
        <v>46631</v>
      </c>
      <c r="AR7" s="24" t="n">
        <f aca="false">FLUXO_MENSAL!AR7</f>
        <v>46661</v>
      </c>
      <c r="AS7" s="24" t="n">
        <f aca="false">FLUXO_MENSAL!AS7</f>
        <v>46692</v>
      </c>
      <c r="AT7" s="24" t="n">
        <f aca="false">FLUXO_MENSAL!AT7</f>
        <v>46722</v>
      </c>
      <c r="AU7" s="24" t="n">
        <f aca="false">FLUXO_MENSAL!AU7</f>
        <v>46753</v>
      </c>
      <c r="AV7" s="24" t="n">
        <f aca="false">FLUXO_MENSAL!AV7</f>
        <v>46784</v>
      </c>
      <c r="AW7" s="24" t="n">
        <f aca="false">FLUXO_MENSAL!AW7</f>
        <v>46813</v>
      </c>
      <c r="AX7" s="24" t="n">
        <f aca="false">FLUXO_MENSAL!AX7</f>
        <v>46844</v>
      </c>
      <c r="AY7" s="24" t="n">
        <f aca="false">FLUXO_MENSAL!AY7</f>
        <v>46874</v>
      </c>
      <c r="AZ7" s="24" t="n">
        <f aca="false">FLUXO_MENSAL!AZ7</f>
        <v>46905</v>
      </c>
      <c r="BA7" s="24" t="n">
        <f aca="false">FLUXO_MENSAL!BA7</f>
        <v>46935</v>
      </c>
      <c r="BB7" s="24" t="n">
        <f aca="false">FLUXO_MENSAL!BB7</f>
        <v>46966</v>
      </c>
      <c r="BC7" s="24" t="n">
        <f aca="false">FLUXO_MENSAL!BC7</f>
        <v>46997</v>
      </c>
      <c r="BD7" s="24" t="n">
        <f aca="false">FLUXO_MENSAL!BD7</f>
        <v>47027</v>
      </c>
      <c r="BE7" s="24" t="n">
        <f aca="false">FLUXO_MENSAL!BE7</f>
        <v>47058</v>
      </c>
      <c r="BF7" s="24" t="n">
        <f aca="false">FLUXO_MENSAL!BF7</f>
        <v>47088</v>
      </c>
      <c r="BG7" s="24" t="n">
        <f aca="false">FLUXO_MENSAL!BG7</f>
        <v>47119</v>
      </c>
      <c r="BH7" s="24" t="n">
        <f aca="false">FLUXO_MENSAL!BH7</f>
        <v>47150</v>
      </c>
      <c r="BI7" s="24" t="n">
        <f aca="false">FLUXO_MENSAL!BI7</f>
        <v>47178</v>
      </c>
      <c r="BJ7" s="24" t="n">
        <f aca="false">FLUXO_MENSAL!BJ7</f>
        <v>47209</v>
      </c>
      <c r="BK7" s="24" t="n">
        <f aca="false">FLUXO_MENSAL!BK7</f>
        <v>47239</v>
      </c>
      <c r="BL7" s="24" t="n">
        <f aca="false">FLUXO_MENSAL!BL7</f>
        <v>47270</v>
      </c>
      <c r="BM7" s="24" t="n">
        <f aca="false">FLUXO_MENSAL!BM7</f>
        <v>47300</v>
      </c>
      <c r="BN7" s="24" t="n">
        <f aca="false">FLUXO_MENSAL!BN7</f>
        <v>47331</v>
      </c>
      <c r="BO7" s="24" t="n">
        <f aca="false">FLUXO_MENSAL!BO7</f>
        <v>47362</v>
      </c>
      <c r="BP7" s="24" t="n">
        <f aca="false">FLUXO_MENSAL!BP7</f>
        <v>47392</v>
      </c>
      <c r="BQ7" s="24" t="n">
        <f aca="false">FLUXO_MENSAL!BQ7</f>
        <v>47423</v>
      </c>
      <c r="BR7" s="24" t="n">
        <f aca="false">FLUXO_MENSAL!BR7</f>
        <v>47453</v>
      </c>
      <c r="BS7" s="24" t="n">
        <f aca="false">FLUXO_MENSAL!BS7</f>
        <v>47484</v>
      </c>
      <c r="BT7" s="24" t="n">
        <f aca="false">FLUXO_MENSAL!BT7</f>
        <v>47515</v>
      </c>
      <c r="BU7" s="24" t="n">
        <f aca="false">FLUXO_MENSAL!BU7</f>
        <v>47543</v>
      </c>
      <c r="BV7" s="24" t="n">
        <f aca="false">FLUXO_MENSAL!BV7</f>
        <v>47574</v>
      </c>
      <c r="BW7" s="24" t="n">
        <f aca="false">FLUXO_MENSAL!BW7</f>
        <v>47604</v>
      </c>
      <c r="BX7" s="24" t="n">
        <f aca="false">FLUXO_MENSAL!BX7</f>
        <v>47635</v>
      </c>
      <c r="BY7" s="24" t="n">
        <f aca="false">FLUXO_MENSAL!BY7</f>
        <v>47665</v>
      </c>
      <c r="BZ7" s="24" t="n">
        <f aca="false">FLUXO_MENSAL!BZ7</f>
        <v>47696</v>
      </c>
      <c r="CA7" s="24" t="n">
        <f aca="false">FLUXO_MENSAL!CA7</f>
        <v>47727</v>
      </c>
      <c r="CB7" s="24" t="n">
        <f aca="false">FLUXO_MENSAL!CB7</f>
        <v>47757</v>
      </c>
      <c r="CC7" s="24" t="n">
        <f aca="false">FLUXO_MENSAL!CC7</f>
        <v>47788</v>
      </c>
    </row>
    <row r="8" customFormat="false" ht="15" hidden="false" customHeight="false" outlineLevel="0" collapsed="false">
      <c r="A8" s="5" t="str">
        <f aca="false">IF(ORCAMENTO!A6="","",ORCAMENTO!A6)</f>
        <v>01</v>
      </c>
      <c r="B8" s="5" t="str">
        <f aca="false">IF(ORCAMENTO!B6="","",ORCAMENTO!B6)</f>
        <v>PROJETOS</v>
      </c>
      <c r="C8" s="7"/>
      <c r="D8" s="7"/>
      <c r="E8" s="7"/>
      <c r="F8" s="7"/>
      <c r="G8" s="7"/>
      <c r="H8" s="25" t="n">
        <f aca="false">SUMPRODUCT((J$7:CC$7&gt;PARAMETROS!$C$12)*J8:CC8)</f>
        <v>533315.27</v>
      </c>
      <c r="I8" s="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 t="n">
        <v>14833</v>
      </c>
      <c r="AF8" s="18" t="n">
        <v>100000</v>
      </c>
      <c r="AG8" s="18" t="n">
        <v>100000</v>
      </c>
      <c r="AH8" s="18" t="n">
        <v>14833</v>
      </c>
      <c r="AI8" s="18" t="n">
        <v>14833</v>
      </c>
      <c r="AJ8" s="18" t="n">
        <v>1100</v>
      </c>
      <c r="AK8" s="18" t="n">
        <v>1100</v>
      </c>
      <c r="AL8" s="18" t="n">
        <v>1100</v>
      </c>
      <c r="AM8" s="18" t="n">
        <v>1100</v>
      </c>
      <c r="AN8" s="18" t="n">
        <v>1100</v>
      </c>
      <c r="AO8" s="18" t="n">
        <v>1100</v>
      </c>
      <c r="AP8" s="18" t="n">
        <v>1100</v>
      </c>
      <c r="AQ8" s="18" t="n">
        <v>1100</v>
      </c>
      <c r="AR8" s="18" t="n">
        <v>1100</v>
      </c>
      <c r="AS8" s="18" t="n">
        <v>1100</v>
      </c>
      <c r="AT8" s="18" t="n">
        <v>1100</v>
      </c>
      <c r="AU8" s="18" t="n">
        <v>1100</v>
      </c>
      <c r="AV8" s="18" t="n">
        <v>1100</v>
      </c>
      <c r="AW8" s="18" t="n">
        <v>1100</v>
      </c>
      <c r="AX8" s="18" t="n">
        <v>1100</v>
      </c>
      <c r="AY8" s="18" t="n">
        <v>1100</v>
      </c>
      <c r="AZ8" s="18" t="n">
        <v>1100</v>
      </c>
      <c r="BA8" s="18" t="n">
        <v>1100</v>
      </c>
      <c r="BB8" s="18" t="n">
        <v>1100</v>
      </c>
      <c r="BC8" s="18" t="n">
        <v>1100</v>
      </c>
      <c r="BD8" s="18" t="n">
        <v>1100</v>
      </c>
      <c r="BE8" s="18" t="n">
        <v>264616.27</v>
      </c>
      <c r="BF8" s="18" t="n">
        <v>1100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</row>
    <row r="9" customFormat="false" ht="15" hidden="false" customHeight="false" outlineLevel="0" collapsed="false">
      <c r="A9" s="5" t="str">
        <f aca="false">IF(ORCAMENTO!A7="","",ORCAMENTO!A7)</f>
        <v>02</v>
      </c>
      <c r="B9" s="5" t="str">
        <f aca="false">IF(ORCAMENTO!B7="","",ORCAMENTO!B7)</f>
        <v>SEGUROS</v>
      </c>
      <c r="C9" s="7"/>
      <c r="D9" s="7"/>
      <c r="E9" s="7"/>
      <c r="F9" s="7"/>
      <c r="G9" s="7"/>
      <c r="H9" s="25" t="n">
        <f aca="false">SUMPRODUCT((J$7:CC$7&gt;PARAMETROS!$C$12)*J9:CC9)</f>
        <v>0</v>
      </c>
      <c r="I9" s="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</row>
    <row r="10" customFormat="false" ht="15" hidden="false" customHeight="false" outlineLevel="0" collapsed="false">
      <c r="A10" s="5" t="str">
        <f aca="false">IF(ORCAMENTO!A8="","",ORCAMENTO!A8)</f>
        <v>03</v>
      </c>
      <c r="B10" s="5" t="str">
        <f aca="false">IF(ORCAMENTO!B8="","",ORCAMENTO!B8)</f>
        <v>TAXAS DIVERSAS</v>
      </c>
      <c r="C10" s="7"/>
      <c r="D10" s="7"/>
      <c r="E10" s="7"/>
      <c r="F10" s="7"/>
      <c r="G10" s="7"/>
      <c r="H10" s="25" t="n">
        <f aca="false">SUMPRODUCT((J$7:CC$7&gt;PARAMETROS!$C$12)*J10:CC10)</f>
        <v>151217.5</v>
      </c>
      <c r="I10" s="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 t="n">
        <v>924.76</v>
      </c>
      <c r="AF10" s="18"/>
      <c r="AG10" s="18"/>
      <c r="AH10" s="18" t="n">
        <v>924.76</v>
      </c>
      <c r="AI10" s="18"/>
      <c r="AJ10" s="18"/>
      <c r="AK10" s="18" t="n">
        <v>924.76</v>
      </c>
      <c r="AL10" s="18"/>
      <c r="AM10" s="18"/>
      <c r="AN10" s="18" t="n">
        <v>924.76</v>
      </c>
      <c r="AO10" s="18"/>
      <c r="AP10" s="18"/>
      <c r="AQ10" s="18" t="n">
        <v>924.76</v>
      </c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n">
        <v>15961.4</v>
      </c>
      <c r="BE10" s="18" t="n">
        <v>24939.69</v>
      </c>
      <c r="BF10" s="18" t="n">
        <v>299.28</v>
      </c>
      <c r="BG10" s="18" t="n">
        <v>44891.44</v>
      </c>
      <c r="BH10" s="18" t="n">
        <v>60501.89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</row>
    <row r="11" customFormat="false" ht="15" hidden="false" customHeight="false" outlineLevel="0" collapsed="false">
      <c r="A11" s="5" t="str">
        <f aca="false">IF(ORCAMENTO!A9="","",ORCAMENTO!A9)</f>
        <v>04</v>
      </c>
      <c r="B11" s="5" t="str">
        <f aca="false">IF(ORCAMENTO!B9="","",ORCAMENTO!B9)</f>
        <v>BARRACAO DE OBRA</v>
      </c>
      <c r="C11" s="7"/>
      <c r="D11" s="7"/>
      <c r="E11" s="7"/>
      <c r="F11" s="7"/>
      <c r="G11" s="7"/>
      <c r="H11" s="25" t="n">
        <f aca="false">SUMPRODUCT((J$7:CC$7&gt;PARAMETROS!$C$12)*J11:CC11)</f>
        <v>597111.3</v>
      </c>
      <c r="I11" s="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 t="n">
        <v>12388.74</v>
      </c>
      <c r="AF11" s="18" t="n">
        <v>12388.74</v>
      </c>
      <c r="AG11" s="18" t="n">
        <v>12388.74</v>
      </c>
      <c r="AH11" s="18" t="n">
        <v>12388.74</v>
      </c>
      <c r="AI11" s="18" t="n">
        <v>12388.74</v>
      </c>
      <c r="AJ11" s="18" t="n">
        <v>102388.74</v>
      </c>
      <c r="AK11" s="18" t="n">
        <v>102388.74</v>
      </c>
      <c r="AL11" s="18" t="n">
        <v>52388.74</v>
      </c>
      <c r="AM11" s="18" t="n">
        <v>12388.74</v>
      </c>
      <c r="AN11" s="18" t="n">
        <v>12388.74</v>
      </c>
      <c r="AO11" s="18" t="n">
        <v>12388.74</v>
      </c>
      <c r="AP11" s="18" t="n">
        <v>12388.74</v>
      </c>
      <c r="AQ11" s="18" t="n">
        <v>12388.74</v>
      </c>
      <c r="AR11" s="18" t="n">
        <v>12388.74</v>
      </c>
      <c r="AS11" s="18" t="n">
        <v>12388.74</v>
      </c>
      <c r="AT11" s="18" t="n">
        <v>12388.74</v>
      </c>
      <c r="AU11" s="18" t="n">
        <v>12388.74</v>
      </c>
      <c r="AV11" s="18" t="n">
        <v>12388.74</v>
      </c>
      <c r="AW11" s="18" t="n">
        <v>12388.74</v>
      </c>
      <c r="AX11" s="18" t="n">
        <v>12388.74</v>
      </c>
      <c r="AY11" s="18" t="n">
        <v>12388.74</v>
      </c>
      <c r="AZ11" s="18" t="n">
        <v>12388.74</v>
      </c>
      <c r="BA11" s="18" t="n">
        <v>12388.74</v>
      </c>
      <c r="BB11" s="18" t="n">
        <v>12388.74</v>
      </c>
      <c r="BC11" s="18" t="n">
        <v>1300</v>
      </c>
      <c r="BD11" s="18" t="n">
        <v>1300</v>
      </c>
      <c r="BE11" s="18" t="n">
        <v>1300</v>
      </c>
      <c r="BF11" s="18" t="n">
        <v>1771.78</v>
      </c>
      <c r="BG11" s="18" t="n">
        <v>1729.71</v>
      </c>
      <c r="BH11" s="18" t="n">
        <v>1729.71</v>
      </c>
      <c r="BI11" s="18" t="n">
        <v>70650.34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</row>
    <row r="12" customFormat="false" ht="15" hidden="false" customHeight="false" outlineLevel="0" collapsed="false">
      <c r="A12" s="5" t="str">
        <f aca="false">IF(ORCAMENTO!A10="","",ORCAMENTO!A10)</f>
        <v>05</v>
      </c>
      <c r="B12" s="5" t="str">
        <f aca="false">IF(ORCAMENTO!B10="","",ORCAMENTO!B10)</f>
        <v>LIGAÇÕES PROVISÓRIAS AGUA, ENERGIA,TELEFONIA, ESGOTO</v>
      </c>
      <c r="C12" s="7"/>
      <c r="D12" s="7"/>
      <c r="E12" s="7"/>
      <c r="F12" s="7"/>
      <c r="G12" s="7"/>
      <c r="H12" s="25" t="n">
        <f aca="false">SUMPRODUCT((J$7:CC$7&gt;PARAMETROS!$C$12)*J12:CC12)</f>
        <v>0</v>
      </c>
      <c r="I12" s="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</row>
    <row r="13" customFormat="false" ht="15" hidden="false" customHeight="false" outlineLevel="0" collapsed="false">
      <c r="A13" s="5" t="str">
        <f aca="false">IF(ORCAMENTO!A11="","",ORCAMENTO!A11)</f>
        <v>06</v>
      </c>
      <c r="B13" s="5" t="str">
        <f aca="false">IF(ORCAMENTO!B11="","",ORCAMENTO!B11)</f>
        <v>CONSUMO DE ÁGUA, ENERGIA, ETC.</v>
      </c>
      <c r="C13" s="7"/>
      <c r="D13" s="7"/>
      <c r="E13" s="7"/>
      <c r="F13" s="7"/>
      <c r="G13" s="7"/>
      <c r="H13" s="25" t="n">
        <f aca="false">SUMPRODUCT((J$7:CC$7&gt;PARAMETROS!$C$12)*J13:CC13)</f>
        <v>494508.3</v>
      </c>
      <c r="I13" s="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n">
        <v>10541.48</v>
      </c>
      <c r="AF13" s="18" t="n">
        <v>11379.4</v>
      </c>
      <c r="AG13" s="18" t="n">
        <v>11128.35</v>
      </c>
      <c r="AH13" s="18" t="n">
        <v>10642.17</v>
      </c>
      <c r="AI13" s="18" t="n">
        <v>10269.24</v>
      </c>
      <c r="AJ13" s="18" t="n">
        <v>11105.6</v>
      </c>
      <c r="AK13" s="18" t="n">
        <v>11301.04</v>
      </c>
      <c r="AL13" s="18" t="n">
        <v>10888.96</v>
      </c>
      <c r="AM13" s="18" t="n">
        <v>11189.99</v>
      </c>
      <c r="AN13" s="18" t="n">
        <v>11332.57</v>
      </c>
      <c r="AO13" s="18" t="n">
        <v>11583.14</v>
      </c>
      <c r="AP13" s="18" t="n">
        <v>11935.17</v>
      </c>
      <c r="AQ13" s="18" t="n">
        <v>12480.22</v>
      </c>
      <c r="AR13" s="18" t="n">
        <v>12867.83</v>
      </c>
      <c r="AS13" s="18" t="n">
        <v>12853.32</v>
      </c>
      <c r="AT13" s="18" t="n">
        <v>13195.68</v>
      </c>
      <c r="AU13" s="18" t="n">
        <v>12006.76</v>
      </c>
      <c r="AV13" s="18" t="n">
        <v>12952.12</v>
      </c>
      <c r="AW13" s="18" t="n">
        <v>12741.85</v>
      </c>
      <c r="AX13" s="18" t="n">
        <v>12613.6</v>
      </c>
      <c r="AY13" s="18" t="n">
        <v>12214.28</v>
      </c>
      <c r="AZ13" s="18" t="n">
        <v>12961.71</v>
      </c>
      <c r="BA13" s="18" t="n">
        <v>12457.67</v>
      </c>
      <c r="BB13" s="18" t="n">
        <v>12316.4</v>
      </c>
      <c r="BC13" s="18" t="n">
        <v>12207.86</v>
      </c>
      <c r="BD13" s="18" t="n">
        <v>11610.73</v>
      </c>
      <c r="BE13" s="18" t="n">
        <v>11025.61</v>
      </c>
      <c r="BF13" s="18" t="n">
        <v>10312.1</v>
      </c>
      <c r="BG13" s="18" t="n">
        <v>9972.52</v>
      </c>
      <c r="BH13" s="18" t="n">
        <v>9937.31</v>
      </c>
      <c r="BI13" s="18" t="n">
        <v>9524.9</v>
      </c>
      <c r="BJ13" s="18" t="n">
        <v>9124.11</v>
      </c>
      <c r="BK13" s="18" t="n">
        <v>9124.11</v>
      </c>
      <c r="BL13" s="18" t="n">
        <v>9124.11</v>
      </c>
      <c r="BM13" s="18"/>
      <c r="BN13" s="18" t="n">
        <v>107586.39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</row>
    <row r="14" customFormat="false" ht="15" hidden="false" customHeight="false" outlineLevel="0" collapsed="false">
      <c r="A14" s="5" t="str">
        <f aca="false">IF(ORCAMENTO!A12="","",ORCAMENTO!A12)</f>
        <v>07</v>
      </c>
      <c r="B14" s="5" t="str">
        <f aca="false">IF(ORCAMENTO!B12="","",ORCAMENTO!B12)</f>
        <v>DIVERSOS</v>
      </c>
      <c r="C14" s="7"/>
      <c r="D14" s="7"/>
      <c r="E14" s="7"/>
      <c r="F14" s="7"/>
      <c r="G14" s="7"/>
      <c r="H14" s="25" t="n">
        <f aca="false">SUMPRODUCT((J$7:CC$7&gt;PARAMETROS!$C$12)*J14:CC14)</f>
        <v>155081.47</v>
      </c>
      <c r="I14" s="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n">
        <v>860.64</v>
      </c>
      <c r="AF14" s="18" t="n">
        <v>3259.22</v>
      </c>
      <c r="AG14" s="18" t="n">
        <v>4542.16</v>
      </c>
      <c r="AH14" s="18" t="n">
        <v>4253.68</v>
      </c>
      <c r="AI14" s="18" t="n">
        <v>4032.4</v>
      </c>
      <c r="AJ14" s="18" t="n">
        <v>4890.72</v>
      </c>
      <c r="AK14" s="18" t="n">
        <v>5097.2</v>
      </c>
      <c r="AL14" s="18" t="n">
        <v>4852.69</v>
      </c>
      <c r="AM14" s="18" t="n">
        <v>5121.82</v>
      </c>
      <c r="AN14" s="18" t="n">
        <v>5296.94</v>
      </c>
      <c r="AO14" s="18" t="n">
        <v>5355.1</v>
      </c>
      <c r="AP14" s="18" t="n">
        <v>5563.98</v>
      </c>
      <c r="AQ14" s="18" t="n">
        <v>5977.91</v>
      </c>
      <c r="AR14" s="18" t="n">
        <v>6207.91</v>
      </c>
      <c r="AS14" s="18" t="n">
        <v>6018.27</v>
      </c>
      <c r="AT14" s="18" t="n">
        <v>6221.41</v>
      </c>
      <c r="AU14" s="18" t="n">
        <v>5515.95</v>
      </c>
      <c r="AV14" s="18" t="n">
        <v>6076.89</v>
      </c>
      <c r="AW14" s="18" t="n">
        <v>5861.61</v>
      </c>
      <c r="AX14" s="18" t="n">
        <v>5785.51</v>
      </c>
      <c r="AY14" s="18" t="n">
        <v>5458.06</v>
      </c>
      <c r="AZ14" s="18" t="n">
        <v>5901.55</v>
      </c>
      <c r="BA14" s="18" t="n">
        <v>5602.48</v>
      </c>
      <c r="BB14" s="18" t="n">
        <v>5518.65</v>
      </c>
      <c r="BC14" s="18" t="n">
        <v>5273.22</v>
      </c>
      <c r="BD14" s="18" t="n">
        <v>4918.9</v>
      </c>
      <c r="BE14" s="18" t="n">
        <v>4571.72</v>
      </c>
      <c r="BF14" s="18" t="n">
        <v>3695.77</v>
      </c>
      <c r="BG14" s="18" t="n">
        <v>3222.74</v>
      </c>
      <c r="BH14" s="18" t="n">
        <v>3201.84</v>
      </c>
      <c r="BI14" s="18" t="n">
        <v>2504.57</v>
      </c>
      <c r="BJ14" s="18" t="n">
        <v>4419.96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</row>
    <row r="15" customFormat="false" ht="15" hidden="false" customHeight="false" outlineLevel="0" collapsed="false">
      <c r="A15" s="5" t="str">
        <f aca="false">IF(ORCAMENTO!A13="","",ORCAMENTO!A13)</f>
        <v>08</v>
      </c>
      <c r="B15" s="5" t="str">
        <f aca="false">IF(ORCAMENTO!B13="","",ORCAMENTO!B13)</f>
        <v>TRANSPORTES</v>
      </c>
      <c r="C15" s="7"/>
      <c r="D15" s="7"/>
      <c r="E15" s="7"/>
      <c r="F15" s="7"/>
      <c r="G15" s="7"/>
      <c r="H15" s="25" t="n">
        <f aca="false">SUMPRODUCT((J$7:CC$7&gt;PARAMETROS!$C$12)*J15:CC15)</f>
        <v>745297.28</v>
      </c>
      <c r="I15" s="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n">
        <v>14226.77</v>
      </c>
      <c r="AF15" s="18" t="n">
        <v>17910.28</v>
      </c>
      <c r="AG15" s="18" t="n">
        <v>12060.18</v>
      </c>
      <c r="AH15" s="18" t="n">
        <v>12369.16</v>
      </c>
      <c r="AI15" s="18" t="n">
        <v>16309.5</v>
      </c>
      <c r="AJ15" s="18" t="n">
        <v>28235.87</v>
      </c>
      <c r="AK15" s="18" t="n">
        <v>25515.02</v>
      </c>
      <c r="AL15" s="18" t="n">
        <v>29900.88</v>
      </c>
      <c r="AM15" s="18" t="n">
        <v>30199.63</v>
      </c>
      <c r="AN15" s="18" t="n">
        <v>34501.02</v>
      </c>
      <c r="AO15" s="18" t="n">
        <v>32780.44</v>
      </c>
      <c r="AP15" s="18" t="n">
        <v>31177.91</v>
      </c>
      <c r="AQ15" s="18" t="n">
        <v>34021.99</v>
      </c>
      <c r="AR15" s="18" t="n">
        <v>29443.74</v>
      </c>
      <c r="AS15" s="18" t="n">
        <v>26464.19</v>
      </c>
      <c r="AT15" s="18" t="n">
        <v>29004.48</v>
      </c>
      <c r="AU15" s="18" t="n">
        <v>31522.3</v>
      </c>
      <c r="AV15" s="18" t="n">
        <v>31011.94</v>
      </c>
      <c r="AW15" s="18" t="n">
        <v>20653.6</v>
      </c>
      <c r="AX15" s="18" t="n">
        <v>12928.22</v>
      </c>
      <c r="AY15" s="18" t="n">
        <v>12928.22</v>
      </c>
      <c r="AZ15" s="18" t="n">
        <v>12928.22</v>
      </c>
      <c r="BA15" s="18" t="n">
        <v>12928.22</v>
      </c>
      <c r="BB15" s="18" t="n">
        <v>12928.22</v>
      </c>
      <c r="BC15" s="18" t="n">
        <v>12928.22</v>
      </c>
      <c r="BD15" s="18" t="n">
        <v>12928.22</v>
      </c>
      <c r="BE15" s="18" t="n">
        <v>12928.22</v>
      </c>
      <c r="BF15" s="18" t="n">
        <v>12928.22</v>
      </c>
      <c r="BG15" s="18" t="n">
        <v>12928.22</v>
      </c>
      <c r="BH15" s="18" t="n">
        <v>6000</v>
      </c>
      <c r="BI15" s="18" t="n">
        <v>65559.01</v>
      </c>
      <c r="BJ15" s="18" t="n">
        <v>19438.3</v>
      </c>
      <c r="BK15" s="18" t="n">
        <v>37708.87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</row>
    <row r="16" customFormat="false" ht="15" hidden="false" customHeight="false" outlineLevel="0" collapsed="false">
      <c r="A16" s="5" t="str">
        <f aca="false">IF(ORCAMENTO!A14="","",ORCAMENTO!A14)</f>
        <v>09</v>
      </c>
      <c r="B16" s="5" t="str">
        <f aca="false">IF(ORCAMENTO!B14="","",ORCAMENTO!B14)</f>
        <v>CONSULTORIAS (OBRAS)</v>
      </c>
      <c r="C16" s="7"/>
      <c r="D16" s="7"/>
      <c r="E16" s="7"/>
      <c r="F16" s="7"/>
      <c r="G16" s="7"/>
      <c r="H16" s="25" t="n">
        <f aca="false">SUMPRODUCT((J$7:CC$7&gt;PARAMETROS!$C$12)*J16:CC16)</f>
        <v>671943.38</v>
      </c>
      <c r="I16" s="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n">
        <v>29236.97</v>
      </c>
      <c r="AF16" s="18" t="n">
        <v>24991.46</v>
      </c>
      <c r="AG16" s="18" t="n">
        <v>22791.46</v>
      </c>
      <c r="AH16" s="18" t="n">
        <v>22791.46</v>
      </c>
      <c r="AI16" s="18" t="n">
        <v>25692.74</v>
      </c>
      <c r="AJ16" s="18" t="n">
        <v>19492.74</v>
      </c>
      <c r="AK16" s="18" t="n">
        <v>19492.74</v>
      </c>
      <c r="AL16" s="18" t="n">
        <v>21692.74</v>
      </c>
      <c r="AM16" s="18" t="n">
        <v>19492.74</v>
      </c>
      <c r="AN16" s="18" t="n">
        <v>24517.74</v>
      </c>
      <c r="AO16" s="18" t="n">
        <v>21692.74</v>
      </c>
      <c r="AP16" s="18" t="n">
        <v>19492.74</v>
      </c>
      <c r="AQ16" s="18" t="n">
        <v>19492.74</v>
      </c>
      <c r="AR16" s="18" t="n">
        <v>21692.74</v>
      </c>
      <c r="AS16" s="18" t="n">
        <v>19492.74</v>
      </c>
      <c r="AT16" s="18" t="n">
        <v>15610.78</v>
      </c>
      <c r="AU16" s="18" t="n">
        <v>17385.68</v>
      </c>
      <c r="AV16" s="18" t="n">
        <v>15185.68</v>
      </c>
      <c r="AW16" s="18" t="n">
        <v>11185.68</v>
      </c>
      <c r="AX16" s="18" t="n">
        <v>13385.68</v>
      </c>
      <c r="AY16" s="18" t="n">
        <v>11185.68</v>
      </c>
      <c r="AZ16" s="18" t="n">
        <v>16210.68</v>
      </c>
      <c r="BA16" s="18" t="n">
        <v>13385.68</v>
      </c>
      <c r="BB16" s="18" t="n">
        <v>48685.68</v>
      </c>
      <c r="BC16" s="18" t="n">
        <v>50885.68</v>
      </c>
      <c r="BD16" s="18" t="n">
        <v>11185.68</v>
      </c>
      <c r="BE16" s="18" t="n">
        <v>10483.68</v>
      </c>
      <c r="BF16" s="18" t="n">
        <v>12683.68</v>
      </c>
      <c r="BG16" s="18" t="n">
        <v>9485.68</v>
      </c>
      <c r="BH16" s="18" t="n">
        <v>5685.68</v>
      </c>
      <c r="BI16" s="18" t="n">
        <v>77255.59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customFormat="false" ht="15" hidden="false" customHeight="false" outlineLevel="0" collapsed="false">
      <c r="A17" s="5" t="str">
        <f aca="false">IF(ORCAMENTO!A15="","",ORCAMENTO!A15)</f>
        <v>10</v>
      </c>
      <c r="B17" s="5" t="str">
        <f aca="false">IF(ORCAMENTO!B15="","",ORCAMENTO!B15)</f>
        <v>MÃO DE OBRA PRÓPRIA</v>
      </c>
      <c r="C17" s="7"/>
      <c r="D17" s="7"/>
      <c r="E17" s="7"/>
      <c r="F17" s="7"/>
      <c r="G17" s="7"/>
      <c r="H17" s="25" t="n">
        <f aca="false">SUMPRODUCT((J$7:CC$7&gt;PARAMETROS!$C$12)*J17:CC17)</f>
        <v>17058053.85</v>
      </c>
      <c r="I17" s="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n">
        <v>140080.31</v>
      </c>
      <c r="AF17" s="18" t="n">
        <v>252136.45</v>
      </c>
      <c r="AG17" s="18" t="n">
        <v>284644.73</v>
      </c>
      <c r="AH17" s="18" t="n">
        <v>328768.1</v>
      </c>
      <c r="AI17" s="18" t="n">
        <v>488589.71</v>
      </c>
      <c r="AJ17" s="18" t="n">
        <v>439669.52</v>
      </c>
      <c r="AK17" s="18" t="n">
        <v>437483.96</v>
      </c>
      <c r="AL17" s="18" t="n">
        <v>450976.08</v>
      </c>
      <c r="AM17" s="18" t="n">
        <v>456518.18</v>
      </c>
      <c r="AN17" s="18" t="n">
        <v>456518.18</v>
      </c>
      <c r="AO17" s="18" t="n">
        <v>456518.18</v>
      </c>
      <c r="AP17" s="18" t="n">
        <v>464593.44</v>
      </c>
      <c r="AQ17" s="18" t="n">
        <v>464593.44</v>
      </c>
      <c r="AR17" s="18" t="n">
        <v>463729.92</v>
      </c>
      <c r="AS17" s="18" t="n">
        <v>592235.93</v>
      </c>
      <c r="AT17" s="18" t="n">
        <v>583784.24</v>
      </c>
      <c r="AU17" s="18" t="n">
        <v>464593.44</v>
      </c>
      <c r="AV17" s="18" t="n">
        <v>464593.44</v>
      </c>
      <c r="AW17" s="18" t="n">
        <v>464593.44</v>
      </c>
      <c r="AX17" s="18" t="n">
        <v>446460.19</v>
      </c>
      <c r="AY17" s="18" t="n">
        <v>446460.19</v>
      </c>
      <c r="AZ17" s="18" t="n">
        <v>446460.19</v>
      </c>
      <c r="BA17" s="18" t="n">
        <v>430208.77</v>
      </c>
      <c r="BB17" s="18" t="n">
        <v>409025.96</v>
      </c>
      <c r="BC17" s="18" t="n">
        <v>409025.96</v>
      </c>
      <c r="BD17" s="18" t="n">
        <v>409025.96</v>
      </c>
      <c r="BE17" s="18" t="n">
        <v>580495.28</v>
      </c>
      <c r="BF17" s="18" t="n">
        <v>605762.34</v>
      </c>
      <c r="BG17" s="18" t="n">
        <v>473473.39</v>
      </c>
      <c r="BH17" s="18" t="n">
        <v>437920</v>
      </c>
      <c r="BI17" s="18" t="n">
        <v>437920</v>
      </c>
      <c r="BJ17" s="18" t="n">
        <v>615518.93</v>
      </c>
      <c r="BK17" s="18" t="n">
        <v>163135.14</v>
      </c>
      <c r="BL17" s="18" t="n">
        <v>63372.54</v>
      </c>
      <c r="BM17" s="18" t="n">
        <v>63372.54</v>
      </c>
      <c r="BN17" s="18"/>
      <c r="BO17" s="18"/>
      <c r="BP17" s="18" t="n">
        <v>2465795.78</v>
      </c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</row>
    <row r="18" customFormat="false" ht="15" hidden="false" customHeight="false" outlineLevel="0" collapsed="false">
      <c r="A18" s="5" t="str">
        <f aca="false">IF(ORCAMENTO!A16="","",ORCAMENTO!A16)</f>
        <v>11</v>
      </c>
      <c r="B18" s="5" t="str">
        <f aca="false">IF(ORCAMENTO!B16="","",ORCAMENTO!B16)</f>
        <v>EQUIPAMENTOS E FERRAMENTAS</v>
      </c>
      <c r="C18" s="7"/>
      <c r="D18" s="7"/>
      <c r="E18" s="7"/>
      <c r="F18" s="7"/>
      <c r="G18" s="7"/>
      <c r="H18" s="25" t="n">
        <f aca="false">SUMPRODUCT((J$7:CC$7&gt;PARAMETROS!$C$12)*J18:CC18)</f>
        <v>6128608.3</v>
      </c>
      <c r="I18" s="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n">
        <v>94939.97</v>
      </c>
      <c r="AF18" s="18" t="n">
        <v>158564.58</v>
      </c>
      <c r="AG18" s="18" t="n">
        <v>95745</v>
      </c>
      <c r="AH18" s="18" t="n">
        <v>201083.08</v>
      </c>
      <c r="AI18" s="18" t="n">
        <v>98138.38</v>
      </c>
      <c r="AJ18" s="18" t="n">
        <v>197907.52</v>
      </c>
      <c r="AK18" s="18" t="n">
        <v>162918.89</v>
      </c>
      <c r="AL18" s="18" t="n">
        <v>169058.89</v>
      </c>
      <c r="AM18" s="18" t="n">
        <v>273009.59</v>
      </c>
      <c r="AN18" s="18" t="n">
        <v>218406.22</v>
      </c>
      <c r="AO18" s="18" t="n">
        <v>267270.57</v>
      </c>
      <c r="AP18" s="18" t="n">
        <v>233262.22</v>
      </c>
      <c r="AQ18" s="18" t="n">
        <v>229592.22</v>
      </c>
      <c r="AR18" s="18" t="n">
        <v>286769.57</v>
      </c>
      <c r="AS18" s="18" t="n">
        <v>327219.86</v>
      </c>
      <c r="AT18" s="18" t="n">
        <v>263647.68</v>
      </c>
      <c r="AU18" s="18" t="n">
        <v>245007.68</v>
      </c>
      <c r="AV18" s="18" t="n">
        <v>249007.68</v>
      </c>
      <c r="AW18" s="18" t="n">
        <v>239688.68</v>
      </c>
      <c r="AX18" s="18" t="n">
        <v>250628.68</v>
      </c>
      <c r="AY18" s="18" t="n">
        <v>263254.68</v>
      </c>
      <c r="AZ18" s="18" t="n">
        <v>249749.3</v>
      </c>
      <c r="BA18" s="18" t="n">
        <v>260865.91</v>
      </c>
      <c r="BB18" s="18" t="n">
        <v>318689.62</v>
      </c>
      <c r="BC18" s="18" t="n">
        <v>209920.3</v>
      </c>
      <c r="BD18" s="18" t="n">
        <v>233466.97</v>
      </c>
      <c r="BE18" s="18" t="n">
        <v>18744.2</v>
      </c>
      <c r="BF18" s="18" t="n">
        <v>109412.33</v>
      </c>
      <c r="BG18" s="18" t="n">
        <v>104432.33</v>
      </c>
      <c r="BH18" s="18" t="n">
        <v>86124.89</v>
      </c>
      <c r="BI18" s="18" t="n">
        <v>6352.27</v>
      </c>
      <c r="BJ18" s="18" t="n">
        <v>2864.27</v>
      </c>
      <c r="BK18" s="18" t="n">
        <v>2864.27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</row>
    <row r="19" customFormat="false" ht="15" hidden="false" customHeight="false" outlineLevel="0" collapsed="false">
      <c r="A19" s="5" t="str">
        <f aca="false">IF(ORCAMENTO!A17="","",ORCAMENTO!A17)</f>
        <v>12</v>
      </c>
      <c r="B19" s="5" t="str">
        <f aca="false">IF(ORCAMENTO!B17="","",ORCAMENTO!B17)</f>
        <v>SERVIÇOS INICIAIS</v>
      </c>
      <c r="C19" s="7"/>
      <c r="D19" s="7"/>
      <c r="E19" s="7"/>
      <c r="F19" s="7"/>
      <c r="G19" s="7"/>
      <c r="H19" s="25" t="n">
        <f aca="false">SUMPRODUCT((J$7:CC$7&gt;PARAMETROS!$C$12)*J19:CC19)</f>
        <v>56654.6</v>
      </c>
      <c r="I19" s="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 t="n">
        <v>56654.6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</row>
    <row r="20" customFormat="false" ht="15" hidden="false" customHeight="false" outlineLevel="0" collapsed="false">
      <c r="A20" s="5" t="str">
        <f aca="false">IF(ORCAMENTO!A18="","",ORCAMENTO!A18)</f>
        <v>13</v>
      </c>
      <c r="B20" s="5" t="str">
        <f aca="false">IF(ORCAMENTO!B18="","",ORCAMENTO!B18)</f>
        <v>CONTENÇÃO</v>
      </c>
      <c r="C20" s="7"/>
      <c r="D20" s="7"/>
      <c r="E20" s="7"/>
      <c r="F20" s="7"/>
      <c r="G20" s="7"/>
      <c r="H20" s="25" t="n">
        <f aca="false">SUMPRODUCT((J$7:CC$7&gt;PARAMETROS!$C$12)*J20:CC20)</f>
        <v>384571.25</v>
      </c>
      <c r="I20" s="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 t="n">
        <v>70000</v>
      </c>
      <c r="AG20" s="18" t="n">
        <v>70000</v>
      </c>
      <c r="AH20" s="18"/>
      <c r="AI20" s="18" t="n">
        <v>130000</v>
      </c>
      <c r="AJ20" s="18" t="n">
        <v>114571.25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</row>
    <row r="21" customFormat="false" ht="15" hidden="false" customHeight="false" outlineLevel="0" collapsed="false">
      <c r="A21" s="5" t="str">
        <f aca="false">IF(ORCAMENTO!A19="","",ORCAMENTO!A19)</f>
        <v>14</v>
      </c>
      <c r="B21" s="5" t="str">
        <f aca="false">IF(ORCAMENTO!B19="","",ORCAMENTO!B19)</f>
        <v>TERRAPLENAGEM</v>
      </c>
      <c r="C21" s="7"/>
      <c r="D21" s="7"/>
      <c r="E21" s="7"/>
      <c r="F21" s="7"/>
      <c r="G21" s="7"/>
      <c r="H21" s="25" t="n">
        <f aca="false">SUMPRODUCT((J$7:CC$7&gt;PARAMETROS!$C$12)*J21:CC21)</f>
        <v>251741.15</v>
      </c>
      <c r="I21" s="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 t="n">
        <v>50000</v>
      </c>
      <c r="AF21" s="18" t="n">
        <v>75000</v>
      </c>
      <c r="AG21" s="18" t="n">
        <v>75000</v>
      </c>
      <c r="AH21" s="18"/>
      <c r="AI21" s="18"/>
      <c r="AJ21" s="18"/>
      <c r="AK21" s="18"/>
      <c r="AL21" s="18" t="n">
        <v>51741.15</v>
      </c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</row>
    <row r="22" customFormat="false" ht="15" hidden="false" customHeight="false" outlineLevel="0" collapsed="false">
      <c r="A22" s="5" t="str">
        <f aca="false">IF(ORCAMENTO!A20="","",ORCAMENTO!A20)</f>
        <v>15</v>
      </c>
      <c r="B22" s="5" t="str">
        <f aca="false">IF(ORCAMENTO!B20="","",ORCAMENTO!B20)</f>
        <v>FUNDAÇÃO PROFUNDA</v>
      </c>
      <c r="C22" s="7"/>
      <c r="D22" s="7"/>
      <c r="E22" s="7"/>
      <c r="F22" s="7"/>
      <c r="G22" s="7"/>
      <c r="H22" s="25" t="n">
        <f aca="false">SUMPRODUCT((J$7:CC$7&gt;PARAMETROS!$C$12)*J22:CC22)</f>
        <v>0</v>
      </c>
      <c r="I22" s="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</row>
    <row r="23" customFormat="false" ht="15" hidden="false" customHeight="false" outlineLevel="0" collapsed="false">
      <c r="A23" s="5" t="str">
        <f aca="false">IF(ORCAMENTO!A21="","",ORCAMENTO!A21)</f>
        <v>16</v>
      </c>
      <c r="B23" s="5" t="str">
        <f aca="false">IF(ORCAMENTO!B21="","",ORCAMENTO!B21)</f>
        <v>FUNDAÇÃO SUPERFICIAL</v>
      </c>
      <c r="C23" s="7"/>
      <c r="D23" s="7"/>
      <c r="E23" s="7"/>
      <c r="F23" s="7"/>
      <c r="G23" s="7"/>
      <c r="H23" s="25" t="n">
        <f aca="false">SUMPRODUCT((J$7:CC$7&gt;PARAMETROS!$C$12)*J23:CC23)</f>
        <v>1267966.05</v>
      </c>
      <c r="I23" s="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 t="n">
        <v>50000</v>
      </c>
      <c r="AG23" s="18" t="n">
        <v>50000</v>
      </c>
      <c r="AH23" s="18"/>
      <c r="AI23" s="18"/>
      <c r="AJ23" s="18"/>
      <c r="AK23" s="18"/>
      <c r="AL23" s="18" t="n">
        <v>250000</v>
      </c>
      <c r="AM23" s="18" t="n">
        <v>250000</v>
      </c>
      <c r="AN23" s="18" t="n">
        <v>200000</v>
      </c>
      <c r="AO23" s="18" t="n">
        <v>125000</v>
      </c>
      <c r="AP23" s="18"/>
      <c r="AQ23" s="18"/>
      <c r="AR23" s="18"/>
      <c r="AS23" s="18" t="n">
        <v>92971.37</v>
      </c>
      <c r="AT23" s="18"/>
      <c r="AU23" s="18"/>
      <c r="AV23" s="18"/>
      <c r="AW23" s="18" t="n">
        <v>125000</v>
      </c>
      <c r="AX23" s="18" t="n">
        <v>124994.68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</row>
    <row r="24" customFormat="false" ht="15" hidden="false" customHeight="false" outlineLevel="0" collapsed="false">
      <c r="A24" s="5" t="str">
        <f aca="false">IF(ORCAMENTO!A22="","",ORCAMENTO!A22)</f>
        <v>17</v>
      </c>
      <c r="B24" s="5" t="str">
        <f aca="false">IF(ORCAMENTO!B22="","",ORCAMENTO!B22)</f>
        <v>ESTRUTURA EM CONCRETO ARMADO</v>
      </c>
      <c r="C24" s="7"/>
      <c r="D24" s="7"/>
      <c r="E24" s="7"/>
      <c r="F24" s="7"/>
      <c r="G24" s="7"/>
      <c r="H24" s="25" t="n">
        <f aca="false">SUMPRODUCT((J$7:CC$7&gt;PARAMETROS!$C$12)*J24:CC24)</f>
        <v>23773297.72</v>
      </c>
      <c r="I24" s="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 t="n">
        <v>686964.52</v>
      </c>
      <c r="AG24" s="18" t="n">
        <v>1047212.71</v>
      </c>
      <c r="AH24" s="18" t="n">
        <v>1620508.15</v>
      </c>
      <c r="AI24" s="18" t="n">
        <v>1912666.93</v>
      </c>
      <c r="AJ24" s="18" t="n">
        <v>1716911.78</v>
      </c>
      <c r="AK24" s="18" t="n">
        <v>1724029.04</v>
      </c>
      <c r="AL24" s="18" t="n">
        <v>1240873.84</v>
      </c>
      <c r="AM24" s="18" t="n">
        <v>1377375.67</v>
      </c>
      <c r="AN24" s="18" t="n">
        <v>1690022.9</v>
      </c>
      <c r="AO24" s="18" t="n">
        <v>1533152.88</v>
      </c>
      <c r="AP24" s="18" t="n">
        <v>1541765.8</v>
      </c>
      <c r="AQ24" s="18" t="n">
        <v>1266058.13</v>
      </c>
      <c r="AR24" s="18" t="n">
        <v>1261900.44</v>
      </c>
      <c r="AS24" s="18" t="n">
        <v>1261551.82</v>
      </c>
      <c r="AT24" s="18" t="n">
        <v>1261500.17</v>
      </c>
      <c r="AU24" s="18" t="n">
        <v>374755.37</v>
      </c>
      <c r="AV24" s="18" t="n">
        <v>374517.08</v>
      </c>
      <c r="AW24" s="18" t="n">
        <v>361591.02</v>
      </c>
      <c r="AX24" s="18" t="n">
        <v>340999.31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 t="n">
        <v>1178940.16</v>
      </c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</row>
    <row r="25" customFormat="false" ht="15" hidden="false" customHeight="false" outlineLevel="0" collapsed="false">
      <c r="A25" s="5" t="str">
        <f aca="false">IF(ORCAMENTO!A23="","",ORCAMENTO!A23)</f>
        <v>18</v>
      </c>
      <c r="B25" s="5" t="str">
        <f aca="false">IF(ORCAMENTO!B23="","",ORCAMENTO!B23)</f>
        <v>ALVENARIA</v>
      </c>
      <c r="C25" s="7"/>
      <c r="D25" s="7"/>
      <c r="E25" s="7"/>
      <c r="F25" s="7"/>
      <c r="G25" s="7"/>
      <c r="H25" s="25" t="n">
        <f aca="false">SUMPRODUCT((J$7:CC$7&gt;PARAMETROS!$C$12)*J25:CC25)</f>
        <v>6245482.95</v>
      </c>
      <c r="I25" s="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 t="n">
        <v>70130.98</v>
      </c>
      <c r="AM25" s="18" t="n">
        <v>134575.67</v>
      </c>
      <c r="AN25" s="18" t="n">
        <v>221133.72</v>
      </c>
      <c r="AO25" s="18" t="n">
        <v>416363.21</v>
      </c>
      <c r="AP25" s="18" t="n">
        <v>387299.92</v>
      </c>
      <c r="AQ25" s="18" t="n">
        <v>545884.39</v>
      </c>
      <c r="AR25" s="18" t="n">
        <v>564206.9</v>
      </c>
      <c r="AS25" s="18" t="n">
        <v>634337.88</v>
      </c>
      <c r="AT25" s="18" t="n">
        <v>680460.06</v>
      </c>
      <c r="AU25" s="18" t="n">
        <v>484598.76</v>
      </c>
      <c r="AV25" s="18" t="n">
        <v>518716.54</v>
      </c>
      <c r="AW25" s="18" t="n">
        <v>434685.72</v>
      </c>
      <c r="AX25" s="18" t="n">
        <v>521875.59</v>
      </c>
      <c r="AY25" s="18" t="n">
        <v>272310.39</v>
      </c>
      <c r="AZ25" s="18" t="n">
        <v>237560.8</v>
      </c>
      <c r="BA25" s="18" t="n">
        <v>69499.17</v>
      </c>
      <c r="BB25" s="18" t="n">
        <v>51843.25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</row>
    <row r="26" customFormat="false" ht="15" hidden="false" customHeight="false" outlineLevel="0" collapsed="false">
      <c r="A26" s="5" t="str">
        <f aca="false">IF(ORCAMENTO!A24="","",ORCAMENTO!A24)</f>
        <v>19</v>
      </c>
      <c r="B26" s="5" t="str">
        <f aca="false">IF(ORCAMENTO!B24="","",ORCAMENTO!B24)</f>
        <v>IMPERMEABILIZAÇÃO</v>
      </c>
      <c r="C26" s="7"/>
      <c r="D26" s="7"/>
      <c r="E26" s="7"/>
      <c r="F26" s="7"/>
      <c r="G26" s="7"/>
      <c r="H26" s="25" t="n">
        <f aca="false">SUMPRODUCT((J$7:CC$7&gt;PARAMETROS!$C$12)*J26:CC26)</f>
        <v>4139097.73</v>
      </c>
      <c r="I26" s="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 t="n">
        <v>166232.94</v>
      </c>
      <c r="AR26" s="18" t="n">
        <v>232391.14</v>
      </c>
      <c r="AS26" s="18" t="n">
        <v>221504.35</v>
      </c>
      <c r="AT26" s="18" t="n">
        <v>421235.12</v>
      </c>
      <c r="AU26" s="18" t="n">
        <v>177119.74</v>
      </c>
      <c r="AV26" s="18" t="n">
        <v>332465.89</v>
      </c>
      <c r="AW26" s="18" t="n">
        <v>232391.14</v>
      </c>
      <c r="AX26" s="18" t="n">
        <v>574068.93</v>
      </c>
      <c r="AY26" s="18" t="n">
        <v>359682.87</v>
      </c>
      <c r="AZ26" s="18" t="n">
        <v>430865.74</v>
      </c>
      <c r="BA26" s="18" t="n">
        <v>621803.33</v>
      </c>
      <c r="BB26" s="18" t="n">
        <v>317810.59</v>
      </c>
      <c r="BC26" s="18" t="n">
        <v>40639.16</v>
      </c>
      <c r="BD26" s="18" t="n">
        <v>10886.79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</row>
    <row r="27" customFormat="false" ht="15" hidden="false" customHeight="false" outlineLevel="0" collapsed="false">
      <c r="A27" s="5" t="str">
        <f aca="false">IF(ORCAMENTO!A25="","",ORCAMENTO!A25)</f>
        <v>20</v>
      </c>
      <c r="B27" s="5" t="str">
        <f aca="false">IF(ORCAMENTO!B25="","",ORCAMENTO!B25)</f>
        <v>INSTALAÇÕES ELÉTRICAS</v>
      </c>
      <c r="C27" s="7"/>
      <c r="D27" s="7"/>
      <c r="E27" s="7"/>
      <c r="F27" s="7"/>
      <c r="G27" s="7"/>
      <c r="H27" s="25" t="n">
        <f aca="false">SUMPRODUCT((J$7:CC$7&gt;PARAMETROS!$C$12)*J27:CC27)</f>
        <v>11269054.48</v>
      </c>
      <c r="I27" s="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 t="n">
        <v>7000</v>
      </c>
      <c r="AG27" s="18" t="n">
        <v>7000</v>
      </c>
      <c r="AH27" s="18" t="n">
        <v>7000</v>
      </c>
      <c r="AI27" s="18"/>
      <c r="AJ27" s="18"/>
      <c r="AK27" s="18" t="n">
        <v>104809.94</v>
      </c>
      <c r="AL27" s="18" t="n">
        <v>88705.57</v>
      </c>
      <c r="AM27" s="18" t="n">
        <v>55797.55</v>
      </c>
      <c r="AN27" s="18" t="n">
        <v>82184.09</v>
      </c>
      <c r="AO27" s="18" t="n">
        <v>81171.83</v>
      </c>
      <c r="AP27" s="18" t="n">
        <v>188717.89</v>
      </c>
      <c r="AQ27" s="18" t="n">
        <v>212785.42</v>
      </c>
      <c r="AR27" s="18" t="n">
        <v>257411.13</v>
      </c>
      <c r="AS27" s="18" t="n">
        <v>535693.44</v>
      </c>
      <c r="AT27" s="18" t="n">
        <v>467282.37</v>
      </c>
      <c r="AU27" s="18" t="n">
        <v>626135.18</v>
      </c>
      <c r="AV27" s="18" t="n">
        <v>673675.08</v>
      </c>
      <c r="AW27" s="18" t="n">
        <v>1450546.51</v>
      </c>
      <c r="AX27" s="18" t="n">
        <v>812816.23</v>
      </c>
      <c r="AY27" s="18" t="n">
        <v>539171.96</v>
      </c>
      <c r="AZ27" s="18" t="n">
        <v>863834.65</v>
      </c>
      <c r="BA27" s="18" t="n">
        <v>813975.74</v>
      </c>
      <c r="BB27" s="18" t="n">
        <v>542650.49</v>
      </c>
      <c r="BC27" s="18" t="n">
        <v>743245.65</v>
      </c>
      <c r="BD27" s="18" t="n">
        <v>164650.36</v>
      </c>
      <c r="BE27" s="18" t="n">
        <v>441773.16</v>
      </c>
      <c r="BF27" s="18" t="n">
        <v>288717.89</v>
      </c>
      <c r="BG27" s="18" t="n">
        <v>154214.78</v>
      </c>
      <c r="BH27" s="18" t="n">
        <v>336257.78</v>
      </c>
      <c r="BI27" s="18" t="n">
        <v>721829.79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</row>
    <row r="28" customFormat="false" ht="15" hidden="false" customHeight="false" outlineLevel="0" collapsed="false">
      <c r="A28" s="5" t="str">
        <f aca="false">IF(ORCAMENTO!A26="","",ORCAMENTO!A26)</f>
        <v>21</v>
      </c>
      <c r="B28" s="5" t="str">
        <f aca="false">IF(ORCAMENTO!B26="","",ORCAMENTO!B26)</f>
        <v>INSTALAÇÕES HIDROSANITÁRIAS</v>
      </c>
      <c r="C28" s="7"/>
      <c r="D28" s="7"/>
      <c r="E28" s="7"/>
      <c r="F28" s="7"/>
      <c r="G28" s="7"/>
      <c r="H28" s="25" t="n">
        <f aca="false">SUMPRODUCT((J$7:CC$7&gt;PARAMETROS!$C$12)*J28:CC28)</f>
        <v>7741725.07</v>
      </c>
      <c r="I28" s="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 t="n">
        <v>150000</v>
      </c>
      <c r="AH28" s="18" t="n">
        <v>50000</v>
      </c>
      <c r="AI28" s="18" t="n">
        <v>50000</v>
      </c>
      <c r="AJ28" s="18" t="n">
        <v>70000</v>
      </c>
      <c r="AK28" s="18" t="n">
        <v>120258.03</v>
      </c>
      <c r="AL28" s="18" t="n">
        <v>120258.03</v>
      </c>
      <c r="AM28" s="18" t="n">
        <v>87246.02</v>
      </c>
      <c r="AN28" s="18" t="n">
        <v>3930</v>
      </c>
      <c r="AO28" s="18" t="n">
        <v>89604.02</v>
      </c>
      <c r="AP28" s="18" t="n">
        <v>109254.03</v>
      </c>
      <c r="AQ28" s="18" t="n">
        <v>195714.05</v>
      </c>
      <c r="AR28" s="18" t="n">
        <v>279816.06</v>
      </c>
      <c r="AS28" s="18" t="n">
        <v>174492.04</v>
      </c>
      <c r="AT28" s="18" t="n">
        <v>363132.08</v>
      </c>
      <c r="AU28" s="18" t="n">
        <v>316758.07</v>
      </c>
      <c r="AV28" s="18" t="n">
        <v>424440.1</v>
      </c>
      <c r="AW28" s="18" t="n">
        <v>456666.11</v>
      </c>
      <c r="AX28" s="18" t="n">
        <v>983286.23</v>
      </c>
      <c r="AY28" s="18" t="n">
        <v>550986.13</v>
      </c>
      <c r="AZ28" s="18" t="n">
        <v>365490.08</v>
      </c>
      <c r="BA28" s="18" t="n">
        <v>585570.13</v>
      </c>
      <c r="BB28" s="18" t="n">
        <v>551772.13</v>
      </c>
      <c r="BC28" s="18" t="n">
        <v>367848.08</v>
      </c>
      <c r="BD28" s="18" t="n">
        <v>503826.12</v>
      </c>
      <c r="BE28" s="18" t="n">
        <v>111612.03</v>
      </c>
      <c r="BF28" s="18" t="n">
        <v>299466.07</v>
      </c>
      <c r="BG28" s="18" t="n">
        <v>195714.05</v>
      </c>
      <c r="BH28" s="18" t="n">
        <v>104538.02</v>
      </c>
      <c r="BI28" s="18" t="n">
        <v>60047.36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</row>
    <row r="29" customFormat="false" ht="15" hidden="false" customHeight="false" outlineLevel="0" collapsed="false">
      <c r="A29" s="5" t="str">
        <f aca="false">IF(ORCAMENTO!A27="","",ORCAMENTO!A27)</f>
        <v>22</v>
      </c>
      <c r="B29" s="5" t="str">
        <f aca="false">IF(ORCAMENTO!B27="","",ORCAMENTO!B27)</f>
        <v>INSTALAÇÕES COMBATE INCÊNDIO</v>
      </c>
      <c r="C29" s="7"/>
      <c r="D29" s="7"/>
      <c r="E29" s="7"/>
      <c r="F29" s="7"/>
      <c r="G29" s="7"/>
      <c r="H29" s="25" t="n">
        <f aca="false">SUMPRODUCT((J$7:CC$7&gt;PARAMETROS!$C$12)*J29:CC29)</f>
        <v>823490.46</v>
      </c>
      <c r="I29" s="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 t="n">
        <v>4858.59</v>
      </c>
      <c r="AM29" s="18" t="n">
        <v>51303.46</v>
      </c>
      <c r="AN29" s="18" t="n">
        <v>48915.33</v>
      </c>
      <c r="AO29" s="18" t="n">
        <v>53691.58</v>
      </c>
      <c r="AP29" s="18" t="n">
        <v>57973.73</v>
      </c>
      <c r="AQ29" s="18" t="n">
        <v>62667.62</v>
      </c>
      <c r="AR29" s="18" t="n">
        <v>58632.52</v>
      </c>
      <c r="AS29" s="18" t="n">
        <v>70490.78</v>
      </c>
      <c r="AT29" s="18" t="n">
        <v>67773.27</v>
      </c>
      <c r="AU29" s="18" t="n">
        <v>60444.2</v>
      </c>
      <c r="AV29" s="18" t="n">
        <v>60526.55</v>
      </c>
      <c r="AW29" s="18" t="n">
        <v>68349.71</v>
      </c>
      <c r="AX29" s="18" t="n">
        <v>85807.71</v>
      </c>
      <c r="AY29" s="18" t="n">
        <v>33186.67</v>
      </c>
      <c r="AZ29" s="18" t="n">
        <v>7905.51</v>
      </c>
      <c r="BA29" s="18" t="n">
        <v>15234.57</v>
      </c>
      <c r="BB29" s="18" t="n">
        <v>2305.77</v>
      </c>
      <c r="BC29" s="18" t="n">
        <v>2305.77</v>
      </c>
      <c r="BD29" s="18" t="n">
        <v>2223.42</v>
      </c>
      <c r="BE29" s="18" t="n">
        <v>2305.77</v>
      </c>
      <c r="BF29" s="18" t="n">
        <v>2223.42</v>
      </c>
      <c r="BG29" s="18" t="n">
        <v>1894.03</v>
      </c>
      <c r="BH29" s="18" t="n">
        <v>2141.08</v>
      </c>
      <c r="BI29" s="18" t="n">
        <v>329.4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</row>
    <row r="30" customFormat="false" ht="15" hidden="false" customHeight="false" outlineLevel="0" collapsed="false">
      <c r="A30" s="5" t="str">
        <f aca="false">IF(ORCAMENTO!A28="","",ORCAMENTO!A28)</f>
        <v>23</v>
      </c>
      <c r="B30" s="5" t="str">
        <f aca="false">IF(ORCAMENTO!B28="","",ORCAMENTO!B28)</f>
        <v>INSTALAÇÕES ESPECIAIS</v>
      </c>
      <c r="C30" s="7"/>
      <c r="D30" s="7"/>
      <c r="E30" s="7"/>
      <c r="F30" s="7"/>
      <c r="G30" s="7"/>
      <c r="H30" s="25" t="n">
        <f aca="false">SUMPRODUCT((J$7:CC$7&gt;PARAMETROS!$C$12)*J30:CC30)</f>
        <v>2828799.65</v>
      </c>
      <c r="I30" s="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 t="n">
        <v>15275.52</v>
      </c>
      <c r="AP30" s="18" t="n">
        <v>96462.07</v>
      </c>
      <c r="AQ30" s="18" t="n">
        <v>145117.42</v>
      </c>
      <c r="AR30" s="18" t="n">
        <v>138894.06</v>
      </c>
      <c r="AS30" s="18" t="n">
        <v>143703.02</v>
      </c>
      <c r="AT30" s="18" t="n">
        <v>242711.01</v>
      </c>
      <c r="AU30" s="18" t="n">
        <v>167182.06</v>
      </c>
      <c r="AV30" s="18" t="n">
        <v>140591.34</v>
      </c>
      <c r="AW30" s="18" t="n">
        <v>140025.58</v>
      </c>
      <c r="AX30" s="18" t="n">
        <v>216403.17</v>
      </c>
      <c r="AY30" s="18" t="n">
        <v>153320.94</v>
      </c>
      <c r="AZ30" s="18" t="n">
        <v>121072.63</v>
      </c>
      <c r="BA30" s="18" t="n">
        <v>186135.02</v>
      </c>
      <c r="BB30" s="18" t="n">
        <v>138328.3</v>
      </c>
      <c r="BC30" s="18" t="n">
        <v>273262.05</v>
      </c>
      <c r="BD30" s="18" t="n">
        <v>155018.22</v>
      </c>
      <c r="BE30" s="18" t="n">
        <v>40451.84</v>
      </c>
      <c r="BF30" s="18" t="n">
        <v>79489.27</v>
      </c>
      <c r="BG30" s="18" t="n">
        <v>44129.27</v>
      </c>
      <c r="BH30" s="18" t="n">
        <v>95896.31</v>
      </c>
      <c r="BI30" s="18" t="n">
        <v>68174.07</v>
      </c>
      <c r="BJ30" s="18" t="n">
        <v>27156.48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</row>
    <row r="31" customFormat="false" ht="15" hidden="false" customHeight="false" outlineLevel="0" collapsed="false">
      <c r="A31" s="5" t="str">
        <f aca="false">IF(ORCAMENTO!A29="","",ORCAMENTO!A29)</f>
        <v>24</v>
      </c>
      <c r="B31" s="5" t="str">
        <f aca="false">IF(ORCAMENTO!B29="","",ORCAMENTO!B29)</f>
        <v>ELEVADORES</v>
      </c>
      <c r="C31" s="7"/>
      <c r="D31" s="7"/>
      <c r="E31" s="7"/>
      <c r="F31" s="7"/>
      <c r="G31" s="7"/>
      <c r="H31" s="25" t="n">
        <f aca="false">SUMPRODUCT((J$7:CC$7&gt;PARAMETROS!$C$12)*J31:CC31)</f>
        <v>3409802.34</v>
      </c>
      <c r="I31" s="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 t="n">
        <v>305454.55</v>
      </c>
      <c r="AQ31" s="18" t="n">
        <v>305454.55</v>
      </c>
      <c r="AR31" s="18" t="n">
        <v>305454.55</v>
      </c>
      <c r="AS31" s="18" t="n">
        <v>305454.55</v>
      </c>
      <c r="AT31" s="18" t="n">
        <v>305454.55</v>
      </c>
      <c r="AU31" s="18" t="n">
        <v>305454.55</v>
      </c>
      <c r="AV31" s="18" t="n">
        <v>305454.55</v>
      </c>
      <c r="AW31" s="18" t="n">
        <v>312051.99</v>
      </c>
      <c r="AX31" s="18" t="n">
        <v>312051.99</v>
      </c>
      <c r="AY31" s="18" t="n">
        <v>312051.99</v>
      </c>
      <c r="AZ31" s="18" t="n">
        <v>305454.55</v>
      </c>
      <c r="BA31" s="18"/>
      <c r="BB31" s="18"/>
      <c r="BC31" s="18" t="n">
        <v>30009.97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</row>
    <row r="32" customFormat="false" ht="15" hidden="false" customHeight="false" outlineLevel="0" collapsed="false">
      <c r="A32" s="5" t="str">
        <f aca="false">IF(ORCAMENTO!A30="","",ORCAMENTO!A30)</f>
        <v>25</v>
      </c>
      <c r="B32" s="5" t="str">
        <f aca="false">IF(ORCAMENTO!B30="","",ORCAMENTO!B30)</f>
        <v>ESQUADRIAS</v>
      </c>
      <c r="C32" s="7"/>
      <c r="D32" s="7"/>
      <c r="E32" s="7"/>
      <c r="F32" s="7"/>
      <c r="G32" s="7"/>
      <c r="H32" s="25" t="n">
        <f aca="false">SUMPRODUCT((J$7:CC$7&gt;PARAMETROS!$C$12)*J32:CC32)</f>
        <v>11781362.78</v>
      </c>
      <c r="I32" s="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 t="n">
        <v>783232</v>
      </c>
      <c r="AO32" s="18" t="n">
        <v>939878.4</v>
      </c>
      <c r="AP32" s="18" t="n">
        <v>939878.4</v>
      </c>
      <c r="AQ32" s="18" t="n">
        <v>156646.4</v>
      </c>
      <c r="AR32" s="18"/>
      <c r="AS32" s="18"/>
      <c r="AT32" s="18"/>
      <c r="AU32" s="18" t="n">
        <v>1409305.4</v>
      </c>
      <c r="AV32" s="18" t="n">
        <v>1625374.99</v>
      </c>
      <c r="AW32" s="18" t="n">
        <v>1625374.99</v>
      </c>
      <c r="AX32" s="18" t="n">
        <v>545027.03</v>
      </c>
      <c r="AY32" s="18" t="n">
        <v>93987.84</v>
      </c>
      <c r="AZ32" s="18" t="n">
        <v>418092.23</v>
      </c>
      <c r="BA32" s="18" t="n">
        <v>547733.98</v>
      </c>
      <c r="BB32" s="18" t="n">
        <v>547733.98</v>
      </c>
      <c r="BC32" s="18" t="n">
        <v>547733.98</v>
      </c>
      <c r="BD32" s="18" t="n">
        <v>223629.59</v>
      </c>
      <c r="BE32" s="18" t="n">
        <v>129641.75</v>
      </c>
      <c r="BF32" s="18" t="n">
        <v>129641.75</v>
      </c>
      <c r="BG32" s="18" t="n">
        <v>129641.75</v>
      </c>
      <c r="BH32" s="18" t="n">
        <v>129641.75</v>
      </c>
      <c r="BI32" s="18" t="n">
        <v>129641.75</v>
      </c>
      <c r="BJ32" s="18" t="n">
        <v>129641.75</v>
      </c>
      <c r="BK32" s="18"/>
      <c r="BL32" s="18" t="n">
        <v>599883.07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</row>
    <row r="33" customFormat="false" ht="15" hidden="false" customHeight="false" outlineLevel="0" collapsed="false">
      <c r="A33" s="5" t="str">
        <f aca="false">IF(ORCAMENTO!A31="","",ORCAMENTO!A31)</f>
        <v>26</v>
      </c>
      <c r="B33" s="5" t="str">
        <f aca="false">IF(ORCAMENTO!B31="","",ORCAMENTO!B31)</f>
        <v>SERRALHERIA</v>
      </c>
      <c r="C33" s="7"/>
      <c r="D33" s="7"/>
      <c r="E33" s="7"/>
      <c r="F33" s="7"/>
      <c r="G33" s="7"/>
      <c r="H33" s="25" t="n">
        <f aca="false">SUMPRODUCT((J$7:CC$7&gt;PARAMETROS!$C$12)*J33:CC33)</f>
        <v>508667.04</v>
      </c>
      <c r="I33" s="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 t="n">
        <v>27010.22</v>
      </c>
      <c r="AR33" s="18" t="n">
        <v>26959.35</v>
      </c>
      <c r="AS33" s="18"/>
      <c r="AT33" s="18" t="n">
        <v>27010.22</v>
      </c>
      <c r="AU33" s="18"/>
      <c r="AV33" s="18" t="n">
        <v>26959.35</v>
      </c>
      <c r="AW33" s="18" t="n">
        <v>22076.15</v>
      </c>
      <c r="AX33" s="18" t="n">
        <v>102649.01</v>
      </c>
      <c r="AY33" s="18" t="n">
        <v>59259.71</v>
      </c>
      <c r="AZ33" s="18" t="n">
        <v>24365.15</v>
      </c>
      <c r="BA33" s="18" t="n">
        <v>38709.56</v>
      </c>
      <c r="BB33" s="18" t="n">
        <v>24263.42</v>
      </c>
      <c r="BC33" s="18" t="n">
        <v>8647.34</v>
      </c>
      <c r="BD33" s="18" t="n">
        <v>8189.54</v>
      </c>
      <c r="BE33" s="18" t="n">
        <v>8342.14</v>
      </c>
      <c r="BF33" s="18" t="n">
        <v>24619.49</v>
      </c>
      <c r="BG33" s="18" t="n">
        <v>75130.12</v>
      </c>
      <c r="BH33" s="18" t="n">
        <v>4323.67</v>
      </c>
      <c r="BI33" s="18" t="n">
        <v>152.6</v>
      </c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</row>
    <row r="34" customFormat="false" ht="15" hidden="false" customHeight="false" outlineLevel="0" collapsed="false">
      <c r="A34" s="5" t="str">
        <f aca="false">IF(ORCAMENTO!A32="","",ORCAMENTO!A32)</f>
        <v>27</v>
      </c>
      <c r="B34" s="5" t="str">
        <f aca="false">IF(ORCAMENTO!B32="","",ORCAMENTO!B32)</f>
        <v>MARCENARIA</v>
      </c>
      <c r="C34" s="7"/>
      <c r="D34" s="7"/>
      <c r="E34" s="7"/>
      <c r="F34" s="7"/>
      <c r="G34" s="7"/>
      <c r="H34" s="25" t="n">
        <f aca="false">SUMPRODUCT((J$7:CC$7&gt;PARAMETROS!$C$12)*J34:CC34)</f>
        <v>3137103.29</v>
      </c>
      <c r="I34" s="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 t="n">
        <v>207362.53</v>
      </c>
      <c r="AX34" s="18" t="n">
        <v>274182.83</v>
      </c>
      <c r="AY34" s="18" t="n">
        <v>231518.22</v>
      </c>
      <c r="AZ34" s="18" t="n">
        <v>300534.5</v>
      </c>
      <c r="BA34" s="18" t="n">
        <v>282966.72</v>
      </c>
      <c r="BB34" s="18" t="n">
        <v>275123.96</v>
      </c>
      <c r="BC34" s="18" t="n">
        <v>299279.65</v>
      </c>
      <c r="BD34" s="18" t="n">
        <v>238419.85</v>
      </c>
      <c r="BE34" s="18" t="n">
        <v>250027.13</v>
      </c>
      <c r="BF34" s="18" t="n">
        <v>300220.78</v>
      </c>
      <c r="BG34" s="18" t="n">
        <v>356374.93</v>
      </c>
      <c r="BH34" s="18" t="n">
        <v>121092.19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</row>
    <row r="35" customFormat="false" ht="15" hidden="false" customHeight="false" outlineLevel="0" collapsed="false">
      <c r="A35" s="5" t="str">
        <f aca="false">IF(ORCAMENTO!A33="","",ORCAMENTO!A33)</f>
        <v>28</v>
      </c>
      <c r="B35" s="5" t="str">
        <f aca="false">IF(ORCAMENTO!B33="","",ORCAMENTO!B33)</f>
        <v>REVESTIMENTOS DE MASSA EM PISOS</v>
      </c>
      <c r="C35" s="7"/>
      <c r="D35" s="7"/>
      <c r="E35" s="7"/>
      <c r="F35" s="7"/>
      <c r="G35" s="7"/>
      <c r="H35" s="25" t="n">
        <f aca="false">SUMPRODUCT((J$7:CC$7&gt;PARAMETROS!$C$12)*J35:CC35)</f>
        <v>1154877.35</v>
      </c>
      <c r="I35" s="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 t="n">
        <v>1847.8</v>
      </c>
      <c r="AN35" s="18" t="n">
        <v>3811.1</v>
      </c>
      <c r="AO35" s="18" t="n">
        <v>32567.54</v>
      </c>
      <c r="AP35" s="18" t="n">
        <v>96547.75</v>
      </c>
      <c r="AQ35" s="18" t="n">
        <v>87886.17</v>
      </c>
      <c r="AR35" s="18" t="n">
        <v>95970.31</v>
      </c>
      <c r="AS35" s="18" t="n">
        <v>93083.11</v>
      </c>
      <c r="AT35" s="18" t="n">
        <v>121493.1</v>
      </c>
      <c r="AU35" s="18" t="n">
        <v>175887.82</v>
      </c>
      <c r="AV35" s="18" t="n">
        <v>88579.09</v>
      </c>
      <c r="AW35" s="18" t="n">
        <v>99896.89</v>
      </c>
      <c r="AX35" s="18" t="n">
        <v>87539.7</v>
      </c>
      <c r="AY35" s="18" t="n">
        <v>65712.52</v>
      </c>
      <c r="AZ35" s="18" t="n">
        <v>36840.59</v>
      </c>
      <c r="BA35" s="18" t="n">
        <v>9123.53</v>
      </c>
      <c r="BB35" s="18" t="n">
        <v>49775.21</v>
      </c>
      <c r="BC35" s="18" t="n">
        <v>8315.12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</row>
    <row r="36" customFormat="false" ht="15" hidden="false" customHeight="false" outlineLevel="0" collapsed="false">
      <c r="A36" s="5" t="str">
        <f aca="false">IF(ORCAMENTO!A34="","",ORCAMENTO!A34)</f>
        <v>29</v>
      </c>
      <c r="B36" s="5" t="str">
        <f aca="false">IF(ORCAMENTO!B34="","",ORCAMENTO!B34)</f>
        <v>REVESTIMENTOS DE MASSA EM PAREDES</v>
      </c>
      <c r="C36" s="7"/>
      <c r="D36" s="7"/>
      <c r="E36" s="7"/>
      <c r="F36" s="7"/>
      <c r="G36" s="7"/>
      <c r="H36" s="25" t="n">
        <f aca="false">SUMPRODUCT((J$7:CC$7&gt;PARAMETROS!$C$12)*J36:CC36)</f>
        <v>2653291.42</v>
      </c>
      <c r="I36" s="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 t="n">
        <v>6102.57</v>
      </c>
      <c r="AN36" s="18" t="n">
        <v>31574.17</v>
      </c>
      <c r="AO36" s="18" t="n">
        <v>161320.12</v>
      </c>
      <c r="AP36" s="18" t="n">
        <v>184934.41</v>
      </c>
      <c r="AQ36" s="18" t="n">
        <v>161850.78</v>
      </c>
      <c r="AR36" s="18" t="n">
        <v>268513.09</v>
      </c>
      <c r="AS36" s="18" t="n">
        <v>315741.68</v>
      </c>
      <c r="AT36" s="18" t="n">
        <v>238796.23</v>
      </c>
      <c r="AU36" s="18" t="n">
        <v>170871.97</v>
      </c>
      <c r="AV36" s="18" t="n">
        <v>244898.8</v>
      </c>
      <c r="AW36" s="18" t="n">
        <v>238000.24</v>
      </c>
      <c r="AX36" s="18" t="n">
        <v>223937.79</v>
      </c>
      <c r="AY36" s="18" t="n">
        <v>109846.26</v>
      </c>
      <c r="AZ36" s="18" t="n">
        <v>205099.43</v>
      </c>
      <c r="BA36" s="18" t="n">
        <v>91803.88</v>
      </c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</row>
    <row r="37" customFormat="false" ht="15" hidden="false" customHeight="false" outlineLevel="0" collapsed="false">
      <c r="A37" s="5" t="str">
        <f aca="false">IF(ORCAMENTO!A35="","",ORCAMENTO!A35)</f>
        <v>30</v>
      </c>
      <c r="B37" s="5" t="str">
        <f aca="false">IF(ORCAMENTO!B35="","",ORCAMENTO!B35)</f>
        <v>REVESTIMENTOS DE ACABAMENTO</v>
      </c>
      <c r="C37" s="7"/>
      <c r="D37" s="7"/>
      <c r="E37" s="7"/>
      <c r="F37" s="7"/>
      <c r="G37" s="7"/>
      <c r="H37" s="25" t="n">
        <f aca="false">SUMPRODUCT((J$7:CC$7&gt;PARAMETROS!$C$12)*J37:CC37)</f>
        <v>10951845.09</v>
      </c>
      <c r="I37" s="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 t="n">
        <v>52610.11</v>
      </c>
      <c r="AR37" s="18" t="n">
        <v>438417.58</v>
      </c>
      <c r="AS37" s="18" t="n">
        <v>592959.78</v>
      </c>
      <c r="AT37" s="18" t="n">
        <v>625841.1</v>
      </c>
      <c r="AU37" s="18" t="n">
        <v>431841.32</v>
      </c>
      <c r="AV37" s="18" t="n">
        <v>607208.35</v>
      </c>
      <c r="AW37" s="18" t="n">
        <v>773807.03</v>
      </c>
      <c r="AX37" s="18" t="n">
        <v>887795.61</v>
      </c>
      <c r="AY37" s="18" t="n">
        <v>788055.61</v>
      </c>
      <c r="AZ37" s="18" t="n">
        <v>839569.67</v>
      </c>
      <c r="BA37" s="18" t="n">
        <v>905332.31</v>
      </c>
      <c r="BB37" s="18" t="n">
        <v>708044.4</v>
      </c>
      <c r="BC37" s="18" t="n">
        <v>574327.03</v>
      </c>
      <c r="BD37" s="18" t="n">
        <v>584191.43</v>
      </c>
      <c r="BE37" s="18" t="n">
        <v>486643.52</v>
      </c>
      <c r="BF37" s="18" t="n">
        <v>562270.55</v>
      </c>
      <c r="BG37" s="18" t="n">
        <v>516236.7</v>
      </c>
      <c r="BH37" s="18" t="n">
        <v>416496.7</v>
      </c>
      <c r="BI37" s="18" t="n">
        <v>160196.29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</row>
    <row r="38" customFormat="false" ht="15" hidden="false" customHeight="false" outlineLevel="0" collapsed="false">
      <c r="A38" s="5" t="str">
        <f aca="false">IF(ORCAMENTO!A36="","",ORCAMENTO!A36)</f>
        <v>31</v>
      </c>
      <c r="B38" s="5" t="str">
        <f aca="false">IF(ORCAMENTO!B36="","",ORCAMENTO!B36)</f>
        <v>PAVIMENTAÇÃO</v>
      </c>
      <c r="C38" s="7"/>
      <c r="D38" s="7"/>
      <c r="E38" s="7"/>
      <c r="F38" s="7"/>
      <c r="G38" s="7"/>
      <c r="H38" s="25" t="n">
        <f aca="false">SUMPRODUCT((J$7:CC$7&gt;PARAMETROS!$C$12)*J38:CC38)</f>
        <v>112630.58</v>
      </c>
      <c r="I38" s="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 t="n">
        <v>17063.53</v>
      </c>
      <c r="AV38" s="18" t="n">
        <v>35839.05</v>
      </c>
      <c r="AW38" s="18" t="n">
        <v>35839.05</v>
      </c>
      <c r="AX38" s="18" t="n">
        <v>23888.95</v>
      </c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</row>
    <row r="39" customFormat="false" ht="15" hidden="false" customHeight="false" outlineLevel="0" collapsed="false">
      <c r="A39" s="5" t="str">
        <f aca="false">IF(ORCAMENTO!A37="","",ORCAMENTO!A37)</f>
        <v>32</v>
      </c>
      <c r="B39" s="5" t="str">
        <f aca="false">IF(ORCAMENTO!B37="","",ORCAMENTO!B37)</f>
        <v>REVESTIMENTO DIVERSOS - FACHADA</v>
      </c>
      <c r="C39" s="7"/>
      <c r="D39" s="7"/>
      <c r="E39" s="7"/>
      <c r="F39" s="7"/>
      <c r="G39" s="7"/>
      <c r="H39" s="25" t="n">
        <f aca="false">SUMPRODUCT((J$7:CC$7&gt;PARAMETROS!$C$12)*J39:CC39)</f>
        <v>5326854.95</v>
      </c>
      <c r="I39" s="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 t="n">
        <v>124648.41</v>
      </c>
      <c r="AR39" s="18" t="n">
        <v>342516.77</v>
      </c>
      <c r="AS39" s="18" t="n">
        <v>420821.54</v>
      </c>
      <c r="AT39" s="18" t="n">
        <v>361160.76</v>
      </c>
      <c r="AU39" s="18" t="n">
        <v>278594.51</v>
      </c>
      <c r="AV39" s="18" t="n">
        <v>267408.12</v>
      </c>
      <c r="AW39" s="18" t="n">
        <v>422419.6</v>
      </c>
      <c r="AX39" s="18" t="n">
        <v>359562.71</v>
      </c>
      <c r="AY39" s="18" t="n">
        <v>299369.25</v>
      </c>
      <c r="AZ39" s="18" t="n">
        <v>266342.75</v>
      </c>
      <c r="BA39" s="18" t="n">
        <v>314817.13</v>
      </c>
      <c r="BB39" s="18" t="n">
        <v>406971.72</v>
      </c>
      <c r="BC39" s="18" t="n">
        <v>621643.97</v>
      </c>
      <c r="BD39" s="18" t="n">
        <v>275931.09</v>
      </c>
      <c r="BE39" s="18" t="n">
        <v>254090.98</v>
      </c>
      <c r="BF39" s="18" t="n">
        <v>176851.58</v>
      </c>
      <c r="BG39" s="18" t="n">
        <v>113994.7</v>
      </c>
      <c r="BH39" s="18" t="n">
        <v>10653.71</v>
      </c>
      <c r="BI39" s="18" t="n">
        <v>9055.65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</row>
    <row r="40" customFormat="false" ht="15" hidden="false" customHeight="false" outlineLevel="0" collapsed="false">
      <c r="A40" s="5" t="str">
        <f aca="false">IF(ORCAMENTO!A38="","",ORCAMENTO!A38)</f>
        <v>33</v>
      </c>
      <c r="B40" s="5" t="str">
        <f aca="false">IF(ORCAMENTO!B38="","",ORCAMENTO!B38)</f>
        <v>FORRO</v>
      </c>
      <c r="C40" s="7"/>
      <c r="D40" s="7"/>
      <c r="E40" s="7"/>
      <c r="F40" s="7"/>
      <c r="G40" s="7"/>
      <c r="H40" s="25" t="n">
        <f aca="false">SUMPRODUCT((J$7:CC$7&gt;PARAMETROS!$C$12)*J40:CC40)</f>
        <v>1781242.1</v>
      </c>
      <c r="I40" s="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 t="n">
        <v>69290.32</v>
      </c>
      <c r="AT40" s="18" t="n">
        <v>132168.16</v>
      </c>
      <c r="AU40" s="18" t="n">
        <v>113999.49</v>
      </c>
      <c r="AV40" s="18" t="n">
        <v>155680.56</v>
      </c>
      <c r="AW40" s="18" t="n">
        <v>148199.34</v>
      </c>
      <c r="AX40" s="18" t="n">
        <v>290876.84</v>
      </c>
      <c r="AY40" s="18" t="n">
        <v>198252.25</v>
      </c>
      <c r="AZ40" s="18" t="n">
        <v>153008.7</v>
      </c>
      <c r="BA40" s="18" t="n">
        <v>144814.98</v>
      </c>
      <c r="BB40" s="18" t="n">
        <v>139827.51</v>
      </c>
      <c r="BC40" s="18" t="n">
        <v>132524.41</v>
      </c>
      <c r="BD40" s="18" t="n">
        <v>29746.74</v>
      </c>
      <c r="BE40" s="18" t="n">
        <v>56643.5</v>
      </c>
      <c r="BF40" s="18" t="n">
        <v>16209.3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</row>
    <row r="41" customFormat="false" ht="15" hidden="false" customHeight="false" outlineLevel="0" collapsed="false">
      <c r="A41" s="5" t="str">
        <f aca="false">IF(ORCAMENTO!A39="","",ORCAMENTO!A39)</f>
        <v>34</v>
      </c>
      <c r="B41" s="5" t="str">
        <f aca="false">IF(ORCAMENTO!B39="","",ORCAMENTO!B39)</f>
        <v>LOUÇAS SANITÁRIAS</v>
      </c>
      <c r="C41" s="7"/>
      <c r="D41" s="7"/>
      <c r="E41" s="7"/>
      <c r="F41" s="7"/>
      <c r="G41" s="7"/>
      <c r="H41" s="25" t="n">
        <f aca="false">SUMPRODUCT((J$7:CC$7&gt;PARAMETROS!$C$12)*J41:CC41)</f>
        <v>2160628.3</v>
      </c>
      <c r="I41" s="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 t="n">
        <v>204179.37</v>
      </c>
      <c r="AY41" s="18" t="n">
        <v>174146.64</v>
      </c>
      <c r="AZ41" s="18" t="n">
        <v>227082.03</v>
      </c>
      <c r="BA41" s="18" t="n">
        <v>213686.14</v>
      </c>
      <c r="BB41" s="18" t="n">
        <v>207420.32</v>
      </c>
      <c r="BC41" s="18" t="n">
        <v>226001.72</v>
      </c>
      <c r="BD41" s="18" t="n">
        <v>177603.65</v>
      </c>
      <c r="BE41" s="18" t="n">
        <v>186894.35</v>
      </c>
      <c r="BF41" s="18" t="n">
        <v>176091.21</v>
      </c>
      <c r="BG41" s="18" t="n">
        <v>151676.11</v>
      </c>
      <c r="BH41" s="18" t="n">
        <v>187326.47</v>
      </c>
      <c r="BI41" s="18" t="n">
        <v>28520.29</v>
      </c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</row>
    <row r="42" customFormat="false" ht="15" hidden="false" customHeight="false" outlineLevel="0" collapsed="false">
      <c r="A42" s="5" t="str">
        <f aca="false">IF(ORCAMENTO!A40="","",ORCAMENTO!A40)</f>
        <v>35</v>
      </c>
      <c r="B42" s="5" t="str">
        <f aca="false">IF(ORCAMENTO!B40="","",ORCAMENTO!B40)</f>
        <v>PINTURA</v>
      </c>
      <c r="C42" s="7"/>
      <c r="D42" s="7"/>
      <c r="E42" s="7"/>
      <c r="F42" s="7"/>
      <c r="G42" s="7"/>
      <c r="H42" s="25" t="n">
        <f aca="false">SUMPRODUCT((J$7:CC$7&gt;PARAMETROS!$C$12)*J42:CC42)</f>
        <v>3759701.65</v>
      </c>
      <c r="I42" s="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 t="n">
        <v>6143.06</v>
      </c>
      <c r="AM42" s="18" t="n">
        <v>11788.04</v>
      </c>
      <c r="AN42" s="18" t="n">
        <v>19370.02</v>
      </c>
      <c r="AO42" s="18" t="n">
        <v>36470.97</v>
      </c>
      <c r="AP42" s="18" t="n">
        <v>33925.2</v>
      </c>
      <c r="AQ42" s="18" t="n">
        <v>47816.27</v>
      </c>
      <c r="AR42" s="18" t="n">
        <v>49421.21</v>
      </c>
      <c r="AS42" s="18" t="n">
        <v>55564.28</v>
      </c>
      <c r="AT42" s="18" t="n">
        <v>120000</v>
      </c>
      <c r="AU42" s="18" t="n">
        <v>297136.05</v>
      </c>
      <c r="AV42" s="18" t="n">
        <v>318055.67</v>
      </c>
      <c r="AW42" s="18" t="n">
        <v>266531.43</v>
      </c>
      <c r="AX42" s="18" t="n">
        <v>319992.67</v>
      </c>
      <c r="AY42" s="18" t="n">
        <v>166969.54</v>
      </c>
      <c r="AZ42" s="18" t="n">
        <v>158467.79</v>
      </c>
      <c r="BA42" s="18" t="n">
        <v>158467.79</v>
      </c>
      <c r="BB42" s="18" t="n">
        <v>158467.79</v>
      </c>
      <c r="BC42" s="18" t="n">
        <v>158467.79</v>
      </c>
      <c r="BD42" s="18" t="n">
        <v>158467.79</v>
      </c>
      <c r="BE42" s="18" t="n">
        <v>158467.79</v>
      </c>
      <c r="BF42" s="18" t="n">
        <v>158467.79</v>
      </c>
      <c r="BG42" s="18" t="n">
        <v>158467.79</v>
      </c>
      <c r="BH42" s="18" t="n">
        <v>158467.79</v>
      </c>
      <c r="BI42" s="18" t="n">
        <v>158467.79</v>
      </c>
      <c r="BJ42" s="18" t="n">
        <v>158467.79</v>
      </c>
      <c r="BK42" s="18" t="n">
        <v>267371.55</v>
      </c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</row>
    <row r="43" customFormat="false" ht="15" hidden="false" customHeight="false" outlineLevel="0" collapsed="false">
      <c r="A43" s="5" t="str">
        <f aca="false">IF(ORCAMENTO!A41="","",ORCAMENTO!A41)</f>
        <v>36</v>
      </c>
      <c r="B43" s="5" t="str">
        <f aca="false">IF(ORCAMENTO!B41="","",ORCAMENTO!B41)</f>
        <v>PAISAGISMO</v>
      </c>
      <c r="C43" s="7"/>
      <c r="D43" s="7"/>
      <c r="E43" s="7"/>
      <c r="F43" s="7"/>
      <c r="G43" s="7"/>
      <c r="H43" s="25" t="n">
        <f aca="false">SUMPRODUCT((J$7:CC$7&gt;PARAMETROS!$C$12)*J43:CC43)</f>
        <v>1176926.29</v>
      </c>
      <c r="I43" s="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 t="n">
        <v>377793.34</v>
      </c>
      <c r="BD43" s="18" t="n">
        <v>346604.79</v>
      </c>
      <c r="BE43" s="18" t="n">
        <v>267750.73</v>
      </c>
      <c r="BF43" s="18" t="n">
        <v>123341.88</v>
      </c>
      <c r="BG43" s="18" t="n">
        <v>61435.55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</row>
    <row r="44" customFormat="false" ht="15" hidden="false" customHeight="false" outlineLevel="0" collapsed="false">
      <c r="A44" s="5" t="str">
        <f aca="false">IF(ORCAMENTO!A42="","",ORCAMENTO!A42)</f>
        <v>37</v>
      </c>
      <c r="B44" s="5" t="str">
        <f aca="false">IF(ORCAMENTO!B42="","",ORCAMENTO!B42)</f>
        <v>LIMPEZA FINAL DE OBRA</v>
      </c>
      <c r="C44" s="7"/>
      <c r="D44" s="7"/>
      <c r="E44" s="7"/>
      <c r="F44" s="7"/>
      <c r="G44" s="7"/>
      <c r="H44" s="25" t="n">
        <f aca="false">SUMPRODUCT((J$7:CC$7&gt;PARAMETROS!$C$12)*J44:CC44)</f>
        <v>934927.34</v>
      </c>
      <c r="I44" s="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 t="n">
        <v>19082.06</v>
      </c>
      <c r="AY44" s="18" t="n">
        <v>36106.25</v>
      </c>
      <c r="AZ44" s="18" t="n">
        <v>66038.89</v>
      </c>
      <c r="BA44" s="18" t="n">
        <v>81005.21</v>
      </c>
      <c r="BB44" s="18" t="n">
        <v>86430.5</v>
      </c>
      <c r="BC44" s="18" t="n">
        <v>83343.7</v>
      </c>
      <c r="BD44" s="18" t="n">
        <v>83437.24</v>
      </c>
      <c r="BE44" s="18" t="n">
        <v>77824.87</v>
      </c>
      <c r="BF44" s="18" t="n">
        <v>69219.23</v>
      </c>
      <c r="BG44" s="18" t="n">
        <v>55843.08</v>
      </c>
      <c r="BH44" s="18" t="n">
        <v>95784.45</v>
      </c>
      <c r="BI44" s="18" t="n">
        <v>86711.12</v>
      </c>
      <c r="BJ44" s="18" t="n">
        <v>81940.6</v>
      </c>
      <c r="BK44" s="18" t="n">
        <v>12160.14</v>
      </c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</row>
    <row r="45" customFormat="false" ht="15" hidden="false" customHeight="false" outlineLevel="0" collapsed="false">
      <c r="A45" s="5" t="str">
        <f aca="false">IF(ORCAMENTO!A43="","",ORCAMENTO!A43)</f>
        <v>38</v>
      </c>
      <c r="B45" s="5" t="str">
        <f aca="false">IF(ORCAMENTO!B43="","",ORCAMENTO!B43)</f>
        <v>TAXA DE ADMINISTRAÇÃO</v>
      </c>
      <c r="C45" s="7"/>
      <c r="D45" s="7"/>
      <c r="E45" s="7"/>
      <c r="F45" s="7"/>
      <c r="G45" s="7"/>
      <c r="H45" s="25" t="n">
        <f aca="false">SUMPRODUCT((J$7:CC$7&gt;PARAMETROS!$C$12)*J45:CC45)</f>
        <v>0</v>
      </c>
      <c r="I45" s="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</row>
    <row r="46" customFormat="false" ht="15" hidden="false" customHeight="false" outlineLevel="0" collapsed="false">
      <c r="A46" s="5" t="str">
        <f aca="false">IF(ORCAMENTO!A44="","",ORCAMENTO!A44)</f>
        <v/>
      </c>
      <c r="B46" s="5" t="str">
        <f aca="false">IF(ORCAMENTO!B44="","",ORCAMENTO!B44)</f>
        <v/>
      </c>
      <c r="C46" s="7"/>
      <c r="D46" s="7"/>
      <c r="E46" s="7"/>
      <c r="F46" s="7"/>
      <c r="G46" s="7"/>
      <c r="H46" s="25" t="n">
        <f aca="false">SUMPRODUCT((J$7:CC$7&gt;PARAMETROS!$C$12)*J46:CC46)</f>
        <v>0</v>
      </c>
      <c r="I46" s="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</row>
    <row r="47" customFormat="false" ht="15" hidden="false" customHeight="false" outlineLevel="0" collapsed="false">
      <c r="A47" s="5" t="str">
        <f aca="false">IF(ORCAMENTO!A45="","",ORCAMENTO!A45)</f>
        <v/>
      </c>
      <c r="B47" s="5" t="str">
        <f aca="false">IF(ORCAMENTO!B45="","",ORCAMENTO!B45)</f>
        <v/>
      </c>
      <c r="C47" s="7"/>
      <c r="D47" s="7"/>
      <c r="E47" s="7"/>
      <c r="F47" s="7"/>
      <c r="G47" s="7"/>
      <c r="H47" s="25" t="n">
        <f aca="false">SUMPRODUCT((J$7:CC$7&gt;PARAMETROS!$C$12)*J47:CC47)</f>
        <v>0</v>
      </c>
      <c r="I47" s="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</row>
    <row r="48" customFormat="false" ht="15" hidden="false" customHeight="false" outlineLevel="0" collapsed="false">
      <c r="A48" s="5" t="str">
        <f aca="false">IF(ORCAMENTO!A46="","",ORCAMENTO!A46)</f>
        <v/>
      </c>
      <c r="B48" s="5" t="str">
        <f aca="false">IF(ORCAMENTO!B46="","",ORCAMENTO!B46)</f>
        <v/>
      </c>
      <c r="C48" s="7"/>
      <c r="D48" s="7"/>
      <c r="E48" s="7"/>
      <c r="F48" s="7"/>
      <c r="G48" s="7"/>
      <c r="H48" s="25" t="n">
        <f aca="false">SUMPRODUCT((J$7:CC$7&gt;PARAMETROS!$C$12)*J48:CC48)</f>
        <v>0</v>
      </c>
      <c r="I48" s="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</row>
    <row r="49" customFormat="false" ht="15" hidden="false" customHeight="false" outlineLevel="0" collapsed="false">
      <c r="A49" s="5" t="str">
        <f aca="false">IF(ORCAMENTO!A47="","",ORCAMENTO!A47)</f>
        <v/>
      </c>
      <c r="B49" s="5" t="str">
        <f aca="false">IF(ORCAMENTO!B47="","",ORCAMENTO!B47)</f>
        <v/>
      </c>
      <c r="C49" s="7"/>
      <c r="D49" s="7"/>
      <c r="E49" s="7"/>
      <c r="F49" s="7"/>
      <c r="G49" s="7"/>
      <c r="H49" s="25" t="n">
        <f aca="false">SUMPRODUCT((J$7:CC$7&gt;PARAMETROS!$C$12)*J49:CC49)</f>
        <v>0</v>
      </c>
      <c r="I49" s="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</row>
    <row r="50" customFormat="false" ht="15" hidden="false" customHeight="false" outlineLevel="0" collapsed="false">
      <c r="A50" s="5" t="str">
        <f aca="false">IF(ORCAMENTO!A48="","",ORCAMENTO!A48)</f>
        <v/>
      </c>
      <c r="B50" s="5" t="str">
        <f aca="false">IF(ORCAMENTO!B48="","",ORCAMENTO!B48)</f>
        <v/>
      </c>
      <c r="C50" s="7"/>
      <c r="D50" s="7"/>
      <c r="E50" s="7"/>
      <c r="F50" s="7"/>
      <c r="G50" s="7"/>
      <c r="H50" s="25" t="n">
        <f aca="false">SUMPRODUCT((J$7:CC$7&gt;PARAMETROS!$C$12)*J50:CC50)</f>
        <v>0</v>
      </c>
      <c r="I50" s="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</row>
    <row r="51" customFormat="false" ht="15" hidden="false" customHeight="false" outlineLevel="0" collapsed="false">
      <c r="A51" s="5" t="str">
        <f aca="false">IF(ORCAMENTO!A49="","",ORCAMENTO!A49)</f>
        <v/>
      </c>
      <c r="B51" s="5" t="str">
        <f aca="false">IF(ORCAMENTO!B49="","",ORCAMENTO!B49)</f>
        <v/>
      </c>
      <c r="C51" s="7"/>
      <c r="D51" s="7"/>
      <c r="E51" s="7"/>
      <c r="F51" s="7"/>
      <c r="G51" s="7"/>
      <c r="H51" s="25" t="n">
        <f aca="false">SUMPRODUCT((J$7:CC$7&gt;PARAMETROS!$C$12)*J51:CC51)</f>
        <v>0</v>
      </c>
      <c r="I51" s="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</row>
    <row r="52" customFormat="false" ht="15" hidden="false" customHeight="false" outlineLevel="0" collapsed="false">
      <c r="A52" s="5" t="str">
        <f aca="false">IF(ORCAMENTO!A50="","",ORCAMENTO!A50)</f>
        <v/>
      </c>
      <c r="B52" s="5" t="str">
        <f aca="false">IF(ORCAMENTO!B50="","",ORCAMENTO!B50)</f>
        <v/>
      </c>
      <c r="C52" s="7"/>
      <c r="D52" s="7"/>
      <c r="E52" s="7"/>
      <c r="F52" s="7"/>
      <c r="G52" s="7"/>
      <c r="H52" s="25" t="n">
        <f aca="false">SUMPRODUCT((J$7:CC$7&gt;PARAMETROS!$C$12)*J52:CC52)</f>
        <v>0</v>
      </c>
      <c r="I52" s="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</row>
    <row r="53" customFormat="false" ht="15" hidden="false" customHeight="false" outlineLevel="0" collapsed="false">
      <c r="A53" s="5" t="str">
        <f aca="false">IF(ORCAMENTO!A51="","",ORCAMENTO!A51)</f>
        <v/>
      </c>
      <c r="B53" s="5" t="str">
        <f aca="false">IF(ORCAMENTO!B51="","",ORCAMENTO!B51)</f>
        <v/>
      </c>
      <c r="C53" s="7"/>
      <c r="D53" s="7"/>
      <c r="E53" s="7"/>
      <c r="F53" s="7"/>
      <c r="G53" s="7"/>
      <c r="H53" s="25" t="n">
        <f aca="false">SUMPRODUCT((J$7:CC$7&gt;PARAMETROS!$C$12)*J53:CC53)</f>
        <v>0</v>
      </c>
      <c r="I53" s="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</row>
    <row r="54" customFormat="false" ht="15" hidden="false" customHeight="false" outlineLevel="0" collapsed="false">
      <c r="A54" s="5" t="str">
        <f aca="false">IF(ORCAMENTO!A52="","",ORCAMENTO!A52)</f>
        <v/>
      </c>
      <c r="B54" s="5" t="str">
        <f aca="false">IF(ORCAMENTO!B52="","",ORCAMENTO!B52)</f>
        <v/>
      </c>
      <c r="C54" s="7"/>
      <c r="D54" s="7"/>
      <c r="E54" s="7"/>
      <c r="F54" s="7"/>
      <c r="G54" s="7"/>
      <c r="H54" s="25" t="n">
        <f aca="false">SUMPRODUCT((J$7:CC$7&gt;PARAMETROS!$C$12)*J54:CC54)</f>
        <v>0</v>
      </c>
      <c r="I54" s="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</row>
    <row r="55" customFormat="false" ht="15" hidden="false" customHeight="false" outlineLevel="0" collapsed="false">
      <c r="A55" s="5" t="str">
        <f aca="false">IF(ORCAMENTO!A53="","",ORCAMENTO!A53)</f>
        <v/>
      </c>
      <c r="B55" s="5" t="str">
        <f aca="false">IF(ORCAMENTO!B53="","",ORCAMENTO!B53)</f>
        <v/>
      </c>
      <c r="C55" s="7"/>
      <c r="D55" s="7"/>
      <c r="E55" s="7"/>
      <c r="F55" s="7"/>
      <c r="G55" s="7"/>
      <c r="H55" s="25" t="n">
        <f aca="false">SUMPRODUCT((J$7:CC$7&gt;PARAMETROS!$C$12)*J55:CC55)</f>
        <v>0</v>
      </c>
      <c r="I55" s="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</row>
    <row r="56" customFormat="false" ht="15" hidden="false" customHeight="false" outlineLevel="0" collapsed="false">
      <c r="A56" s="5" t="str">
        <f aca="false">IF(ORCAMENTO!A54="","",ORCAMENTO!A54)</f>
        <v/>
      </c>
      <c r="B56" s="5" t="str">
        <f aca="false">IF(ORCAMENTO!B54="","",ORCAMENTO!B54)</f>
        <v/>
      </c>
      <c r="C56" s="7"/>
      <c r="D56" s="7"/>
      <c r="E56" s="7"/>
      <c r="F56" s="7"/>
      <c r="G56" s="7"/>
      <c r="H56" s="25" t="n">
        <f aca="false">SUMPRODUCT((J$7:CC$7&gt;PARAMETROS!$C$12)*J56:CC56)</f>
        <v>0</v>
      </c>
      <c r="I56" s="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</row>
    <row r="57" customFormat="false" ht="15" hidden="false" customHeight="false" outlineLevel="0" collapsed="false">
      <c r="A57" s="5" t="str">
        <f aca="false">IF(ORCAMENTO!A55="","",ORCAMENTO!A55)</f>
        <v/>
      </c>
      <c r="B57" s="5" t="str">
        <f aca="false">IF(ORCAMENTO!B55="","",ORCAMENTO!B55)</f>
        <v/>
      </c>
      <c r="C57" s="7"/>
      <c r="D57" s="7"/>
      <c r="E57" s="7"/>
      <c r="F57" s="7"/>
      <c r="G57" s="7"/>
      <c r="H57" s="25" t="n">
        <f aca="false">SUMPRODUCT((J$7:CC$7&gt;PARAMETROS!$C$12)*J57:CC57)</f>
        <v>0</v>
      </c>
      <c r="I57" s="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</row>
  </sheetData>
  <conditionalFormatting sqref="J8:CC57">
    <cfRule type="expression" priority="2" aboveAverage="0" equalAverage="0" bottom="0" percent="0" rank="0" text="" dxfId="6">
      <formula>J$7&lt;=PARAMETROS!$C$12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193</v>
      </c>
      <c r="B1" s="7"/>
      <c r="C1" s="7"/>
    </row>
    <row r="2" customFormat="false" ht="15" hidden="false" customHeight="false" outlineLevel="0" collapsed="false">
      <c r="A2" s="8" t="s">
        <v>194</v>
      </c>
      <c r="B2" s="7"/>
      <c r="C2" s="7"/>
    </row>
    <row r="3" customFormat="false" ht="15" hidden="false" customHeight="false" outlineLevel="0" collapsed="false">
      <c r="A3" s="7"/>
      <c r="B3" s="7"/>
      <c r="C3" s="7"/>
    </row>
    <row r="4" customFormat="false" ht="15" hidden="false" customHeight="false" outlineLevel="0" collapsed="false">
      <c r="A4" s="7"/>
      <c r="B4" s="7"/>
      <c r="C4" s="7"/>
    </row>
    <row r="5" customFormat="false" ht="15" hidden="false" customHeight="false" outlineLevel="0" collapsed="false">
      <c r="A5" s="17" t="s">
        <v>180</v>
      </c>
      <c r="B5" s="17" t="s">
        <v>195</v>
      </c>
      <c r="C5" s="17" t="s">
        <v>196</v>
      </c>
    </row>
    <row r="6" customFormat="false" ht="15" hidden="false" customHeight="false" outlineLevel="0" collapsed="false">
      <c r="A6" s="26" t="n">
        <v>45536</v>
      </c>
      <c r="B6" s="27" t="n">
        <v>1136.521</v>
      </c>
      <c r="C6" s="28"/>
    </row>
    <row r="7" customFormat="false" ht="15" hidden="false" customHeight="false" outlineLevel="0" collapsed="false">
      <c r="A7" s="26" t="n">
        <v>45566</v>
      </c>
      <c r="B7" s="27" t="n">
        <v>1144.136</v>
      </c>
      <c r="C7" s="28" t="n">
        <f aca="false">IF(OR(B7="",B6="",NOT(ISNUMBER(B6))),"",B7/B6-1)</f>
        <v>0.00670027214631319</v>
      </c>
    </row>
    <row r="8" customFormat="false" ht="15" hidden="false" customHeight="false" outlineLevel="0" collapsed="false">
      <c r="A8" s="26" t="n">
        <v>45597</v>
      </c>
      <c r="B8" s="27" t="n">
        <v>1149.158</v>
      </c>
      <c r="C8" s="28" t="n">
        <f aca="false">IF(OR(B8="",B7="",NOT(ISNUMBER(B7))),"",B8/B7-1)</f>
        <v>0.00438933833040811</v>
      </c>
    </row>
    <row r="9" customFormat="false" ht="15" hidden="false" customHeight="false" outlineLevel="0" collapsed="false">
      <c r="A9" s="26" t="n">
        <v>45627</v>
      </c>
      <c r="B9" s="27" t="n">
        <v>1154.99</v>
      </c>
      <c r="C9" s="28" t="n">
        <f aca="false">IF(OR(B9="",B8="",NOT(ISNUMBER(B8))),"",B9/B8-1)</f>
        <v>0.00507502014518457</v>
      </c>
    </row>
    <row r="10" customFormat="false" ht="15" hidden="false" customHeight="false" outlineLevel="0" collapsed="false">
      <c r="A10" s="26" t="n">
        <v>45658</v>
      </c>
      <c r="B10" s="27" t="n">
        <v>1163.221</v>
      </c>
      <c r="C10" s="28" t="n">
        <f aca="false">IF(OR(B10="",B9="",NOT(ISNUMBER(B9))),"",B10/B9-1)</f>
        <v>0.00712646862743394</v>
      </c>
    </row>
    <row r="11" customFormat="false" ht="15" hidden="false" customHeight="false" outlineLevel="0" collapsed="false">
      <c r="A11" s="26" t="n">
        <v>45689</v>
      </c>
      <c r="B11" s="27" t="n">
        <v>1169.156</v>
      </c>
      <c r="C11" s="28" t="n">
        <f aca="false">IF(OR(B11="",B10="",NOT(ISNUMBER(B10))),"",B11/B10-1)</f>
        <v>0.00510221187547333</v>
      </c>
    </row>
    <row r="12" customFormat="false" ht="15" hidden="false" customHeight="false" outlineLevel="0" collapsed="false">
      <c r="A12" s="26" t="n">
        <v>45717</v>
      </c>
      <c r="B12" s="27" t="n">
        <v>1173.586</v>
      </c>
      <c r="C12" s="28" t="n">
        <f aca="false">IF(OR(B12="",B11="",NOT(ISNUMBER(B11))),"",B12/B11-1)</f>
        <v>0.00378905808976748</v>
      </c>
    </row>
    <row r="13" customFormat="false" ht="15" hidden="false" customHeight="false" outlineLevel="0" collapsed="false">
      <c r="A13" s="26" t="n">
        <v>45748</v>
      </c>
      <c r="B13" s="27" t="n">
        <v>1180.564</v>
      </c>
      <c r="C13" s="28" t="n">
        <f aca="false">IF(OR(B13="",B12="",NOT(ISNUMBER(B12))),"",B13/B12-1)</f>
        <v>0.00594587869998464</v>
      </c>
    </row>
    <row r="14" customFormat="false" ht="15" hidden="false" customHeight="false" outlineLevel="0" collapsed="false">
      <c r="A14" s="26" t="n">
        <v>45778</v>
      </c>
      <c r="B14" s="27" t="n">
        <v>1183.606</v>
      </c>
      <c r="C14" s="28" t="n">
        <f aca="false">IF(OR(B14="",B13="",NOT(ISNUMBER(B13))),"",B14/B13-1)</f>
        <v>0.00257673450994611</v>
      </c>
    </row>
    <row r="15" customFormat="false" ht="15" hidden="false" customHeight="false" outlineLevel="0" collapsed="false">
      <c r="A15" s="26" t="n">
        <v>45809</v>
      </c>
      <c r="B15" s="27" t="n">
        <v>1194.912</v>
      </c>
      <c r="C15" s="28" t="n">
        <f aca="false">IF(OR(B15="",B14="",NOT(ISNUMBER(B14))),"",B15/B14-1)</f>
        <v>0.00955216516306945</v>
      </c>
    </row>
    <row r="16" customFormat="false" ht="15" hidden="false" customHeight="false" outlineLevel="0" collapsed="false">
      <c r="A16" s="26" t="n">
        <v>45839</v>
      </c>
      <c r="B16" s="27" t="n">
        <v>1205.838</v>
      </c>
      <c r="C16" s="28" t="n">
        <f aca="false">IF(OR(B16="",B15="",NOT(ISNUMBER(B15))),"",B16/B15-1)</f>
        <v>0.00914376958303209</v>
      </c>
    </row>
    <row r="17" customFormat="false" ht="15" hidden="false" customHeight="false" outlineLevel="0" collapsed="false">
      <c r="A17" s="26" t="n">
        <v>45870</v>
      </c>
      <c r="B17" s="27" t="n">
        <v>1214.239</v>
      </c>
      <c r="C17" s="28" t="n">
        <f aca="false">IF(OR(B17="",B16="",NOT(ISNUMBER(B16))),"",B17/B16-1)</f>
        <v>0.00696693917425062</v>
      </c>
    </row>
    <row r="18" customFormat="false" ht="15" hidden="false" customHeight="false" outlineLevel="0" collapsed="false">
      <c r="A18" s="26" t="n">
        <v>45901</v>
      </c>
      <c r="B18" s="27" t="n">
        <v>1216.825</v>
      </c>
      <c r="C18" s="28" t="n">
        <f aca="false">IF(OR(B18="",B17="",NOT(ISNUMBER(B17))),"",B18/B17-1)</f>
        <v>0.0021297289907507</v>
      </c>
    </row>
    <row r="19" customFormat="false" ht="15" hidden="false" customHeight="false" outlineLevel="0" collapsed="false">
      <c r="A19" s="26" t="n">
        <v>45931</v>
      </c>
      <c r="B19" s="27" t="n">
        <v>1219.407</v>
      </c>
      <c r="C19" s="28" t="n">
        <f aca="false">IF(OR(B19="",B18="",NOT(ISNUMBER(B18))),"",B19/B18-1)</f>
        <v>0.00212191564111519</v>
      </c>
    </row>
    <row r="20" customFormat="false" ht="15" hidden="false" customHeight="false" outlineLevel="0" collapsed="false">
      <c r="A20" s="26" t="n">
        <v>45962</v>
      </c>
      <c r="B20" s="27" t="n">
        <v>1222.865</v>
      </c>
      <c r="C20" s="28" t="n">
        <f aca="false">IF(OR(B20="",B19="",NOT(ISNUMBER(B19))),"",B20/B19-1)</f>
        <v>0.00283580461650623</v>
      </c>
    </row>
    <row r="21" customFormat="false" ht="15" hidden="false" customHeight="false" outlineLevel="0" collapsed="false">
      <c r="A21" s="26" t="n">
        <v>45992</v>
      </c>
      <c r="B21" s="27" t="n">
        <v>1225.398</v>
      </c>
      <c r="C21" s="28" t="n">
        <f aca="false">IF(OR(B21="",B20="",NOT(ISNUMBER(B20))),"",B21/B20-1)</f>
        <v>0.00207136519566742</v>
      </c>
    </row>
    <row r="22" customFormat="false" ht="15" hidden="false" customHeight="false" outlineLevel="0" collapsed="false">
      <c r="A22" s="26" t="n">
        <v>46023</v>
      </c>
      <c r="B22" s="27" t="n">
        <v>1233.096</v>
      </c>
      <c r="C22" s="28" t="n">
        <f aca="false">IF(OR(B22="",B21="",NOT(ISNUMBER(B21))),"",B22/B21-1)</f>
        <v>0.00628204061047932</v>
      </c>
    </row>
    <row r="23" customFormat="false" ht="15" hidden="false" customHeight="false" outlineLevel="0" collapsed="false">
      <c r="A23" s="26" t="n">
        <v>46054</v>
      </c>
      <c r="B23" s="27" t="n">
        <v>1237.312</v>
      </c>
      <c r="C23" s="28" t="n">
        <f aca="false">IF(OR(B23="",B22="",NOT(ISNUMBER(B22))),"",B23/B22-1)</f>
        <v>0.00341903631185225</v>
      </c>
    </row>
    <row r="24" customFormat="false" ht="15" hidden="false" customHeight="false" outlineLevel="0" collapsed="false">
      <c r="A24" s="26" t="n">
        <v>46082</v>
      </c>
      <c r="B24" s="27" t="n">
        <v>1247.181</v>
      </c>
      <c r="C24" s="28" t="n">
        <f aca="false">IF(OR(B24="",B23="",NOT(ISNUMBER(B23))),"",B24/B23-1)</f>
        <v>0.0079761612269178</v>
      </c>
    </row>
    <row r="25" customFormat="false" ht="15" hidden="false" customHeight="false" outlineLevel="0" collapsed="false">
      <c r="A25" s="26" t="n">
        <v>46113</v>
      </c>
      <c r="B25" s="27" t="n">
        <v>1259.652</v>
      </c>
      <c r="C25" s="28" t="n">
        <f aca="false">IF(OR(B25="",B24="",NOT(ISNUMBER(B24))),"",B25/B24-1)</f>
        <v>0.0099993505353273</v>
      </c>
    </row>
    <row r="26" customFormat="false" ht="15" hidden="false" customHeight="false" outlineLevel="0" collapsed="false">
      <c r="A26" s="26" t="n">
        <v>46143</v>
      </c>
      <c r="B26" s="27" t="n">
        <v>1270.695</v>
      </c>
      <c r="C26" s="28" t="n">
        <f aca="false">IF(OR(B26="",B25="",NOT(ISNUMBER(B25))),"",B26/B25-1)</f>
        <v>0.00876670699526527</v>
      </c>
    </row>
    <row r="27" customFormat="false" ht="15" hidden="false" customHeight="false" outlineLevel="0" collapsed="false">
      <c r="A27" s="26" t="n">
        <v>46174</v>
      </c>
      <c r="B27" s="27" t="n">
        <v>1280.641</v>
      </c>
      <c r="C27" s="28" t="n">
        <f aca="false">IF(OR(B27="",B26="",NOT(ISNUMBER(B26))),"",B27/B26-1)</f>
        <v>0.00782721266708397</v>
      </c>
    </row>
    <row r="28" customFormat="false" ht="15" hidden="false" customHeight="false" outlineLevel="0" collapsed="false">
      <c r="A28" s="26" t="n">
        <v>46204</v>
      </c>
      <c r="B28" s="27" t="n">
        <v>1288.431</v>
      </c>
      <c r="C28" s="28" t="n">
        <f aca="false">IF(OR(B28="",B27="",NOT(ISNUMBER(B27))),"",B28/B27-1)</f>
        <v>0.00608289130209005</v>
      </c>
    </row>
    <row r="29" customFormat="false" ht="15" hidden="false" customHeight="false" outlineLevel="0" collapsed="false">
      <c r="A29" s="26" t="n">
        <v>46235</v>
      </c>
      <c r="B29" s="27" t="n">
        <v>1296.889</v>
      </c>
      <c r="C29" s="28" t="n">
        <f aca="false">IF(OR(B29="",B28="",NOT(ISNUMBER(B28))),"",B29/B28-1)</f>
        <v>0.00656457350063744</v>
      </c>
    </row>
    <row r="30" customFormat="false" ht="15" hidden="false" customHeight="false" outlineLevel="0" collapsed="false">
      <c r="A30" s="26"/>
      <c r="B30" s="27"/>
      <c r="C30" s="28" t="str">
        <f aca="false">IF(OR(B30="",B29="",NOT(ISNUMBER(B29))),"",B30/B29-1)</f>
        <v/>
      </c>
    </row>
    <row r="31" customFormat="false" ht="15" hidden="false" customHeight="false" outlineLevel="0" collapsed="false">
      <c r="A31" s="26"/>
      <c r="B31" s="27"/>
      <c r="C31" s="28" t="str">
        <f aca="false">IF(OR(B31="",B30="",NOT(ISNUMBER(B30))),"",B31/B30-1)</f>
        <v/>
      </c>
    </row>
    <row r="32" customFormat="false" ht="15" hidden="false" customHeight="false" outlineLevel="0" collapsed="false">
      <c r="A32" s="26"/>
      <c r="B32" s="27"/>
      <c r="C32" s="28" t="str">
        <f aca="false">IF(OR(B32="",B31="",NOT(ISNUMBER(B31))),"",B32/B31-1)</f>
        <v/>
      </c>
    </row>
    <row r="33" customFormat="false" ht="15" hidden="false" customHeight="false" outlineLevel="0" collapsed="false">
      <c r="A33" s="26"/>
      <c r="B33" s="27"/>
      <c r="C33" s="28" t="str">
        <f aca="false">IF(OR(B33="",B32="",NOT(ISNUMBER(B32))),"",B33/B32-1)</f>
        <v/>
      </c>
    </row>
    <row r="34" customFormat="false" ht="15" hidden="false" customHeight="false" outlineLevel="0" collapsed="false">
      <c r="A34" s="26"/>
      <c r="B34" s="27"/>
      <c r="C34" s="28" t="str">
        <f aca="false">IF(OR(B34="",B33="",NOT(ISNUMBER(B33))),"",B34/B33-1)</f>
        <v/>
      </c>
    </row>
    <row r="35" customFormat="false" ht="15" hidden="false" customHeight="false" outlineLevel="0" collapsed="false">
      <c r="A35" s="26"/>
      <c r="B35" s="27"/>
      <c r="C35" s="28" t="str">
        <f aca="false">IF(OR(B35="",B34="",NOT(ISNUMBER(B34))),"",B35/B34-1)</f>
        <v/>
      </c>
    </row>
    <row r="36" customFormat="false" ht="15" hidden="false" customHeight="false" outlineLevel="0" collapsed="false">
      <c r="A36" s="26"/>
      <c r="B36" s="27"/>
      <c r="C36" s="28" t="str">
        <f aca="false">IF(OR(B36="",B35="",NOT(ISNUMBER(B35))),"",B36/B35-1)</f>
        <v/>
      </c>
    </row>
    <row r="37" customFormat="false" ht="15" hidden="false" customHeight="false" outlineLevel="0" collapsed="false">
      <c r="A37" s="26"/>
      <c r="B37" s="27"/>
      <c r="C37" s="28" t="str">
        <f aca="false">IF(OR(B37="",B36="",NOT(ISNUMBER(B36))),"",B37/B36-1)</f>
        <v/>
      </c>
    </row>
    <row r="38" customFormat="false" ht="15" hidden="false" customHeight="false" outlineLevel="0" collapsed="false">
      <c r="A38" s="26"/>
      <c r="B38" s="27"/>
      <c r="C38" s="28" t="str">
        <f aca="false">IF(OR(B38="",B37="",NOT(ISNUMBER(B37))),"",B38/B37-1)</f>
        <v/>
      </c>
    </row>
    <row r="39" customFormat="false" ht="15" hidden="false" customHeight="false" outlineLevel="0" collapsed="false">
      <c r="A39" s="26"/>
      <c r="B39" s="27"/>
      <c r="C39" s="28" t="str">
        <f aca="false">IF(OR(B39="",B38="",NOT(ISNUMBER(B38))),"",B39/B38-1)</f>
        <v/>
      </c>
    </row>
    <row r="40" customFormat="false" ht="15" hidden="false" customHeight="false" outlineLevel="0" collapsed="false">
      <c r="A40" s="26"/>
      <c r="B40" s="27"/>
      <c r="C40" s="28" t="str">
        <f aca="false">IF(OR(B40="",B39="",NOT(ISNUMBER(B39))),"",B40/B39-1)</f>
        <v/>
      </c>
    </row>
    <row r="41" customFormat="false" ht="15" hidden="false" customHeight="false" outlineLevel="0" collapsed="false">
      <c r="A41" s="26"/>
      <c r="B41" s="27"/>
      <c r="C41" s="28" t="str">
        <f aca="false">IF(OR(B41="",B40="",NOT(ISNUMBER(B40))),"",B41/B40-1)</f>
        <v/>
      </c>
    </row>
    <row r="42" customFormat="false" ht="15" hidden="false" customHeight="false" outlineLevel="0" collapsed="false">
      <c r="A42" s="26"/>
      <c r="B42" s="27"/>
      <c r="C42" s="28" t="str">
        <f aca="false">IF(OR(B42="",B41="",NOT(ISNUMBER(B41))),"",B42/B41-1)</f>
        <v/>
      </c>
    </row>
    <row r="43" customFormat="false" ht="15" hidden="false" customHeight="false" outlineLevel="0" collapsed="false">
      <c r="A43" s="26"/>
      <c r="B43" s="27"/>
      <c r="C43" s="28" t="str">
        <f aca="false">IF(OR(B43="",B42="",NOT(ISNUMBER(B42))),"",B43/B42-1)</f>
        <v/>
      </c>
    </row>
    <row r="44" customFormat="false" ht="15" hidden="false" customHeight="false" outlineLevel="0" collapsed="false">
      <c r="A44" s="26"/>
      <c r="B44" s="27"/>
      <c r="C44" s="28" t="str">
        <f aca="false">IF(OR(B44="",B43="",NOT(ISNUMBER(B43))),"",B44/B43-1)</f>
        <v/>
      </c>
    </row>
    <row r="45" customFormat="false" ht="15" hidden="false" customHeight="false" outlineLevel="0" collapsed="false">
      <c r="A45" s="26"/>
      <c r="B45" s="27"/>
      <c r="C45" s="28" t="str">
        <f aca="false">IF(OR(B45="",B44="",NOT(ISNUMBER(B44))),"",B45/B44-1)</f>
        <v/>
      </c>
    </row>
    <row r="46" customFormat="false" ht="15" hidden="false" customHeight="false" outlineLevel="0" collapsed="false">
      <c r="A46" s="26"/>
      <c r="B46" s="27"/>
      <c r="C46" s="28" t="str">
        <f aca="false">IF(OR(B46="",B45="",NOT(ISNUMBER(B45))),"",B46/B45-1)</f>
        <v/>
      </c>
    </row>
    <row r="47" customFormat="false" ht="15" hidden="false" customHeight="false" outlineLevel="0" collapsed="false">
      <c r="A47" s="26"/>
      <c r="B47" s="27"/>
      <c r="C47" s="28" t="str">
        <f aca="false">IF(OR(B47="",B46="",NOT(ISNUMBER(B46))),"",B47/B46-1)</f>
        <v/>
      </c>
    </row>
    <row r="48" customFormat="false" ht="15" hidden="false" customHeight="false" outlineLevel="0" collapsed="false">
      <c r="A48" s="26"/>
      <c r="B48" s="27"/>
      <c r="C48" s="28" t="str">
        <f aca="false">IF(OR(B48="",B47="",NOT(ISNUMBER(B47))),"",B48/B47-1)</f>
        <v/>
      </c>
    </row>
    <row r="49" customFormat="false" ht="15" hidden="false" customHeight="false" outlineLevel="0" collapsed="false">
      <c r="A49" s="26"/>
      <c r="B49" s="27"/>
      <c r="C49" s="28" t="str">
        <f aca="false">IF(OR(B49="",B48="",NOT(ISNUMBER(B48))),"",B49/B48-1)</f>
        <v/>
      </c>
    </row>
    <row r="50" customFormat="false" ht="15" hidden="false" customHeight="false" outlineLevel="0" collapsed="false">
      <c r="A50" s="26"/>
      <c r="B50" s="27"/>
      <c r="C50" s="28" t="str">
        <f aca="false">IF(OR(B50="",B49="",NOT(ISNUMBER(B49))),"",B50/B49-1)</f>
        <v/>
      </c>
    </row>
    <row r="51" customFormat="false" ht="15" hidden="false" customHeight="false" outlineLevel="0" collapsed="false">
      <c r="A51" s="26"/>
      <c r="B51" s="27"/>
      <c r="C51" s="28" t="str">
        <f aca="false">IF(OR(B51="",B50="",NOT(ISNUMBER(B50))),"",B51/B50-1)</f>
        <v/>
      </c>
    </row>
    <row r="52" customFormat="false" ht="15" hidden="false" customHeight="false" outlineLevel="0" collapsed="false">
      <c r="A52" s="26"/>
      <c r="B52" s="27"/>
      <c r="C52" s="28" t="str">
        <f aca="false">IF(OR(B52="",B51="",NOT(ISNUMBER(B51))),"",B52/B51-1)</f>
        <v/>
      </c>
    </row>
    <row r="53" customFormat="false" ht="15" hidden="false" customHeight="false" outlineLevel="0" collapsed="false">
      <c r="A53" s="26"/>
      <c r="B53" s="27"/>
      <c r="C53" s="28" t="str">
        <f aca="false">IF(OR(B53="",B52="",NOT(ISNUMBER(B52))),"",B53/B52-1)</f>
        <v/>
      </c>
    </row>
    <row r="54" customFormat="false" ht="15" hidden="false" customHeight="false" outlineLevel="0" collapsed="false">
      <c r="A54" s="26"/>
      <c r="B54" s="27"/>
      <c r="C54" s="28" t="str">
        <f aca="false">IF(OR(B54="",B53="",NOT(ISNUMBER(B53))),"",B54/B53-1)</f>
        <v/>
      </c>
    </row>
    <row r="55" customFormat="false" ht="15" hidden="false" customHeight="false" outlineLevel="0" collapsed="false">
      <c r="A55" s="26"/>
      <c r="B55" s="27"/>
      <c r="C55" s="28" t="str">
        <f aca="false">IF(OR(B55="",B54="",NOT(ISNUMBER(B54))),"",B55/B54-1)</f>
        <v/>
      </c>
    </row>
    <row r="56" customFormat="false" ht="15" hidden="false" customHeight="false" outlineLevel="0" collapsed="false">
      <c r="A56" s="26"/>
      <c r="B56" s="27"/>
      <c r="C56" s="28" t="str">
        <f aca="false">IF(OR(B56="",B55="",NOT(ISNUMBER(B55))),"",B56/B55-1)</f>
        <v/>
      </c>
    </row>
    <row r="57" customFormat="false" ht="15" hidden="false" customHeight="false" outlineLevel="0" collapsed="false">
      <c r="A57" s="26"/>
      <c r="B57" s="27"/>
      <c r="C57" s="28" t="str">
        <f aca="false">IF(OR(B57="",B56="",NOT(ISNUMBER(B56))),"",B57/B56-1)</f>
        <v/>
      </c>
    </row>
    <row r="58" customFormat="false" ht="15" hidden="false" customHeight="false" outlineLevel="0" collapsed="false">
      <c r="A58" s="26"/>
      <c r="B58" s="27"/>
      <c r="C58" s="28" t="str">
        <f aca="false">IF(OR(B58="",B57="",NOT(ISNUMBER(B57))),"",B58/B57-1)</f>
        <v/>
      </c>
    </row>
    <row r="59" customFormat="false" ht="15" hidden="false" customHeight="false" outlineLevel="0" collapsed="false">
      <c r="A59" s="26"/>
      <c r="B59" s="27"/>
      <c r="C59" s="28" t="str">
        <f aca="false">IF(OR(B59="",B58="",NOT(ISNUMBER(B58))),"",B59/B58-1)</f>
        <v/>
      </c>
    </row>
    <row r="60" customFormat="false" ht="15" hidden="false" customHeight="false" outlineLevel="0" collapsed="false">
      <c r="A60" s="26"/>
      <c r="B60" s="27"/>
      <c r="C60" s="28" t="str">
        <f aca="false">IF(OR(B60="",B59="",NOT(ISNUMBER(B59))),"",B60/B59-1)</f>
        <v/>
      </c>
    </row>
    <row r="61" customFormat="false" ht="15" hidden="false" customHeight="false" outlineLevel="0" collapsed="false">
      <c r="A61" s="26"/>
      <c r="B61" s="27"/>
      <c r="C61" s="28" t="str">
        <f aca="false">IF(OR(B61="",B60="",NOT(ISNUMBER(B60))),"",B61/B60-1)</f>
        <v/>
      </c>
    </row>
    <row r="62" customFormat="false" ht="15" hidden="false" customHeight="false" outlineLevel="0" collapsed="false">
      <c r="A62" s="26"/>
      <c r="B62" s="27"/>
      <c r="C62" s="28" t="str">
        <f aca="false">IF(OR(B62="",B61="",NOT(ISNUMBER(B61))),"",B62/B61-1)</f>
        <v/>
      </c>
    </row>
    <row r="63" customFormat="false" ht="15" hidden="false" customHeight="false" outlineLevel="0" collapsed="false">
      <c r="A63" s="26"/>
      <c r="B63" s="27"/>
      <c r="C63" s="28" t="str">
        <f aca="false">IF(OR(B63="",B62="",NOT(ISNUMBER(B62))),"",B63/B62-1)</f>
        <v/>
      </c>
    </row>
    <row r="64" customFormat="false" ht="15" hidden="false" customHeight="false" outlineLevel="0" collapsed="false">
      <c r="A64" s="26"/>
      <c r="B64" s="27"/>
      <c r="C64" s="28" t="str">
        <f aca="false">IF(OR(B64="",B63="",NOT(ISNUMBER(B63))),"",B64/B63-1)</f>
        <v/>
      </c>
    </row>
    <row r="65" customFormat="false" ht="15" hidden="false" customHeight="false" outlineLevel="0" collapsed="false">
      <c r="A65" s="26"/>
      <c r="B65" s="27"/>
      <c r="C65" s="28" t="str">
        <f aca="false">IF(OR(B65="",B64="",NOT(ISNUMBER(B64))),"",B65/B64-1)</f>
        <v/>
      </c>
    </row>
    <row r="66" customFormat="false" ht="15" hidden="false" customHeight="false" outlineLevel="0" collapsed="false">
      <c r="A66" s="26"/>
      <c r="B66" s="27"/>
      <c r="C66" s="28" t="str">
        <f aca="false">IF(OR(B66="",B65="",NOT(ISNUMBER(B65))),"",B66/B65-1)</f>
        <v/>
      </c>
    </row>
    <row r="67" customFormat="false" ht="15" hidden="false" customHeight="false" outlineLevel="0" collapsed="false">
      <c r="A67" s="26"/>
      <c r="B67" s="27"/>
      <c r="C67" s="28" t="str">
        <f aca="false">IF(OR(B67="",B66="",NOT(ISNUMBER(B66))),"",B67/B66-1)</f>
        <v/>
      </c>
    </row>
    <row r="68" customFormat="false" ht="15" hidden="false" customHeight="false" outlineLevel="0" collapsed="false">
      <c r="A68" s="26"/>
      <c r="B68" s="27"/>
      <c r="C68" s="28" t="str">
        <f aca="false">IF(OR(B68="",B67="",NOT(ISNUMBER(B67))),"",B68/B67-1)</f>
        <v/>
      </c>
    </row>
    <row r="69" customFormat="false" ht="15" hidden="false" customHeight="false" outlineLevel="0" collapsed="false">
      <c r="A69" s="26"/>
      <c r="B69" s="27"/>
      <c r="C69" s="28" t="str">
        <f aca="false">IF(OR(B69="",B68="",NOT(ISNUMBER(B68))),"",B69/B68-1)</f>
        <v/>
      </c>
    </row>
    <row r="70" customFormat="false" ht="15" hidden="false" customHeight="false" outlineLevel="0" collapsed="false">
      <c r="A70" s="26"/>
      <c r="B70" s="27"/>
      <c r="C70" s="28" t="str">
        <f aca="false">IF(OR(B70="",B69="",NOT(ISNUMBER(B69))),"",B70/B69-1)</f>
        <v/>
      </c>
    </row>
    <row r="71" customFormat="false" ht="15" hidden="false" customHeight="false" outlineLevel="0" collapsed="false">
      <c r="A71" s="26"/>
      <c r="B71" s="27"/>
      <c r="C71" s="28" t="str">
        <f aca="false">IF(OR(B71="",B70="",NOT(ISNUMBER(B70))),"",B71/B70-1)</f>
        <v/>
      </c>
    </row>
    <row r="72" customFormat="false" ht="15" hidden="false" customHeight="false" outlineLevel="0" collapsed="false">
      <c r="A72" s="26"/>
      <c r="B72" s="27"/>
      <c r="C72" s="28" t="str">
        <f aca="false">IF(OR(B72="",B71="",NOT(ISNUMBER(B71))),"",B72/B71-1)</f>
        <v/>
      </c>
    </row>
    <row r="73" customFormat="false" ht="15" hidden="false" customHeight="false" outlineLevel="0" collapsed="false">
      <c r="A73" s="26"/>
      <c r="B73" s="27"/>
      <c r="C73" s="28" t="str">
        <f aca="false">IF(OR(B73="",B72="",NOT(ISNUMBER(B72))),"",B73/B72-1)</f>
        <v/>
      </c>
    </row>
    <row r="74" customFormat="false" ht="15" hidden="false" customHeight="false" outlineLevel="0" collapsed="false">
      <c r="A74" s="26"/>
      <c r="B74" s="27"/>
      <c r="C74" s="28" t="str">
        <f aca="false">IF(OR(B74="",B73="",NOT(ISNUMBER(B73))),"",B74/B73-1)</f>
        <v/>
      </c>
    </row>
    <row r="75" customFormat="false" ht="15" hidden="false" customHeight="false" outlineLevel="0" collapsed="false">
      <c r="A75" s="26"/>
      <c r="B75" s="27"/>
      <c r="C75" s="28" t="str">
        <f aca="false">IF(OR(B75="",B74="",NOT(ISNUMBER(B74))),"",B75/B74-1)</f>
        <v/>
      </c>
    </row>
    <row r="76" customFormat="false" ht="15" hidden="false" customHeight="false" outlineLevel="0" collapsed="false">
      <c r="A76" s="26"/>
      <c r="B76" s="27"/>
      <c r="C76" s="28" t="str">
        <f aca="false">IF(OR(B76="",B75="",NOT(ISNUMBER(B75))),"",B76/B75-1)</f>
        <v/>
      </c>
    </row>
    <row r="77" customFormat="false" ht="15" hidden="false" customHeight="false" outlineLevel="0" collapsed="false">
      <c r="A77" s="26"/>
      <c r="B77" s="27"/>
      <c r="C77" s="28" t="str">
        <f aca="false">IF(OR(B77="",B76="",NOT(ISNUMBER(B76))),"",B77/B76-1)</f>
        <v/>
      </c>
    </row>
    <row r="78" customFormat="false" ht="15" hidden="false" customHeight="false" outlineLevel="0" collapsed="false">
      <c r="A78" s="26"/>
      <c r="B78" s="27"/>
      <c r="C78" s="28" t="str">
        <f aca="false">IF(OR(B78="",B77="",NOT(ISNUMBER(B77))),"",B78/B77-1)</f>
        <v/>
      </c>
    </row>
    <row r="79" customFormat="false" ht="15" hidden="false" customHeight="false" outlineLevel="0" collapsed="false">
      <c r="A79" s="26"/>
      <c r="B79" s="27"/>
      <c r="C79" s="28" t="str">
        <f aca="false">IF(OR(B79="",B78="",NOT(ISNUMBER(B78))),"",B79/B78-1)</f>
        <v/>
      </c>
    </row>
    <row r="80" customFormat="false" ht="15" hidden="false" customHeight="false" outlineLevel="0" collapsed="false">
      <c r="A80" s="26"/>
      <c r="B80" s="27"/>
      <c r="C80" s="28" t="str">
        <f aca="false">IF(OR(B80="",B79="",NOT(ISNUMBER(B79))),"",B80/B79-1)</f>
        <v/>
      </c>
    </row>
    <row r="81" customFormat="false" ht="15" hidden="false" customHeight="false" outlineLevel="0" collapsed="false">
      <c r="A81" s="26"/>
      <c r="B81" s="27"/>
      <c r="C81" s="28" t="str">
        <f aca="false">IF(OR(B81="",B80="",NOT(ISNUMBER(B80))),"",B81/B80-1)</f>
        <v/>
      </c>
    </row>
    <row r="82" customFormat="false" ht="15" hidden="false" customHeight="false" outlineLevel="0" collapsed="false">
      <c r="A82" s="26"/>
      <c r="B82" s="27"/>
      <c r="C82" s="28" t="str">
        <f aca="false">IF(OR(B82="",B81="",NOT(ISNUMBER(B81))),"",B82/B81-1)</f>
        <v/>
      </c>
    </row>
    <row r="83" customFormat="false" ht="15" hidden="false" customHeight="false" outlineLevel="0" collapsed="false">
      <c r="A83" s="26"/>
      <c r="B83" s="27"/>
      <c r="C83" s="28" t="str">
        <f aca="false">IF(OR(B83="",B82="",NOT(ISNUMBER(B82))),"",B83/B82-1)</f>
        <v/>
      </c>
    </row>
    <row r="84" customFormat="false" ht="15" hidden="false" customHeight="false" outlineLevel="0" collapsed="false">
      <c r="A84" s="26"/>
      <c r="B84" s="27"/>
      <c r="C84" s="28" t="str">
        <f aca="false">IF(OR(B84="",B83="",NOT(ISNUMBER(B83))),"",B84/B83-1)</f>
        <v/>
      </c>
    </row>
    <row r="85" customFormat="false" ht="15" hidden="false" customHeight="false" outlineLevel="0" collapsed="false">
      <c r="A85" s="26"/>
      <c r="B85" s="27"/>
      <c r="C85" s="28" t="str">
        <f aca="false">IF(OR(B85="",B84="",NOT(ISNUMBER(B84))),"",B85/B84-1)</f>
        <v/>
      </c>
    </row>
    <row r="86" customFormat="false" ht="15" hidden="false" customHeight="false" outlineLevel="0" collapsed="false">
      <c r="A86" s="26"/>
      <c r="B86" s="27"/>
      <c r="C86" s="28" t="str">
        <f aca="false">IF(OR(B86="",B85="",NOT(ISNUMBER(B85))),"",B86/B85-1)</f>
        <v/>
      </c>
    </row>
    <row r="87" customFormat="false" ht="15" hidden="false" customHeight="false" outlineLevel="0" collapsed="false">
      <c r="A87" s="26"/>
      <c r="B87" s="27"/>
      <c r="C87" s="28" t="str">
        <f aca="false">IF(OR(B87="",B86="",NOT(ISNUMBER(B86))),"",B87/B86-1)</f>
        <v/>
      </c>
    </row>
    <row r="88" customFormat="false" ht="15" hidden="false" customHeight="false" outlineLevel="0" collapsed="false">
      <c r="A88" s="26"/>
      <c r="B88" s="27"/>
      <c r="C88" s="28" t="str">
        <f aca="false">IF(OR(B88="",B87="",NOT(ISNUMBER(B87))),"",B88/B87-1)</f>
        <v/>
      </c>
    </row>
    <row r="89" customFormat="false" ht="15" hidden="false" customHeight="false" outlineLevel="0" collapsed="false">
      <c r="A89" s="26"/>
      <c r="B89" s="27"/>
      <c r="C89" s="28" t="str">
        <f aca="false">IF(OR(B89="",B88="",NOT(ISNUMBER(B88))),"",B89/B88-1)</f>
        <v/>
      </c>
    </row>
    <row r="90" customFormat="false" ht="15" hidden="false" customHeight="false" outlineLevel="0" collapsed="false">
      <c r="A90" s="26"/>
      <c r="B90" s="27"/>
      <c r="C90" s="28" t="str">
        <f aca="false">IF(OR(B90="",B89="",NOT(ISNUMBER(B89))),"",B90/B89-1)</f>
        <v/>
      </c>
    </row>
    <row r="91" customFormat="false" ht="15" hidden="false" customHeight="false" outlineLevel="0" collapsed="false">
      <c r="A91" s="26"/>
      <c r="B91" s="27"/>
      <c r="C91" s="28" t="str">
        <f aca="false">IF(OR(B91="",B90="",NOT(ISNUMBER(B90))),"",B91/B90-1)</f>
        <v/>
      </c>
    </row>
    <row r="92" customFormat="false" ht="15" hidden="false" customHeight="false" outlineLevel="0" collapsed="false">
      <c r="A92" s="26"/>
      <c r="B92" s="27"/>
      <c r="C92" s="28" t="str">
        <f aca="false">IF(OR(B92="",B91="",NOT(ISNUMBER(B91))),"",B92/B91-1)</f>
        <v/>
      </c>
    </row>
    <row r="93" customFormat="false" ht="15" hidden="false" customHeight="false" outlineLevel="0" collapsed="false">
      <c r="A93" s="26"/>
      <c r="B93" s="27"/>
      <c r="C93" s="28" t="str">
        <f aca="false">IF(OR(B93="",B92="",NOT(ISNUMBER(B92))),"",B93/B92-1)</f>
        <v/>
      </c>
    </row>
    <row r="94" customFormat="false" ht="15" hidden="false" customHeight="false" outlineLevel="0" collapsed="false">
      <c r="A94" s="26"/>
      <c r="B94" s="27"/>
      <c r="C94" s="28" t="str">
        <f aca="false">IF(OR(B94="",B93="",NOT(ISNUMBER(B93))),"",B94/B93-1)</f>
        <v/>
      </c>
    </row>
    <row r="95" customFormat="false" ht="15" hidden="false" customHeight="false" outlineLevel="0" collapsed="false">
      <c r="A95" s="26"/>
      <c r="B95" s="27"/>
      <c r="C95" s="28" t="str">
        <f aca="false">IF(OR(B95="",B94="",NOT(ISNUMBER(B94))),"",B95/B94-1)</f>
        <v/>
      </c>
    </row>
    <row r="96" customFormat="false" ht="15" hidden="false" customHeight="false" outlineLevel="0" collapsed="false">
      <c r="A96" s="26"/>
      <c r="B96" s="27"/>
      <c r="C96" s="28" t="str">
        <f aca="false">IF(OR(B96="",B95="",NOT(ISNUMBER(B95))),"",B96/B95-1)</f>
        <v/>
      </c>
    </row>
    <row r="97" customFormat="false" ht="15" hidden="false" customHeight="false" outlineLevel="0" collapsed="false">
      <c r="A97" s="26"/>
      <c r="B97" s="27"/>
      <c r="C97" s="28" t="str">
        <f aca="false">IF(OR(B97="",B96="",NOT(ISNUMBER(B96))),"",B97/B96-1)</f>
        <v/>
      </c>
    </row>
    <row r="98" customFormat="false" ht="15" hidden="false" customHeight="false" outlineLevel="0" collapsed="false">
      <c r="A98" s="26"/>
      <c r="B98" s="27"/>
      <c r="C98" s="28" t="str">
        <f aca="false">IF(OR(B98="",B97="",NOT(ISNUMBER(B97))),"",B98/B97-1)</f>
        <v/>
      </c>
    </row>
    <row r="99" customFormat="false" ht="15" hidden="false" customHeight="false" outlineLevel="0" collapsed="false">
      <c r="A99" s="26"/>
      <c r="B99" s="27"/>
      <c r="C99" s="28" t="str">
        <f aca="false">IF(OR(B99="",B98="",NOT(ISNUMBER(B98))),"",B99/B98-1)</f>
        <v/>
      </c>
    </row>
    <row r="100" customFormat="false" ht="15" hidden="false" customHeight="false" outlineLevel="0" collapsed="false">
      <c r="A100" s="26"/>
      <c r="B100" s="27"/>
      <c r="C100" s="28" t="str">
        <f aca="false">IF(OR(B100="",B99="",NOT(ISNUMBER(B99))),"",B100/B99-1)</f>
        <v/>
      </c>
    </row>
    <row r="101" customFormat="false" ht="15" hidden="false" customHeight="false" outlineLevel="0" collapsed="false">
      <c r="A101" s="26"/>
      <c r="B101" s="27"/>
      <c r="C101" s="28" t="str">
        <f aca="false">IF(OR(B101="",B100="",NOT(ISNUMBER(B100))),"",B101/B100-1)</f>
        <v/>
      </c>
    </row>
    <row r="102" customFormat="false" ht="15" hidden="false" customHeight="false" outlineLevel="0" collapsed="false">
      <c r="A102" s="26"/>
      <c r="B102" s="27"/>
      <c r="C102" s="28" t="str">
        <f aca="false">IF(OR(B102="",B101="",NOT(ISNUMBER(B101))),"",B102/B101-1)</f>
        <v/>
      </c>
    </row>
    <row r="103" customFormat="false" ht="15" hidden="false" customHeight="false" outlineLevel="0" collapsed="false">
      <c r="A103" s="26"/>
      <c r="B103" s="27"/>
      <c r="C103" s="28" t="str">
        <f aca="false">IF(OR(B103="",B102="",NOT(ISNUMBER(B102))),"",B103/B102-1)</f>
        <v/>
      </c>
    </row>
    <row r="104" customFormat="false" ht="15" hidden="false" customHeight="false" outlineLevel="0" collapsed="false">
      <c r="A104" s="26"/>
      <c r="B104" s="27"/>
      <c r="C104" s="28" t="str">
        <f aca="false">IF(OR(B104="",B103="",NOT(ISNUMBER(B103))),"",B104/B103-1)</f>
        <v/>
      </c>
    </row>
    <row r="105" customFormat="false" ht="15" hidden="false" customHeight="false" outlineLevel="0" collapsed="false">
      <c r="A105" s="26"/>
      <c r="B105" s="27"/>
      <c r="C105" s="28" t="str">
        <f aca="false">IF(OR(B105="",B104="",NOT(ISNUMBER(B104))),"",B105/B104-1)</f>
        <v/>
      </c>
    </row>
    <row r="106" customFormat="false" ht="15" hidden="false" customHeight="false" outlineLevel="0" collapsed="false">
      <c r="A106" s="26"/>
      <c r="B106" s="27"/>
      <c r="C106" s="28" t="str">
        <f aca="false">IF(OR(B106="",B105="",NOT(ISNUMBER(B105))),"",B106/B105-1)</f>
        <v/>
      </c>
    </row>
    <row r="107" customFormat="false" ht="15" hidden="false" customHeight="false" outlineLevel="0" collapsed="false">
      <c r="A107" s="26"/>
      <c r="B107" s="27"/>
      <c r="C107" s="28" t="str">
        <f aca="false">IF(OR(B107="",B106="",NOT(ISNUMBER(B106))),"",B107/B106-1)</f>
        <v/>
      </c>
    </row>
    <row r="108" customFormat="false" ht="15" hidden="false" customHeight="false" outlineLevel="0" collapsed="false">
      <c r="A108" s="26"/>
      <c r="B108" s="27"/>
      <c r="C108" s="28" t="str">
        <f aca="false">IF(OR(B108="",B107="",NOT(ISNUMBER(B107))),"",B108/B107-1)</f>
        <v/>
      </c>
    </row>
    <row r="109" customFormat="false" ht="15" hidden="false" customHeight="false" outlineLevel="0" collapsed="false">
      <c r="A109" s="26"/>
      <c r="B109" s="27"/>
      <c r="C109" s="28" t="str">
        <f aca="false">IF(OR(B109="",B108="",NOT(ISNUMBER(B108))),"",B109/B108-1)</f>
        <v/>
      </c>
    </row>
    <row r="110" customFormat="false" ht="15" hidden="false" customHeight="false" outlineLevel="0" collapsed="false">
      <c r="A110" s="26"/>
      <c r="B110" s="27"/>
      <c r="C110" s="28" t="str">
        <f aca="false">IF(OR(B110="",B109="",NOT(ISNUMBER(B109))),"",B110/B109-1)</f>
        <v/>
      </c>
    </row>
    <row r="111" customFormat="false" ht="15" hidden="false" customHeight="false" outlineLevel="0" collapsed="false">
      <c r="A111" s="26"/>
      <c r="B111" s="27"/>
      <c r="C111" s="28" t="str">
        <f aca="false">IF(OR(B111="",B110="",NOT(ISNUMBER(B110))),"",B111/B110-1)</f>
        <v/>
      </c>
    </row>
    <row r="112" customFormat="false" ht="15" hidden="false" customHeight="false" outlineLevel="0" collapsed="false">
      <c r="A112" s="26"/>
      <c r="B112" s="27"/>
      <c r="C112" s="28" t="str">
        <f aca="false">IF(OR(B112="",B111="",NOT(ISNUMBER(B111))),"",B112/B111-1)</f>
        <v/>
      </c>
    </row>
    <row r="113" customFormat="false" ht="15" hidden="false" customHeight="false" outlineLevel="0" collapsed="false">
      <c r="A113" s="26"/>
      <c r="B113" s="27"/>
      <c r="C113" s="28" t="str">
        <f aca="false">IF(OR(B113="",B112="",NOT(ISNUMBER(B112))),"",B113/B112-1)</f>
        <v/>
      </c>
    </row>
    <row r="114" customFormat="false" ht="15" hidden="false" customHeight="false" outlineLevel="0" collapsed="false">
      <c r="A114" s="26"/>
      <c r="B114" s="27"/>
      <c r="C114" s="28" t="str">
        <f aca="false">IF(OR(B114="",B113="",NOT(ISNUMBER(B113))),"",B114/B113-1)</f>
        <v/>
      </c>
    </row>
    <row r="115" customFormat="false" ht="15" hidden="false" customHeight="false" outlineLevel="0" collapsed="false">
      <c r="A115" s="26"/>
      <c r="B115" s="27"/>
      <c r="C115" s="28" t="str">
        <f aca="false">IF(OR(B115="",B114="",NOT(ISNUMBER(B114))),"",B115/B114-1)</f>
        <v/>
      </c>
    </row>
    <row r="116" customFormat="false" ht="15" hidden="false" customHeight="false" outlineLevel="0" collapsed="false">
      <c r="A116" s="26"/>
      <c r="B116" s="27"/>
      <c r="C116" s="28" t="str">
        <f aca="false">IF(OR(B116="",B115="",NOT(ISNUMBER(B115))),"",B116/B115-1)</f>
        <v/>
      </c>
    </row>
    <row r="117" customFormat="false" ht="15" hidden="false" customHeight="false" outlineLevel="0" collapsed="false">
      <c r="A117" s="26"/>
      <c r="B117" s="27"/>
      <c r="C117" s="28" t="str">
        <f aca="false">IF(OR(B117="",B116="",NOT(ISNUMBER(B116))),"",B117/B116-1)</f>
        <v/>
      </c>
    </row>
    <row r="118" customFormat="false" ht="15" hidden="false" customHeight="false" outlineLevel="0" collapsed="false">
      <c r="A118" s="26"/>
      <c r="B118" s="27"/>
      <c r="C118" s="28" t="str">
        <f aca="false">IF(OR(B118="",B117="",NOT(ISNUMBER(B117))),"",B118/B117-1)</f>
        <v/>
      </c>
    </row>
    <row r="119" customFormat="false" ht="15" hidden="false" customHeight="false" outlineLevel="0" collapsed="false">
      <c r="A119" s="26"/>
      <c r="B119" s="27"/>
      <c r="C119" s="28" t="str">
        <f aca="false">IF(OR(B119="",B118="",NOT(ISNUMBER(B118))),"",B119/B118-1)</f>
        <v/>
      </c>
    </row>
    <row r="120" customFormat="false" ht="15" hidden="false" customHeight="false" outlineLevel="0" collapsed="false">
      <c r="A120" s="26"/>
      <c r="B120" s="27"/>
      <c r="C120" s="28" t="str">
        <f aca="false">IF(OR(B120="",B119="",NOT(ISNUMBER(B119))),"",B120/B119-1)</f>
        <v/>
      </c>
    </row>
    <row r="121" customFormat="false" ht="15" hidden="false" customHeight="false" outlineLevel="0" collapsed="false">
      <c r="A121" s="26"/>
      <c r="B121" s="27"/>
      <c r="C121" s="28" t="str">
        <f aca="false">IF(OR(B121="",B120="",NOT(ISNUMBER(B120))),"",B121/B120-1)</f>
        <v/>
      </c>
    </row>
    <row r="122" customFormat="false" ht="15" hidden="false" customHeight="false" outlineLevel="0" collapsed="false">
      <c r="A122" s="26"/>
      <c r="B122" s="27"/>
      <c r="C122" s="28" t="str">
        <f aca="false">IF(OR(B122="",B121="",NOT(ISNUMBER(B121))),"",B122/B121-1)</f>
        <v/>
      </c>
    </row>
    <row r="123" customFormat="false" ht="15" hidden="false" customHeight="false" outlineLevel="0" collapsed="false">
      <c r="A123" s="26"/>
      <c r="B123" s="27"/>
      <c r="C123" s="28" t="str">
        <f aca="false">IF(OR(B123="",B122="",NOT(ISNUMBER(B122))),"",B123/B122-1)</f>
        <v/>
      </c>
    </row>
    <row r="124" customFormat="false" ht="15" hidden="false" customHeight="false" outlineLevel="0" collapsed="false">
      <c r="A124" s="26"/>
      <c r="B124" s="27"/>
      <c r="C124" s="28" t="str">
        <f aca="false">IF(OR(B124="",B123="",NOT(ISNUMBER(B123))),"",B124/B123-1)</f>
        <v/>
      </c>
    </row>
    <row r="125" customFormat="false" ht="15" hidden="false" customHeight="false" outlineLevel="0" collapsed="false">
      <c r="A125" s="26"/>
      <c r="B125" s="27"/>
      <c r="C125" s="28" t="str">
        <f aca="false">IF(OR(B125="",B124="",NOT(ISNUMBER(B124))),"",B125/B124-1)</f>
        <v/>
      </c>
    </row>
    <row r="126" customFormat="false" ht="15" hidden="false" customHeight="false" outlineLevel="0" collapsed="false">
      <c r="A126" s="26"/>
      <c r="B126" s="27"/>
      <c r="C126" s="28" t="str">
        <f aca="false">IF(OR(B126="",B125="",NOT(ISNUMBER(B125))),"",B126/B125-1)</f>
        <v/>
      </c>
    </row>
    <row r="127" customFormat="false" ht="15" hidden="false" customHeight="false" outlineLevel="0" collapsed="false">
      <c r="A127" s="26"/>
      <c r="B127" s="27"/>
      <c r="C127" s="28" t="str">
        <f aca="false">IF(OR(B127="",B126="",NOT(ISNUMBER(B126))),"",B127/B126-1)</f>
        <v/>
      </c>
    </row>
    <row r="128" customFormat="false" ht="15" hidden="false" customHeight="false" outlineLevel="0" collapsed="false">
      <c r="A128" s="26"/>
      <c r="B128" s="27"/>
      <c r="C128" s="28" t="str">
        <f aca="false">IF(OR(B128="",B127="",NOT(ISNUMBER(B127))),"",B128/B127-1)</f>
        <v/>
      </c>
    </row>
    <row r="129" customFormat="false" ht="15" hidden="false" customHeight="false" outlineLevel="0" collapsed="false">
      <c r="A129" s="26"/>
      <c r="B129" s="27"/>
      <c r="C129" s="28" t="str">
        <f aca="false">IF(OR(B129="",B128="",NOT(ISNUMBER(B128))),"",B129/B128-1)</f>
        <v/>
      </c>
    </row>
    <row r="130" customFormat="false" ht="15" hidden="false" customHeight="false" outlineLevel="0" collapsed="false">
      <c r="A130" s="26"/>
      <c r="B130" s="27"/>
      <c r="C130" s="28" t="str">
        <f aca="false">IF(OR(B130="",B129="",NOT(ISNUMBER(B129))),"",B130/B129-1)</f>
        <v/>
      </c>
    </row>
    <row r="131" customFormat="false" ht="15" hidden="false" customHeight="false" outlineLevel="0" collapsed="false">
      <c r="A131" s="26"/>
      <c r="B131" s="27"/>
      <c r="C131" s="28" t="str">
        <f aca="false">IF(OR(B131="",B130="",NOT(ISNUMBER(B130))),"",B131/B130-1)</f>
        <v/>
      </c>
    </row>
    <row r="132" customFormat="false" ht="15" hidden="false" customHeight="false" outlineLevel="0" collapsed="false">
      <c r="A132" s="26"/>
      <c r="B132" s="27"/>
      <c r="C132" s="28" t="str">
        <f aca="false">IF(OR(B132="",B131="",NOT(ISNUMBER(B131))),"",B132/B131-1)</f>
        <v/>
      </c>
    </row>
    <row r="133" customFormat="false" ht="15" hidden="false" customHeight="false" outlineLevel="0" collapsed="false">
      <c r="A133" s="26"/>
      <c r="B133" s="27"/>
      <c r="C133" s="28" t="str">
        <f aca="false">IF(OR(B133="",B132="",NOT(ISNUMBER(B132))),"",B133/B132-1)</f>
        <v/>
      </c>
    </row>
    <row r="134" customFormat="false" ht="15" hidden="false" customHeight="false" outlineLevel="0" collapsed="false">
      <c r="A134" s="26"/>
      <c r="B134" s="27"/>
      <c r="C134" s="28" t="str">
        <f aca="false">IF(OR(B134="",B133="",NOT(ISNUMBER(B133))),"",B134/B133-1)</f>
        <v/>
      </c>
    </row>
    <row r="135" customFormat="false" ht="15" hidden="false" customHeight="false" outlineLevel="0" collapsed="false">
      <c r="A135" s="26"/>
      <c r="B135" s="27"/>
      <c r="C135" s="28" t="str">
        <f aca="false">IF(OR(B135="",B134="",NOT(ISNUMBER(B134))),"",B135/B134-1)</f>
        <v/>
      </c>
    </row>
    <row r="136" customFormat="false" ht="15" hidden="false" customHeight="false" outlineLevel="0" collapsed="false">
      <c r="A136" s="26"/>
      <c r="B136" s="27"/>
      <c r="C136" s="28" t="str">
        <f aca="false">IF(OR(B136="",B135="",NOT(ISNUMBER(B135))),"",B136/B135-1)</f>
        <v/>
      </c>
    </row>
    <row r="137" customFormat="false" ht="15" hidden="false" customHeight="false" outlineLevel="0" collapsed="false">
      <c r="A137" s="26"/>
      <c r="B137" s="27"/>
      <c r="C137" s="28" t="str">
        <f aca="false">IF(OR(B137="",B136="",NOT(ISNUMBER(B136))),"",B137/B136-1)</f>
        <v/>
      </c>
    </row>
    <row r="138" customFormat="false" ht="15" hidden="false" customHeight="false" outlineLevel="0" collapsed="false">
      <c r="A138" s="26"/>
      <c r="B138" s="27"/>
      <c r="C138" s="28" t="str">
        <f aca="false">IF(OR(B138="",B137="",NOT(ISNUMBER(B137))),"",B138/B137-1)</f>
        <v/>
      </c>
    </row>
    <row r="139" customFormat="false" ht="15" hidden="false" customHeight="false" outlineLevel="0" collapsed="false">
      <c r="A139" s="26"/>
      <c r="B139" s="27"/>
      <c r="C139" s="28" t="str">
        <f aca="false">IF(OR(B139="",B138="",NOT(ISNUMBER(B138))),"",B139/B138-1)</f>
        <v/>
      </c>
    </row>
    <row r="140" customFormat="false" ht="15" hidden="false" customHeight="false" outlineLevel="0" collapsed="false">
      <c r="A140" s="26"/>
      <c r="B140" s="27"/>
      <c r="C140" s="28" t="str">
        <f aca="false">IF(OR(B140="",B139="",NOT(ISNUMBER(B139))),"",B140/B139-1)</f>
        <v/>
      </c>
    </row>
    <row r="141" customFormat="false" ht="15" hidden="false" customHeight="false" outlineLevel="0" collapsed="false">
      <c r="A141" s="26"/>
      <c r="B141" s="27"/>
      <c r="C141" s="28" t="str">
        <f aca="false">IF(OR(B141="",B140="",NOT(ISNUMBER(B140))),"",B141/B140-1)</f>
        <v/>
      </c>
    </row>
    <row r="142" customFormat="false" ht="15" hidden="false" customHeight="false" outlineLevel="0" collapsed="false">
      <c r="A142" s="26"/>
      <c r="B142" s="27"/>
      <c r="C142" s="28" t="str">
        <f aca="false">IF(OR(B142="",B141="",NOT(ISNUMBER(B141))),"",B142/B141-1)</f>
        <v/>
      </c>
    </row>
    <row r="143" customFormat="false" ht="15" hidden="false" customHeight="false" outlineLevel="0" collapsed="false">
      <c r="A143" s="26"/>
      <c r="B143" s="27"/>
      <c r="C143" s="28" t="str">
        <f aca="false">IF(OR(B143="",B142="",NOT(ISNUMBER(B142))),"",B143/B142-1)</f>
        <v/>
      </c>
    </row>
    <row r="144" customFormat="false" ht="15" hidden="false" customHeight="false" outlineLevel="0" collapsed="false">
      <c r="A144" s="26"/>
      <c r="B144" s="27"/>
      <c r="C144" s="28" t="str">
        <f aca="false">IF(OR(B144="",B143="",NOT(ISNUMBER(B143))),"",B144/B143-1)</f>
        <v/>
      </c>
    </row>
    <row r="145" customFormat="false" ht="15" hidden="false" customHeight="false" outlineLevel="0" collapsed="false">
      <c r="A145" s="26"/>
      <c r="B145" s="27"/>
      <c r="C145" s="28" t="str">
        <f aca="false">IF(OR(B145="",B144="",NOT(ISNUMBER(B144))),"",B145/B144-1)</f>
        <v/>
      </c>
    </row>
    <row r="146" customFormat="false" ht="15" hidden="false" customHeight="false" outlineLevel="0" collapsed="false">
      <c r="A146" s="26"/>
      <c r="B146" s="27"/>
      <c r="C146" s="28" t="str">
        <f aca="false">IF(OR(B146="",B145="",NOT(ISNUMBER(B145))),"",B146/B145-1)</f>
        <v/>
      </c>
    </row>
    <row r="147" customFormat="false" ht="15" hidden="false" customHeight="false" outlineLevel="0" collapsed="false">
      <c r="A147" s="26"/>
      <c r="B147" s="27"/>
      <c r="C147" s="28" t="str">
        <f aca="false">IF(OR(B147="",B146="",NOT(ISNUMBER(B146))),"",B147/B146-1)</f>
        <v/>
      </c>
    </row>
    <row r="148" customFormat="false" ht="15" hidden="false" customHeight="false" outlineLevel="0" collapsed="false">
      <c r="A148" s="26"/>
      <c r="B148" s="27"/>
      <c r="C148" s="28" t="str">
        <f aca="false">IF(OR(B148="",B147="",NOT(ISNUMBER(B147))),"",B148/B147-1)</f>
        <v/>
      </c>
    </row>
    <row r="149" customFormat="false" ht="15" hidden="false" customHeight="false" outlineLevel="0" collapsed="false">
      <c r="A149" s="26"/>
      <c r="B149" s="27"/>
      <c r="C149" s="28" t="str">
        <f aca="false">IF(OR(B149="",B148="",NOT(ISNUMBER(B148))),"",B149/B148-1)</f>
        <v/>
      </c>
    </row>
    <row r="150" customFormat="false" ht="15" hidden="false" customHeight="false" outlineLevel="0" collapsed="false">
      <c r="A150" s="26"/>
      <c r="B150" s="27"/>
      <c r="C150" s="28" t="str">
        <f aca="false">IF(OR(B150="",B149="",NOT(ISNUMBER(B149))),"",B150/B149-1)</f>
        <v/>
      </c>
    </row>
    <row r="151" customFormat="false" ht="15" hidden="false" customHeight="false" outlineLevel="0" collapsed="false">
      <c r="A151" s="26"/>
      <c r="B151" s="27"/>
      <c r="C151" s="28" t="str">
        <f aca="false">IF(OR(B151="",B150="",NOT(ISNUMBER(B150))),"",B151/B150-1)</f>
        <v/>
      </c>
    </row>
    <row r="152" customFormat="false" ht="15" hidden="false" customHeight="false" outlineLevel="0" collapsed="false">
      <c r="A152" s="26"/>
      <c r="B152" s="27"/>
      <c r="C152" s="28" t="str">
        <f aca="false">IF(OR(B152="",B151="",NOT(ISNUMBER(B151))),"",B152/B151-1)</f>
        <v/>
      </c>
    </row>
    <row r="153" customFormat="false" ht="15" hidden="false" customHeight="false" outlineLevel="0" collapsed="false">
      <c r="A153" s="26"/>
      <c r="B153" s="27"/>
      <c r="C153" s="28" t="str">
        <f aca="false">IF(OR(B153="",B152="",NOT(ISNUMBER(B152))),"",B153/B152-1)</f>
        <v/>
      </c>
    </row>
    <row r="154" customFormat="false" ht="15" hidden="false" customHeight="false" outlineLevel="0" collapsed="false">
      <c r="A154" s="26"/>
      <c r="B154" s="27"/>
      <c r="C154" s="28" t="str">
        <f aca="false">IF(OR(B154="",B153="",NOT(ISNUMBER(B153))),"",B154/B153-1)</f>
        <v/>
      </c>
    </row>
    <row r="155" customFormat="false" ht="15" hidden="false" customHeight="false" outlineLevel="0" collapsed="false">
      <c r="A155" s="26"/>
      <c r="B155" s="27"/>
      <c r="C155" s="28" t="str">
        <f aca="false">IF(OR(B155="",B154="",NOT(ISNUMBER(B154))),"",B155/B154-1)</f>
        <v/>
      </c>
    </row>
    <row r="156" customFormat="false" ht="15" hidden="false" customHeight="false" outlineLevel="0" collapsed="false">
      <c r="A156" s="26"/>
      <c r="B156" s="27"/>
      <c r="C156" s="28" t="str">
        <f aca="false">IF(OR(B156="",B155="",NOT(ISNUMBER(B155))),"",B156/B155-1)</f>
        <v/>
      </c>
    </row>
    <row r="157" customFormat="false" ht="15" hidden="false" customHeight="false" outlineLevel="0" collapsed="false">
      <c r="A157" s="26"/>
      <c r="B157" s="27"/>
      <c r="C157" s="28" t="str">
        <f aca="false">IF(OR(B157="",B156="",NOT(ISNUMBER(B156))),"",B157/B156-1)</f>
        <v/>
      </c>
    </row>
    <row r="158" customFormat="false" ht="15" hidden="false" customHeight="false" outlineLevel="0" collapsed="false">
      <c r="A158" s="26"/>
      <c r="B158" s="27"/>
      <c r="C158" s="28" t="str">
        <f aca="false">IF(OR(B158="",B157="",NOT(ISNUMBER(B157))),"",B158/B157-1)</f>
        <v/>
      </c>
    </row>
    <row r="159" customFormat="false" ht="15" hidden="false" customHeight="false" outlineLevel="0" collapsed="false">
      <c r="A159" s="26"/>
      <c r="B159" s="27"/>
      <c r="C159" s="28" t="str">
        <f aca="false">IF(OR(B159="",B158="",NOT(ISNUMBER(B158))),"",B159/B158-1)</f>
        <v/>
      </c>
    </row>
    <row r="160" customFormat="false" ht="15" hidden="false" customHeight="false" outlineLevel="0" collapsed="false">
      <c r="A160" s="26"/>
      <c r="B160" s="27"/>
      <c r="C160" s="28" t="str">
        <f aca="false">IF(OR(B160="",B159="",NOT(ISNUMBER(B159))),"",B160/B159-1)</f>
        <v/>
      </c>
    </row>
    <row r="161" customFormat="false" ht="15" hidden="false" customHeight="false" outlineLevel="0" collapsed="false">
      <c r="A161" s="26"/>
      <c r="B161" s="27"/>
      <c r="C161" s="28" t="str">
        <f aca="false">IF(OR(B161="",B160="",NOT(ISNUMBER(B160))),"",B161/B160-1)</f>
        <v/>
      </c>
    </row>
    <row r="162" customFormat="false" ht="15" hidden="false" customHeight="false" outlineLevel="0" collapsed="false">
      <c r="A162" s="26"/>
      <c r="B162" s="27"/>
      <c r="C162" s="28" t="str">
        <f aca="false">IF(OR(B162="",B161="",NOT(ISNUMBER(B161))),"",B162/B161-1)</f>
        <v/>
      </c>
    </row>
    <row r="163" customFormat="false" ht="15" hidden="false" customHeight="false" outlineLevel="0" collapsed="false">
      <c r="A163" s="26"/>
      <c r="B163" s="27"/>
      <c r="C163" s="28" t="str">
        <f aca="false">IF(OR(B163="",B162="",NOT(ISNUMBER(B162))),"",B163/B162-1)</f>
        <v/>
      </c>
    </row>
    <row r="164" customFormat="false" ht="15" hidden="false" customHeight="false" outlineLevel="0" collapsed="false">
      <c r="A164" s="26"/>
      <c r="B164" s="27"/>
      <c r="C164" s="28" t="str">
        <f aca="false">IF(OR(B164="",B163="",NOT(ISNUMBER(B163))),"",B164/B163-1)</f>
        <v/>
      </c>
    </row>
    <row r="165" customFormat="false" ht="15" hidden="false" customHeight="false" outlineLevel="0" collapsed="false">
      <c r="A165" s="26"/>
      <c r="B165" s="27"/>
      <c r="C165" s="28" t="str">
        <f aca="false">IF(OR(B165="",B164="",NOT(ISNUMBER(B164))),"",B165/B164-1)</f>
        <v/>
      </c>
    </row>
    <row r="166" customFormat="false" ht="15" hidden="false" customHeight="false" outlineLevel="0" collapsed="false">
      <c r="A166" s="26"/>
      <c r="B166" s="27"/>
      <c r="C166" s="28" t="str">
        <f aca="false">IF(OR(B166="",B165="",NOT(ISNUMBER(B165))),"",B166/B165-1)</f>
        <v/>
      </c>
    </row>
    <row r="167" customFormat="false" ht="15" hidden="false" customHeight="false" outlineLevel="0" collapsed="false">
      <c r="A167" s="26"/>
      <c r="B167" s="27"/>
      <c r="C167" s="28" t="str">
        <f aca="false">IF(OR(B167="",B166="",NOT(ISNUMBER(B166))),"",B167/B166-1)</f>
        <v/>
      </c>
    </row>
    <row r="168" customFormat="false" ht="15" hidden="false" customHeight="false" outlineLevel="0" collapsed="false">
      <c r="A168" s="26"/>
      <c r="B168" s="27"/>
      <c r="C168" s="28" t="str">
        <f aca="false">IF(OR(B168="",B167="",NOT(ISNUMBER(B167))),"",B168/B167-1)</f>
        <v/>
      </c>
    </row>
    <row r="169" customFormat="false" ht="15" hidden="false" customHeight="false" outlineLevel="0" collapsed="false">
      <c r="A169" s="26"/>
      <c r="B169" s="27"/>
      <c r="C169" s="28" t="str">
        <f aca="false">IF(OR(B169="",B168="",NOT(ISNUMBER(B168))),"",B169/B168-1)</f>
        <v/>
      </c>
    </row>
    <row r="170" customFormat="false" ht="15" hidden="false" customHeight="false" outlineLevel="0" collapsed="false">
      <c r="A170" s="26"/>
      <c r="B170" s="27"/>
      <c r="C170" s="28" t="str">
        <f aca="false">IF(OR(B170="",B169="",NOT(ISNUMBER(B169))),"",B170/B169-1)</f>
        <v/>
      </c>
    </row>
    <row r="171" customFormat="false" ht="15" hidden="false" customHeight="false" outlineLevel="0" collapsed="false">
      <c r="A171" s="26"/>
      <c r="B171" s="27"/>
      <c r="C171" s="28" t="str">
        <f aca="false">IF(OR(B171="",B170="",NOT(ISNUMBER(B170))),"",B171/B170-1)</f>
        <v/>
      </c>
    </row>
    <row r="172" customFormat="false" ht="15" hidden="false" customHeight="false" outlineLevel="0" collapsed="false">
      <c r="A172" s="26"/>
      <c r="B172" s="27"/>
      <c r="C172" s="28" t="str">
        <f aca="false">IF(OR(B172="",B171="",NOT(ISNUMBER(B171))),"",B172/B171-1)</f>
        <v/>
      </c>
    </row>
    <row r="173" customFormat="false" ht="15" hidden="false" customHeight="false" outlineLevel="0" collapsed="false">
      <c r="A173" s="26"/>
      <c r="B173" s="27"/>
      <c r="C173" s="28" t="str">
        <f aca="false">IF(OR(B173="",B172="",NOT(ISNUMBER(B172))),"",B173/B172-1)</f>
        <v/>
      </c>
    </row>
    <row r="174" customFormat="false" ht="15" hidden="false" customHeight="false" outlineLevel="0" collapsed="false">
      <c r="A174" s="26"/>
      <c r="B174" s="27"/>
      <c r="C174" s="28" t="str">
        <f aca="false">IF(OR(B174="",B173="",NOT(ISNUMBER(B173))),"",B174/B173-1)</f>
        <v/>
      </c>
    </row>
    <row r="175" customFormat="false" ht="15" hidden="false" customHeight="false" outlineLevel="0" collapsed="false">
      <c r="A175" s="26"/>
      <c r="B175" s="27"/>
      <c r="C175" s="28" t="str">
        <f aca="false">IF(OR(B175="",B174="",NOT(ISNUMBER(B174))),"",B175/B174-1)</f>
        <v/>
      </c>
    </row>
    <row r="176" customFormat="false" ht="15" hidden="false" customHeight="false" outlineLevel="0" collapsed="false">
      <c r="A176" s="26"/>
      <c r="B176" s="27"/>
      <c r="C176" s="28" t="str">
        <f aca="false">IF(OR(B176="",B175="",NOT(ISNUMBER(B175))),"",B176/B175-1)</f>
        <v/>
      </c>
    </row>
    <row r="177" customFormat="false" ht="15" hidden="false" customHeight="false" outlineLevel="0" collapsed="false">
      <c r="A177" s="26"/>
      <c r="B177" s="27"/>
      <c r="C177" s="28" t="str">
        <f aca="false">IF(OR(B177="",B176="",NOT(ISNUMBER(B176))),"",B177/B176-1)</f>
        <v/>
      </c>
    </row>
    <row r="178" customFormat="false" ht="15" hidden="false" customHeight="false" outlineLevel="0" collapsed="false">
      <c r="A178" s="26"/>
      <c r="B178" s="27"/>
      <c r="C178" s="28" t="str">
        <f aca="false">IF(OR(B178="",B177="",NOT(ISNUMBER(B177))),"",B178/B177-1)</f>
        <v/>
      </c>
    </row>
    <row r="179" customFormat="false" ht="15" hidden="false" customHeight="false" outlineLevel="0" collapsed="false">
      <c r="A179" s="26"/>
      <c r="B179" s="27"/>
      <c r="C179" s="28" t="str">
        <f aca="false">IF(OR(B179="",B178="",NOT(ISNUMBER(B178))),"",B179/B178-1)</f>
        <v/>
      </c>
    </row>
    <row r="180" customFormat="false" ht="15" hidden="false" customHeight="false" outlineLevel="0" collapsed="false">
      <c r="A180" s="26"/>
      <c r="B180" s="27"/>
      <c r="C180" s="28" t="str">
        <f aca="false">IF(OR(B180="",B179="",NOT(ISNUMBER(B179))),"",B180/B179-1)</f>
        <v/>
      </c>
    </row>
    <row r="181" customFormat="false" ht="15" hidden="false" customHeight="false" outlineLevel="0" collapsed="false">
      <c r="A181" s="26"/>
      <c r="B181" s="27"/>
      <c r="C181" s="28" t="str">
        <f aca="false">IF(OR(B181="",B180="",NOT(ISNUMBER(B180))),"",B181/B180-1)</f>
        <v/>
      </c>
    </row>
    <row r="182" customFormat="false" ht="15" hidden="false" customHeight="false" outlineLevel="0" collapsed="false">
      <c r="A182" s="26"/>
      <c r="B182" s="27"/>
      <c r="C182" s="28" t="str">
        <f aca="false">IF(OR(B182="",B181="",NOT(ISNUMBER(B181))),"",B182/B181-1)</f>
        <v/>
      </c>
    </row>
    <row r="183" customFormat="false" ht="15" hidden="false" customHeight="false" outlineLevel="0" collapsed="false">
      <c r="A183" s="26"/>
      <c r="B183" s="27"/>
      <c r="C183" s="28" t="str">
        <f aca="false">IF(OR(B183="",B182="",NOT(ISNUMBER(B182))),"",B183/B182-1)</f>
        <v/>
      </c>
    </row>
    <row r="184" customFormat="false" ht="15" hidden="false" customHeight="false" outlineLevel="0" collapsed="false">
      <c r="A184" s="26"/>
      <c r="B184" s="27"/>
      <c r="C184" s="28" t="str">
        <f aca="false">IF(OR(B184="",B183="",NOT(ISNUMBER(B183))),"",B184/B183-1)</f>
        <v/>
      </c>
    </row>
    <row r="185" customFormat="false" ht="15" hidden="false" customHeight="false" outlineLevel="0" collapsed="false">
      <c r="A185" s="26"/>
      <c r="B185" s="27"/>
      <c r="C185" s="28" t="str">
        <f aca="false">IF(OR(B185="",B184="",NOT(ISNUMBER(B184))),"",B185/B184-1)</f>
        <v/>
      </c>
    </row>
    <row r="186" customFormat="false" ht="15" hidden="false" customHeight="false" outlineLevel="0" collapsed="false">
      <c r="A186" s="26"/>
      <c r="B186" s="27"/>
      <c r="C186" s="28" t="str">
        <f aca="false">IF(OR(B186="",B185="",NOT(ISNUMBER(B185))),"",B186/B185-1)</f>
        <v/>
      </c>
    </row>
    <row r="187" customFormat="false" ht="15" hidden="false" customHeight="false" outlineLevel="0" collapsed="false">
      <c r="A187" s="26"/>
      <c r="B187" s="27"/>
      <c r="C187" s="28" t="str">
        <f aca="false">IF(OR(B187="",B186="",NOT(ISNUMBER(B186))),"",B187/B186-1)</f>
        <v/>
      </c>
    </row>
    <row r="188" customFormat="false" ht="15" hidden="false" customHeight="false" outlineLevel="0" collapsed="false">
      <c r="A188" s="26"/>
      <c r="B188" s="27"/>
      <c r="C188" s="28" t="str">
        <f aca="false">IF(OR(B188="",B187="",NOT(ISNUMBER(B187))),"",B188/B187-1)</f>
        <v/>
      </c>
    </row>
    <row r="189" customFormat="false" ht="15" hidden="false" customHeight="false" outlineLevel="0" collapsed="false">
      <c r="A189" s="26"/>
      <c r="B189" s="27"/>
      <c r="C189" s="28" t="str">
        <f aca="false">IF(OR(B189="",B188="",NOT(ISNUMBER(B188))),"",B189/B188-1)</f>
        <v/>
      </c>
    </row>
    <row r="190" customFormat="false" ht="15" hidden="false" customHeight="false" outlineLevel="0" collapsed="false">
      <c r="A190" s="26"/>
      <c r="B190" s="27"/>
      <c r="C190" s="28" t="str">
        <f aca="false">IF(OR(B190="",B189="",NOT(ISNUMBER(B189))),"",B190/B189-1)</f>
        <v/>
      </c>
    </row>
    <row r="191" customFormat="false" ht="15" hidden="false" customHeight="false" outlineLevel="0" collapsed="false">
      <c r="A191" s="26"/>
      <c r="B191" s="27"/>
      <c r="C191" s="28" t="str">
        <f aca="false">IF(OR(B191="",B190="",NOT(ISNUMBER(B190))),"",B191/B190-1)</f>
        <v/>
      </c>
    </row>
    <row r="192" customFormat="false" ht="15" hidden="false" customHeight="false" outlineLevel="0" collapsed="false">
      <c r="A192" s="26"/>
      <c r="B192" s="27"/>
      <c r="C192" s="28" t="str">
        <f aca="false">IF(OR(B192="",B191="",NOT(ISNUMBER(B191))),"",B192/B191-1)</f>
        <v/>
      </c>
    </row>
    <row r="193" customFormat="false" ht="15" hidden="false" customHeight="false" outlineLevel="0" collapsed="false">
      <c r="A193" s="26"/>
      <c r="B193" s="27"/>
      <c r="C193" s="28" t="str">
        <f aca="false">IF(OR(B193="",B192="",NOT(ISNUMBER(B192))),"",B193/B192-1)</f>
        <v/>
      </c>
    </row>
    <row r="194" customFormat="false" ht="15" hidden="false" customHeight="false" outlineLevel="0" collapsed="false">
      <c r="A194" s="26"/>
      <c r="B194" s="27"/>
      <c r="C194" s="28" t="str">
        <f aca="false">IF(OR(B194="",B193="",NOT(ISNUMBER(B193))),"",B194/B193-1)</f>
        <v/>
      </c>
    </row>
    <row r="195" customFormat="false" ht="15" hidden="false" customHeight="false" outlineLevel="0" collapsed="false">
      <c r="A195" s="26"/>
      <c r="B195" s="27"/>
      <c r="C195" s="28" t="str">
        <f aca="false">IF(OR(B195="",B194="",NOT(ISNUMBER(B194))),"",B195/B194-1)</f>
        <v/>
      </c>
    </row>
    <row r="196" customFormat="false" ht="15" hidden="false" customHeight="false" outlineLevel="0" collapsed="false">
      <c r="A196" s="26"/>
      <c r="B196" s="27"/>
      <c r="C196" s="28" t="str">
        <f aca="false">IF(OR(B196="",B195="",NOT(ISNUMBER(B195))),"",B196/B195-1)</f>
        <v/>
      </c>
    </row>
    <row r="197" customFormat="false" ht="15" hidden="false" customHeight="false" outlineLevel="0" collapsed="false">
      <c r="A197" s="26"/>
      <c r="B197" s="27"/>
      <c r="C197" s="28" t="str">
        <f aca="false">IF(OR(B197="",B196="",NOT(ISNUMBER(B196))),"",B197/B196-1)</f>
        <v/>
      </c>
    </row>
    <row r="198" customFormat="false" ht="15" hidden="false" customHeight="false" outlineLevel="0" collapsed="false">
      <c r="A198" s="26"/>
      <c r="B198" s="27"/>
      <c r="C198" s="28" t="str">
        <f aca="false">IF(OR(B198="",B197="",NOT(ISNUMBER(B197))),"",B198/B197-1)</f>
        <v/>
      </c>
    </row>
    <row r="199" customFormat="false" ht="15" hidden="false" customHeight="false" outlineLevel="0" collapsed="false">
      <c r="A199" s="26"/>
      <c r="B199" s="27"/>
      <c r="C199" s="28" t="str">
        <f aca="false">IF(OR(B199="",B198="",NOT(ISNUMBER(B198))),"",B199/B198-1)</f>
        <v/>
      </c>
    </row>
    <row r="200" customFormat="false" ht="15" hidden="false" customHeight="false" outlineLevel="0" collapsed="false">
      <c r="A200" s="26"/>
      <c r="B200" s="27"/>
      <c r="C200" s="28" t="str">
        <f aca="false">IF(OR(B200="",B199="",NOT(ISNUMBER(B199))),"",B200/B199-1)</f>
        <v/>
      </c>
    </row>
    <row r="201" customFormat="false" ht="15" hidden="false" customHeight="false" outlineLevel="0" collapsed="false">
      <c r="A201" s="26"/>
      <c r="B201" s="27"/>
      <c r="C201" s="28" t="str">
        <f aca="false">IF(OR(B201="",B200="",NOT(ISNUMBER(B200))),"",B201/B200-1)</f>
        <v/>
      </c>
    </row>
    <row r="202" customFormat="false" ht="15" hidden="false" customHeight="false" outlineLevel="0" collapsed="false">
      <c r="A202" s="26"/>
      <c r="B202" s="27"/>
      <c r="C202" s="28" t="str">
        <f aca="false">IF(OR(B202="",B201="",NOT(ISNUMBER(B201))),"",B202/B201-1)</f>
        <v/>
      </c>
    </row>
    <row r="203" customFormat="false" ht="15" hidden="false" customHeight="false" outlineLevel="0" collapsed="false">
      <c r="A203" s="26"/>
      <c r="B203" s="27"/>
      <c r="C203" s="28" t="str">
        <f aca="false">IF(OR(B203="",B202="",NOT(ISNUMBER(B202))),"",B203/B202-1)</f>
        <v/>
      </c>
    </row>
    <row r="204" customFormat="false" ht="15" hidden="false" customHeight="false" outlineLevel="0" collapsed="false">
      <c r="A204" s="26"/>
      <c r="B204" s="27"/>
      <c r="C204" s="28" t="str">
        <f aca="false">IF(OR(B204="",B203="",NOT(ISNUMBER(B203))),"",B204/B203-1)</f>
        <v/>
      </c>
    </row>
    <row r="205" customFormat="false" ht="15" hidden="false" customHeight="false" outlineLevel="0" collapsed="false">
      <c r="A205" s="26"/>
      <c r="B205" s="27"/>
      <c r="C205" s="28" t="str">
        <f aca="false">IF(OR(B205="",B204="",NOT(ISNUMBER(B204))),"",B205/B204-1)</f>
        <v/>
      </c>
    </row>
    <row r="206" customFormat="false" ht="15" hidden="false" customHeight="false" outlineLevel="0" collapsed="false">
      <c r="A206" s="26"/>
      <c r="B206" s="27"/>
      <c r="C206" s="28" t="str">
        <f aca="false">IF(OR(B206="",B205="",NOT(ISNUMBER(B205))),"",B206/B205-1)</f>
        <v/>
      </c>
    </row>
    <row r="207" customFormat="false" ht="15" hidden="false" customHeight="false" outlineLevel="0" collapsed="false">
      <c r="A207" s="26"/>
      <c r="B207" s="27"/>
      <c r="C207" s="28" t="str">
        <f aca="false">IF(OR(B207="",B206="",NOT(ISNUMBER(B206))),"",B207/B206-1)</f>
        <v/>
      </c>
    </row>
    <row r="208" customFormat="false" ht="15" hidden="false" customHeight="false" outlineLevel="0" collapsed="false">
      <c r="A208" s="26"/>
      <c r="B208" s="27"/>
      <c r="C208" s="28" t="str">
        <f aca="false">IF(OR(B208="",B207="",NOT(ISNUMBER(B207))),"",B208/B207-1)</f>
        <v/>
      </c>
    </row>
    <row r="209" customFormat="false" ht="15" hidden="false" customHeight="false" outlineLevel="0" collapsed="false">
      <c r="A209" s="26"/>
      <c r="B209" s="27"/>
      <c r="C209" s="28" t="str">
        <f aca="false">IF(OR(B209="",B208="",NOT(ISNUMBER(B208))),"",B209/B208-1)</f>
        <v/>
      </c>
    </row>
    <row r="210" customFormat="false" ht="15" hidden="false" customHeight="false" outlineLevel="0" collapsed="false">
      <c r="A210" s="26"/>
      <c r="B210" s="27"/>
      <c r="C210" s="28" t="str">
        <f aca="false">IF(OR(B210="",B209="",NOT(ISNUMBER(B209))),"",B210/B209-1)</f>
        <v/>
      </c>
    </row>
    <row r="211" customFormat="false" ht="15" hidden="false" customHeight="false" outlineLevel="0" collapsed="false">
      <c r="A211" s="26"/>
      <c r="B211" s="27"/>
      <c r="C211" s="28" t="str">
        <f aca="false">IF(OR(B211="",B210="",NOT(ISNUMBER(B210))),"",B211/B210-1)</f>
        <v/>
      </c>
    </row>
    <row r="212" customFormat="false" ht="15" hidden="false" customHeight="false" outlineLevel="0" collapsed="false">
      <c r="A212" s="26"/>
      <c r="B212" s="27"/>
      <c r="C212" s="28" t="str">
        <f aca="false">IF(OR(B212="",B211="",NOT(ISNUMBER(B211))),"",B212/B211-1)</f>
        <v/>
      </c>
    </row>
    <row r="213" customFormat="false" ht="15" hidden="false" customHeight="false" outlineLevel="0" collapsed="false">
      <c r="A213" s="26"/>
      <c r="B213" s="27"/>
      <c r="C213" s="28" t="str">
        <f aca="false">IF(OR(B213="",B212="",NOT(ISNUMBER(B212))),"",B213/B212-1)</f>
        <v/>
      </c>
    </row>
    <row r="214" customFormat="false" ht="15" hidden="false" customHeight="false" outlineLevel="0" collapsed="false">
      <c r="A214" s="26"/>
      <c r="B214" s="27"/>
      <c r="C214" s="28" t="str">
        <f aca="false">IF(OR(B214="",B213="",NOT(ISNUMBER(B213))),"",B214/B213-1)</f>
        <v/>
      </c>
    </row>
    <row r="215" customFormat="false" ht="15" hidden="false" customHeight="false" outlineLevel="0" collapsed="false">
      <c r="A215" s="26"/>
      <c r="B215" s="27"/>
      <c r="C215" s="28" t="str">
        <f aca="false">IF(OR(B215="",B214="",NOT(ISNUMBER(B214))),"",B215/B214-1)</f>
        <v/>
      </c>
    </row>
    <row r="216" customFormat="false" ht="15" hidden="false" customHeight="false" outlineLevel="0" collapsed="false">
      <c r="A216" s="26"/>
      <c r="B216" s="27"/>
      <c r="C216" s="28" t="str">
        <f aca="false">IF(OR(B216="",B215="",NOT(ISNUMBER(B215))),"",B216/B215-1)</f>
        <v/>
      </c>
    </row>
    <row r="217" customFormat="false" ht="15" hidden="false" customHeight="false" outlineLevel="0" collapsed="false">
      <c r="A217" s="26"/>
      <c r="B217" s="27"/>
      <c r="C217" s="28" t="str">
        <f aca="false">IF(OR(B217="",B216="",NOT(ISNUMBER(B216))),"",B217/B216-1)</f>
        <v/>
      </c>
    </row>
    <row r="218" customFormat="false" ht="15" hidden="false" customHeight="false" outlineLevel="0" collapsed="false">
      <c r="A218" s="26"/>
      <c r="B218" s="27"/>
      <c r="C218" s="28" t="str">
        <f aca="false">IF(OR(B218="",B217="",NOT(ISNUMBER(B217))),"",B218/B217-1)</f>
        <v/>
      </c>
    </row>
    <row r="219" customFormat="false" ht="15" hidden="false" customHeight="false" outlineLevel="0" collapsed="false">
      <c r="A219" s="26"/>
      <c r="B219" s="27"/>
      <c r="C219" s="28" t="str">
        <f aca="false">IF(OR(B219="",B218="",NOT(ISNUMBER(B218))),"",B219/B218-1)</f>
        <v/>
      </c>
    </row>
    <row r="220" customFormat="false" ht="15" hidden="false" customHeight="false" outlineLevel="0" collapsed="false">
      <c r="A220" s="26"/>
      <c r="B220" s="27"/>
      <c r="C220" s="28" t="str">
        <f aca="false">IF(OR(B220="",B219="",NOT(ISNUMBER(B219))),"",B220/B219-1)</f>
        <v/>
      </c>
    </row>
    <row r="221" customFormat="false" ht="15" hidden="false" customHeight="false" outlineLevel="0" collapsed="false">
      <c r="A221" s="26"/>
      <c r="B221" s="27"/>
      <c r="C221" s="28" t="str">
        <f aca="false">IF(OR(B221="",B220="",NOT(ISNUMBER(B220))),"",B221/B220-1)</f>
        <v/>
      </c>
    </row>
    <row r="222" customFormat="false" ht="15" hidden="false" customHeight="false" outlineLevel="0" collapsed="false">
      <c r="A222" s="26"/>
      <c r="B222" s="27"/>
      <c r="C222" s="28" t="str">
        <f aca="false">IF(OR(B222="",B221="",NOT(ISNUMBER(B221))),"",B222/B221-1)</f>
        <v/>
      </c>
    </row>
    <row r="223" customFormat="false" ht="15" hidden="false" customHeight="false" outlineLevel="0" collapsed="false">
      <c r="A223" s="26"/>
      <c r="B223" s="27"/>
      <c r="C223" s="28" t="str">
        <f aca="false">IF(OR(B223="",B222="",NOT(ISNUMBER(B222))),"",B223/B222-1)</f>
        <v/>
      </c>
    </row>
    <row r="224" customFormat="false" ht="15" hidden="false" customHeight="false" outlineLevel="0" collapsed="false">
      <c r="A224" s="26"/>
      <c r="B224" s="27"/>
      <c r="C224" s="28" t="str">
        <f aca="false">IF(OR(B224="",B223="",NOT(ISNUMBER(B223))),"",B224/B223-1)</f>
        <v/>
      </c>
    </row>
    <row r="225" customFormat="false" ht="15" hidden="false" customHeight="false" outlineLevel="0" collapsed="false">
      <c r="A225" s="26"/>
      <c r="B225" s="27"/>
      <c r="C225" s="28" t="str">
        <f aca="false">IF(OR(B225="",B224="",NOT(ISNUMBER(B224))),"",B225/B224-1)</f>
        <v/>
      </c>
    </row>
    <row r="226" customFormat="false" ht="15" hidden="false" customHeight="false" outlineLevel="0" collapsed="false">
      <c r="A226" s="26"/>
      <c r="B226" s="27"/>
      <c r="C226" s="28" t="str">
        <f aca="false">IF(OR(B226="",B225="",NOT(ISNUMBER(B225))),"",B226/B225-1)</f>
        <v/>
      </c>
    </row>
    <row r="227" customFormat="false" ht="15" hidden="false" customHeight="false" outlineLevel="0" collapsed="false">
      <c r="A227" s="26"/>
      <c r="B227" s="27"/>
      <c r="C227" s="28" t="str">
        <f aca="false">IF(OR(B227="",B226="",NOT(ISNUMBER(B226))),"",B227/B226-1)</f>
        <v/>
      </c>
    </row>
    <row r="228" customFormat="false" ht="15" hidden="false" customHeight="false" outlineLevel="0" collapsed="false">
      <c r="A228" s="26"/>
      <c r="B228" s="27"/>
      <c r="C228" s="28" t="str">
        <f aca="false">IF(OR(B228="",B227="",NOT(ISNUMBER(B227))),"",B228/B227-1)</f>
        <v/>
      </c>
    </row>
    <row r="229" customFormat="false" ht="15" hidden="false" customHeight="false" outlineLevel="0" collapsed="false">
      <c r="A229" s="26"/>
      <c r="B229" s="27"/>
      <c r="C229" s="28" t="str">
        <f aca="false">IF(OR(B229="",B228="",NOT(ISNUMBER(B228))),"",B229/B228-1)</f>
        <v/>
      </c>
    </row>
    <row r="230" customFormat="false" ht="15" hidden="false" customHeight="false" outlineLevel="0" collapsed="false">
      <c r="A230" s="26"/>
      <c r="B230" s="27"/>
      <c r="C230" s="28" t="str">
        <f aca="false">IF(OR(B230="",B229="",NOT(ISNUMBER(B229))),"",B230/B229-1)</f>
        <v/>
      </c>
    </row>
    <row r="231" customFormat="false" ht="15" hidden="false" customHeight="false" outlineLevel="0" collapsed="false">
      <c r="A231" s="26"/>
      <c r="B231" s="27"/>
      <c r="C231" s="28" t="str">
        <f aca="false">IF(OR(B231="",B230="",NOT(ISNUMBER(B230))),"",B231/B230-1)</f>
        <v/>
      </c>
    </row>
    <row r="232" customFormat="false" ht="15" hidden="false" customHeight="false" outlineLevel="0" collapsed="false">
      <c r="A232" s="26"/>
      <c r="B232" s="27"/>
      <c r="C232" s="28" t="str">
        <f aca="false">IF(OR(B232="",B231="",NOT(ISNUMBER(B231))),"",B232/B231-1)</f>
        <v/>
      </c>
    </row>
    <row r="233" customFormat="false" ht="15" hidden="false" customHeight="false" outlineLevel="0" collapsed="false">
      <c r="A233" s="26"/>
      <c r="B233" s="27"/>
      <c r="C233" s="28" t="str">
        <f aca="false">IF(OR(B233="",B232="",NOT(ISNUMBER(B232))),"",B233/B232-1)</f>
        <v/>
      </c>
    </row>
    <row r="234" customFormat="false" ht="15" hidden="false" customHeight="false" outlineLevel="0" collapsed="false">
      <c r="A234" s="26"/>
      <c r="B234" s="27"/>
      <c r="C234" s="28" t="str">
        <f aca="false">IF(OR(B234="",B233="",NOT(ISNUMBER(B233))),"",B234/B233-1)</f>
        <v/>
      </c>
    </row>
    <row r="235" customFormat="false" ht="15" hidden="false" customHeight="false" outlineLevel="0" collapsed="false">
      <c r="A235" s="26"/>
      <c r="B235" s="27"/>
      <c r="C235" s="28" t="str">
        <f aca="false">IF(OR(B235="",B234="",NOT(ISNUMBER(B234))),"",B235/B234-1)</f>
        <v/>
      </c>
    </row>
    <row r="236" customFormat="false" ht="15" hidden="false" customHeight="false" outlineLevel="0" collapsed="false">
      <c r="A236" s="26"/>
      <c r="B236" s="27"/>
      <c r="C236" s="28" t="str">
        <f aca="false">IF(OR(B236="",B235="",NOT(ISNUMBER(B235))),"",B236/B235-1)</f>
        <v/>
      </c>
    </row>
    <row r="237" customFormat="false" ht="15" hidden="false" customHeight="false" outlineLevel="0" collapsed="false">
      <c r="A237" s="26"/>
      <c r="B237" s="27"/>
      <c r="C237" s="28" t="str">
        <f aca="false">IF(OR(B237="",B236="",NOT(ISNUMBER(B236))),"",B237/B236-1)</f>
        <v/>
      </c>
    </row>
    <row r="238" customFormat="false" ht="15" hidden="false" customHeight="false" outlineLevel="0" collapsed="false">
      <c r="A238" s="26"/>
      <c r="B238" s="27"/>
      <c r="C238" s="28" t="str">
        <f aca="false">IF(OR(B238="",B237="",NOT(ISNUMBER(B237))),"",B238/B237-1)</f>
        <v/>
      </c>
    </row>
    <row r="239" customFormat="false" ht="15" hidden="false" customHeight="false" outlineLevel="0" collapsed="false">
      <c r="A239" s="26"/>
      <c r="B239" s="27"/>
      <c r="C239" s="28" t="str">
        <f aca="false">IF(OR(B239="",B238="",NOT(ISNUMBER(B238))),"",B239/B238-1)</f>
        <v/>
      </c>
    </row>
    <row r="240" customFormat="false" ht="15" hidden="false" customHeight="false" outlineLevel="0" collapsed="false">
      <c r="A240" s="26"/>
      <c r="B240" s="27"/>
      <c r="C240" s="28" t="str">
        <f aca="false">IF(OR(B240="",B239="",NOT(ISNUMBER(B239))),"",B240/B239-1)</f>
        <v/>
      </c>
    </row>
    <row r="241" customFormat="false" ht="15" hidden="false" customHeight="false" outlineLevel="0" collapsed="false">
      <c r="A241" s="26"/>
      <c r="B241" s="27"/>
      <c r="C241" s="28" t="str">
        <f aca="false">IF(OR(B241="",B240="",NOT(ISNUMBER(B240))),"",B241/B240-1)</f>
        <v/>
      </c>
    </row>
    <row r="242" customFormat="false" ht="15" hidden="false" customHeight="false" outlineLevel="0" collapsed="false">
      <c r="A242" s="26"/>
      <c r="B242" s="27"/>
      <c r="C242" s="28" t="str">
        <f aca="false">IF(OR(B242="",B241="",NOT(ISNUMBER(B241))),"",B242/B241-1)</f>
        <v/>
      </c>
    </row>
    <row r="243" customFormat="false" ht="15" hidden="false" customHeight="false" outlineLevel="0" collapsed="false">
      <c r="A243" s="26"/>
      <c r="B243" s="27"/>
      <c r="C243" s="28" t="str">
        <f aca="false">IF(OR(B243="",B242="",NOT(ISNUMBER(B242))),"",B243/B242-1)</f>
        <v/>
      </c>
    </row>
    <row r="244" customFormat="false" ht="15" hidden="false" customHeight="false" outlineLevel="0" collapsed="false">
      <c r="A244" s="26"/>
      <c r="B244" s="27"/>
      <c r="C244" s="28" t="str">
        <f aca="false">IF(OR(B244="",B243="",NOT(ISNUMBER(B243))),"",B244/B243-1)</f>
        <v/>
      </c>
    </row>
    <row r="245" customFormat="false" ht="15" hidden="false" customHeight="false" outlineLevel="0" collapsed="false">
      <c r="A245" s="26"/>
      <c r="B245" s="27"/>
      <c r="C245" s="28" t="str">
        <f aca="false">IF(OR(B245="",B244="",NOT(ISNUMBER(B244))),"",B245/B244-1)</f>
        <v/>
      </c>
    </row>
    <row r="246" customFormat="false" ht="15" hidden="false" customHeight="false" outlineLevel="0" collapsed="false">
      <c r="A246" s="26"/>
      <c r="B246" s="27"/>
      <c r="C246" s="28" t="str">
        <f aca="false">IF(OR(B246="",B245="",NOT(ISNUMBER(B245))),"",B246/B245-1)</f>
        <v/>
      </c>
    </row>
    <row r="247" customFormat="false" ht="15" hidden="false" customHeight="false" outlineLevel="0" collapsed="false">
      <c r="A247" s="26"/>
      <c r="B247" s="27"/>
      <c r="C247" s="28" t="str">
        <f aca="false">IF(OR(B247="",B246="",NOT(ISNUMBER(B246))),"",B247/B246-1)</f>
        <v/>
      </c>
    </row>
    <row r="248" customFormat="false" ht="15" hidden="false" customHeight="false" outlineLevel="0" collapsed="false">
      <c r="A248" s="26"/>
      <c r="B248" s="27"/>
      <c r="C248" s="28" t="str">
        <f aca="false">IF(OR(B248="",B247="",NOT(ISNUMBER(B247))),"",B248/B247-1)</f>
        <v/>
      </c>
    </row>
    <row r="249" customFormat="false" ht="15" hidden="false" customHeight="false" outlineLevel="0" collapsed="false">
      <c r="A249" s="26"/>
      <c r="B249" s="27"/>
      <c r="C249" s="28" t="str">
        <f aca="false">IF(OR(B249="",B248="",NOT(ISNUMBER(B248))),"",B249/B248-1)</f>
        <v/>
      </c>
    </row>
    <row r="250" customFormat="false" ht="15" hidden="false" customHeight="false" outlineLevel="0" collapsed="false">
      <c r="A250" s="26"/>
      <c r="B250" s="27"/>
      <c r="C250" s="28" t="str">
        <f aca="false">IF(OR(B250="",B249="",NOT(ISNUMBER(B249))),"",B250/B249-1)</f>
        <v/>
      </c>
    </row>
    <row r="251" customFormat="false" ht="15" hidden="false" customHeight="false" outlineLevel="0" collapsed="false">
      <c r="A251" s="26"/>
      <c r="B251" s="27"/>
      <c r="C251" s="28" t="str">
        <f aca="false">IF(OR(B251="",B250="",NOT(ISNUMBER(B250))),"",B251/B250-1)</f>
        <v/>
      </c>
    </row>
    <row r="252" customFormat="false" ht="15" hidden="false" customHeight="false" outlineLevel="0" collapsed="false">
      <c r="A252" s="26"/>
      <c r="B252" s="27"/>
      <c r="C252" s="28" t="str">
        <f aca="false">IF(OR(B252="",B251="",NOT(ISNUMBER(B251))),"",B252/B251-1)</f>
        <v/>
      </c>
    </row>
    <row r="253" customFormat="false" ht="15" hidden="false" customHeight="false" outlineLevel="0" collapsed="false">
      <c r="A253" s="26"/>
      <c r="B253" s="27"/>
      <c r="C253" s="28" t="str">
        <f aca="false">IF(OR(B253="",B252="",NOT(ISNUMBER(B252))),"",B253/B252-1)</f>
        <v/>
      </c>
    </row>
    <row r="254" customFormat="false" ht="15" hidden="false" customHeight="false" outlineLevel="0" collapsed="false">
      <c r="A254" s="26"/>
      <c r="B254" s="27"/>
      <c r="C254" s="28" t="str">
        <f aca="false">IF(OR(B254="",B253="",NOT(ISNUMBER(B253))),"",B254/B253-1)</f>
        <v/>
      </c>
    </row>
    <row r="255" customFormat="false" ht="15" hidden="false" customHeight="false" outlineLevel="0" collapsed="false">
      <c r="A255" s="26"/>
      <c r="B255" s="27"/>
      <c r="C255" s="28" t="str">
        <f aca="false">IF(OR(B255="",B254="",NOT(ISNUMBER(B254))),"",B255/B254-1)</f>
        <v/>
      </c>
    </row>
    <row r="256" customFormat="false" ht="15" hidden="false" customHeight="false" outlineLevel="0" collapsed="false">
      <c r="A256" s="26"/>
      <c r="B256" s="27"/>
      <c r="C256" s="28" t="str">
        <f aca="false">IF(OR(B256="",B255="",NOT(ISNUMBER(B255))),"",B256/B255-1)</f>
        <v/>
      </c>
    </row>
    <row r="257" customFormat="false" ht="15" hidden="false" customHeight="false" outlineLevel="0" collapsed="false">
      <c r="A257" s="26"/>
      <c r="B257" s="27"/>
      <c r="C257" s="28" t="str">
        <f aca="false">IF(OR(B257="",B256="",NOT(ISNUMBER(B256))),"",B257/B256-1)</f>
        <v/>
      </c>
    </row>
    <row r="258" customFormat="false" ht="15" hidden="false" customHeight="false" outlineLevel="0" collapsed="false">
      <c r="A258" s="26"/>
      <c r="B258" s="27"/>
      <c r="C258" s="28" t="str">
        <f aca="false">IF(OR(B258="",B257="",NOT(ISNUMBER(B257))),"",B258/B257-1)</f>
        <v/>
      </c>
    </row>
    <row r="259" customFormat="false" ht="15" hidden="false" customHeight="false" outlineLevel="0" collapsed="false">
      <c r="A259" s="26"/>
      <c r="B259" s="27"/>
      <c r="C259" s="28" t="str">
        <f aca="false">IF(OR(B259="",B258="",NOT(ISNUMBER(B258))),"",B259/B258-1)</f>
        <v/>
      </c>
    </row>
    <row r="260" customFormat="false" ht="15" hidden="false" customHeight="false" outlineLevel="0" collapsed="false">
      <c r="A260" s="26"/>
      <c r="B260" s="27"/>
      <c r="C260" s="28" t="str">
        <f aca="false">IF(OR(B260="",B259="",NOT(ISNUMBER(B259))),"",B260/B259-1)</f>
        <v/>
      </c>
    </row>
    <row r="261" customFormat="false" ht="15" hidden="false" customHeight="false" outlineLevel="0" collapsed="false">
      <c r="A261" s="26"/>
      <c r="B261" s="27"/>
      <c r="C261" s="28" t="str">
        <f aca="false">IF(OR(B261="",B260="",NOT(ISNUMBER(B260))),"",B261/B260-1)</f>
        <v/>
      </c>
    </row>
    <row r="262" customFormat="false" ht="15" hidden="false" customHeight="false" outlineLevel="0" collapsed="false">
      <c r="A262" s="26"/>
      <c r="B262" s="27"/>
      <c r="C262" s="28" t="str">
        <f aca="false">IF(OR(B262="",B261="",NOT(ISNUMBER(B261))),"",B262/B261-1)</f>
        <v/>
      </c>
    </row>
    <row r="263" customFormat="false" ht="15" hidden="false" customHeight="false" outlineLevel="0" collapsed="false">
      <c r="A263" s="26"/>
      <c r="B263" s="27"/>
      <c r="C263" s="28" t="str">
        <f aca="false">IF(OR(B263="",B262="",NOT(ISNUMBER(B262))),"",B263/B262-1)</f>
        <v/>
      </c>
    </row>
    <row r="264" customFormat="false" ht="15" hidden="false" customHeight="false" outlineLevel="0" collapsed="false">
      <c r="A264" s="26"/>
      <c r="B264" s="27"/>
      <c r="C264" s="28" t="str">
        <f aca="false">IF(OR(B264="",B263="",NOT(ISNUMBER(B263))),"",B264/B263-1)</f>
        <v/>
      </c>
    </row>
    <row r="265" customFormat="false" ht="15" hidden="false" customHeight="false" outlineLevel="0" collapsed="false">
      <c r="A265" s="26"/>
      <c r="B265" s="27"/>
      <c r="C265" s="28" t="str">
        <f aca="false">IF(OR(B265="",B264="",NOT(ISNUMBER(B264))),"",B265/B264-1)</f>
        <v/>
      </c>
    </row>
    <row r="266" customFormat="false" ht="15" hidden="false" customHeight="false" outlineLevel="0" collapsed="false">
      <c r="A266" s="26"/>
      <c r="B266" s="27"/>
      <c r="C266" s="28" t="str">
        <f aca="false">IF(OR(B266="",B265="",NOT(ISNUMBER(B265))),"",B266/B265-1)</f>
        <v/>
      </c>
    </row>
    <row r="267" customFormat="false" ht="15" hidden="false" customHeight="false" outlineLevel="0" collapsed="false">
      <c r="A267" s="26"/>
      <c r="B267" s="27"/>
      <c r="C267" s="28" t="str">
        <f aca="false">IF(OR(B267="",B266="",NOT(ISNUMBER(B266))),"",B267/B266-1)</f>
        <v/>
      </c>
    </row>
    <row r="268" customFormat="false" ht="15" hidden="false" customHeight="false" outlineLevel="0" collapsed="false">
      <c r="A268" s="26"/>
      <c r="B268" s="27"/>
      <c r="C268" s="28" t="str">
        <f aca="false">IF(OR(B268="",B267="",NOT(ISNUMBER(B267))),"",B268/B267-1)</f>
        <v/>
      </c>
    </row>
    <row r="269" customFormat="false" ht="15" hidden="false" customHeight="false" outlineLevel="0" collapsed="false">
      <c r="A269" s="26"/>
      <c r="B269" s="27"/>
      <c r="C269" s="28" t="str">
        <f aca="false">IF(OR(B269="",B268="",NOT(ISNUMBER(B268))),"",B269/B268-1)</f>
        <v/>
      </c>
    </row>
    <row r="270" customFormat="false" ht="15" hidden="false" customHeight="false" outlineLevel="0" collapsed="false">
      <c r="A270" s="26"/>
      <c r="B270" s="27"/>
      <c r="C270" s="28" t="str">
        <f aca="false">IF(OR(B270="",B269="",NOT(ISNUMBER(B269))),"",B270/B269-1)</f>
        <v/>
      </c>
    </row>
    <row r="271" customFormat="false" ht="15" hidden="false" customHeight="false" outlineLevel="0" collapsed="false">
      <c r="A271" s="26"/>
      <c r="B271" s="27"/>
      <c r="C271" s="28" t="str">
        <f aca="false">IF(OR(B271="",B270="",NOT(ISNUMBER(B270))),"",B271/B270-1)</f>
        <v/>
      </c>
    </row>
    <row r="272" customFormat="false" ht="15" hidden="false" customHeight="false" outlineLevel="0" collapsed="false">
      <c r="A272" s="26"/>
      <c r="B272" s="27"/>
      <c r="C272" s="28" t="str">
        <f aca="false">IF(OR(B272="",B271="",NOT(ISNUMBER(B271))),"",B272/B271-1)</f>
        <v/>
      </c>
    </row>
    <row r="273" customFormat="false" ht="15" hidden="false" customHeight="false" outlineLevel="0" collapsed="false">
      <c r="A273" s="26"/>
      <c r="B273" s="27"/>
      <c r="C273" s="28" t="str">
        <f aca="false">IF(OR(B273="",B272="",NOT(ISNUMBER(B272))),"",B273/B272-1)</f>
        <v/>
      </c>
    </row>
    <row r="274" customFormat="false" ht="15" hidden="false" customHeight="false" outlineLevel="0" collapsed="false">
      <c r="A274" s="26"/>
      <c r="B274" s="27"/>
      <c r="C274" s="28" t="str">
        <f aca="false">IF(OR(B274="",B273="",NOT(ISNUMBER(B273))),"",B274/B273-1)</f>
        <v/>
      </c>
    </row>
    <row r="275" customFormat="false" ht="15" hidden="false" customHeight="false" outlineLevel="0" collapsed="false">
      <c r="A275" s="26"/>
      <c r="B275" s="27"/>
      <c r="C275" s="28" t="str">
        <f aca="false">IF(OR(B275="",B274="",NOT(ISNUMBER(B274))),"",B275/B274-1)</f>
        <v/>
      </c>
    </row>
    <row r="276" customFormat="false" ht="15" hidden="false" customHeight="false" outlineLevel="0" collapsed="false">
      <c r="A276" s="26"/>
      <c r="B276" s="27"/>
      <c r="C276" s="28" t="str">
        <f aca="false">IF(OR(B276="",B275="",NOT(ISNUMBER(B275))),"",B276/B275-1)</f>
        <v/>
      </c>
    </row>
    <row r="277" customFormat="false" ht="15" hidden="false" customHeight="false" outlineLevel="0" collapsed="false">
      <c r="A277" s="26"/>
      <c r="B277" s="27"/>
      <c r="C277" s="28" t="str">
        <f aca="false">IF(OR(B277="",B276="",NOT(ISNUMBER(B276))),"",B277/B276-1)</f>
        <v/>
      </c>
    </row>
    <row r="278" customFormat="false" ht="15" hidden="false" customHeight="false" outlineLevel="0" collapsed="false">
      <c r="A278" s="26"/>
      <c r="B278" s="27"/>
      <c r="C278" s="28" t="str">
        <f aca="false">IF(OR(B278="",B277="",NOT(ISNUMBER(B277))),"",B278/B277-1)</f>
        <v/>
      </c>
    </row>
    <row r="279" customFormat="false" ht="15" hidden="false" customHeight="false" outlineLevel="0" collapsed="false">
      <c r="A279" s="26"/>
      <c r="B279" s="27"/>
      <c r="C279" s="28" t="str">
        <f aca="false">IF(OR(B279="",B278="",NOT(ISNUMBER(B278))),"",B279/B278-1)</f>
        <v/>
      </c>
    </row>
    <row r="280" customFormat="false" ht="15" hidden="false" customHeight="false" outlineLevel="0" collapsed="false">
      <c r="A280" s="26"/>
      <c r="B280" s="27"/>
      <c r="C280" s="28" t="str">
        <f aca="false">IF(OR(B280="",B279="",NOT(ISNUMBER(B279))),"",B280/B279-1)</f>
        <v/>
      </c>
    </row>
    <row r="281" customFormat="false" ht="15" hidden="false" customHeight="false" outlineLevel="0" collapsed="false">
      <c r="A281" s="26"/>
      <c r="B281" s="27"/>
      <c r="C281" s="28" t="str">
        <f aca="false">IF(OR(B281="",B280="",NOT(ISNUMBER(B280))),"",B281/B280-1)</f>
        <v/>
      </c>
    </row>
    <row r="282" customFormat="false" ht="15" hidden="false" customHeight="false" outlineLevel="0" collapsed="false">
      <c r="A282" s="26"/>
      <c r="B282" s="27"/>
      <c r="C282" s="28" t="str">
        <f aca="false">IF(OR(B282="",B281="",NOT(ISNUMBER(B281))),"",B282/B281-1)</f>
        <v/>
      </c>
    </row>
    <row r="283" customFormat="false" ht="15" hidden="false" customHeight="false" outlineLevel="0" collapsed="false">
      <c r="A283" s="26"/>
      <c r="B283" s="27"/>
      <c r="C283" s="28" t="str">
        <f aca="false">IF(OR(B283="",B282="",NOT(ISNUMBER(B282))),"",B283/B282-1)</f>
        <v/>
      </c>
    </row>
    <row r="284" customFormat="false" ht="15" hidden="false" customHeight="false" outlineLevel="0" collapsed="false">
      <c r="A284" s="26"/>
      <c r="B284" s="27"/>
      <c r="C284" s="28" t="str">
        <f aca="false">IF(OR(B284="",B283="",NOT(ISNUMBER(B283))),"",B284/B283-1)</f>
        <v/>
      </c>
    </row>
    <row r="285" customFormat="false" ht="15" hidden="false" customHeight="false" outlineLevel="0" collapsed="false">
      <c r="A285" s="26"/>
      <c r="B285" s="27"/>
      <c r="C285" s="28" t="str">
        <f aca="false">IF(OR(B285="",B284="",NOT(ISNUMBER(B284))),"",B285/B284-1)</f>
        <v/>
      </c>
    </row>
    <row r="286" customFormat="false" ht="15" hidden="false" customHeight="false" outlineLevel="0" collapsed="false">
      <c r="A286" s="26"/>
      <c r="B286" s="27"/>
      <c r="C286" s="28" t="str">
        <f aca="false">IF(OR(B286="",B285="",NOT(ISNUMBER(B285))),"",B286/B285-1)</f>
        <v/>
      </c>
    </row>
    <row r="287" customFormat="false" ht="15" hidden="false" customHeight="false" outlineLevel="0" collapsed="false">
      <c r="A287" s="26"/>
      <c r="B287" s="27"/>
      <c r="C287" s="28" t="str">
        <f aca="false">IF(OR(B287="",B286="",NOT(ISNUMBER(B286))),"",B287/B286-1)</f>
        <v/>
      </c>
    </row>
    <row r="288" customFormat="false" ht="15" hidden="false" customHeight="false" outlineLevel="0" collapsed="false">
      <c r="A288" s="26"/>
      <c r="B288" s="27"/>
      <c r="C288" s="28" t="str">
        <f aca="false">IF(OR(B288="",B287="",NOT(ISNUMBER(B287))),"",B288/B287-1)</f>
        <v/>
      </c>
    </row>
    <row r="289" customFormat="false" ht="15" hidden="false" customHeight="false" outlineLevel="0" collapsed="false">
      <c r="A289" s="26"/>
      <c r="B289" s="27"/>
      <c r="C289" s="28" t="str">
        <f aca="false">IF(OR(B289="",B288="",NOT(ISNUMBER(B288))),"",B289/B288-1)</f>
        <v/>
      </c>
    </row>
    <row r="290" customFormat="false" ht="15" hidden="false" customHeight="false" outlineLevel="0" collapsed="false">
      <c r="A290" s="26"/>
      <c r="B290" s="27"/>
      <c r="C290" s="28" t="str">
        <f aca="false">IF(OR(B290="",B289="",NOT(ISNUMBER(B289))),"",B290/B289-1)</f>
        <v/>
      </c>
    </row>
    <row r="291" customFormat="false" ht="15" hidden="false" customHeight="false" outlineLevel="0" collapsed="false">
      <c r="A291" s="26"/>
      <c r="B291" s="27"/>
      <c r="C291" s="28" t="str">
        <f aca="false">IF(OR(B291="",B290="",NOT(ISNUMBER(B290))),"",B291/B290-1)</f>
        <v/>
      </c>
    </row>
    <row r="292" customFormat="false" ht="15" hidden="false" customHeight="false" outlineLevel="0" collapsed="false">
      <c r="A292" s="26"/>
      <c r="B292" s="27"/>
      <c r="C292" s="28" t="str">
        <f aca="false">IF(OR(B292="",B291="",NOT(ISNUMBER(B291))),"",B292/B291-1)</f>
        <v/>
      </c>
    </row>
    <row r="293" customFormat="false" ht="15" hidden="false" customHeight="false" outlineLevel="0" collapsed="false">
      <c r="A293" s="26"/>
      <c r="B293" s="27"/>
      <c r="C293" s="28" t="str">
        <f aca="false">IF(OR(B293="",B292="",NOT(ISNUMBER(B292))),"",B293/B292-1)</f>
        <v/>
      </c>
    </row>
    <row r="294" customFormat="false" ht="15" hidden="false" customHeight="false" outlineLevel="0" collapsed="false">
      <c r="A294" s="26"/>
      <c r="B294" s="27"/>
      <c r="C294" s="28" t="str">
        <f aca="false">IF(OR(B294="",B293="",NOT(ISNUMBER(B293))),"",B294/B293-1)</f>
        <v/>
      </c>
    </row>
    <row r="295" customFormat="false" ht="15" hidden="false" customHeight="false" outlineLevel="0" collapsed="false">
      <c r="A295" s="26"/>
      <c r="B295" s="27"/>
      <c r="C295" s="28" t="str">
        <f aca="false">IF(OR(B295="",B294="",NOT(ISNUMBER(B294))),"",B295/B294-1)</f>
        <v/>
      </c>
    </row>
    <row r="296" customFormat="false" ht="15" hidden="false" customHeight="false" outlineLevel="0" collapsed="false">
      <c r="A296" s="26"/>
      <c r="B296" s="27"/>
      <c r="C296" s="28" t="str">
        <f aca="false">IF(OR(B296="",B295="",NOT(ISNUMBER(B295))),"",B296/B295-1)</f>
        <v/>
      </c>
    </row>
    <row r="297" customFormat="false" ht="15" hidden="false" customHeight="false" outlineLevel="0" collapsed="false">
      <c r="A297" s="26"/>
      <c r="B297" s="27"/>
      <c r="C297" s="28" t="str">
        <f aca="false">IF(OR(B297="",B296="",NOT(ISNUMBER(B296))),"",B297/B296-1)</f>
        <v/>
      </c>
    </row>
    <row r="298" customFormat="false" ht="15" hidden="false" customHeight="false" outlineLevel="0" collapsed="false">
      <c r="A298" s="26"/>
      <c r="B298" s="27"/>
      <c r="C298" s="28" t="str">
        <f aca="false">IF(OR(B298="",B297="",NOT(ISNUMBER(B297))),"",B298/B297-1)</f>
        <v/>
      </c>
    </row>
    <row r="299" customFormat="false" ht="15" hidden="false" customHeight="false" outlineLevel="0" collapsed="false">
      <c r="A299" s="26"/>
      <c r="B299" s="27"/>
      <c r="C299" s="28" t="str">
        <f aca="false">IF(OR(B299="",B298="",NOT(ISNUMBER(B298))),"",B299/B298-1)</f>
        <v/>
      </c>
    </row>
    <row r="300" customFormat="false" ht="15" hidden="false" customHeight="false" outlineLevel="0" collapsed="false">
      <c r="A300" s="26"/>
      <c r="B300" s="27"/>
      <c r="C300" s="28" t="str">
        <f aca="false">IF(OR(B300="",B299="",NOT(ISNUMBER(B299))),"",B300/B299-1)</f>
        <v/>
      </c>
    </row>
    <row r="301" customFormat="false" ht="15" hidden="false" customHeight="false" outlineLevel="0" collapsed="false">
      <c r="A301" s="26"/>
      <c r="B301" s="27"/>
      <c r="C301" s="28" t="str">
        <f aca="false">IF(OR(B301="",B300="",NOT(ISNUMBER(B300))),"",B301/B300-1)</f>
        <v/>
      </c>
    </row>
    <row r="302" customFormat="false" ht="15" hidden="false" customHeight="false" outlineLevel="0" collapsed="false">
      <c r="A302" s="26"/>
      <c r="B302" s="27"/>
      <c r="C302" s="28" t="str">
        <f aca="false">IF(OR(B302="",B301="",NOT(ISNUMBER(B301))),"",B302/B301-1)</f>
        <v/>
      </c>
    </row>
    <row r="303" customFormat="false" ht="15" hidden="false" customHeight="false" outlineLevel="0" collapsed="false">
      <c r="A303" s="26"/>
      <c r="B303" s="27"/>
      <c r="C303" s="28" t="str">
        <f aca="false">IF(OR(B303="",B302="",NOT(ISNUMBER(B302))),"",B303/B302-1)</f>
        <v/>
      </c>
    </row>
    <row r="304" customFormat="false" ht="15" hidden="false" customHeight="false" outlineLevel="0" collapsed="false">
      <c r="A304" s="26"/>
      <c r="B304" s="27"/>
      <c r="C304" s="28" t="str">
        <f aca="false">IF(OR(B304="",B303="",NOT(ISNUMBER(B303))),"",B304/B303-1)</f>
        <v/>
      </c>
    </row>
    <row r="305" customFormat="false" ht="15" hidden="false" customHeight="false" outlineLevel="0" collapsed="false">
      <c r="A305" s="26"/>
      <c r="B305" s="27"/>
      <c r="C305" s="28" t="str">
        <f aca="false">IF(OR(B305="",B304="",NOT(ISNUMBER(B304))),"",B305/B304-1)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197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198</v>
      </c>
      <c r="B2" s="7"/>
      <c r="C2" s="7"/>
      <c r="D2" s="7"/>
      <c r="E2" s="7"/>
      <c r="F2" s="7"/>
      <c r="G2" s="7"/>
      <c r="H2" s="7"/>
      <c r="I2" s="7"/>
    </row>
    <row r="3" customFormat="false" ht="15" hidden="false" customHeight="true" outlineLevel="0" collapsed="false">
      <c r="A3" s="17" t="s">
        <v>199</v>
      </c>
      <c r="B3" s="17"/>
      <c r="C3" s="17" t="s">
        <v>200</v>
      </c>
      <c r="D3" s="17" t="s">
        <v>201</v>
      </c>
      <c r="E3" s="7"/>
      <c r="F3" s="7"/>
      <c r="G3" s="7"/>
      <c r="H3" s="7"/>
      <c r="I3" s="7"/>
    </row>
    <row r="4" customFormat="false" ht="15" hidden="false" customHeight="false" outlineLevel="0" collapsed="false">
      <c r="A4" s="29" t="s">
        <v>202</v>
      </c>
      <c r="B4" s="29"/>
      <c r="C4" s="30" t="n">
        <f aca="false">COUNTIF(INCORRIDO!$D$6:$D$5005,"SEM DE-PARA")</f>
        <v>0</v>
      </c>
      <c r="D4" s="29" t="str">
        <f aca="false">IF(C4=0,"OK","⚠ Cadastre em DE_PARA")</f>
        <v>OK</v>
      </c>
      <c r="E4" s="7"/>
      <c r="F4" s="7"/>
      <c r="G4" s="7"/>
      <c r="H4" s="7"/>
      <c r="I4" s="7"/>
    </row>
    <row r="5" customFormat="false" ht="15" hidden="false" customHeight="false" outlineLevel="0" collapsed="false">
      <c r="A5" s="29" t="s">
        <v>203</v>
      </c>
      <c r="B5" s="29"/>
      <c r="C5" s="30" t="n">
        <f aca="false">SUMPRODUCT((INCORRIDO!$D$6:$D$5005&lt;&gt;"")*(INCORRIDO!$D$6:$D$5005&lt;&gt;"SEM DE-PARA")*(COUNTIF(ORCAMENTO!$B$6:$B$55,INCORRIDO!$D$6:$D$5005)=0))</f>
        <v>0</v>
      </c>
      <c r="D5" s="29" t="str">
        <f aca="false">IF(C5=0,"OK","⚠ Corrija DE_PARA ou ORCAMENTO")</f>
        <v>OK</v>
      </c>
      <c r="E5" s="7"/>
      <c r="F5" s="7"/>
      <c r="G5" s="7"/>
      <c r="H5" s="7"/>
      <c r="I5" s="7"/>
    </row>
    <row r="6" customFormat="false" ht="15" hidden="false" customHeight="false" outlineLevel="0" collapsed="false">
      <c r="A6" s="29" t="s">
        <v>204</v>
      </c>
      <c r="B6" s="29"/>
      <c r="C6" s="30" t="n">
        <f aca="false">COUNTIF(INCORRIDO!$E$6:$E$5005,"&gt;"&amp;PARAMETROS!$C$13)</f>
        <v>0</v>
      </c>
      <c r="D6" s="29" t="str">
        <f aca="false">IF(C6=0,"OK","⚠ Ficam fora do fluxo")</f>
        <v>OK</v>
      </c>
      <c r="E6" s="7"/>
      <c r="F6" s="7"/>
      <c r="G6" s="7"/>
      <c r="H6" s="7"/>
      <c r="I6" s="7"/>
    </row>
    <row r="7" customFormat="false" ht="15" hidden="false" customHeight="false" outlineLevel="0" collapsed="false">
      <c r="A7" s="29" t="s">
        <v>205</v>
      </c>
      <c r="B7" s="29"/>
      <c r="C7" s="30" t="n">
        <f aca="false">SUMPRODUCT(((INCORRIDO!$A$6:$A$5005="")&lt;&gt;(INCORRIDO!$C$6:$C$5005=""))*1)</f>
        <v>0</v>
      </c>
      <c r="D7" s="29" t="str">
        <f aca="false">IF(C7=0,"OK","⚠ Complete a linha")</f>
        <v>OK</v>
      </c>
      <c r="E7" s="7"/>
      <c r="F7" s="7"/>
      <c r="G7" s="7"/>
      <c r="H7" s="7"/>
      <c r="I7" s="7"/>
    </row>
    <row r="8" customFormat="false" ht="15" hidden="false" customHeight="false" outlineLevel="0" collapsed="false">
      <c r="A8" s="29" t="s">
        <v>206</v>
      </c>
      <c r="B8" s="29"/>
      <c r="C8" s="30" t="n">
        <f aca="false">IF(ISNUMBER(PARAMETROS!C14),1,0)</f>
        <v>1</v>
      </c>
      <c r="D8" s="29" t="str">
        <f aca="false">IF(C8=1,"OK","⚠ Inclua o índice na aba INCC")</f>
        <v>OK</v>
      </c>
      <c r="E8" s="7"/>
      <c r="F8" s="7"/>
      <c r="G8" s="7"/>
      <c r="H8" s="7"/>
      <c r="I8" s="7"/>
    </row>
    <row r="9" customFormat="false" ht="15" hidden="false" customHeight="false" outlineLevel="0" collapsed="false">
      <c r="A9" s="29" t="s">
        <v>207</v>
      </c>
      <c r="B9" s="29"/>
      <c r="C9" s="30" t="n">
        <f aca="false">SUM(INCORRIDO!$C$6:$C$5005)-FLUXO_MENSAL!E58-FLUXO_MENSAL!F58</f>
        <v>0</v>
      </c>
      <c r="D9" s="29" t="str">
        <f aca="false">IF(ABS(C9)&lt;1,"OK","⚠ Há lançamento que não entrou (ver linhas acima)")</f>
        <v>OK</v>
      </c>
      <c r="E9" s="7"/>
      <c r="F9" s="7"/>
      <c r="G9" s="7"/>
      <c r="H9" s="7"/>
      <c r="I9" s="7"/>
    </row>
    <row r="10" customFormat="false" ht="15" hidden="false" customHeight="false" outlineLevel="0" collapsed="false">
      <c r="A10" s="29" t="s">
        <v>208</v>
      </c>
      <c r="B10" s="29"/>
      <c r="C10" s="30" t="n">
        <f aca="false">COUNTIF(H14:H63,"⚠*")</f>
        <v>3</v>
      </c>
      <c r="D10" s="29" t="str">
        <f aca="false">IF(C10=0,"OK","⚠ Ver tabela")</f>
        <v>⚠ Ver tabela</v>
      </c>
      <c r="E10" s="7"/>
      <c r="F10" s="7"/>
      <c r="G10" s="7"/>
      <c r="H10" s="7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26.85" hidden="false" customHeight="false" outlineLevel="0" collapsed="false">
      <c r="A13" s="17" t="s">
        <v>55</v>
      </c>
      <c r="B13" s="17" t="s">
        <v>209</v>
      </c>
      <c r="C13" s="17" t="s">
        <v>210</v>
      </c>
      <c r="D13" s="17" t="s">
        <v>211</v>
      </c>
      <c r="E13" s="17" t="s">
        <v>212</v>
      </c>
      <c r="F13" s="17" t="s">
        <v>213</v>
      </c>
      <c r="G13" s="17" t="s">
        <v>214</v>
      </c>
      <c r="H13" s="17" t="s">
        <v>201</v>
      </c>
      <c r="I13" s="17" t="s">
        <v>215</v>
      </c>
    </row>
    <row r="14" customFormat="false" ht="15" hidden="false" customHeight="false" outlineLevel="0" collapsed="false">
      <c r="A14" s="31" t="str">
        <f aca="false">FLUXO_MENSAL!B8</f>
        <v>PROJETOS</v>
      </c>
      <c r="B14" s="32" t="n">
        <f aca="false">FLUXO_MENSAL!D8</f>
        <v>2640655</v>
      </c>
      <c r="C14" s="32" t="n">
        <f aca="false">FLUXO_MENSAL!E8</f>
        <v>2106293.64</v>
      </c>
      <c r="D14" s="32" t="n">
        <f aca="false">FLUXO_MENSAL!F8</f>
        <v>1046.09</v>
      </c>
      <c r="E14" s="19" t="n">
        <f aca="false">IF(FLUXO_MENSAL!H8&gt;0,FLUXO_MENSAL!G8,0)</f>
        <v>533315.27</v>
      </c>
      <c r="F14" s="19" t="n">
        <f aca="false">C14+D14+E14</f>
        <v>2640655</v>
      </c>
      <c r="G14" s="19" t="n">
        <f aca="false">B14-F14</f>
        <v>0</v>
      </c>
      <c r="H14" s="33" t="str">
        <f aca="false">IF(A14="","",IF(C14+D14&gt;B14+1,"⚠ Realizado + compromissos acima da projeção",IF(AND(FLUXO_MENSAL!G8&gt;1,FLUXO_MENSAL!H8=0),"⚠ Saldo sem curva (preencha CURVA)",IF(ABS(G14)&gt;1,"⚠ Verificar","OK"))))</f>
        <v>OK</v>
      </c>
      <c r="I14" s="19" t="n">
        <f aca="false">FLUXO_MENSAL!I8-F14</f>
        <v>0</v>
      </c>
    </row>
    <row r="15" customFormat="false" ht="15" hidden="false" customHeight="false" outlineLevel="0" collapsed="false">
      <c r="A15" s="31" t="str">
        <f aca="false">FLUXO_MENSAL!B9</f>
        <v>SEGUROS</v>
      </c>
      <c r="B15" s="32" t="n">
        <f aca="false">FLUXO_MENSAL!D9</f>
        <v>127911.99</v>
      </c>
      <c r="C15" s="32" t="n">
        <f aca="false">FLUXO_MENSAL!E9</f>
        <v>0</v>
      </c>
      <c r="D15" s="32" t="n">
        <f aca="false">FLUXO_MENSAL!F9</f>
        <v>0</v>
      </c>
      <c r="E15" s="19" t="n">
        <f aca="false">IF(FLUXO_MENSAL!H9&gt;0,FLUXO_MENSAL!G9,0)</f>
        <v>0</v>
      </c>
      <c r="F15" s="19" t="n">
        <f aca="false">C15+D15+E15</f>
        <v>0</v>
      </c>
      <c r="G15" s="19" t="n">
        <f aca="false">B15-F15</f>
        <v>127911.99</v>
      </c>
      <c r="H15" s="33" t="str">
        <f aca="false">IF(A15="","",IF(C15+D15&gt;B15+1,"⚠ Realizado + compromissos acima da projeção",IF(AND(FLUXO_MENSAL!G9&gt;1,FLUXO_MENSAL!H9=0),"⚠ Saldo sem curva (preencha CURVA)",IF(ABS(G15)&gt;1,"⚠ Verificar","OK"))))</f>
        <v>⚠ Saldo sem curva (preencha CURVA)</v>
      </c>
      <c r="I15" s="19" t="n">
        <f aca="false">FLUXO_MENSAL!I9-F15</f>
        <v>0</v>
      </c>
    </row>
    <row r="16" customFormat="false" ht="15" hidden="false" customHeight="false" outlineLevel="0" collapsed="false">
      <c r="A16" s="31" t="str">
        <f aca="false">FLUXO_MENSAL!B10</f>
        <v>TAXAS DIVERSAS</v>
      </c>
      <c r="B16" s="32" t="n">
        <f aca="false">FLUXO_MENSAL!D10</f>
        <v>158047.46</v>
      </c>
      <c r="C16" s="32" t="n">
        <f aca="false">FLUXO_MENSAL!E10</f>
        <v>5905.19</v>
      </c>
      <c r="D16" s="32" t="n">
        <f aca="false">FLUXO_MENSAL!F10</f>
        <v>0</v>
      </c>
      <c r="E16" s="19" t="n">
        <f aca="false">IF(FLUXO_MENSAL!H10&gt;0,FLUXO_MENSAL!G10,0)</f>
        <v>152142.27</v>
      </c>
      <c r="F16" s="19" t="n">
        <f aca="false">C16+D16+E16</f>
        <v>158047.46</v>
      </c>
      <c r="G16" s="19" t="n">
        <f aca="false">B16-F16</f>
        <v>0</v>
      </c>
      <c r="H16" s="33" t="str">
        <f aca="false">IF(A16="","",IF(C16+D16&gt;B16+1,"⚠ Realizado + compromissos acima da projeção",IF(AND(FLUXO_MENSAL!G10&gt;1,FLUXO_MENSAL!H10=0),"⚠ Saldo sem curva (preencha CURVA)",IF(ABS(G16)&gt;1,"⚠ Verificar","OK"))))</f>
        <v>OK</v>
      </c>
      <c r="I16" s="19" t="n">
        <f aca="false">FLUXO_MENSAL!I10-F16</f>
        <v>0</v>
      </c>
    </row>
    <row r="17" customFormat="false" ht="15" hidden="false" customHeight="false" outlineLevel="0" collapsed="false">
      <c r="A17" s="31" t="str">
        <f aca="false">FLUXO_MENSAL!B11</f>
        <v>BARRACAO DE OBRA</v>
      </c>
      <c r="B17" s="32" t="n">
        <f aca="false">FLUXO_MENSAL!D11</f>
        <v>1249911.07</v>
      </c>
      <c r="C17" s="32" t="n">
        <f aca="false">FLUXO_MENSAL!E11</f>
        <v>631109.61</v>
      </c>
      <c r="D17" s="32" t="n">
        <f aca="false">FLUXO_MENSAL!F11</f>
        <v>21690.09</v>
      </c>
      <c r="E17" s="19" t="n">
        <f aca="false">IF(FLUXO_MENSAL!H11&gt;0,FLUXO_MENSAL!G11,0)</f>
        <v>597111.37</v>
      </c>
      <c r="F17" s="19" t="n">
        <f aca="false">C17+D17+E17</f>
        <v>1249911.07</v>
      </c>
      <c r="G17" s="19" t="n">
        <f aca="false">B17-F17</f>
        <v>0</v>
      </c>
      <c r="H17" s="33" t="str">
        <f aca="false">IF(A17="","",IF(C17+D17&gt;B17+1,"⚠ Realizado + compromissos acima da projeção",IF(AND(FLUXO_MENSAL!G11&gt;1,FLUXO_MENSAL!H11=0),"⚠ Saldo sem curva (preencha CURVA)",IF(ABS(G17)&gt;1,"⚠ Verificar","OK"))))</f>
        <v>OK</v>
      </c>
      <c r="I17" s="19" t="n">
        <f aca="false">FLUXO_MENSAL!I11-F17</f>
        <v>0</v>
      </c>
    </row>
    <row r="18" customFormat="false" ht="15" hidden="false" customHeight="false" outlineLevel="0" collapsed="false">
      <c r="A18" s="31" t="str">
        <f aca="false">FLUXO_MENSAL!B12</f>
        <v>LIGAÇÕES PROVISÓRIAS AGUA, ENERGIA,TELEFONIA, ESGOTO</v>
      </c>
      <c r="B18" s="32" t="n">
        <f aca="false">FLUXO_MENSAL!D12</f>
        <v>85665.05</v>
      </c>
      <c r="C18" s="32" t="n">
        <f aca="false">FLUXO_MENSAL!E12</f>
        <v>0</v>
      </c>
      <c r="D18" s="32" t="n">
        <f aca="false">FLUXO_MENSAL!F12</f>
        <v>0</v>
      </c>
      <c r="E18" s="19" t="n">
        <f aca="false">IF(FLUXO_MENSAL!H12&gt;0,FLUXO_MENSAL!G12,0)</f>
        <v>0</v>
      </c>
      <c r="F18" s="19" t="n">
        <f aca="false">C18+D18+E18</f>
        <v>0</v>
      </c>
      <c r="G18" s="19" t="n">
        <f aca="false">B18-F18</f>
        <v>85665.05</v>
      </c>
      <c r="H18" s="33" t="str">
        <f aca="false">IF(A18="","",IF(C18+D18&gt;B18+1,"⚠ Realizado + compromissos acima da projeção",IF(AND(FLUXO_MENSAL!G12&gt;1,FLUXO_MENSAL!H12=0),"⚠ Saldo sem curva (preencha CURVA)",IF(ABS(G18)&gt;1,"⚠ Verificar","OK"))))</f>
        <v>⚠ Saldo sem curva (preencha CURVA)</v>
      </c>
      <c r="I18" s="19" t="n">
        <f aca="false">FLUXO_MENSAL!I12-F18</f>
        <v>0</v>
      </c>
    </row>
    <row r="19" customFormat="false" ht="15" hidden="false" customHeight="false" outlineLevel="0" collapsed="false">
      <c r="A19" s="31" t="str">
        <f aca="false">FLUXO_MENSAL!B13</f>
        <v>CONSUMO DE ÁGUA, ENERGIA, ETC.</v>
      </c>
      <c r="B19" s="32" t="n">
        <f aca="false">FLUXO_MENSAL!D13</f>
        <v>544229.22</v>
      </c>
      <c r="C19" s="32" t="n">
        <f aca="false">FLUXO_MENSAL!E13</f>
        <v>36058.03</v>
      </c>
      <c r="D19" s="32" t="n">
        <f aca="false">FLUXO_MENSAL!F13</f>
        <v>10197.92</v>
      </c>
      <c r="E19" s="19" t="n">
        <f aca="false">IF(FLUXO_MENSAL!H13&gt;0,FLUXO_MENSAL!G13,0)</f>
        <v>497973.27</v>
      </c>
      <c r="F19" s="19" t="n">
        <f aca="false">C19+D19+E19</f>
        <v>544229.22</v>
      </c>
      <c r="G19" s="19" t="n">
        <f aca="false">B19-F19</f>
        <v>0</v>
      </c>
      <c r="H19" s="33" t="str">
        <f aca="false">IF(A19="","",IF(C19+D19&gt;B19+1,"⚠ Realizado + compromissos acima da projeção",IF(AND(FLUXO_MENSAL!G13&gt;1,FLUXO_MENSAL!H13=0),"⚠ Saldo sem curva (preencha CURVA)",IF(ABS(G19)&gt;1,"⚠ Verificar","OK"))))</f>
        <v>OK</v>
      </c>
      <c r="I19" s="19" t="n">
        <f aca="false">FLUXO_MENSAL!I13-F19</f>
        <v>0</v>
      </c>
    </row>
    <row r="20" customFormat="false" ht="15" hidden="false" customHeight="false" outlineLevel="0" collapsed="false">
      <c r="A20" s="31" t="str">
        <f aca="false">FLUXO_MENSAL!B14</f>
        <v>DIVERSOS</v>
      </c>
      <c r="B20" s="32" t="n">
        <f aca="false">FLUXO_MENSAL!D14</f>
        <v>194480.67</v>
      </c>
      <c r="C20" s="32" t="n">
        <f aca="false">FLUXO_MENSAL!E14</f>
        <v>34023.01</v>
      </c>
      <c r="D20" s="32" t="n">
        <f aca="false">FLUXO_MENSAL!F14</f>
        <v>5376.16</v>
      </c>
      <c r="E20" s="19" t="n">
        <f aca="false">IF(FLUXO_MENSAL!H14&gt;0,FLUXO_MENSAL!G14,0)</f>
        <v>155081.5</v>
      </c>
      <c r="F20" s="19" t="n">
        <f aca="false">C20+D20+E20</f>
        <v>194480.67</v>
      </c>
      <c r="G20" s="19" t="n">
        <f aca="false">B20-F20</f>
        <v>0</v>
      </c>
      <c r="H20" s="33" t="str">
        <f aca="false">IF(A20="","",IF(C20+D20&gt;B20+1,"⚠ Realizado + compromissos acima da projeção",IF(AND(FLUXO_MENSAL!G14&gt;1,FLUXO_MENSAL!H14=0),"⚠ Saldo sem curva (preencha CURVA)",IF(ABS(G20)&gt;1,"⚠ Verificar","OK"))))</f>
        <v>OK</v>
      </c>
      <c r="I20" s="19" t="n">
        <f aca="false">FLUXO_MENSAL!I14-F20</f>
        <v>0</v>
      </c>
    </row>
    <row r="21" customFormat="false" ht="15" hidden="false" customHeight="false" outlineLevel="0" collapsed="false">
      <c r="A21" s="31" t="str">
        <f aca="false">FLUXO_MENSAL!B15</f>
        <v>TRANSPORTES</v>
      </c>
      <c r="B21" s="32" t="n">
        <f aca="false">FLUXO_MENSAL!D15</f>
        <v>817599.43</v>
      </c>
      <c r="C21" s="32" t="n">
        <f aca="false">FLUXO_MENSAL!E15</f>
        <v>70284.77</v>
      </c>
      <c r="D21" s="32" t="n">
        <f aca="false">FLUXO_MENSAL!F15</f>
        <v>2017.36</v>
      </c>
      <c r="E21" s="19" t="n">
        <f aca="false">IF(FLUXO_MENSAL!H15&gt;0,FLUXO_MENSAL!G15,0)</f>
        <v>745297.3</v>
      </c>
      <c r="F21" s="19" t="n">
        <f aca="false">C21+D21+E21</f>
        <v>817599.43</v>
      </c>
      <c r="G21" s="19" t="n">
        <f aca="false">B21-F21</f>
        <v>0</v>
      </c>
      <c r="H21" s="33" t="str">
        <f aca="false">IF(A21="","",IF(C21+D21&gt;B21+1,"⚠ Realizado + compromissos acima da projeção",IF(AND(FLUXO_MENSAL!G15&gt;1,FLUXO_MENSAL!H15=0),"⚠ Saldo sem curva (preencha CURVA)",IF(ABS(G21)&gt;1,"⚠ Verificar","OK"))))</f>
        <v>OK</v>
      </c>
      <c r="I21" s="19" t="n">
        <f aca="false">FLUXO_MENSAL!I15-F21</f>
        <v>0</v>
      </c>
    </row>
    <row r="22" customFormat="false" ht="15" hidden="false" customHeight="false" outlineLevel="0" collapsed="false">
      <c r="A22" s="31" t="str">
        <f aca="false">FLUXO_MENSAL!B16</f>
        <v>CONSULTORIAS (OBRAS)</v>
      </c>
      <c r="B22" s="32" t="n">
        <f aca="false">FLUXO_MENSAL!D16</f>
        <v>1371532.11</v>
      </c>
      <c r="C22" s="32" t="n">
        <f aca="false">FLUXO_MENSAL!E16</f>
        <v>674559.83</v>
      </c>
      <c r="D22" s="32" t="n">
        <f aca="false">FLUXO_MENSAL!F16</f>
        <v>25028.91</v>
      </c>
      <c r="E22" s="19" t="n">
        <f aca="false">IF(FLUXO_MENSAL!H16&gt;0,FLUXO_MENSAL!G16,0)</f>
        <v>671943.37</v>
      </c>
      <c r="F22" s="19" t="n">
        <f aca="false">C22+D22+E22</f>
        <v>1371532.11</v>
      </c>
      <c r="G22" s="19" t="n">
        <f aca="false">B22-F22</f>
        <v>0</v>
      </c>
      <c r="H22" s="33" t="str">
        <f aca="false">IF(A22="","",IF(C22+D22&gt;B22+1,"⚠ Realizado + compromissos acima da projeção",IF(AND(FLUXO_MENSAL!G16&gt;1,FLUXO_MENSAL!H16=0),"⚠ Saldo sem curva (preencha CURVA)",IF(ABS(G22)&gt;1,"⚠ Verificar","OK"))))</f>
        <v>OK</v>
      </c>
      <c r="I22" s="19" t="n">
        <f aca="false">FLUXO_MENSAL!I16-F22</f>
        <v>0</v>
      </c>
    </row>
    <row r="23" customFormat="false" ht="15" hidden="false" customHeight="false" outlineLevel="0" collapsed="false">
      <c r="A23" s="31" t="str">
        <f aca="false">FLUXO_MENSAL!B17</f>
        <v>MÃO DE OBRA PRÓPRIA</v>
      </c>
      <c r="B23" s="32" t="n">
        <f aca="false">FLUXO_MENSAL!D17</f>
        <v>21271106.08</v>
      </c>
      <c r="C23" s="32" t="n">
        <f aca="false">FLUXO_MENSAL!E17</f>
        <v>3300360.16</v>
      </c>
      <c r="D23" s="32" t="n">
        <f aca="false">FLUXO_MENSAL!F17</f>
        <v>475302.52</v>
      </c>
      <c r="E23" s="19" t="n">
        <f aca="false">IF(FLUXO_MENSAL!H17&gt;0,FLUXO_MENSAL!G17,0)</f>
        <v>17495443.4</v>
      </c>
      <c r="F23" s="19" t="n">
        <f aca="false">C23+D23+E23</f>
        <v>21271106.08</v>
      </c>
      <c r="G23" s="19" t="n">
        <f aca="false">B23-F23</f>
        <v>0</v>
      </c>
      <c r="H23" s="33" t="str">
        <f aca="false">IF(A23="","",IF(C23+D23&gt;B23+1,"⚠ Realizado + compromissos acima da projeção",IF(AND(FLUXO_MENSAL!G17&gt;1,FLUXO_MENSAL!H17=0),"⚠ Saldo sem curva (preencha CURVA)",IF(ABS(G23)&gt;1,"⚠ Verificar","OK"))))</f>
        <v>OK</v>
      </c>
      <c r="I23" s="19" t="n">
        <f aca="false">FLUXO_MENSAL!I17-F23</f>
        <v>0</v>
      </c>
    </row>
    <row r="24" customFormat="false" ht="15" hidden="false" customHeight="false" outlineLevel="0" collapsed="false">
      <c r="A24" s="31" t="str">
        <f aca="false">FLUXO_MENSAL!B18</f>
        <v>EQUIPAMENTOS E FERRAMENTAS</v>
      </c>
      <c r="B24" s="32" t="n">
        <f aca="false">FLUXO_MENSAL!D18</f>
        <v>6774432.94</v>
      </c>
      <c r="C24" s="32" t="n">
        <f aca="false">FLUXO_MENSAL!E18</f>
        <v>543667.72</v>
      </c>
      <c r="D24" s="32" t="n">
        <f aca="false">FLUXO_MENSAL!F18</f>
        <v>102156.96</v>
      </c>
      <c r="E24" s="19" t="n">
        <f aca="false">IF(FLUXO_MENSAL!H18&gt;0,FLUXO_MENSAL!G18,0)</f>
        <v>6128608.26</v>
      </c>
      <c r="F24" s="19" t="n">
        <f aca="false">C24+D24+E24</f>
        <v>6774432.94</v>
      </c>
      <c r="G24" s="19" t="n">
        <f aca="false">B24-F24</f>
        <v>0</v>
      </c>
      <c r="H24" s="33" t="str">
        <f aca="false">IF(A24="","",IF(C24+D24&gt;B24+1,"⚠ Realizado + compromissos acima da projeção",IF(AND(FLUXO_MENSAL!G18&gt;1,FLUXO_MENSAL!H18=0),"⚠ Saldo sem curva (preencha CURVA)",IF(ABS(G24)&gt;1,"⚠ Verificar","OK"))))</f>
        <v>OK</v>
      </c>
      <c r="I24" s="19" t="n">
        <f aca="false">FLUXO_MENSAL!I18-F24</f>
        <v>0</v>
      </c>
    </row>
    <row r="25" customFormat="false" ht="15" hidden="false" customHeight="false" outlineLevel="0" collapsed="false">
      <c r="A25" s="31" t="str">
        <f aca="false">FLUXO_MENSAL!B19</f>
        <v>SERVIÇOS INICIAIS</v>
      </c>
      <c r="B25" s="32" t="n">
        <f aca="false">FLUXO_MENSAL!D19</f>
        <v>176378.52</v>
      </c>
      <c r="C25" s="32" t="n">
        <f aca="false">FLUXO_MENSAL!E19</f>
        <v>108365.04</v>
      </c>
      <c r="D25" s="32" t="n">
        <f aca="false">FLUXO_MENSAL!F19</f>
        <v>6706</v>
      </c>
      <c r="E25" s="19" t="n">
        <f aca="false">IF(FLUXO_MENSAL!H19&gt;0,FLUXO_MENSAL!G19,0)</f>
        <v>61307.48</v>
      </c>
      <c r="F25" s="19" t="n">
        <f aca="false">C25+D25+E25</f>
        <v>176378.52</v>
      </c>
      <c r="G25" s="19" t="n">
        <f aca="false">B25-F25</f>
        <v>0</v>
      </c>
      <c r="H25" s="33" t="str">
        <f aca="false">IF(A25="","",IF(C25+D25&gt;B25+1,"⚠ Realizado + compromissos acima da projeção",IF(AND(FLUXO_MENSAL!G19&gt;1,FLUXO_MENSAL!H19=0),"⚠ Saldo sem curva (preencha CURVA)",IF(ABS(G25)&gt;1,"⚠ Verificar","OK"))))</f>
        <v>OK</v>
      </c>
      <c r="I25" s="19" t="n">
        <f aca="false">FLUXO_MENSAL!I19-F25</f>
        <v>0</v>
      </c>
    </row>
    <row r="26" customFormat="false" ht="15" hidden="false" customHeight="false" outlineLevel="0" collapsed="false">
      <c r="A26" s="31" t="str">
        <f aca="false">FLUXO_MENSAL!B20</f>
        <v>CONTENÇÃO</v>
      </c>
      <c r="B26" s="32" t="n">
        <f aca="false">FLUXO_MENSAL!D20</f>
        <v>1475989.69</v>
      </c>
      <c r="C26" s="32" t="n">
        <f aca="false">FLUXO_MENSAL!E20</f>
        <v>1075302.41</v>
      </c>
      <c r="D26" s="32" t="n">
        <f aca="false">FLUXO_MENSAL!F20</f>
        <v>16116.03</v>
      </c>
      <c r="E26" s="19" t="n">
        <f aca="false">IF(FLUXO_MENSAL!H20&gt;0,FLUXO_MENSAL!G20,0)</f>
        <v>384571.25</v>
      </c>
      <c r="F26" s="19" t="n">
        <f aca="false">C26+D26+E26</f>
        <v>1475989.69</v>
      </c>
      <c r="G26" s="19" t="n">
        <f aca="false">B26-F26</f>
        <v>0</v>
      </c>
      <c r="H26" s="33" t="str">
        <f aca="false">IF(A26="","",IF(C26+D26&gt;B26+1,"⚠ Realizado + compromissos acima da projeção",IF(AND(FLUXO_MENSAL!G20&gt;1,FLUXO_MENSAL!H20=0),"⚠ Saldo sem curva (preencha CURVA)",IF(ABS(G26)&gt;1,"⚠ Verificar","OK"))))</f>
        <v>OK</v>
      </c>
      <c r="I26" s="19" t="n">
        <f aca="false">FLUXO_MENSAL!I20-F26</f>
        <v>0</v>
      </c>
    </row>
    <row r="27" customFormat="false" ht="15" hidden="false" customHeight="false" outlineLevel="0" collapsed="false">
      <c r="A27" s="31" t="str">
        <f aca="false">FLUXO_MENSAL!B21</f>
        <v>TERRAPLENAGEM</v>
      </c>
      <c r="B27" s="32" t="n">
        <f aca="false">FLUXO_MENSAL!D21</f>
        <v>1293873.46</v>
      </c>
      <c r="C27" s="32" t="n">
        <f aca="false">FLUXO_MENSAL!E21</f>
        <v>938478.8</v>
      </c>
      <c r="D27" s="32" t="n">
        <f aca="false">FLUXO_MENSAL!F21</f>
        <v>103653.51</v>
      </c>
      <c r="E27" s="19" t="n">
        <f aca="false">IF(FLUXO_MENSAL!H21&gt;0,FLUXO_MENSAL!G21,0)</f>
        <v>251741.15</v>
      </c>
      <c r="F27" s="19" t="n">
        <f aca="false">C27+D27+E27</f>
        <v>1293873.46</v>
      </c>
      <c r="G27" s="19" t="n">
        <f aca="false">B27-F27</f>
        <v>0</v>
      </c>
      <c r="H27" s="33" t="str">
        <f aca="false">IF(A27="","",IF(C27+D27&gt;B27+1,"⚠ Realizado + compromissos acima da projeção",IF(AND(FLUXO_MENSAL!G21&gt;1,FLUXO_MENSAL!H21=0),"⚠ Saldo sem curva (preencha CURVA)",IF(ABS(G27)&gt;1,"⚠ Verificar","OK"))))</f>
        <v>OK</v>
      </c>
      <c r="I27" s="19" t="n">
        <f aca="false">FLUXO_MENSAL!I21-F27</f>
        <v>0</v>
      </c>
    </row>
    <row r="28" customFormat="false" ht="15" hidden="false" customHeight="false" outlineLevel="0" collapsed="false">
      <c r="A28" s="31" t="str">
        <f aca="false">FLUXO_MENSAL!B22</f>
        <v>FUNDAÇÃO PROFUNDA</v>
      </c>
      <c r="B28" s="32" t="n">
        <f aca="false">FLUXO_MENSAL!D22</f>
        <v>7012914.12</v>
      </c>
      <c r="C28" s="32" t="n">
        <f aca="false">FLUXO_MENSAL!E22</f>
        <v>6665911.69</v>
      </c>
      <c r="D28" s="32" t="n">
        <f aca="false">FLUXO_MENSAL!F22</f>
        <v>118408.66</v>
      </c>
      <c r="E28" s="19" t="n">
        <f aca="false">IF(FLUXO_MENSAL!H22&gt;0,FLUXO_MENSAL!G22,0)</f>
        <v>0</v>
      </c>
      <c r="F28" s="19" t="n">
        <f aca="false">C28+D28+E28</f>
        <v>6784320.35</v>
      </c>
      <c r="G28" s="19" t="n">
        <f aca="false">B28-F28</f>
        <v>228593.77</v>
      </c>
      <c r="H28" s="33" t="str">
        <f aca="false">IF(A28="","",IF(C28+D28&gt;B28+1,"⚠ Realizado + compromissos acima da projeção",IF(AND(FLUXO_MENSAL!G22&gt;1,FLUXO_MENSAL!H22=0),"⚠ Saldo sem curva (preencha CURVA)",IF(ABS(G28)&gt;1,"⚠ Verificar","OK"))))</f>
        <v>⚠ Saldo sem curva (preencha CURVA)</v>
      </c>
      <c r="I28" s="19" t="n">
        <f aca="false">FLUXO_MENSAL!I22-F28</f>
        <v>0</v>
      </c>
    </row>
    <row r="29" customFormat="false" ht="15" hidden="false" customHeight="false" outlineLevel="0" collapsed="false">
      <c r="A29" s="31" t="str">
        <f aca="false">FLUXO_MENSAL!B23</f>
        <v>FUNDAÇÃO SUPERFICIAL</v>
      </c>
      <c r="B29" s="32" t="n">
        <f aca="false">FLUXO_MENSAL!D23</f>
        <v>4346500.29</v>
      </c>
      <c r="C29" s="32" t="n">
        <f aca="false">FLUXO_MENSAL!E23</f>
        <v>2977491.19</v>
      </c>
      <c r="D29" s="32" t="n">
        <f aca="false">FLUXO_MENSAL!F23</f>
        <v>101043.06</v>
      </c>
      <c r="E29" s="19" t="n">
        <f aca="false">IF(FLUXO_MENSAL!H23&gt;0,FLUXO_MENSAL!G23,0)</f>
        <v>1267966.04</v>
      </c>
      <c r="F29" s="19" t="n">
        <f aca="false">C29+D29+E29</f>
        <v>4346500.29</v>
      </c>
      <c r="G29" s="19" t="n">
        <f aca="false">B29-F29</f>
        <v>0</v>
      </c>
      <c r="H29" s="33" t="str">
        <f aca="false">IF(A29="","",IF(C29+D29&gt;B29+1,"⚠ Realizado + compromissos acima da projeção",IF(AND(FLUXO_MENSAL!G23&gt;1,FLUXO_MENSAL!H23=0),"⚠ Saldo sem curva (preencha CURVA)",IF(ABS(G29)&gt;1,"⚠ Verificar","OK"))))</f>
        <v>OK</v>
      </c>
      <c r="I29" s="19" t="n">
        <f aca="false">FLUXO_MENSAL!I23-F29</f>
        <v>0</v>
      </c>
    </row>
    <row r="30" customFormat="false" ht="15" hidden="false" customHeight="false" outlineLevel="0" collapsed="false">
      <c r="A30" s="31" t="str">
        <f aca="false">FLUXO_MENSAL!B24</f>
        <v>ESTRUTURA EM CONCRETO ARMADO</v>
      </c>
      <c r="B30" s="32" t="n">
        <f aca="false">FLUXO_MENSAL!D24</f>
        <v>26850931.32</v>
      </c>
      <c r="C30" s="32" t="n">
        <f aca="false">FLUXO_MENSAL!E24</f>
        <v>992146.57</v>
      </c>
      <c r="D30" s="32" t="n">
        <f aca="false">FLUXO_MENSAL!F24</f>
        <v>2085487.01</v>
      </c>
      <c r="E30" s="19" t="n">
        <f aca="false">IF(FLUXO_MENSAL!H24&gt;0,FLUXO_MENSAL!G24,0)</f>
        <v>23773297.74</v>
      </c>
      <c r="F30" s="19" t="n">
        <f aca="false">C30+D30+E30</f>
        <v>26850931.32</v>
      </c>
      <c r="G30" s="19" t="n">
        <f aca="false">B30-F30</f>
        <v>0</v>
      </c>
      <c r="H30" s="33" t="str">
        <f aca="false">IF(A30="","",IF(C30+D30&gt;B30+1,"⚠ Realizado + compromissos acima da projeção",IF(AND(FLUXO_MENSAL!G24&gt;1,FLUXO_MENSAL!H24=0),"⚠ Saldo sem curva (preencha CURVA)",IF(ABS(G30)&gt;1,"⚠ Verificar","OK"))))</f>
        <v>OK</v>
      </c>
      <c r="I30" s="19" t="n">
        <f aca="false">FLUXO_MENSAL!I24-F30</f>
        <v>0</v>
      </c>
    </row>
    <row r="31" customFormat="false" ht="15" hidden="false" customHeight="false" outlineLevel="0" collapsed="false">
      <c r="A31" s="31" t="str">
        <f aca="false">FLUXO_MENSAL!B25</f>
        <v>ALVENARIA</v>
      </c>
      <c r="B31" s="32" t="n">
        <f aca="false">FLUXO_MENSAL!D25</f>
        <v>6245482.98</v>
      </c>
      <c r="C31" s="32" t="n">
        <f aca="false">FLUXO_MENSAL!E25</f>
        <v>0</v>
      </c>
      <c r="D31" s="32" t="n">
        <f aca="false">FLUXO_MENSAL!F25</f>
        <v>0</v>
      </c>
      <c r="E31" s="19" t="n">
        <f aca="false">IF(FLUXO_MENSAL!H25&gt;0,FLUXO_MENSAL!G25,0)</f>
        <v>6245482.98</v>
      </c>
      <c r="F31" s="19" t="n">
        <f aca="false">C31+D31+E31</f>
        <v>6245482.98</v>
      </c>
      <c r="G31" s="19" t="n">
        <f aca="false">B31-F31</f>
        <v>0</v>
      </c>
      <c r="H31" s="33" t="str">
        <f aca="false">IF(A31="","",IF(C31+D31&gt;B31+1,"⚠ Realizado + compromissos acima da projeção",IF(AND(FLUXO_MENSAL!G25&gt;1,FLUXO_MENSAL!H25=0),"⚠ Saldo sem curva (preencha CURVA)",IF(ABS(G31)&gt;1,"⚠ Verificar","OK"))))</f>
        <v>OK</v>
      </c>
      <c r="I31" s="19" t="n">
        <f aca="false">FLUXO_MENSAL!I25-F31</f>
        <v>0</v>
      </c>
    </row>
    <row r="32" customFormat="false" ht="15" hidden="false" customHeight="false" outlineLevel="0" collapsed="false">
      <c r="A32" s="31" t="str">
        <f aca="false">FLUXO_MENSAL!B26</f>
        <v>IMPERMEABILIZAÇÃO</v>
      </c>
      <c r="B32" s="32" t="n">
        <f aca="false">FLUXO_MENSAL!D26</f>
        <v>4139097.74</v>
      </c>
      <c r="C32" s="32" t="n">
        <f aca="false">FLUXO_MENSAL!E26</f>
        <v>0</v>
      </c>
      <c r="D32" s="32" t="n">
        <f aca="false">FLUXO_MENSAL!F26</f>
        <v>0</v>
      </c>
      <c r="E32" s="19" t="n">
        <f aca="false">IF(FLUXO_MENSAL!H26&gt;0,FLUXO_MENSAL!G26,0)</f>
        <v>4139097.74</v>
      </c>
      <c r="F32" s="19" t="n">
        <f aca="false">C32+D32+E32</f>
        <v>4139097.74</v>
      </c>
      <c r="G32" s="19" t="n">
        <f aca="false">B32-F32</f>
        <v>0</v>
      </c>
      <c r="H32" s="33" t="str">
        <f aca="false">IF(A32="","",IF(C32+D32&gt;B32+1,"⚠ Realizado + compromissos acima da projeção",IF(AND(FLUXO_MENSAL!G26&gt;1,FLUXO_MENSAL!H26=0),"⚠ Saldo sem curva (preencha CURVA)",IF(ABS(G32)&gt;1,"⚠ Verificar","OK"))))</f>
        <v>OK</v>
      </c>
      <c r="I32" s="19" t="n">
        <f aca="false">FLUXO_MENSAL!I26-F32</f>
        <v>0</v>
      </c>
    </row>
    <row r="33" customFormat="false" ht="15" hidden="false" customHeight="false" outlineLevel="0" collapsed="false">
      <c r="A33" s="31" t="str">
        <f aca="false">FLUXO_MENSAL!B27</f>
        <v>INSTALAÇÕES ELÉTRICAS</v>
      </c>
      <c r="B33" s="32" t="n">
        <f aca="false">FLUXO_MENSAL!D27</f>
        <v>11595096.01</v>
      </c>
      <c r="C33" s="32" t="n">
        <f aca="false">FLUXO_MENSAL!E27</f>
        <v>321362.48</v>
      </c>
      <c r="D33" s="32" t="n">
        <f aca="false">FLUXO_MENSAL!F27</f>
        <v>4679.03</v>
      </c>
      <c r="E33" s="19" t="n">
        <f aca="false">IF(FLUXO_MENSAL!H27&gt;0,FLUXO_MENSAL!G27,0)</f>
        <v>11269054.5</v>
      </c>
      <c r="F33" s="19" t="n">
        <f aca="false">C33+D33+E33</f>
        <v>11595096.01</v>
      </c>
      <c r="G33" s="19" t="n">
        <f aca="false">B33-F33</f>
        <v>0</v>
      </c>
      <c r="H33" s="33" t="str">
        <f aca="false">IF(A33="","",IF(C33+D33&gt;B33+1,"⚠ Realizado + compromissos acima da projeção",IF(AND(FLUXO_MENSAL!G27&gt;1,FLUXO_MENSAL!H27=0),"⚠ Saldo sem curva (preencha CURVA)",IF(ABS(G33)&gt;1,"⚠ Verificar","OK"))))</f>
        <v>OK</v>
      </c>
      <c r="I33" s="19" t="n">
        <f aca="false">FLUXO_MENSAL!I27-F33</f>
        <v>0</v>
      </c>
    </row>
    <row r="34" customFormat="false" ht="15" hidden="false" customHeight="false" outlineLevel="0" collapsed="false">
      <c r="A34" s="31" t="str">
        <f aca="false">FLUXO_MENSAL!B28</f>
        <v>INSTALAÇÕES HIDROSANITÁRIAS</v>
      </c>
      <c r="B34" s="32" t="n">
        <f aca="false">FLUXO_MENSAL!D28</f>
        <v>7769655.06</v>
      </c>
      <c r="C34" s="32" t="n">
        <f aca="false">FLUXO_MENSAL!E28</f>
        <v>0</v>
      </c>
      <c r="D34" s="32" t="n">
        <f aca="false">FLUXO_MENSAL!F28</f>
        <v>27930</v>
      </c>
      <c r="E34" s="19" t="n">
        <f aca="false">IF(FLUXO_MENSAL!H28&gt;0,FLUXO_MENSAL!G28,0)</f>
        <v>7741725.06</v>
      </c>
      <c r="F34" s="19" t="n">
        <f aca="false">C34+D34+E34</f>
        <v>7769655.06</v>
      </c>
      <c r="G34" s="19" t="n">
        <f aca="false">B34-F34</f>
        <v>0</v>
      </c>
      <c r="H34" s="33" t="str">
        <f aca="false">IF(A34="","",IF(C34+D34&gt;B34+1,"⚠ Realizado + compromissos acima da projeção",IF(AND(FLUXO_MENSAL!G28&gt;1,FLUXO_MENSAL!H28=0),"⚠ Saldo sem curva (preencha CURVA)",IF(ABS(G34)&gt;1,"⚠ Verificar","OK"))))</f>
        <v>OK</v>
      </c>
      <c r="I34" s="19" t="n">
        <f aca="false">FLUXO_MENSAL!I28-F34</f>
        <v>0</v>
      </c>
    </row>
    <row r="35" customFormat="false" ht="15" hidden="false" customHeight="false" outlineLevel="0" collapsed="false">
      <c r="A35" s="31" t="str">
        <f aca="false">FLUXO_MENSAL!B29</f>
        <v>INSTALAÇÕES COMBATE INCÊNDIO</v>
      </c>
      <c r="B35" s="32" t="n">
        <f aca="false">FLUXO_MENSAL!D29</f>
        <v>823490.46</v>
      </c>
      <c r="C35" s="32" t="n">
        <f aca="false">FLUXO_MENSAL!E29</f>
        <v>0</v>
      </c>
      <c r="D35" s="32" t="n">
        <f aca="false">FLUXO_MENSAL!F29</f>
        <v>0</v>
      </c>
      <c r="E35" s="19" t="n">
        <f aca="false">IF(FLUXO_MENSAL!H29&gt;0,FLUXO_MENSAL!G29,0)</f>
        <v>823490.46</v>
      </c>
      <c r="F35" s="19" t="n">
        <f aca="false">C35+D35+E35</f>
        <v>823490.46</v>
      </c>
      <c r="G35" s="19" t="n">
        <f aca="false">B35-F35</f>
        <v>0</v>
      </c>
      <c r="H35" s="33" t="str">
        <f aca="false">IF(A35="","",IF(C35+D35&gt;B35+1,"⚠ Realizado + compromissos acima da projeção",IF(AND(FLUXO_MENSAL!G29&gt;1,FLUXO_MENSAL!H29=0),"⚠ Saldo sem curva (preencha CURVA)",IF(ABS(G35)&gt;1,"⚠ Verificar","OK"))))</f>
        <v>OK</v>
      </c>
      <c r="I35" s="19" t="n">
        <f aca="false">FLUXO_MENSAL!I29-F35</f>
        <v>0</v>
      </c>
    </row>
    <row r="36" customFormat="false" ht="15" hidden="false" customHeight="false" outlineLevel="0" collapsed="false">
      <c r="A36" s="31" t="str">
        <f aca="false">FLUXO_MENSAL!B30</f>
        <v>INSTALAÇÕES ESPECIAIS</v>
      </c>
      <c r="B36" s="32" t="n">
        <f aca="false">FLUXO_MENSAL!D30</f>
        <v>2828799.66</v>
      </c>
      <c r="C36" s="32" t="n">
        <f aca="false">FLUXO_MENSAL!E30</f>
        <v>0</v>
      </c>
      <c r="D36" s="32" t="n">
        <f aca="false">FLUXO_MENSAL!F30</f>
        <v>0</v>
      </c>
      <c r="E36" s="19" t="n">
        <f aca="false">IF(FLUXO_MENSAL!H30&gt;0,FLUXO_MENSAL!G30,0)</f>
        <v>2828799.66</v>
      </c>
      <c r="F36" s="19" t="n">
        <f aca="false">C36+D36+E36</f>
        <v>2828799.66</v>
      </c>
      <c r="G36" s="19" t="n">
        <f aca="false">B36-F36</f>
        <v>0</v>
      </c>
      <c r="H36" s="33" t="str">
        <f aca="false">IF(A36="","",IF(C36+D36&gt;B36+1,"⚠ Realizado + compromissos acima da projeção",IF(AND(FLUXO_MENSAL!G30&gt;1,FLUXO_MENSAL!H30=0),"⚠ Saldo sem curva (preencha CURVA)",IF(ABS(G36)&gt;1,"⚠ Verificar","OK"))))</f>
        <v>OK</v>
      </c>
      <c r="I36" s="19" t="n">
        <f aca="false">FLUXO_MENSAL!I30-F36</f>
        <v>0</v>
      </c>
    </row>
    <row r="37" customFormat="false" ht="15" hidden="false" customHeight="false" outlineLevel="0" collapsed="false">
      <c r="A37" s="31" t="str">
        <f aca="false">FLUXO_MENSAL!B31</f>
        <v>ELEVADORES</v>
      </c>
      <c r="B37" s="32" t="n">
        <f aca="false">FLUXO_MENSAL!D31</f>
        <v>3409802.3</v>
      </c>
      <c r="C37" s="32" t="n">
        <f aca="false">FLUXO_MENSAL!E31</f>
        <v>0</v>
      </c>
      <c r="D37" s="32" t="n">
        <f aca="false">FLUXO_MENSAL!F31</f>
        <v>0</v>
      </c>
      <c r="E37" s="19" t="n">
        <f aca="false">IF(FLUXO_MENSAL!H31&gt;0,FLUXO_MENSAL!G31,0)</f>
        <v>3409802.3</v>
      </c>
      <c r="F37" s="19" t="n">
        <f aca="false">C37+D37+E37</f>
        <v>3409802.3</v>
      </c>
      <c r="G37" s="19" t="n">
        <f aca="false">B37-F37</f>
        <v>0</v>
      </c>
      <c r="H37" s="33" t="str">
        <f aca="false">IF(A37="","",IF(C37+D37&gt;B37+1,"⚠ Realizado + compromissos acima da projeção",IF(AND(FLUXO_MENSAL!G31&gt;1,FLUXO_MENSAL!H31=0),"⚠ Saldo sem curva (preencha CURVA)",IF(ABS(G37)&gt;1,"⚠ Verificar","OK"))))</f>
        <v>OK</v>
      </c>
      <c r="I37" s="19" t="n">
        <f aca="false">FLUXO_MENSAL!I31-F37</f>
        <v>0</v>
      </c>
    </row>
    <row r="38" customFormat="false" ht="15" hidden="false" customHeight="false" outlineLevel="0" collapsed="false">
      <c r="A38" s="31" t="str">
        <f aca="false">FLUXO_MENSAL!B32</f>
        <v>ESQUADRIAS</v>
      </c>
      <c r="B38" s="32" t="n">
        <f aca="false">FLUXO_MENSAL!D32</f>
        <v>11781362.82</v>
      </c>
      <c r="C38" s="32" t="n">
        <f aca="false">FLUXO_MENSAL!E32</f>
        <v>0</v>
      </c>
      <c r="D38" s="32" t="n">
        <f aca="false">FLUXO_MENSAL!F32</f>
        <v>0</v>
      </c>
      <c r="E38" s="19" t="n">
        <f aca="false">IF(FLUXO_MENSAL!H32&gt;0,FLUXO_MENSAL!G32,0)</f>
        <v>11781362.82</v>
      </c>
      <c r="F38" s="19" t="n">
        <f aca="false">C38+D38+E38</f>
        <v>11781362.82</v>
      </c>
      <c r="G38" s="19" t="n">
        <f aca="false">B38-F38</f>
        <v>0</v>
      </c>
      <c r="H38" s="33" t="str">
        <f aca="false">IF(A38="","",IF(C38+D38&gt;B38+1,"⚠ Realizado + compromissos acima da projeção",IF(AND(FLUXO_MENSAL!G32&gt;1,FLUXO_MENSAL!H32=0),"⚠ Saldo sem curva (preencha CURVA)",IF(ABS(G38)&gt;1,"⚠ Verificar","OK"))))</f>
        <v>OK</v>
      </c>
      <c r="I38" s="19" t="n">
        <f aca="false">FLUXO_MENSAL!I32-F38</f>
        <v>0</v>
      </c>
    </row>
    <row r="39" customFormat="false" ht="15" hidden="false" customHeight="false" outlineLevel="0" collapsed="false">
      <c r="A39" s="31" t="str">
        <f aca="false">FLUXO_MENSAL!B33</f>
        <v>SERRALHERIA</v>
      </c>
      <c r="B39" s="32" t="n">
        <f aca="false">FLUXO_MENSAL!D33</f>
        <v>508667.05</v>
      </c>
      <c r="C39" s="32" t="n">
        <f aca="false">FLUXO_MENSAL!E33</f>
        <v>0</v>
      </c>
      <c r="D39" s="32" t="n">
        <f aca="false">FLUXO_MENSAL!F33</f>
        <v>0</v>
      </c>
      <c r="E39" s="19" t="n">
        <f aca="false">IF(FLUXO_MENSAL!H33&gt;0,FLUXO_MENSAL!G33,0)</f>
        <v>508667.05</v>
      </c>
      <c r="F39" s="19" t="n">
        <f aca="false">C39+D39+E39</f>
        <v>508667.05</v>
      </c>
      <c r="G39" s="19" t="n">
        <f aca="false">B39-F39</f>
        <v>0</v>
      </c>
      <c r="H39" s="33" t="str">
        <f aca="false">IF(A39="","",IF(C39+D39&gt;B39+1,"⚠ Realizado + compromissos acima da projeção",IF(AND(FLUXO_MENSAL!G33&gt;1,FLUXO_MENSAL!H33=0),"⚠ Saldo sem curva (preencha CURVA)",IF(ABS(G39)&gt;1,"⚠ Verificar","OK"))))</f>
        <v>OK</v>
      </c>
      <c r="I39" s="19" t="n">
        <f aca="false">FLUXO_MENSAL!I33-F39</f>
        <v>0</v>
      </c>
    </row>
    <row r="40" customFormat="false" ht="15" hidden="false" customHeight="false" outlineLevel="0" collapsed="false">
      <c r="A40" s="31" t="str">
        <f aca="false">FLUXO_MENSAL!B34</f>
        <v>MARCENARIA</v>
      </c>
      <c r="B40" s="32" t="n">
        <f aca="false">FLUXO_MENSAL!D34</f>
        <v>3137103.29</v>
      </c>
      <c r="C40" s="32" t="n">
        <f aca="false">FLUXO_MENSAL!E34</f>
        <v>0</v>
      </c>
      <c r="D40" s="32" t="n">
        <f aca="false">FLUXO_MENSAL!F34</f>
        <v>7000</v>
      </c>
      <c r="E40" s="19" t="n">
        <f aca="false">IF(FLUXO_MENSAL!H34&gt;0,FLUXO_MENSAL!G34,0)</f>
        <v>3130103.29</v>
      </c>
      <c r="F40" s="19" t="n">
        <f aca="false">C40+D40+E40</f>
        <v>3137103.29</v>
      </c>
      <c r="G40" s="19" t="n">
        <f aca="false">B40-F40</f>
        <v>0</v>
      </c>
      <c r="H40" s="33" t="str">
        <f aca="false">IF(A40="","",IF(C40+D40&gt;B40+1,"⚠ Realizado + compromissos acima da projeção",IF(AND(FLUXO_MENSAL!G34&gt;1,FLUXO_MENSAL!H34=0),"⚠ Saldo sem curva (preencha CURVA)",IF(ABS(G40)&gt;1,"⚠ Verificar","OK"))))</f>
        <v>OK</v>
      </c>
      <c r="I40" s="19" t="n">
        <f aca="false">FLUXO_MENSAL!I34-F40</f>
        <v>0</v>
      </c>
    </row>
    <row r="41" customFormat="false" ht="15" hidden="false" customHeight="false" outlineLevel="0" collapsed="false">
      <c r="A41" s="31" t="str">
        <f aca="false">FLUXO_MENSAL!B35</f>
        <v>REVESTIMENTOS DE MASSA EM PISOS</v>
      </c>
      <c r="B41" s="32" t="n">
        <f aca="false">FLUXO_MENSAL!D35</f>
        <v>1154877.34</v>
      </c>
      <c r="C41" s="32" t="n">
        <f aca="false">FLUXO_MENSAL!E35</f>
        <v>0</v>
      </c>
      <c r="D41" s="32" t="n">
        <f aca="false">FLUXO_MENSAL!F35</f>
        <v>0</v>
      </c>
      <c r="E41" s="19" t="n">
        <f aca="false">IF(FLUXO_MENSAL!H35&gt;0,FLUXO_MENSAL!G35,0)</f>
        <v>1154877.34</v>
      </c>
      <c r="F41" s="19" t="n">
        <f aca="false">C41+D41+E41</f>
        <v>1154877.34</v>
      </c>
      <c r="G41" s="19" t="n">
        <f aca="false">B41-F41</f>
        <v>0</v>
      </c>
      <c r="H41" s="33" t="str">
        <f aca="false">IF(A41="","",IF(C41+D41&gt;B41+1,"⚠ Realizado + compromissos acima da projeção",IF(AND(FLUXO_MENSAL!G35&gt;1,FLUXO_MENSAL!H35=0),"⚠ Saldo sem curva (preencha CURVA)",IF(ABS(G41)&gt;1,"⚠ Verificar","OK"))))</f>
        <v>OK</v>
      </c>
      <c r="I41" s="19" t="n">
        <f aca="false">FLUXO_MENSAL!I35-F41</f>
        <v>0</v>
      </c>
    </row>
    <row r="42" customFormat="false" ht="15" hidden="false" customHeight="false" outlineLevel="0" collapsed="false">
      <c r="A42" s="31" t="str">
        <f aca="false">FLUXO_MENSAL!B36</f>
        <v>REVESTIMENTOS DE MASSA EM PAREDES</v>
      </c>
      <c r="B42" s="32" t="n">
        <f aca="false">FLUXO_MENSAL!D36</f>
        <v>2653291.4</v>
      </c>
      <c r="C42" s="32" t="n">
        <f aca="false">FLUXO_MENSAL!E36</f>
        <v>0</v>
      </c>
      <c r="D42" s="32" t="n">
        <f aca="false">FLUXO_MENSAL!F36</f>
        <v>0</v>
      </c>
      <c r="E42" s="19" t="n">
        <f aca="false">IF(FLUXO_MENSAL!H36&gt;0,FLUXO_MENSAL!G36,0)</f>
        <v>2653291.4</v>
      </c>
      <c r="F42" s="19" t="n">
        <f aca="false">C42+D42+E42</f>
        <v>2653291.4</v>
      </c>
      <c r="G42" s="19" t="n">
        <f aca="false">B42-F42</f>
        <v>0</v>
      </c>
      <c r="H42" s="33" t="str">
        <f aca="false">IF(A42="","",IF(C42+D42&gt;B42+1,"⚠ Realizado + compromissos acima da projeção",IF(AND(FLUXO_MENSAL!G36&gt;1,FLUXO_MENSAL!H36=0),"⚠ Saldo sem curva (preencha CURVA)",IF(ABS(G42)&gt;1,"⚠ Verificar","OK"))))</f>
        <v>OK</v>
      </c>
      <c r="I42" s="19" t="n">
        <f aca="false">FLUXO_MENSAL!I36-F42</f>
        <v>0</v>
      </c>
    </row>
    <row r="43" customFormat="false" ht="15" hidden="false" customHeight="false" outlineLevel="0" collapsed="false">
      <c r="A43" s="31" t="str">
        <f aca="false">FLUXO_MENSAL!B37</f>
        <v>REVESTIMENTOS DE ACABAMENTO</v>
      </c>
      <c r="B43" s="32" t="n">
        <f aca="false">FLUXO_MENSAL!D37</f>
        <v>10960439.57</v>
      </c>
      <c r="C43" s="32" t="n">
        <f aca="false">FLUXO_MENSAL!E37</f>
        <v>0</v>
      </c>
      <c r="D43" s="32" t="n">
        <f aca="false">FLUXO_MENSAL!F37</f>
        <v>0</v>
      </c>
      <c r="E43" s="19" t="n">
        <f aca="false">IF(FLUXO_MENSAL!H37&gt;0,FLUXO_MENSAL!G37,0)</f>
        <v>10960439.57</v>
      </c>
      <c r="F43" s="19" t="n">
        <f aca="false">C43+D43+E43</f>
        <v>10960439.57</v>
      </c>
      <c r="G43" s="19" t="n">
        <f aca="false">B43-F43</f>
        <v>0</v>
      </c>
      <c r="H43" s="33" t="str">
        <f aca="false">IF(A43="","",IF(C43+D43&gt;B43+1,"⚠ Realizado + compromissos acima da projeção",IF(AND(FLUXO_MENSAL!G37&gt;1,FLUXO_MENSAL!H37=0),"⚠ Saldo sem curva (preencha CURVA)",IF(ABS(G43)&gt;1,"⚠ Verificar","OK"))))</f>
        <v>OK</v>
      </c>
      <c r="I43" s="19" t="n">
        <f aca="false">FLUXO_MENSAL!I37-F43</f>
        <v>0</v>
      </c>
    </row>
    <row r="44" customFormat="false" ht="15" hidden="false" customHeight="false" outlineLevel="0" collapsed="false">
      <c r="A44" s="31" t="str">
        <f aca="false">FLUXO_MENSAL!B38</f>
        <v>PAVIMENTAÇÃO</v>
      </c>
      <c r="B44" s="32" t="n">
        <f aca="false">FLUXO_MENSAL!D38</f>
        <v>112630.59</v>
      </c>
      <c r="C44" s="32" t="n">
        <f aca="false">FLUXO_MENSAL!E38</f>
        <v>0</v>
      </c>
      <c r="D44" s="32" t="n">
        <f aca="false">FLUXO_MENSAL!F38</f>
        <v>0</v>
      </c>
      <c r="E44" s="19" t="n">
        <f aca="false">IF(FLUXO_MENSAL!H38&gt;0,FLUXO_MENSAL!G38,0)</f>
        <v>112630.59</v>
      </c>
      <c r="F44" s="19" t="n">
        <f aca="false">C44+D44+E44</f>
        <v>112630.59</v>
      </c>
      <c r="G44" s="19" t="n">
        <f aca="false">B44-F44</f>
        <v>0</v>
      </c>
      <c r="H44" s="33" t="str">
        <f aca="false">IF(A44="","",IF(C44+D44&gt;B44+1,"⚠ Realizado + compromissos acima da projeção",IF(AND(FLUXO_MENSAL!G38&gt;1,FLUXO_MENSAL!H38=0),"⚠ Saldo sem curva (preencha CURVA)",IF(ABS(G44)&gt;1,"⚠ Verificar","OK"))))</f>
        <v>OK</v>
      </c>
      <c r="I44" s="19" t="n">
        <f aca="false">FLUXO_MENSAL!I38-F44</f>
        <v>0</v>
      </c>
    </row>
    <row r="45" customFormat="false" ht="15" hidden="false" customHeight="false" outlineLevel="0" collapsed="false">
      <c r="A45" s="31" t="str">
        <f aca="false">FLUXO_MENSAL!B39</f>
        <v>REVESTIMENTO DIVERSOS - FACHADA</v>
      </c>
      <c r="B45" s="32" t="n">
        <f aca="false">FLUXO_MENSAL!D39</f>
        <v>5326854.93</v>
      </c>
      <c r="C45" s="32" t="n">
        <f aca="false">FLUXO_MENSAL!E39</f>
        <v>0</v>
      </c>
      <c r="D45" s="32" t="n">
        <f aca="false">FLUXO_MENSAL!F39</f>
        <v>0</v>
      </c>
      <c r="E45" s="19" t="n">
        <f aca="false">IF(FLUXO_MENSAL!H39&gt;0,FLUXO_MENSAL!G39,0)</f>
        <v>5326854.93</v>
      </c>
      <c r="F45" s="19" t="n">
        <f aca="false">C45+D45+E45</f>
        <v>5326854.93</v>
      </c>
      <c r="G45" s="19" t="n">
        <f aca="false">B45-F45</f>
        <v>0</v>
      </c>
      <c r="H45" s="33" t="str">
        <f aca="false">IF(A45="","",IF(C45+D45&gt;B45+1,"⚠ Realizado + compromissos acima da projeção",IF(AND(FLUXO_MENSAL!G39&gt;1,FLUXO_MENSAL!H39=0),"⚠ Saldo sem curva (preencha CURVA)",IF(ABS(G45)&gt;1,"⚠ Verificar","OK"))))</f>
        <v>OK</v>
      </c>
      <c r="I45" s="19" t="n">
        <f aca="false">FLUXO_MENSAL!I39-F45</f>
        <v>0</v>
      </c>
    </row>
    <row r="46" customFormat="false" ht="15" hidden="false" customHeight="false" outlineLevel="0" collapsed="false">
      <c r="A46" s="31" t="str">
        <f aca="false">FLUXO_MENSAL!B40</f>
        <v>FORRO</v>
      </c>
      <c r="B46" s="32" t="n">
        <f aca="false">FLUXO_MENSAL!D40</f>
        <v>1781242.11</v>
      </c>
      <c r="C46" s="32" t="n">
        <f aca="false">FLUXO_MENSAL!E40</f>
        <v>0</v>
      </c>
      <c r="D46" s="32" t="n">
        <f aca="false">FLUXO_MENSAL!F40</f>
        <v>0</v>
      </c>
      <c r="E46" s="19" t="n">
        <f aca="false">IF(FLUXO_MENSAL!H40&gt;0,FLUXO_MENSAL!G40,0)</f>
        <v>1781242.11</v>
      </c>
      <c r="F46" s="19" t="n">
        <f aca="false">C46+D46+E46</f>
        <v>1781242.11</v>
      </c>
      <c r="G46" s="19" t="n">
        <f aca="false">B46-F46</f>
        <v>0</v>
      </c>
      <c r="H46" s="33" t="str">
        <f aca="false">IF(A46="","",IF(C46+D46&gt;B46+1,"⚠ Realizado + compromissos acima da projeção",IF(AND(FLUXO_MENSAL!G40&gt;1,FLUXO_MENSAL!H40=0),"⚠ Saldo sem curva (preencha CURVA)",IF(ABS(G46)&gt;1,"⚠ Verificar","OK"))))</f>
        <v>OK</v>
      </c>
      <c r="I46" s="19" t="n">
        <f aca="false">FLUXO_MENSAL!I40-F46</f>
        <v>0</v>
      </c>
    </row>
    <row r="47" customFormat="false" ht="15" hidden="false" customHeight="false" outlineLevel="0" collapsed="false">
      <c r="A47" s="31" t="str">
        <f aca="false">FLUXO_MENSAL!B41</f>
        <v>LOUÇAS SANITÁRIAS</v>
      </c>
      <c r="B47" s="32" t="n">
        <f aca="false">FLUXO_MENSAL!D41</f>
        <v>2160628.3</v>
      </c>
      <c r="C47" s="32" t="n">
        <f aca="false">FLUXO_MENSAL!E41</f>
        <v>0</v>
      </c>
      <c r="D47" s="32" t="n">
        <f aca="false">FLUXO_MENSAL!F41</f>
        <v>0</v>
      </c>
      <c r="E47" s="19" t="n">
        <f aca="false">IF(FLUXO_MENSAL!H41&gt;0,FLUXO_MENSAL!G41,0)</f>
        <v>2160628.3</v>
      </c>
      <c r="F47" s="19" t="n">
        <f aca="false">C47+D47+E47</f>
        <v>2160628.3</v>
      </c>
      <c r="G47" s="19" t="n">
        <f aca="false">B47-F47</f>
        <v>0</v>
      </c>
      <c r="H47" s="33" t="str">
        <f aca="false">IF(A47="","",IF(C47+D47&gt;B47+1,"⚠ Realizado + compromissos acima da projeção",IF(AND(FLUXO_MENSAL!G41&gt;1,FLUXO_MENSAL!H41=0),"⚠ Saldo sem curva (preencha CURVA)",IF(ABS(G47)&gt;1,"⚠ Verificar","OK"))))</f>
        <v>OK</v>
      </c>
      <c r="I47" s="19" t="n">
        <f aca="false">FLUXO_MENSAL!I41-F47</f>
        <v>0</v>
      </c>
    </row>
    <row r="48" customFormat="false" ht="15" hidden="false" customHeight="false" outlineLevel="0" collapsed="false">
      <c r="A48" s="31" t="str">
        <f aca="false">FLUXO_MENSAL!B42</f>
        <v>PINTURA</v>
      </c>
      <c r="B48" s="32" t="n">
        <f aca="false">FLUXO_MENSAL!D42</f>
        <v>3874003.32</v>
      </c>
      <c r="C48" s="32" t="n">
        <f aca="false">FLUXO_MENSAL!E42</f>
        <v>0</v>
      </c>
      <c r="D48" s="32" t="n">
        <f aca="false">FLUXO_MENSAL!F42</f>
        <v>0</v>
      </c>
      <c r="E48" s="19" t="n">
        <f aca="false">IF(FLUXO_MENSAL!H42&gt;0,FLUXO_MENSAL!G42,0)</f>
        <v>3874003.32</v>
      </c>
      <c r="F48" s="19" t="n">
        <f aca="false">C48+D48+E48</f>
        <v>3874003.32</v>
      </c>
      <c r="G48" s="19" t="n">
        <f aca="false">B48-F48</f>
        <v>0</v>
      </c>
      <c r="H48" s="33" t="str">
        <f aca="false">IF(A48="","",IF(C48+D48&gt;B48+1,"⚠ Realizado + compromissos acima da projeção",IF(AND(FLUXO_MENSAL!G42&gt;1,FLUXO_MENSAL!H42=0),"⚠ Saldo sem curva (preencha CURVA)",IF(ABS(G48)&gt;1,"⚠ Verificar","OK"))))</f>
        <v>OK</v>
      </c>
      <c r="I48" s="19" t="n">
        <f aca="false">FLUXO_MENSAL!I42-F48</f>
        <v>0</v>
      </c>
    </row>
    <row r="49" customFormat="false" ht="15" hidden="false" customHeight="false" outlineLevel="0" collapsed="false">
      <c r="A49" s="31" t="str">
        <f aca="false">FLUXO_MENSAL!B43</f>
        <v>PAISAGISMO</v>
      </c>
      <c r="B49" s="32" t="n">
        <f aca="false">FLUXO_MENSAL!D43</f>
        <v>1176926.3</v>
      </c>
      <c r="C49" s="32" t="n">
        <f aca="false">FLUXO_MENSAL!E43</f>
        <v>0</v>
      </c>
      <c r="D49" s="32" t="n">
        <f aca="false">FLUXO_MENSAL!F43</f>
        <v>0</v>
      </c>
      <c r="E49" s="19" t="n">
        <f aca="false">IF(FLUXO_MENSAL!H43&gt;0,FLUXO_MENSAL!G43,0)</f>
        <v>1176926.3</v>
      </c>
      <c r="F49" s="19" t="n">
        <f aca="false">C49+D49+E49</f>
        <v>1176926.3</v>
      </c>
      <c r="G49" s="19" t="n">
        <f aca="false">B49-F49</f>
        <v>0</v>
      </c>
      <c r="H49" s="33" t="str">
        <f aca="false">IF(A49="","",IF(C49+D49&gt;B49+1,"⚠ Realizado + compromissos acima da projeção",IF(AND(FLUXO_MENSAL!G43&gt;1,FLUXO_MENSAL!H43=0),"⚠ Saldo sem curva (preencha CURVA)",IF(ABS(G49)&gt;1,"⚠ Verificar","OK"))))</f>
        <v>OK</v>
      </c>
      <c r="I49" s="19" t="n">
        <f aca="false">FLUXO_MENSAL!I43-F49</f>
        <v>0</v>
      </c>
    </row>
    <row r="50" customFormat="false" ht="15" hidden="false" customHeight="false" outlineLevel="0" collapsed="false">
      <c r="A50" s="31" t="str">
        <f aca="false">FLUXO_MENSAL!B44</f>
        <v>LIMPEZA FINAL DE OBRA</v>
      </c>
      <c r="B50" s="32" t="n">
        <f aca="false">FLUXO_MENSAL!D44</f>
        <v>935395.03</v>
      </c>
      <c r="C50" s="32" t="n">
        <f aca="false">FLUXO_MENSAL!E44</f>
        <v>0</v>
      </c>
      <c r="D50" s="32" t="n">
        <f aca="false">FLUXO_MENSAL!F44</f>
        <v>0</v>
      </c>
      <c r="E50" s="19" t="n">
        <f aca="false">IF(FLUXO_MENSAL!H44&gt;0,FLUXO_MENSAL!G44,0)</f>
        <v>935395.03</v>
      </c>
      <c r="F50" s="19" t="n">
        <f aca="false">C50+D50+E50</f>
        <v>935395.03</v>
      </c>
      <c r="G50" s="19" t="n">
        <f aca="false">B50-F50</f>
        <v>0</v>
      </c>
      <c r="H50" s="33" t="str">
        <f aca="false">IF(A50="","",IF(C50+D50&gt;B50+1,"⚠ Realizado + compromissos acima da projeção",IF(AND(FLUXO_MENSAL!G44&gt;1,FLUXO_MENSAL!H44=0),"⚠ Saldo sem curva (preencha CURVA)",IF(ABS(G50)&gt;1,"⚠ Verificar","OK"))))</f>
        <v>OK</v>
      </c>
      <c r="I50" s="19" t="n">
        <f aca="false">FLUXO_MENSAL!I44-F50</f>
        <v>0</v>
      </c>
    </row>
    <row r="51" customFormat="false" ht="15" hidden="false" customHeight="false" outlineLevel="0" collapsed="false">
      <c r="A51" s="31" t="str">
        <f aca="false">FLUXO_MENSAL!B45</f>
        <v>TAXA DE ADMINISTRAÇÃO</v>
      </c>
      <c r="B51" s="32" t="n">
        <f aca="false">FLUXO_MENSAL!D45</f>
        <v>566105.29</v>
      </c>
      <c r="C51" s="32" t="n">
        <f aca="false">FLUXO_MENSAL!E45</f>
        <v>566105.29</v>
      </c>
      <c r="D51" s="32" t="n">
        <f aca="false">FLUXO_MENSAL!F45</f>
        <v>0</v>
      </c>
      <c r="E51" s="19" t="n">
        <f aca="false">IF(FLUXO_MENSAL!H45&gt;0,FLUXO_MENSAL!G45,0)</f>
        <v>0</v>
      </c>
      <c r="F51" s="19" t="n">
        <f aca="false">C51+D51+E51</f>
        <v>566105.29</v>
      </c>
      <c r="G51" s="19" t="n">
        <f aca="false">B51-F51</f>
        <v>0</v>
      </c>
      <c r="H51" s="33" t="str">
        <f aca="false">IF(A51="","",IF(C51+D51&gt;B51+1,"⚠ Realizado + compromissos acima da projeção",IF(AND(FLUXO_MENSAL!G45&gt;1,FLUXO_MENSAL!H45=0),"⚠ Saldo sem curva (preencha CURVA)",IF(ABS(G51)&gt;1,"⚠ Verificar","OK"))))</f>
        <v>OK</v>
      </c>
      <c r="I51" s="19" t="n">
        <f aca="false">FLUXO_MENSAL!I45-F51</f>
        <v>0</v>
      </c>
    </row>
    <row r="52" customFormat="false" ht="15" hidden="false" customHeight="false" outlineLevel="0" collapsed="false">
      <c r="A52" s="31" t="str">
        <f aca="false">FLUXO_MENSAL!B46</f>
        <v/>
      </c>
      <c r="B52" s="32" t="n">
        <f aca="false">FLUXO_MENSAL!D46</f>
        <v>0</v>
      </c>
      <c r="C52" s="32" t="n">
        <f aca="false">FLUXO_MENSAL!E46</f>
        <v>0</v>
      </c>
      <c r="D52" s="32" t="n">
        <f aca="false">FLUXO_MENSAL!F46</f>
        <v>0</v>
      </c>
      <c r="E52" s="19" t="n">
        <f aca="false">IF(FLUXO_MENSAL!H46&gt;0,FLUXO_MENSAL!G46,0)</f>
        <v>0</v>
      </c>
      <c r="F52" s="19" t="n">
        <f aca="false">C52+D52+E52</f>
        <v>0</v>
      </c>
      <c r="G52" s="19" t="n">
        <f aca="false">B52-F52</f>
        <v>0</v>
      </c>
      <c r="H52" s="33" t="str">
        <f aca="false">IF(A52="","",IF(C52+D52&gt;B52+1,"⚠ Realizado + compromissos acima da projeção",IF(AND(FLUXO_MENSAL!G46&gt;1,FLUXO_MENSAL!H46=0),"⚠ Saldo sem curva (preencha CURVA)",IF(ABS(G52)&gt;1,"⚠ Verificar","OK"))))</f>
        <v/>
      </c>
      <c r="I52" s="19" t="n">
        <f aca="false">FLUXO_MENSAL!I46-F52</f>
        <v>0</v>
      </c>
    </row>
    <row r="53" customFormat="false" ht="15" hidden="false" customHeight="false" outlineLevel="0" collapsed="false">
      <c r="A53" s="31" t="str">
        <f aca="false">FLUXO_MENSAL!B47</f>
        <v/>
      </c>
      <c r="B53" s="32" t="n">
        <f aca="false">FLUXO_MENSAL!D47</f>
        <v>0</v>
      </c>
      <c r="C53" s="32" t="n">
        <f aca="false">FLUXO_MENSAL!E47</f>
        <v>0</v>
      </c>
      <c r="D53" s="32" t="n">
        <f aca="false">FLUXO_MENSAL!F47</f>
        <v>0</v>
      </c>
      <c r="E53" s="19" t="n">
        <f aca="false">IF(FLUXO_MENSAL!H47&gt;0,FLUXO_MENSAL!G47,0)</f>
        <v>0</v>
      </c>
      <c r="F53" s="19" t="n">
        <f aca="false">C53+D53+E53</f>
        <v>0</v>
      </c>
      <c r="G53" s="19" t="n">
        <f aca="false">B53-F53</f>
        <v>0</v>
      </c>
      <c r="H53" s="33" t="str">
        <f aca="false">IF(A53="","",IF(C53+D53&gt;B53+1,"⚠ Realizado + compromissos acima da projeção",IF(AND(FLUXO_MENSAL!G47&gt;1,FLUXO_MENSAL!H47=0),"⚠ Saldo sem curva (preencha CURVA)",IF(ABS(G53)&gt;1,"⚠ Verificar","OK"))))</f>
        <v/>
      </c>
      <c r="I53" s="19" t="n">
        <f aca="false">FLUXO_MENSAL!I47-F53</f>
        <v>0</v>
      </c>
    </row>
    <row r="54" customFormat="false" ht="15" hidden="false" customHeight="false" outlineLevel="0" collapsed="false">
      <c r="A54" s="31" t="str">
        <f aca="false">FLUXO_MENSAL!B48</f>
        <v/>
      </c>
      <c r="B54" s="32" t="n">
        <f aca="false">FLUXO_MENSAL!D48</f>
        <v>0</v>
      </c>
      <c r="C54" s="32" t="n">
        <f aca="false">FLUXO_MENSAL!E48</f>
        <v>0</v>
      </c>
      <c r="D54" s="32" t="n">
        <f aca="false">FLUXO_MENSAL!F48</f>
        <v>0</v>
      </c>
      <c r="E54" s="19" t="n">
        <f aca="false">IF(FLUXO_MENSAL!H48&gt;0,FLUXO_MENSAL!G48,0)</f>
        <v>0</v>
      </c>
      <c r="F54" s="19" t="n">
        <f aca="false">C54+D54+E54</f>
        <v>0</v>
      </c>
      <c r="G54" s="19" t="n">
        <f aca="false">B54-F54</f>
        <v>0</v>
      </c>
      <c r="H54" s="33" t="str">
        <f aca="false">IF(A54="","",IF(C54+D54&gt;B54+1,"⚠ Realizado + compromissos acima da projeção",IF(AND(FLUXO_MENSAL!G48&gt;1,FLUXO_MENSAL!H48=0),"⚠ Saldo sem curva (preencha CURVA)",IF(ABS(G54)&gt;1,"⚠ Verificar","OK"))))</f>
        <v/>
      </c>
      <c r="I54" s="19" t="n">
        <f aca="false">FLUXO_MENSAL!I48-F54</f>
        <v>0</v>
      </c>
    </row>
    <row r="55" customFormat="false" ht="15" hidden="false" customHeight="false" outlineLevel="0" collapsed="false">
      <c r="A55" s="31" t="str">
        <f aca="false">FLUXO_MENSAL!B49</f>
        <v/>
      </c>
      <c r="B55" s="32" t="n">
        <f aca="false">FLUXO_MENSAL!D49</f>
        <v>0</v>
      </c>
      <c r="C55" s="32" t="n">
        <f aca="false">FLUXO_MENSAL!E49</f>
        <v>0</v>
      </c>
      <c r="D55" s="32" t="n">
        <f aca="false">FLUXO_MENSAL!F49</f>
        <v>0</v>
      </c>
      <c r="E55" s="19" t="n">
        <f aca="false">IF(FLUXO_MENSAL!H49&gt;0,FLUXO_MENSAL!G49,0)</f>
        <v>0</v>
      </c>
      <c r="F55" s="19" t="n">
        <f aca="false">C55+D55+E55</f>
        <v>0</v>
      </c>
      <c r="G55" s="19" t="n">
        <f aca="false">B55-F55</f>
        <v>0</v>
      </c>
      <c r="H55" s="33" t="str">
        <f aca="false">IF(A55="","",IF(C55+D55&gt;B55+1,"⚠ Realizado + compromissos acima da projeção",IF(AND(FLUXO_MENSAL!G49&gt;1,FLUXO_MENSAL!H49=0),"⚠ Saldo sem curva (preencha CURVA)",IF(ABS(G55)&gt;1,"⚠ Verificar","OK"))))</f>
        <v/>
      </c>
      <c r="I55" s="19" t="n">
        <f aca="false">FLUXO_MENSAL!I49-F55</f>
        <v>0</v>
      </c>
    </row>
    <row r="56" customFormat="false" ht="15" hidden="false" customHeight="false" outlineLevel="0" collapsed="false">
      <c r="A56" s="31" t="str">
        <f aca="false">FLUXO_MENSAL!B50</f>
        <v/>
      </c>
      <c r="B56" s="32" t="n">
        <f aca="false">FLUXO_MENSAL!D50</f>
        <v>0</v>
      </c>
      <c r="C56" s="32" t="n">
        <f aca="false">FLUXO_MENSAL!E50</f>
        <v>0</v>
      </c>
      <c r="D56" s="32" t="n">
        <f aca="false">FLUXO_MENSAL!F50</f>
        <v>0</v>
      </c>
      <c r="E56" s="19" t="n">
        <f aca="false">IF(FLUXO_MENSAL!H50&gt;0,FLUXO_MENSAL!G50,0)</f>
        <v>0</v>
      </c>
      <c r="F56" s="19" t="n">
        <f aca="false">C56+D56+E56</f>
        <v>0</v>
      </c>
      <c r="G56" s="19" t="n">
        <f aca="false">B56-F56</f>
        <v>0</v>
      </c>
      <c r="H56" s="33" t="str">
        <f aca="false">IF(A56="","",IF(C56+D56&gt;B56+1,"⚠ Realizado + compromissos acima da projeção",IF(AND(FLUXO_MENSAL!G50&gt;1,FLUXO_MENSAL!H50=0),"⚠ Saldo sem curva (preencha CURVA)",IF(ABS(G56)&gt;1,"⚠ Verificar","OK"))))</f>
        <v/>
      </c>
      <c r="I56" s="19" t="n">
        <f aca="false">FLUXO_MENSAL!I50-F56</f>
        <v>0</v>
      </c>
    </row>
    <row r="57" customFormat="false" ht="15" hidden="false" customHeight="false" outlineLevel="0" collapsed="false">
      <c r="A57" s="31" t="str">
        <f aca="false">FLUXO_MENSAL!B51</f>
        <v/>
      </c>
      <c r="B57" s="32" t="n">
        <f aca="false">FLUXO_MENSAL!D51</f>
        <v>0</v>
      </c>
      <c r="C57" s="32" t="n">
        <f aca="false">FLUXO_MENSAL!E51</f>
        <v>0</v>
      </c>
      <c r="D57" s="32" t="n">
        <f aca="false">FLUXO_MENSAL!F51</f>
        <v>0</v>
      </c>
      <c r="E57" s="19" t="n">
        <f aca="false">IF(FLUXO_MENSAL!H51&gt;0,FLUXO_MENSAL!G51,0)</f>
        <v>0</v>
      </c>
      <c r="F57" s="19" t="n">
        <f aca="false">C57+D57+E57</f>
        <v>0</v>
      </c>
      <c r="G57" s="19" t="n">
        <f aca="false">B57-F57</f>
        <v>0</v>
      </c>
      <c r="H57" s="33" t="str">
        <f aca="false">IF(A57="","",IF(C57+D57&gt;B57+1,"⚠ Realizado + compromissos acima da projeção",IF(AND(FLUXO_MENSAL!G51&gt;1,FLUXO_MENSAL!H51=0),"⚠ Saldo sem curva (preencha CURVA)",IF(ABS(G57)&gt;1,"⚠ Verificar","OK"))))</f>
        <v/>
      </c>
      <c r="I57" s="19" t="n">
        <f aca="false">FLUXO_MENSAL!I51-F57</f>
        <v>0</v>
      </c>
    </row>
    <row r="58" customFormat="false" ht="15" hidden="false" customHeight="false" outlineLevel="0" collapsed="false">
      <c r="A58" s="31" t="str">
        <f aca="false">FLUXO_MENSAL!B52</f>
        <v/>
      </c>
      <c r="B58" s="32" t="n">
        <f aca="false">FLUXO_MENSAL!D52</f>
        <v>0</v>
      </c>
      <c r="C58" s="32" t="n">
        <f aca="false">FLUXO_MENSAL!E52</f>
        <v>0</v>
      </c>
      <c r="D58" s="32" t="n">
        <f aca="false">FLUXO_MENSAL!F52</f>
        <v>0</v>
      </c>
      <c r="E58" s="19" t="n">
        <f aca="false">IF(FLUXO_MENSAL!H52&gt;0,FLUXO_MENSAL!G52,0)</f>
        <v>0</v>
      </c>
      <c r="F58" s="19" t="n">
        <f aca="false">C58+D58+E58</f>
        <v>0</v>
      </c>
      <c r="G58" s="19" t="n">
        <f aca="false">B58-F58</f>
        <v>0</v>
      </c>
      <c r="H58" s="33" t="str">
        <f aca="false">IF(A58="","",IF(C58+D58&gt;B58+1,"⚠ Realizado + compromissos acima da projeção",IF(AND(FLUXO_MENSAL!G52&gt;1,FLUXO_MENSAL!H52=0),"⚠ Saldo sem curva (preencha CURVA)",IF(ABS(G58)&gt;1,"⚠ Verificar","OK"))))</f>
        <v/>
      </c>
      <c r="I58" s="19" t="n">
        <f aca="false">FLUXO_MENSAL!I52-F58</f>
        <v>0</v>
      </c>
    </row>
    <row r="59" customFormat="false" ht="15" hidden="false" customHeight="false" outlineLevel="0" collapsed="false">
      <c r="A59" s="31" t="str">
        <f aca="false">FLUXO_MENSAL!B53</f>
        <v/>
      </c>
      <c r="B59" s="32" t="n">
        <f aca="false">FLUXO_MENSAL!D53</f>
        <v>0</v>
      </c>
      <c r="C59" s="32" t="n">
        <f aca="false">FLUXO_MENSAL!E53</f>
        <v>0</v>
      </c>
      <c r="D59" s="32" t="n">
        <f aca="false">FLUXO_MENSAL!F53</f>
        <v>0</v>
      </c>
      <c r="E59" s="19" t="n">
        <f aca="false">IF(FLUXO_MENSAL!H53&gt;0,FLUXO_MENSAL!G53,0)</f>
        <v>0</v>
      </c>
      <c r="F59" s="19" t="n">
        <f aca="false">C59+D59+E59</f>
        <v>0</v>
      </c>
      <c r="G59" s="19" t="n">
        <f aca="false">B59-F59</f>
        <v>0</v>
      </c>
      <c r="H59" s="33" t="str">
        <f aca="false">IF(A59="","",IF(C59+D59&gt;B59+1,"⚠ Realizado + compromissos acima da projeção",IF(AND(FLUXO_MENSAL!G53&gt;1,FLUXO_MENSAL!H53=0),"⚠ Saldo sem curva (preencha CURVA)",IF(ABS(G59)&gt;1,"⚠ Verificar","OK"))))</f>
        <v/>
      </c>
      <c r="I59" s="19" t="n">
        <f aca="false">FLUXO_MENSAL!I53-F59</f>
        <v>0</v>
      </c>
    </row>
    <row r="60" customFormat="false" ht="15" hidden="false" customHeight="false" outlineLevel="0" collapsed="false">
      <c r="A60" s="31" t="str">
        <f aca="false">FLUXO_MENSAL!B54</f>
        <v/>
      </c>
      <c r="B60" s="32" t="n">
        <f aca="false">FLUXO_MENSAL!D54</f>
        <v>0</v>
      </c>
      <c r="C60" s="32" t="n">
        <f aca="false">FLUXO_MENSAL!E54</f>
        <v>0</v>
      </c>
      <c r="D60" s="32" t="n">
        <f aca="false">FLUXO_MENSAL!F54</f>
        <v>0</v>
      </c>
      <c r="E60" s="19" t="n">
        <f aca="false">IF(FLUXO_MENSAL!H54&gt;0,FLUXO_MENSAL!G54,0)</f>
        <v>0</v>
      </c>
      <c r="F60" s="19" t="n">
        <f aca="false">C60+D60+E60</f>
        <v>0</v>
      </c>
      <c r="G60" s="19" t="n">
        <f aca="false">B60-F60</f>
        <v>0</v>
      </c>
      <c r="H60" s="33" t="str">
        <f aca="false">IF(A60="","",IF(C60+D60&gt;B60+1,"⚠ Realizado + compromissos acima da projeção",IF(AND(FLUXO_MENSAL!G54&gt;1,FLUXO_MENSAL!H54=0),"⚠ Saldo sem curva (preencha CURVA)",IF(ABS(G60)&gt;1,"⚠ Verificar","OK"))))</f>
        <v/>
      </c>
      <c r="I60" s="19" t="n">
        <f aca="false">FLUXO_MENSAL!I54-F60</f>
        <v>0</v>
      </c>
    </row>
    <row r="61" customFormat="false" ht="15" hidden="false" customHeight="false" outlineLevel="0" collapsed="false">
      <c r="A61" s="31" t="str">
        <f aca="false">FLUXO_MENSAL!B55</f>
        <v/>
      </c>
      <c r="B61" s="32" t="n">
        <f aca="false">FLUXO_MENSAL!D55</f>
        <v>0</v>
      </c>
      <c r="C61" s="32" t="n">
        <f aca="false">FLUXO_MENSAL!E55</f>
        <v>0</v>
      </c>
      <c r="D61" s="32" t="n">
        <f aca="false">FLUXO_MENSAL!F55</f>
        <v>0</v>
      </c>
      <c r="E61" s="19" t="n">
        <f aca="false">IF(FLUXO_MENSAL!H55&gt;0,FLUXO_MENSAL!G55,0)</f>
        <v>0</v>
      </c>
      <c r="F61" s="19" t="n">
        <f aca="false">C61+D61+E61</f>
        <v>0</v>
      </c>
      <c r="G61" s="19" t="n">
        <f aca="false">B61-F61</f>
        <v>0</v>
      </c>
      <c r="H61" s="33" t="str">
        <f aca="false">IF(A61="","",IF(C61+D61&gt;B61+1,"⚠ Realizado + compromissos acima da projeção",IF(AND(FLUXO_MENSAL!G55&gt;1,FLUXO_MENSAL!H55=0),"⚠ Saldo sem curva (preencha CURVA)",IF(ABS(G61)&gt;1,"⚠ Verificar","OK"))))</f>
        <v/>
      </c>
      <c r="I61" s="19" t="n">
        <f aca="false">FLUXO_MENSAL!I55-F61</f>
        <v>0</v>
      </c>
    </row>
    <row r="62" customFormat="false" ht="15" hidden="false" customHeight="false" outlineLevel="0" collapsed="false">
      <c r="A62" s="31" t="str">
        <f aca="false">FLUXO_MENSAL!B56</f>
        <v/>
      </c>
      <c r="B62" s="32" t="n">
        <f aca="false">FLUXO_MENSAL!D56</f>
        <v>0</v>
      </c>
      <c r="C62" s="32" t="n">
        <f aca="false">FLUXO_MENSAL!E56</f>
        <v>0</v>
      </c>
      <c r="D62" s="32" t="n">
        <f aca="false">FLUXO_MENSAL!F56</f>
        <v>0</v>
      </c>
      <c r="E62" s="19" t="n">
        <f aca="false">IF(FLUXO_MENSAL!H56&gt;0,FLUXO_MENSAL!G56,0)</f>
        <v>0</v>
      </c>
      <c r="F62" s="19" t="n">
        <f aca="false">C62+D62+E62</f>
        <v>0</v>
      </c>
      <c r="G62" s="19" t="n">
        <f aca="false">B62-F62</f>
        <v>0</v>
      </c>
      <c r="H62" s="33" t="str">
        <f aca="false">IF(A62="","",IF(C62+D62&gt;B62+1,"⚠ Realizado + compromissos acima da projeção",IF(AND(FLUXO_MENSAL!G56&gt;1,FLUXO_MENSAL!H56=0),"⚠ Saldo sem curva (preencha CURVA)",IF(ABS(G62)&gt;1,"⚠ Verificar","OK"))))</f>
        <v/>
      </c>
      <c r="I62" s="19" t="n">
        <f aca="false">FLUXO_MENSAL!I56-F62</f>
        <v>0</v>
      </c>
    </row>
    <row r="63" customFormat="false" ht="15" hidden="false" customHeight="false" outlineLevel="0" collapsed="false">
      <c r="A63" s="31" t="str">
        <f aca="false">FLUXO_MENSAL!B57</f>
        <v/>
      </c>
      <c r="B63" s="32" t="n">
        <f aca="false">FLUXO_MENSAL!D57</f>
        <v>0</v>
      </c>
      <c r="C63" s="32" t="n">
        <f aca="false">FLUXO_MENSAL!E57</f>
        <v>0</v>
      </c>
      <c r="D63" s="32" t="n">
        <f aca="false">FLUXO_MENSAL!F57</f>
        <v>0</v>
      </c>
      <c r="E63" s="19" t="n">
        <f aca="false">IF(FLUXO_MENSAL!H57&gt;0,FLUXO_MENSAL!G57,0)</f>
        <v>0</v>
      </c>
      <c r="F63" s="19" t="n">
        <f aca="false">C63+D63+E63</f>
        <v>0</v>
      </c>
      <c r="G63" s="19" t="n">
        <f aca="false">B63-F63</f>
        <v>0</v>
      </c>
      <c r="H63" s="33" t="str">
        <f aca="false">IF(A63="","",IF(C63+D63&gt;B63+1,"⚠ Realizado + compromissos acima da projeção",IF(AND(FLUXO_MENSAL!G57&gt;1,FLUXO_MENSAL!H57=0),"⚠ Saldo sem curva (preencha CURVA)",IF(ABS(G63)&gt;1,"⚠ Verificar","OK"))))</f>
        <v/>
      </c>
      <c r="I63" s="19" t="n">
        <f aca="false">FLUXO_MENSAL!I57-F63</f>
        <v>0</v>
      </c>
    </row>
    <row r="64" customFormat="false" ht="15" hidden="false" customHeight="false" outlineLevel="0" collapsed="false">
      <c r="A64" s="3" t="s">
        <v>173</v>
      </c>
      <c r="B64" s="20" t="n">
        <f aca="false">SUM(B14:B63)</f>
        <v>159333109.97</v>
      </c>
      <c r="C64" s="20" t="n">
        <f aca="false">SUM(C14:C63)</f>
        <v>21047425.43</v>
      </c>
      <c r="D64" s="20" t="n">
        <f aca="false">SUM(D14:D63)</f>
        <v>3113839.31</v>
      </c>
      <c r="E64" s="20" t="n">
        <f aca="false">SUM(E14:E63)</f>
        <v>134729674.42</v>
      </c>
      <c r="F64" s="20" t="n">
        <f aca="false">SUM(F14:F63)</f>
        <v>158890939.16</v>
      </c>
      <c r="G64" s="20" t="n">
        <f aca="false">SUM(G14:G63)</f>
        <v>442170.81</v>
      </c>
      <c r="H64" s="7"/>
      <c r="I64" s="20" t="n">
        <f aca="false">SUM(I14:I63)</f>
        <v>0</v>
      </c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conditionalFormatting sqref="D4:D10">
    <cfRule type="expression" priority="2" aboveAverage="0" equalAverage="0" bottom="0" percent="0" rank="0" text="" dxfId="5">
      <formula>LEFT(D4,1)="⚠"</formula>
    </cfRule>
    <cfRule type="cellIs" priority="3" operator="equal" aboveAverage="0" equalAverage="0" bottom="0" percent="0" rank="0" text="" dxfId="7">
      <formula>"OK"</formula>
    </cfRule>
  </conditionalFormatting>
  <conditionalFormatting sqref="H14:H63">
    <cfRule type="expression" priority="4" aboveAverage="0" equalAverage="0" bottom="0" percent="0" rank="0" text="" dxfId="5">
      <formula>LEFT(H14,1)="⚠"</formula>
    </cfRule>
    <cfRule type="cellIs" priority="5" operator="equal" aboveAverage="0" equalAverage="0" bottom="0" percent="0" rank="0" text="" dxfId="7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9" min="4" style="0" width="15"/>
    <col collapsed="false" customWidth="true" hidden="false" outlineLevel="0" max="81" min="10" style="0" width="11.5"/>
  </cols>
  <sheetData>
    <row r="1" customFormat="false" ht="17.35" hidden="false" customHeight="false" outlineLevel="0" collapsed="false">
      <c r="A1" s="1" t="s">
        <v>216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customFormat="false" ht="15" hidden="false" customHeight="false" outlineLevel="0" collapsed="false">
      <c r="A2" s="8" t="s">
        <v>217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3" t="s">
        <v>218</v>
      </c>
      <c r="I5" s="7"/>
      <c r="J5" s="34" t="str">
        <f aca="false">IF(J$7&lt;=PARAMETROS!$C$12,"Realizado","Projetado")</f>
        <v>Realizado</v>
      </c>
      <c r="K5" s="34" t="str">
        <f aca="false">IF(K$7&lt;=PARAMETROS!$C$12,"Realizado","Projetado")</f>
        <v>Realizado</v>
      </c>
      <c r="L5" s="34" t="str">
        <f aca="false">IF(L$7&lt;=PARAMETROS!$C$12,"Realizado","Projetado")</f>
        <v>Realizado</v>
      </c>
      <c r="M5" s="34" t="str">
        <f aca="false">IF(M$7&lt;=PARAMETROS!$C$12,"Realizado","Projetado")</f>
        <v>Realizado</v>
      </c>
      <c r="N5" s="34" t="str">
        <f aca="false">IF(N$7&lt;=PARAMETROS!$C$12,"Realizado","Projetado")</f>
        <v>Realizado</v>
      </c>
      <c r="O5" s="34" t="str">
        <f aca="false">IF(O$7&lt;=PARAMETROS!$C$12,"Realizado","Projetado")</f>
        <v>Realizado</v>
      </c>
      <c r="P5" s="34" t="str">
        <f aca="false">IF(P$7&lt;=PARAMETROS!$C$12,"Realizado","Projetado")</f>
        <v>Realizado</v>
      </c>
      <c r="Q5" s="34" t="str">
        <f aca="false">IF(Q$7&lt;=PARAMETROS!$C$12,"Realizado","Projetado")</f>
        <v>Realizado</v>
      </c>
      <c r="R5" s="34" t="str">
        <f aca="false">IF(R$7&lt;=PARAMETROS!$C$12,"Realizado","Projetado")</f>
        <v>Realizado</v>
      </c>
      <c r="S5" s="34" t="str">
        <f aca="false">IF(S$7&lt;=PARAMETROS!$C$12,"Realizado","Projetado")</f>
        <v>Realizado</v>
      </c>
      <c r="T5" s="34" t="str">
        <f aca="false">IF(T$7&lt;=PARAMETROS!$C$12,"Realizado","Projetado")</f>
        <v>Realizado</v>
      </c>
      <c r="U5" s="34" t="str">
        <f aca="false">IF(U$7&lt;=PARAMETROS!$C$12,"Realizado","Projetado")</f>
        <v>Realizado</v>
      </c>
      <c r="V5" s="34" t="str">
        <f aca="false">IF(V$7&lt;=PARAMETROS!$C$12,"Realizado","Projetado")</f>
        <v>Realizado</v>
      </c>
      <c r="W5" s="34" t="str">
        <f aca="false">IF(W$7&lt;=PARAMETROS!$C$12,"Realizado","Projetado")</f>
        <v>Realizado</v>
      </c>
      <c r="X5" s="34" t="str">
        <f aca="false">IF(X$7&lt;=PARAMETROS!$C$12,"Realizado","Projetado")</f>
        <v>Realizado</v>
      </c>
      <c r="Y5" s="34" t="str">
        <f aca="false">IF(Y$7&lt;=PARAMETROS!$C$12,"Realizado","Projetado")</f>
        <v>Realizado</v>
      </c>
      <c r="Z5" s="34" t="str">
        <f aca="false">IF(Z$7&lt;=PARAMETROS!$C$12,"Realizado","Projetado")</f>
        <v>Realizado</v>
      </c>
      <c r="AA5" s="34" t="str">
        <f aca="false">IF(AA$7&lt;=PARAMETROS!$C$12,"Realizado","Projetado")</f>
        <v>Realizado</v>
      </c>
      <c r="AB5" s="34" t="str">
        <f aca="false">IF(AB$7&lt;=PARAMETROS!$C$12,"Realizado","Projetado")</f>
        <v>Realizado</v>
      </c>
      <c r="AC5" s="34" t="str">
        <f aca="false">IF(AC$7&lt;=PARAMETROS!$C$12,"Realizado","Projetado")</f>
        <v>Realizado</v>
      </c>
      <c r="AD5" s="34" t="str">
        <f aca="false">IF(AD$7&lt;=PARAMETROS!$C$12,"Realizado","Projetado")</f>
        <v>Realizado</v>
      </c>
      <c r="AE5" s="34" t="str">
        <f aca="false">IF(AE$7&lt;=PARAMETROS!$C$12,"Realizado","Projetado")</f>
        <v>Projetado</v>
      </c>
      <c r="AF5" s="34" t="str">
        <f aca="false">IF(AF$7&lt;=PARAMETROS!$C$12,"Realizado","Projetado")</f>
        <v>Projetado</v>
      </c>
      <c r="AG5" s="34" t="str">
        <f aca="false">IF(AG$7&lt;=PARAMETROS!$C$12,"Realizado","Projetado")</f>
        <v>Projetado</v>
      </c>
      <c r="AH5" s="34" t="str">
        <f aca="false">IF(AH$7&lt;=PARAMETROS!$C$12,"Realizado","Projetado")</f>
        <v>Projetado</v>
      </c>
      <c r="AI5" s="34" t="str">
        <f aca="false">IF(AI$7&lt;=PARAMETROS!$C$12,"Realizado","Projetado")</f>
        <v>Projetado</v>
      </c>
      <c r="AJ5" s="34" t="str">
        <f aca="false">IF(AJ$7&lt;=PARAMETROS!$C$12,"Realizado","Projetado")</f>
        <v>Projetado</v>
      </c>
      <c r="AK5" s="34" t="str">
        <f aca="false">IF(AK$7&lt;=PARAMETROS!$C$12,"Realizado","Projetado")</f>
        <v>Projetado</v>
      </c>
      <c r="AL5" s="34" t="str">
        <f aca="false">IF(AL$7&lt;=PARAMETROS!$C$12,"Realizado","Projetado")</f>
        <v>Projetado</v>
      </c>
      <c r="AM5" s="34" t="str">
        <f aca="false">IF(AM$7&lt;=PARAMETROS!$C$12,"Realizado","Projetado")</f>
        <v>Projetado</v>
      </c>
      <c r="AN5" s="34" t="str">
        <f aca="false">IF(AN$7&lt;=PARAMETROS!$C$12,"Realizado","Projetado")</f>
        <v>Projetado</v>
      </c>
      <c r="AO5" s="34" t="str">
        <f aca="false">IF(AO$7&lt;=PARAMETROS!$C$12,"Realizado","Projetado")</f>
        <v>Projetado</v>
      </c>
      <c r="AP5" s="34" t="str">
        <f aca="false">IF(AP$7&lt;=PARAMETROS!$C$12,"Realizado","Projetado")</f>
        <v>Projetado</v>
      </c>
      <c r="AQ5" s="34" t="str">
        <f aca="false">IF(AQ$7&lt;=PARAMETROS!$C$12,"Realizado","Projetado")</f>
        <v>Projetado</v>
      </c>
      <c r="AR5" s="34" t="str">
        <f aca="false">IF(AR$7&lt;=PARAMETROS!$C$12,"Realizado","Projetado")</f>
        <v>Projetado</v>
      </c>
      <c r="AS5" s="34" t="str">
        <f aca="false">IF(AS$7&lt;=PARAMETROS!$C$12,"Realizado","Projetado")</f>
        <v>Projetado</v>
      </c>
      <c r="AT5" s="34" t="str">
        <f aca="false">IF(AT$7&lt;=PARAMETROS!$C$12,"Realizado","Projetado")</f>
        <v>Projetado</v>
      </c>
      <c r="AU5" s="34" t="str">
        <f aca="false">IF(AU$7&lt;=PARAMETROS!$C$12,"Realizado","Projetado")</f>
        <v>Projetado</v>
      </c>
      <c r="AV5" s="34" t="str">
        <f aca="false">IF(AV$7&lt;=PARAMETROS!$C$12,"Realizado","Projetado")</f>
        <v>Projetado</v>
      </c>
      <c r="AW5" s="34" t="str">
        <f aca="false">IF(AW$7&lt;=PARAMETROS!$C$12,"Realizado","Projetado")</f>
        <v>Projetado</v>
      </c>
      <c r="AX5" s="34" t="str">
        <f aca="false">IF(AX$7&lt;=PARAMETROS!$C$12,"Realizado","Projetado")</f>
        <v>Projetado</v>
      </c>
      <c r="AY5" s="34" t="str">
        <f aca="false">IF(AY$7&lt;=PARAMETROS!$C$12,"Realizado","Projetado")</f>
        <v>Projetado</v>
      </c>
      <c r="AZ5" s="34" t="str">
        <f aca="false">IF(AZ$7&lt;=PARAMETROS!$C$12,"Realizado","Projetado")</f>
        <v>Projetado</v>
      </c>
      <c r="BA5" s="34" t="str">
        <f aca="false">IF(BA$7&lt;=PARAMETROS!$C$12,"Realizado","Projetado")</f>
        <v>Projetado</v>
      </c>
      <c r="BB5" s="34" t="str">
        <f aca="false">IF(BB$7&lt;=PARAMETROS!$C$12,"Realizado","Projetado")</f>
        <v>Projetado</v>
      </c>
      <c r="BC5" s="34" t="str">
        <f aca="false">IF(BC$7&lt;=PARAMETROS!$C$12,"Realizado","Projetado")</f>
        <v>Projetado</v>
      </c>
      <c r="BD5" s="34" t="str">
        <f aca="false">IF(BD$7&lt;=PARAMETROS!$C$12,"Realizado","Projetado")</f>
        <v>Projetado</v>
      </c>
      <c r="BE5" s="34" t="str">
        <f aca="false">IF(BE$7&lt;=PARAMETROS!$C$12,"Realizado","Projetado")</f>
        <v>Projetado</v>
      </c>
      <c r="BF5" s="34" t="str">
        <f aca="false">IF(BF$7&lt;=PARAMETROS!$C$12,"Realizado","Projetado")</f>
        <v>Projetado</v>
      </c>
      <c r="BG5" s="34" t="str">
        <f aca="false">IF(BG$7&lt;=PARAMETROS!$C$12,"Realizado","Projetado")</f>
        <v>Projetado</v>
      </c>
      <c r="BH5" s="34" t="str">
        <f aca="false">IF(BH$7&lt;=PARAMETROS!$C$12,"Realizado","Projetado")</f>
        <v>Projetado</v>
      </c>
      <c r="BI5" s="34" t="str">
        <f aca="false">IF(BI$7&lt;=PARAMETROS!$C$12,"Realizado","Projetado")</f>
        <v>Projetado</v>
      </c>
      <c r="BJ5" s="34" t="str">
        <f aca="false">IF(BJ$7&lt;=PARAMETROS!$C$12,"Realizado","Projetado")</f>
        <v>Projetado</v>
      </c>
      <c r="BK5" s="34" t="str">
        <f aca="false">IF(BK$7&lt;=PARAMETROS!$C$12,"Realizado","Projetado")</f>
        <v>Projetado</v>
      </c>
      <c r="BL5" s="34" t="str">
        <f aca="false">IF(BL$7&lt;=PARAMETROS!$C$12,"Realizado","Projetado")</f>
        <v>Projetado</v>
      </c>
      <c r="BM5" s="34" t="str">
        <f aca="false">IF(BM$7&lt;=PARAMETROS!$C$12,"Realizado","Projetado")</f>
        <v>Projetado</v>
      </c>
      <c r="BN5" s="34" t="str">
        <f aca="false">IF(BN$7&lt;=PARAMETROS!$C$12,"Realizado","Projetado")</f>
        <v>Projetado</v>
      </c>
      <c r="BO5" s="34" t="str">
        <f aca="false">IF(BO$7&lt;=PARAMETROS!$C$12,"Realizado","Projetado")</f>
        <v>Projetado</v>
      </c>
      <c r="BP5" s="34" t="str">
        <f aca="false">IF(BP$7&lt;=PARAMETROS!$C$12,"Realizado","Projetado")</f>
        <v>Projetado</v>
      </c>
      <c r="BQ5" s="34" t="str">
        <f aca="false">IF(BQ$7&lt;=PARAMETROS!$C$12,"Realizado","Projetado")</f>
        <v>Projetado</v>
      </c>
      <c r="BR5" s="34" t="str">
        <f aca="false">IF(BR$7&lt;=PARAMETROS!$C$12,"Realizado","Projetado")</f>
        <v>Projetado</v>
      </c>
      <c r="BS5" s="34" t="str">
        <f aca="false">IF(BS$7&lt;=PARAMETROS!$C$12,"Realizado","Projetado")</f>
        <v>Projetado</v>
      </c>
      <c r="BT5" s="34" t="str">
        <f aca="false">IF(BT$7&lt;=PARAMETROS!$C$12,"Realizado","Projetado")</f>
        <v>Projetado</v>
      </c>
      <c r="BU5" s="34" t="str">
        <f aca="false">IF(BU$7&lt;=PARAMETROS!$C$12,"Realizado","Projetado")</f>
        <v>Projetado</v>
      </c>
      <c r="BV5" s="34" t="str">
        <f aca="false">IF(BV$7&lt;=PARAMETROS!$C$12,"Realizado","Projetado")</f>
        <v>Projetado</v>
      </c>
      <c r="BW5" s="34" t="str">
        <f aca="false">IF(BW$7&lt;=PARAMETROS!$C$12,"Realizado","Projetado")</f>
        <v>Projetado</v>
      </c>
      <c r="BX5" s="34" t="str">
        <f aca="false">IF(BX$7&lt;=PARAMETROS!$C$12,"Realizado","Projetado")</f>
        <v>Projetado</v>
      </c>
      <c r="BY5" s="34" t="str">
        <f aca="false">IF(BY$7&lt;=PARAMETROS!$C$12,"Realizado","Projetado")</f>
        <v>Projetado</v>
      </c>
      <c r="BZ5" s="34" t="str">
        <f aca="false">IF(BZ$7&lt;=PARAMETROS!$C$12,"Realizado","Projetado")</f>
        <v>Projetado</v>
      </c>
      <c r="CA5" s="34" t="str">
        <f aca="false">IF(CA$7&lt;=PARAMETROS!$C$12,"Realizado","Projetado")</f>
        <v>Projetado</v>
      </c>
      <c r="CB5" s="34" t="str">
        <f aca="false">IF(CB$7&lt;=PARAMETROS!$C$12,"Realizado","Projetado")</f>
        <v>Projetado</v>
      </c>
      <c r="CC5" s="34" t="str">
        <f aca="false">IF(CC$7&lt;=PARAMETROS!$C$12,"Realizado","Projetado")</f>
        <v>Projetado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3" t="s">
        <v>219</v>
      </c>
      <c r="I6" s="7"/>
      <c r="J6" s="35" t="n">
        <f aca="false">IF(J$7&lt;=PARAMETROS!$C$12,1,(1+PARAMETROS!$C$8)^(((YEAR(J$7)-YEAR(PARAMETROS!$C$12))*12+MONTH(J$7)-MONTH(PARAMETROS!$C$12))/12))</f>
        <v>1</v>
      </c>
      <c r="K6" s="35" t="n">
        <f aca="false">IF(K$7&lt;=PARAMETROS!$C$12,1,(1+PARAMETROS!$C$8)^(((YEAR(K$7)-YEAR(PARAMETROS!$C$12))*12+MONTH(K$7)-MONTH(PARAMETROS!$C$12))/12))</f>
        <v>1</v>
      </c>
      <c r="L6" s="35" t="n">
        <f aca="false">IF(L$7&lt;=PARAMETROS!$C$12,1,(1+PARAMETROS!$C$8)^(((YEAR(L$7)-YEAR(PARAMETROS!$C$12))*12+MONTH(L$7)-MONTH(PARAMETROS!$C$12))/12))</f>
        <v>1</v>
      </c>
      <c r="M6" s="35" t="n">
        <f aca="false">IF(M$7&lt;=PARAMETROS!$C$12,1,(1+PARAMETROS!$C$8)^(((YEAR(M$7)-YEAR(PARAMETROS!$C$12))*12+MONTH(M$7)-MONTH(PARAMETROS!$C$12))/12))</f>
        <v>1</v>
      </c>
      <c r="N6" s="35" t="n">
        <f aca="false">IF(N$7&lt;=PARAMETROS!$C$12,1,(1+PARAMETROS!$C$8)^(((YEAR(N$7)-YEAR(PARAMETROS!$C$12))*12+MONTH(N$7)-MONTH(PARAMETROS!$C$12))/12))</f>
        <v>1</v>
      </c>
      <c r="O6" s="35" t="n">
        <f aca="false">IF(O$7&lt;=PARAMETROS!$C$12,1,(1+PARAMETROS!$C$8)^(((YEAR(O$7)-YEAR(PARAMETROS!$C$12))*12+MONTH(O$7)-MONTH(PARAMETROS!$C$12))/12))</f>
        <v>1</v>
      </c>
      <c r="P6" s="35" t="n">
        <f aca="false">IF(P$7&lt;=PARAMETROS!$C$12,1,(1+PARAMETROS!$C$8)^(((YEAR(P$7)-YEAR(PARAMETROS!$C$12))*12+MONTH(P$7)-MONTH(PARAMETROS!$C$12))/12))</f>
        <v>1</v>
      </c>
      <c r="Q6" s="35" t="n">
        <f aca="false">IF(Q$7&lt;=PARAMETROS!$C$12,1,(1+PARAMETROS!$C$8)^(((YEAR(Q$7)-YEAR(PARAMETROS!$C$12))*12+MONTH(Q$7)-MONTH(PARAMETROS!$C$12))/12))</f>
        <v>1</v>
      </c>
      <c r="R6" s="35" t="n">
        <f aca="false">IF(R$7&lt;=PARAMETROS!$C$12,1,(1+PARAMETROS!$C$8)^(((YEAR(R$7)-YEAR(PARAMETROS!$C$12))*12+MONTH(R$7)-MONTH(PARAMETROS!$C$12))/12))</f>
        <v>1</v>
      </c>
      <c r="S6" s="35" t="n">
        <f aca="false">IF(S$7&lt;=PARAMETROS!$C$12,1,(1+PARAMETROS!$C$8)^(((YEAR(S$7)-YEAR(PARAMETROS!$C$12))*12+MONTH(S$7)-MONTH(PARAMETROS!$C$12))/12))</f>
        <v>1</v>
      </c>
      <c r="T6" s="35" t="n">
        <f aca="false">IF(T$7&lt;=PARAMETROS!$C$12,1,(1+PARAMETROS!$C$8)^(((YEAR(T$7)-YEAR(PARAMETROS!$C$12))*12+MONTH(T$7)-MONTH(PARAMETROS!$C$12))/12))</f>
        <v>1</v>
      </c>
      <c r="U6" s="35" t="n">
        <f aca="false">IF(U$7&lt;=PARAMETROS!$C$12,1,(1+PARAMETROS!$C$8)^(((YEAR(U$7)-YEAR(PARAMETROS!$C$12))*12+MONTH(U$7)-MONTH(PARAMETROS!$C$12))/12))</f>
        <v>1</v>
      </c>
      <c r="V6" s="35" t="n">
        <f aca="false">IF(V$7&lt;=PARAMETROS!$C$12,1,(1+PARAMETROS!$C$8)^(((YEAR(V$7)-YEAR(PARAMETROS!$C$12))*12+MONTH(V$7)-MONTH(PARAMETROS!$C$12))/12))</f>
        <v>1</v>
      </c>
      <c r="W6" s="35" t="n">
        <f aca="false">IF(W$7&lt;=PARAMETROS!$C$12,1,(1+PARAMETROS!$C$8)^(((YEAR(W$7)-YEAR(PARAMETROS!$C$12))*12+MONTH(W$7)-MONTH(PARAMETROS!$C$12))/12))</f>
        <v>1</v>
      </c>
      <c r="X6" s="35" t="n">
        <f aca="false">IF(X$7&lt;=PARAMETROS!$C$12,1,(1+PARAMETROS!$C$8)^(((YEAR(X$7)-YEAR(PARAMETROS!$C$12))*12+MONTH(X$7)-MONTH(PARAMETROS!$C$12))/12))</f>
        <v>1</v>
      </c>
      <c r="Y6" s="35" t="n">
        <f aca="false">IF(Y$7&lt;=PARAMETROS!$C$12,1,(1+PARAMETROS!$C$8)^(((YEAR(Y$7)-YEAR(PARAMETROS!$C$12))*12+MONTH(Y$7)-MONTH(PARAMETROS!$C$12))/12))</f>
        <v>1</v>
      </c>
      <c r="Z6" s="35" t="n">
        <f aca="false">IF(Z$7&lt;=PARAMETROS!$C$12,1,(1+PARAMETROS!$C$8)^(((YEAR(Z$7)-YEAR(PARAMETROS!$C$12))*12+MONTH(Z$7)-MONTH(PARAMETROS!$C$12))/12))</f>
        <v>1</v>
      </c>
      <c r="AA6" s="35" t="n">
        <f aca="false">IF(AA$7&lt;=PARAMETROS!$C$12,1,(1+PARAMETROS!$C$8)^(((YEAR(AA$7)-YEAR(PARAMETROS!$C$12))*12+MONTH(AA$7)-MONTH(PARAMETROS!$C$12))/12))</f>
        <v>1</v>
      </c>
      <c r="AB6" s="35" t="n">
        <f aca="false">IF(AB$7&lt;=PARAMETROS!$C$12,1,(1+PARAMETROS!$C$8)^(((YEAR(AB$7)-YEAR(PARAMETROS!$C$12))*12+MONTH(AB$7)-MONTH(PARAMETROS!$C$12))/12))</f>
        <v>1</v>
      </c>
      <c r="AC6" s="35" t="n">
        <f aca="false">IF(AC$7&lt;=PARAMETROS!$C$12,1,(1+PARAMETROS!$C$8)^(((YEAR(AC$7)-YEAR(PARAMETROS!$C$12))*12+MONTH(AC$7)-MONTH(PARAMETROS!$C$12))/12))</f>
        <v>1</v>
      </c>
      <c r="AD6" s="35" t="n">
        <f aca="false">IF(AD$7&lt;=PARAMETROS!$C$12,1,(1+PARAMETROS!$C$8)^(((YEAR(AD$7)-YEAR(PARAMETROS!$C$12))*12+MONTH(AD$7)-MONTH(PARAMETROS!$C$12))/12))</f>
        <v>1</v>
      </c>
      <c r="AE6" s="35" t="n">
        <f aca="false">IF(AE$7&lt;=PARAMETROS!$C$12,1,(1+PARAMETROS!$C$8)^(((YEAR(AE$7)-YEAR(PARAMETROS!$C$12))*12+MONTH(AE$7)-MONTH(PARAMETROS!$C$12))/12))</f>
        <v>1</v>
      </c>
      <c r="AF6" s="35" t="n">
        <f aca="false">IF(AF$7&lt;=PARAMETROS!$C$12,1,(1+PARAMETROS!$C$8)^(((YEAR(AF$7)-YEAR(PARAMETROS!$C$12))*12+MONTH(AF$7)-MONTH(PARAMETROS!$C$12))/12))</f>
        <v>1</v>
      </c>
      <c r="AG6" s="35" t="n">
        <f aca="false">IF(AG$7&lt;=PARAMETROS!$C$12,1,(1+PARAMETROS!$C$8)^(((YEAR(AG$7)-YEAR(PARAMETROS!$C$12))*12+MONTH(AG$7)-MONTH(PARAMETROS!$C$12))/12))</f>
        <v>1</v>
      </c>
      <c r="AH6" s="35" t="n">
        <f aca="false">IF(AH$7&lt;=PARAMETROS!$C$12,1,(1+PARAMETROS!$C$8)^(((YEAR(AH$7)-YEAR(PARAMETROS!$C$12))*12+MONTH(AH$7)-MONTH(PARAMETROS!$C$12))/12))</f>
        <v>1</v>
      </c>
      <c r="AI6" s="35" t="n">
        <f aca="false">IF(AI$7&lt;=PARAMETROS!$C$12,1,(1+PARAMETROS!$C$8)^(((YEAR(AI$7)-YEAR(PARAMETROS!$C$12))*12+MONTH(AI$7)-MONTH(PARAMETROS!$C$12))/12))</f>
        <v>1</v>
      </c>
      <c r="AJ6" s="35" t="n">
        <f aca="false">IF(AJ$7&lt;=PARAMETROS!$C$12,1,(1+PARAMETROS!$C$8)^(((YEAR(AJ$7)-YEAR(PARAMETROS!$C$12))*12+MONTH(AJ$7)-MONTH(PARAMETROS!$C$12))/12))</f>
        <v>1</v>
      </c>
      <c r="AK6" s="35" t="n">
        <f aca="false">IF(AK$7&lt;=PARAMETROS!$C$12,1,(1+PARAMETROS!$C$8)^(((YEAR(AK$7)-YEAR(PARAMETROS!$C$12))*12+MONTH(AK$7)-MONTH(PARAMETROS!$C$12))/12))</f>
        <v>1</v>
      </c>
      <c r="AL6" s="35" t="n">
        <f aca="false">IF(AL$7&lt;=PARAMETROS!$C$12,1,(1+PARAMETROS!$C$8)^(((YEAR(AL$7)-YEAR(PARAMETROS!$C$12))*12+MONTH(AL$7)-MONTH(PARAMETROS!$C$12))/12))</f>
        <v>1</v>
      </c>
      <c r="AM6" s="35" t="n">
        <f aca="false">IF(AM$7&lt;=PARAMETROS!$C$12,1,(1+PARAMETROS!$C$8)^(((YEAR(AM$7)-YEAR(PARAMETROS!$C$12))*12+MONTH(AM$7)-MONTH(PARAMETROS!$C$12))/12))</f>
        <v>1</v>
      </c>
      <c r="AN6" s="35" t="n">
        <f aca="false">IF(AN$7&lt;=PARAMETROS!$C$12,1,(1+PARAMETROS!$C$8)^(((YEAR(AN$7)-YEAR(PARAMETROS!$C$12))*12+MONTH(AN$7)-MONTH(PARAMETROS!$C$12))/12))</f>
        <v>1</v>
      </c>
      <c r="AO6" s="35" t="n">
        <f aca="false">IF(AO$7&lt;=PARAMETROS!$C$12,1,(1+PARAMETROS!$C$8)^(((YEAR(AO$7)-YEAR(PARAMETROS!$C$12))*12+MONTH(AO$7)-MONTH(PARAMETROS!$C$12))/12))</f>
        <v>1</v>
      </c>
      <c r="AP6" s="35" t="n">
        <f aca="false">IF(AP$7&lt;=PARAMETROS!$C$12,1,(1+PARAMETROS!$C$8)^(((YEAR(AP$7)-YEAR(PARAMETROS!$C$12))*12+MONTH(AP$7)-MONTH(PARAMETROS!$C$12))/12))</f>
        <v>1</v>
      </c>
      <c r="AQ6" s="35" t="n">
        <f aca="false">IF(AQ$7&lt;=PARAMETROS!$C$12,1,(1+PARAMETROS!$C$8)^(((YEAR(AQ$7)-YEAR(PARAMETROS!$C$12))*12+MONTH(AQ$7)-MONTH(PARAMETROS!$C$12))/12))</f>
        <v>1</v>
      </c>
      <c r="AR6" s="35" t="n">
        <f aca="false">IF(AR$7&lt;=PARAMETROS!$C$12,1,(1+PARAMETROS!$C$8)^(((YEAR(AR$7)-YEAR(PARAMETROS!$C$12))*12+MONTH(AR$7)-MONTH(PARAMETROS!$C$12))/12))</f>
        <v>1</v>
      </c>
      <c r="AS6" s="35" t="n">
        <f aca="false">IF(AS$7&lt;=PARAMETROS!$C$12,1,(1+PARAMETROS!$C$8)^(((YEAR(AS$7)-YEAR(PARAMETROS!$C$12))*12+MONTH(AS$7)-MONTH(PARAMETROS!$C$12))/12))</f>
        <v>1</v>
      </c>
      <c r="AT6" s="35" t="n">
        <f aca="false">IF(AT$7&lt;=PARAMETROS!$C$12,1,(1+PARAMETROS!$C$8)^(((YEAR(AT$7)-YEAR(PARAMETROS!$C$12))*12+MONTH(AT$7)-MONTH(PARAMETROS!$C$12))/12))</f>
        <v>1</v>
      </c>
      <c r="AU6" s="35" t="n">
        <f aca="false">IF(AU$7&lt;=PARAMETROS!$C$12,1,(1+PARAMETROS!$C$8)^(((YEAR(AU$7)-YEAR(PARAMETROS!$C$12))*12+MONTH(AU$7)-MONTH(PARAMETROS!$C$12))/12))</f>
        <v>1</v>
      </c>
      <c r="AV6" s="35" t="n">
        <f aca="false">IF(AV$7&lt;=PARAMETROS!$C$12,1,(1+PARAMETROS!$C$8)^(((YEAR(AV$7)-YEAR(PARAMETROS!$C$12))*12+MONTH(AV$7)-MONTH(PARAMETROS!$C$12))/12))</f>
        <v>1</v>
      </c>
      <c r="AW6" s="35" t="n">
        <f aca="false">IF(AW$7&lt;=PARAMETROS!$C$12,1,(1+PARAMETROS!$C$8)^(((YEAR(AW$7)-YEAR(PARAMETROS!$C$12))*12+MONTH(AW$7)-MONTH(PARAMETROS!$C$12))/12))</f>
        <v>1</v>
      </c>
      <c r="AX6" s="35" t="n">
        <f aca="false">IF(AX$7&lt;=PARAMETROS!$C$12,1,(1+PARAMETROS!$C$8)^(((YEAR(AX$7)-YEAR(PARAMETROS!$C$12))*12+MONTH(AX$7)-MONTH(PARAMETROS!$C$12))/12))</f>
        <v>1</v>
      </c>
      <c r="AY6" s="35" t="n">
        <f aca="false">IF(AY$7&lt;=PARAMETROS!$C$12,1,(1+PARAMETROS!$C$8)^(((YEAR(AY$7)-YEAR(PARAMETROS!$C$12))*12+MONTH(AY$7)-MONTH(PARAMETROS!$C$12))/12))</f>
        <v>1</v>
      </c>
      <c r="AZ6" s="35" t="n">
        <f aca="false">IF(AZ$7&lt;=PARAMETROS!$C$12,1,(1+PARAMETROS!$C$8)^(((YEAR(AZ$7)-YEAR(PARAMETROS!$C$12))*12+MONTH(AZ$7)-MONTH(PARAMETROS!$C$12))/12))</f>
        <v>1</v>
      </c>
      <c r="BA6" s="35" t="n">
        <f aca="false">IF(BA$7&lt;=PARAMETROS!$C$12,1,(1+PARAMETROS!$C$8)^(((YEAR(BA$7)-YEAR(PARAMETROS!$C$12))*12+MONTH(BA$7)-MONTH(PARAMETROS!$C$12))/12))</f>
        <v>1</v>
      </c>
      <c r="BB6" s="35" t="n">
        <f aca="false">IF(BB$7&lt;=PARAMETROS!$C$12,1,(1+PARAMETROS!$C$8)^(((YEAR(BB$7)-YEAR(PARAMETROS!$C$12))*12+MONTH(BB$7)-MONTH(PARAMETROS!$C$12))/12))</f>
        <v>1</v>
      </c>
      <c r="BC6" s="35" t="n">
        <f aca="false">IF(BC$7&lt;=PARAMETROS!$C$12,1,(1+PARAMETROS!$C$8)^(((YEAR(BC$7)-YEAR(PARAMETROS!$C$12))*12+MONTH(BC$7)-MONTH(PARAMETROS!$C$12))/12))</f>
        <v>1</v>
      </c>
      <c r="BD6" s="35" t="n">
        <f aca="false">IF(BD$7&lt;=PARAMETROS!$C$12,1,(1+PARAMETROS!$C$8)^(((YEAR(BD$7)-YEAR(PARAMETROS!$C$12))*12+MONTH(BD$7)-MONTH(PARAMETROS!$C$12))/12))</f>
        <v>1</v>
      </c>
      <c r="BE6" s="35" t="n">
        <f aca="false">IF(BE$7&lt;=PARAMETROS!$C$12,1,(1+PARAMETROS!$C$8)^(((YEAR(BE$7)-YEAR(PARAMETROS!$C$12))*12+MONTH(BE$7)-MONTH(PARAMETROS!$C$12))/12))</f>
        <v>1</v>
      </c>
      <c r="BF6" s="35" t="n">
        <f aca="false">IF(BF$7&lt;=PARAMETROS!$C$12,1,(1+PARAMETROS!$C$8)^(((YEAR(BF$7)-YEAR(PARAMETROS!$C$12))*12+MONTH(BF$7)-MONTH(PARAMETROS!$C$12))/12))</f>
        <v>1</v>
      </c>
      <c r="BG6" s="35" t="n">
        <f aca="false">IF(BG$7&lt;=PARAMETROS!$C$12,1,(1+PARAMETROS!$C$8)^(((YEAR(BG$7)-YEAR(PARAMETROS!$C$12))*12+MONTH(BG$7)-MONTH(PARAMETROS!$C$12))/12))</f>
        <v>1</v>
      </c>
      <c r="BH6" s="35" t="n">
        <f aca="false">IF(BH$7&lt;=PARAMETROS!$C$12,1,(1+PARAMETROS!$C$8)^(((YEAR(BH$7)-YEAR(PARAMETROS!$C$12))*12+MONTH(BH$7)-MONTH(PARAMETROS!$C$12))/12))</f>
        <v>1</v>
      </c>
      <c r="BI6" s="35" t="n">
        <f aca="false">IF(BI$7&lt;=PARAMETROS!$C$12,1,(1+PARAMETROS!$C$8)^(((YEAR(BI$7)-YEAR(PARAMETROS!$C$12))*12+MONTH(BI$7)-MONTH(PARAMETROS!$C$12))/12))</f>
        <v>1</v>
      </c>
      <c r="BJ6" s="35" t="n">
        <f aca="false">IF(BJ$7&lt;=PARAMETROS!$C$12,1,(1+PARAMETROS!$C$8)^(((YEAR(BJ$7)-YEAR(PARAMETROS!$C$12))*12+MONTH(BJ$7)-MONTH(PARAMETROS!$C$12))/12))</f>
        <v>1</v>
      </c>
      <c r="BK6" s="35" t="n">
        <f aca="false">IF(BK$7&lt;=PARAMETROS!$C$12,1,(1+PARAMETROS!$C$8)^(((YEAR(BK$7)-YEAR(PARAMETROS!$C$12))*12+MONTH(BK$7)-MONTH(PARAMETROS!$C$12))/12))</f>
        <v>1</v>
      </c>
      <c r="BL6" s="35" t="n">
        <f aca="false">IF(BL$7&lt;=PARAMETROS!$C$12,1,(1+PARAMETROS!$C$8)^(((YEAR(BL$7)-YEAR(PARAMETROS!$C$12))*12+MONTH(BL$7)-MONTH(PARAMETROS!$C$12))/12))</f>
        <v>1</v>
      </c>
      <c r="BM6" s="35" t="n">
        <f aca="false">IF(BM$7&lt;=PARAMETROS!$C$12,1,(1+PARAMETROS!$C$8)^(((YEAR(BM$7)-YEAR(PARAMETROS!$C$12))*12+MONTH(BM$7)-MONTH(PARAMETROS!$C$12))/12))</f>
        <v>1</v>
      </c>
      <c r="BN6" s="35" t="n">
        <f aca="false">IF(BN$7&lt;=PARAMETROS!$C$12,1,(1+PARAMETROS!$C$8)^(((YEAR(BN$7)-YEAR(PARAMETROS!$C$12))*12+MONTH(BN$7)-MONTH(PARAMETROS!$C$12))/12))</f>
        <v>1</v>
      </c>
      <c r="BO6" s="35" t="n">
        <f aca="false">IF(BO$7&lt;=PARAMETROS!$C$12,1,(1+PARAMETROS!$C$8)^(((YEAR(BO$7)-YEAR(PARAMETROS!$C$12))*12+MONTH(BO$7)-MONTH(PARAMETROS!$C$12))/12))</f>
        <v>1</v>
      </c>
      <c r="BP6" s="35" t="n">
        <f aca="false">IF(BP$7&lt;=PARAMETROS!$C$12,1,(1+PARAMETROS!$C$8)^(((YEAR(BP$7)-YEAR(PARAMETROS!$C$12))*12+MONTH(BP$7)-MONTH(PARAMETROS!$C$12))/12))</f>
        <v>1</v>
      </c>
      <c r="BQ6" s="35" t="n">
        <f aca="false">IF(BQ$7&lt;=PARAMETROS!$C$12,1,(1+PARAMETROS!$C$8)^(((YEAR(BQ$7)-YEAR(PARAMETROS!$C$12))*12+MONTH(BQ$7)-MONTH(PARAMETROS!$C$12))/12))</f>
        <v>1</v>
      </c>
      <c r="BR6" s="35" t="n">
        <f aca="false">IF(BR$7&lt;=PARAMETROS!$C$12,1,(1+PARAMETROS!$C$8)^(((YEAR(BR$7)-YEAR(PARAMETROS!$C$12))*12+MONTH(BR$7)-MONTH(PARAMETROS!$C$12))/12))</f>
        <v>1</v>
      </c>
      <c r="BS6" s="35" t="n">
        <f aca="false">IF(BS$7&lt;=PARAMETROS!$C$12,1,(1+PARAMETROS!$C$8)^(((YEAR(BS$7)-YEAR(PARAMETROS!$C$12))*12+MONTH(BS$7)-MONTH(PARAMETROS!$C$12))/12))</f>
        <v>1</v>
      </c>
      <c r="BT6" s="35" t="n">
        <f aca="false">IF(BT$7&lt;=PARAMETROS!$C$12,1,(1+PARAMETROS!$C$8)^(((YEAR(BT$7)-YEAR(PARAMETROS!$C$12))*12+MONTH(BT$7)-MONTH(PARAMETROS!$C$12))/12))</f>
        <v>1</v>
      </c>
      <c r="BU6" s="35" t="n">
        <f aca="false">IF(BU$7&lt;=PARAMETROS!$C$12,1,(1+PARAMETROS!$C$8)^(((YEAR(BU$7)-YEAR(PARAMETROS!$C$12))*12+MONTH(BU$7)-MONTH(PARAMETROS!$C$12))/12))</f>
        <v>1</v>
      </c>
      <c r="BV6" s="35" t="n">
        <f aca="false">IF(BV$7&lt;=PARAMETROS!$C$12,1,(1+PARAMETROS!$C$8)^(((YEAR(BV$7)-YEAR(PARAMETROS!$C$12))*12+MONTH(BV$7)-MONTH(PARAMETROS!$C$12))/12))</f>
        <v>1</v>
      </c>
      <c r="BW6" s="35" t="n">
        <f aca="false">IF(BW$7&lt;=PARAMETROS!$C$12,1,(1+PARAMETROS!$C$8)^(((YEAR(BW$7)-YEAR(PARAMETROS!$C$12))*12+MONTH(BW$7)-MONTH(PARAMETROS!$C$12))/12))</f>
        <v>1</v>
      </c>
      <c r="BX6" s="35" t="n">
        <f aca="false">IF(BX$7&lt;=PARAMETROS!$C$12,1,(1+PARAMETROS!$C$8)^(((YEAR(BX$7)-YEAR(PARAMETROS!$C$12))*12+MONTH(BX$7)-MONTH(PARAMETROS!$C$12))/12))</f>
        <v>1</v>
      </c>
      <c r="BY6" s="35" t="n">
        <f aca="false">IF(BY$7&lt;=PARAMETROS!$C$12,1,(1+PARAMETROS!$C$8)^(((YEAR(BY$7)-YEAR(PARAMETROS!$C$12))*12+MONTH(BY$7)-MONTH(PARAMETROS!$C$12))/12))</f>
        <v>1</v>
      </c>
      <c r="BZ6" s="35" t="n">
        <f aca="false">IF(BZ$7&lt;=PARAMETROS!$C$12,1,(1+PARAMETROS!$C$8)^(((YEAR(BZ$7)-YEAR(PARAMETROS!$C$12))*12+MONTH(BZ$7)-MONTH(PARAMETROS!$C$12))/12))</f>
        <v>1</v>
      </c>
      <c r="CA6" s="35" t="n">
        <f aca="false">IF(CA$7&lt;=PARAMETROS!$C$12,1,(1+PARAMETROS!$C$8)^(((YEAR(CA$7)-YEAR(PARAMETROS!$C$12))*12+MONTH(CA$7)-MONTH(PARAMETROS!$C$12))/12))</f>
        <v>1</v>
      </c>
      <c r="CB6" s="35" t="n">
        <f aca="false">IF(CB$7&lt;=PARAMETROS!$C$12,1,(1+PARAMETROS!$C$8)^(((YEAR(CB$7)-YEAR(PARAMETROS!$C$12))*12+MONTH(CB$7)-MONTH(PARAMETROS!$C$12))/12))</f>
        <v>1</v>
      </c>
      <c r="CC6" s="35" t="n">
        <f aca="false">IF(CC$7&lt;=PARAMETROS!$C$12,1,(1+PARAMETROS!$C$8)^(((YEAR(CC$7)-YEAR(PARAMETROS!$C$12))*12+MONTH(CC$7)-MONTH(PARAMETROS!$C$12))/12))</f>
        <v>1</v>
      </c>
    </row>
    <row r="7" customFormat="false" ht="26.85" hidden="false" customHeight="false" outlineLevel="0" collapsed="false">
      <c r="A7" s="17" t="s">
        <v>54</v>
      </c>
      <c r="B7" s="17" t="s">
        <v>55</v>
      </c>
      <c r="C7" s="17" t="s">
        <v>56</v>
      </c>
      <c r="D7" s="17" t="s">
        <v>209</v>
      </c>
      <c r="E7" s="17" t="s">
        <v>220</v>
      </c>
      <c r="F7" s="17" t="s">
        <v>221</v>
      </c>
      <c r="G7" s="17" t="s">
        <v>222</v>
      </c>
      <c r="H7" s="17" t="s">
        <v>192</v>
      </c>
      <c r="I7" s="17" t="s">
        <v>223</v>
      </c>
      <c r="J7" s="24" t="n">
        <f aca="false">PARAMETROS!$C$11</f>
        <v>45627</v>
      </c>
      <c r="K7" s="24" t="n">
        <f aca="false">DATE(YEAR(J7),MONTH(J7)+1,1)</f>
        <v>45658</v>
      </c>
      <c r="L7" s="24" t="n">
        <f aca="false">DATE(YEAR(K7),MONTH(K7)+1,1)</f>
        <v>45689</v>
      </c>
      <c r="M7" s="24" t="n">
        <f aca="false">DATE(YEAR(L7),MONTH(L7)+1,1)</f>
        <v>45717</v>
      </c>
      <c r="N7" s="24" t="n">
        <f aca="false">DATE(YEAR(M7),MONTH(M7)+1,1)</f>
        <v>45748</v>
      </c>
      <c r="O7" s="24" t="n">
        <f aca="false">DATE(YEAR(N7),MONTH(N7)+1,1)</f>
        <v>45778</v>
      </c>
      <c r="P7" s="24" t="n">
        <f aca="false">DATE(YEAR(O7),MONTH(O7)+1,1)</f>
        <v>45809</v>
      </c>
      <c r="Q7" s="24" t="n">
        <f aca="false">DATE(YEAR(P7),MONTH(P7)+1,1)</f>
        <v>45839</v>
      </c>
      <c r="R7" s="24" t="n">
        <f aca="false">DATE(YEAR(Q7),MONTH(Q7)+1,1)</f>
        <v>45870</v>
      </c>
      <c r="S7" s="24" t="n">
        <f aca="false">DATE(YEAR(R7),MONTH(R7)+1,1)</f>
        <v>45901</v>
      </c>
      <c r="T7" s="24" t="n">
        <f aca="false">DATE(YEAR(S7),MONTH(S7)+1,1)</f>
        <v>45931</v>
      </c>
      <c r="U7" s="24" t="n">
        <f aca="false">DATE(YEAR(T7),MONTH(T7)+1,1)</f>
        <v>45962</v>
      </c>
      <c r="V7" s="24" t="n">
        <f aca="false">DATE(YEAR(U7),MONTH(U7)+1,1)</f>
        <v>45992</v>
      </c>
      <c r="W7" s="24" t="n">
        <f aca="false">DATE(YEAR(V7),MONTH(V7)+1,1)</f>
        <v>46023</v>
      </c>
      <c r="X7" s="24" t="n">
        <f aca="false">DATE(YEAR(W7),MONTH(W7)+1,1)</f>
        <v>46054</v>
      </c>
      <c r="Y7" s="24" t="n">
        <f aca="false">DATE(YEAR(X7),MONTH(X7)+1,1)</f>
        <v>46082</v>
      </c>
      <c r="Z7" s="24" t="n">
        <f aca="false">DATE(YEAR(Y7),MONTH(Y7)+1,1)</f>
        <v>46113</v>
      </c>
      <c r="AA7" s="24" t="n">
        <f aca="false">DATE(YEAR(Z7),MONTH(Z7)+1,1)</f>
        <v>46143</v>
      </c>
      <c r="AB7" s="24" t="n">
        <f aca="false">DATE(YEAR(AA7),MONTH(AA7)+1,1)</f>
        <v>46174</v>
      </c>
      <c r="AC7" s="24" t="n">
        <f aca="false">DATE(YEAR(AB7),MONTH(AB7)+1,1)</f>
        <v>46204</v>
      </c>
      <c r="AD7" s="24" t="n">
        <f aca="false">DATE(YEAR(AC7),MONTH(AC7)+1,1)</f>
        <v>46235</v>
      </c>
      <c r="AE7" s="24" t="n">
        <f aca="false">DATE(YEAR(AD7),MONTH(AD7)+1,1)</f>
        <v>46266</v>
      </c>
      <c r="AF7" s="24" t="n">
        <f aca="false">DATE(YEAR(AE7),MONTH(AE7)+1,1)</f>
        <v>46296</v>
      </c>
      <c r="AG7" s="24" t="n">
        <f aca="false">DATE(YEAR(AF7),MONTH(AF7)+1,1)</f>
        <v>46327</v>
      </c>
      <c r="AH7" s="24" t="n">
        <f aca="false">DATE(YEAR(AG7),MONTH(AG7)+1,1)</f>
        <v>46357</v>
      </c>
      <c r="AI7" s="24" t="n">
        <f aca="false">DATE(YEAR(AH7),MONTH(AH7)+1,1)</f>
        <v>46388</v>
      </c>
      <c r="AJ7" s="24" t="n">
        <f aca="false">DATE(YEAR(AI7),MONTH(AI7)+1,1)</f>
        <v>46419</v>
      </c>
      <c r="AK7" s="24" t="n">
        <f aca="false">DATE(YEAR(AJ7),MONTH(AJ7)+1,1)</f>
        <v>46447</v>
      </c>
      <c r="AL7" s="24" t="n">
        <f aca="false">DATE(YEAR(AK7),MONTH(AK7)+1,1)</f>
        <v>46478</v>
      </c>
      <c r="AM7" s="24" t="n">
        <f aca="false">DATE(YEAR(AL7),MONTH(AL7)+1,1)</f>
        <v>46508</v>
      </c>
      <c r="AN7" s="24" t="n">
        <f aca="false">DATE(YEAR(AM7),MONTH(AM7)+1,1)</f>
        <v>46539</v>
      </c>
      <c r="AO7" s="24" t="n">
        <f aca="false">DATE(YEAR(AN7),MONTH(AN7)+1,1)</f>
        <v>46569</v>
      </c>
      <c r="AP7" s="24" t="n">
        <f aca="false">DATE(YEAR(AO7),MONTH(AO7)+1,1)</f>
        <v>46600</v>
      </c>
      <c r="AQ7" s="24" t="n">
        <f aca="false">DATE(YEAR(AP7),MONTH(AP7)+1,1)</f>
        <v>46631</v>
      </c>
      <c r="AR7" s="24" t="n">
        <f aca="false">DATE(YEAR(AQ7),MONTH(AQ7)+1,1)</f>
        <v>46661</v>
      </c>
      <c r="AS7" s="24" t="n">
        <f aca="false">DATE(YEAR(AR7),MONTH(AR7)+1,1)</f>
        <v>46692</v>
      </c>
      <c r="AT7" s="24" t="n">
        <f aca="false">DATE(YEAR(AS7),MONTH(AS7)+1,1)</f>
        <v>46722</v>
      </c>
      <c r="AU7" s="24" t="n">
        <f aca="false">DATE(YEAR(AT7),MONTH(AT7)+1,1)</f>
        <v>46753</v>
      </c>
      <c r="AV7" s="24" t="n">
        <f aca="false">DATE(YEAR(AU7),MONTH(AU7)+1,1)</f>
        <v>46784</v>
      </c>
      <c r="AW7" s="24" t="n">
        <f aca="false">DATE(YEAR(AV7),MONTH(AV7)+1,1)</f>
        <v>46813</v>
      </c>
      <c r="AX7" s="24" t="n">
        <f aca="false">DATE(YEAR(AW7),MONTH(AW7)+1,1)</f>
        <v>46844</v>
      </c>
      <c r="AY7" s="24" t="n">
        <f aca="false">DATE(YEAR(AX7),MONTH(AX7)+1,1)</f>
        <v>46874</v>
      </c>
      <c r="AZ7" s="24" t="n">
        <f aca="false">DATE(YEAR(AY7),MONTH(AY7)+1,1)</f>
        <v>46905</v>
      </c>
      <c r="BA7" s="24" t="n">
        <f aca="false">DATE(YEAR(AZ7),MONTH(AZ7)+1,1)</f>
        <v>46935</v>
      </c>
      <c r="BB7" s="24" t="n">
        <f aca="false">DATE(YEAR(BA7),MONTH(BA7)+1,1)</f>
        <v>46966</v>
      </c>
      <c r="BC7" s="24" t="n">
        <f aca="false">DATE(YEAR(BB7),MONTH(BB7)+1,1)</f>
        <v>46997</v>
      </c>
      <c r="BD7" s="24" t="n">
        <f aca="false">DATE(YEAR(BC7),MONTH(BC7)+1,1)</f>
        <v>47027</v>
      </c>
      <c r="BE7" s="24" t="n">
        <f aca="false">DATE(YEAR(BD7),MONTH(BD7)+1,1)</f>
        <v>47058</v>
      </c>
      <c r="BF7" s="24" t="n">
        <f aca="false">DATE(YEAR(BE7),MONTH(BE7)+1,1)</f>
        <v>47088</v>
      </c>
      <c r="BG7" s="24" t="n">
        <f aca="false">DATE(YEAR(BF7),MONTH(BF7)+1,1)</f>
        <v>47119</v>
      </c>
      <c r="BH7" s="24" t="n">
        <f aca="false">DATE(YEAR(BG7),MONTH(BG7)+1,1)</f>
        <v>47150</v>
      </c>
      <c r="BI7" s="24" t="n">
        <f aca="false">DATE(YEAR(BH7),MONTH(BH7)+1,1)</f>
        <v>47178</v>
      </c>
      <c r="BJ7" s="24" t="n">
        <f aca="false">DATE(YEAR(BI7),MONTH(BI7)+1,1)</f>
        <v>47209</v>
      </c>
      <c r="BK7" s="24" t="n">
        <f aca="false">DATE(YEAR(BJ7),MONTH(BJ7)+1,1)</f>
        <v>47239</v>
      </c>
      <c r="BL7" s="24" t="n">
        <f aca="false">DATE(YEAR(BK7),MONTH(BK7)+1,1)</f>
        <v>47270</v>
      </c>
      <c r="BM7" s="24" t="n">
        <f aca="false">DATE(YEAR(BL7),MONTH(BL7)+1,1)</f>
        <v>47300</v>
      </c>
      <c r="BN7" s="24" t="n">
        <f aca="false">DATE(YEAR(BM7),MONTH(BM7)+1,1)</f>
        <v>47331</v>
      </c>
      <c r="BO7" s="24" t="n">
        <f aca="false">DATE(YEAR(BN7),MONTH(BN7)+1,1)</f>
        <v>47362</v>
      </c>
      <c r="BP7" s="24" t="n">
        <f aca="false">DATE(YEAR(BO7),MONTH(BO7)+1,1)</f>
        <v>47392</v>
      </c>
      <c r="BQ7" s="24" t="n">
        <f aca="false">DATE(YEAR(BP7),MONTH(BP7)+1,1)</f>
        <v>47423</v>
      </c>
      <c r="BR7" s="24" t="n">
        <f aca="false">DATE(YEAR(BQ7),MONTH(BQ7)+1,1)</f>
        <v>47453</v>
      </c>
      <c r="BS7" s="24" t="n">
        <f aca="false">DATE(YEAR(BR7),MONTH(BR7)+1,1)</f>
        <v>47484</v>
      </c>
      <c r="BT7" s="24" t="n">
        <f aca="false">DATE(YEAR(BS7),MONTH(BS7)+1,1)</f>
        <v>47515</v>
      </c>
      <c r="BU7" s="24" t="n">
        <f aca="false">DATE(YEAR(BT7),MONTH(BT7)+1,1)</f>
        <v>47543</v>
      </c>
      <c r="BV7" s="24" t="n">
        <f aca="false">DATE(YEAR(BU7),MONTH(BU7)+1,1)</f>
        <v>47574</v>
      </c>
      <c r="BW7" s="24" t="n">
        <f aca="false">DATE(YEAR(BV7),MONTH(BV7)+1,1)</f>
        <v>47604</v>
      </c>
      <c r="BX7" s="24" t="n">
        <f aca="false">DATE(YEAR(BW7),MONTH(BW7)+1,1)</f>
        <v>47635</v>
      </c>
      <c r="BY7" s="24" t="n">
        <f aca="false">DATE(YEAR(BX7),MONTH(BX7)+1,1)</f>
        <v>47665</v>
      </c>
      <c r="BZ7" s="24" t="n">
        <f aca="false">DATE(YEAR(BY7),MONTH(BY7)+1,1)</f>
        <v>47696</v>
      </c>
      <c r="CA7" s="24" t="n">
        <f aca="false">DATE(YEAR(BZ7),MONTH(BZ7)+1,1)</f>
        <v>47727</v>
      </c>
      <c r="CB7" s="24" t="n">
        <f aca="false">DATE(YEAR(CA7),MONTH(CA7)+1,1)</f>
        <v>47757</v>
      </c>
      <c r="CC7" s="24" t="n">
        <f aca="false">DATE(YEAR(CB7),MONTH(CB7)+1,1)</f>
        <v>47788</v>
      </c>
    </row>
    <row r="8" customFormat="false" ht="15" hidden="false" customHeight="false" outlineLevel="0" collapsed="false">
      <c r="A8" s="31" t="str">
        <f aca="false">IF(ORCAMENTO!A6="","",ORCAMENTO!A6)</f>
        <v>01</v>
      </c>
      <c r="B8" s="31" t="str">
        <f aca="false">IF(ORCAMENTO!B6="","",ORCAMENTO!B6)</f>
        <v>PROJETOS</v>
      </c>
      <c r="C8" s="31" t="str">
        <f aca="false">IF(ORCAMENTO!C6="","",ORCAMENTO!C6)</f>
        <v>INDIRETOS</v>
      </c>
      <c r="D8" s="32" t="n">
        <f aca="false">IF($B8="",0,ORCAMENTO!E6)</f>
        <v>2640655</v>
      </c>
      <c r="E8" s="19" t="n">
        <f aca="false">IF($B8="",0,SUMIFS(INCORRIDO!$C$6:$C$5005,INCORRIDO!$D$6:$D$5005,$B8,INCORRIDO!$E$6:$E$5005,"&lt;="&amp;PARAMETROS!$C$12))</f>
        <v>2106293.64</v>
      </c>
      <c r="F8" s="19" t="n">
        <f aca="false">IF($B8="",0,SUMIFS(INCORRIDO!$C$6:$C$5005,INCORRIDO!$D$6:$D$5005,$B8,INCORRIDO!$E$6:$E$5005,"&gt;"&amp;PARAMETROS!$C$12))</f>
        <v>1046.09</v>
      </c>
      <c r="G8" s="19" t="n">
        <f aca="false">MAX(0,D8-E8-F8)</f>
        <v>533315.27</v>
      </c>
      <c r="H8" s="32" t="n">
        <f aca="false">CURVA!H8</f>
        <v>533315.27</v>
      </c>
      <c r="I8" s="19" t="n">
        <f aca="false">SUM(J8:CC8)</f>
        <v>2640655</v>
      </c>
      <c r="J8" s="19" t="n">
        <f aca="false">IF($B8="",0,SUMIFS(INCORRIDO!$C$6:$C$5005,INCORRIDO!$D$6:$D$5005,$B8,INCORRIDO!$E$6:$E$5005,"&lt;="&amp;J$7)+IF(J$7&gt;PARAMETROS!$C$12,IF($H8&gt;0,$G8*CURVA!J8/$H8,0)*J$6,0))</f>
        <v>418594.15</v>
      </c>
      <c r="K8" s="19" t="n">
        <f aca="false">IF($B8="",0,SUMIFS(INCORRIDO!$C$6:$C$5005,INCORRIDO!$D$6:$D$5005,$B8,INCORRIDO!$E$6:$E$5005,K$7)+IF(K$7&gt;PARAMETROS!$C$12,IF($H8&gt;0,$G8*CURVA!K8/$H8,0)*K$6,0))</f>
        <v>10917.03</v>
      </c>
      <c r="L8" s="19" t="n">
        <f aca="false">IF($B8="",0,SUMIFS(INCORRIDO!$C$6:$C$5005,INCORRIDO!$D$6:$D$5005,$B8,INCORRIDO!$E$6:$E$5005,L$7)+IF(L$7&gt;PARAMETROS!$C$12,IF($H8&gt;0,$G8*CURVA!L8/$H8,0)*L$6,0))</f>
        <v>263811.08</v>
      </c>
      <c r="M8" s="19" t="n">
        <f aca="false">IF($B8="",0,SUMIFS(INCORRIDO!$C$6:$C$5005,INCORRIDO!$D$6:$D$5005,$B8,INCORRIDO!$E$6:$E$5005,M$7)+IF(M$7&gt;PARAMETROS!$C$12,IF($H8&gt;0,$G8*CURVA!M8/$H8,0)*M$6,0))</f>
        <v>95377.59</v>
      </c>
      <c r="N8" s="19" t="n">
        <f aca="false">IF($B8="",0,SUMIFS(INCORRIDO!$C$6:$C$5005,INCORRIDO!$D$6:$D$5005,$B8,INCORRIDO!$E$6:$E$5005,N$7)+IF(N$7&gt;PARAMETROS!$C$12,IF($H8&gt;0,$G8*CURVA!N8/$H8,0)*N$6,0))</f>
        <v>152105.86</v>
      </c>
      <c r="O8" s="19" t="n">
        <f aca="false">IF($B8="",0,SUMIFS(INCORRIDO!$C$6:$C$5005,INCORRIDO!$D$6:$D$5005,$B8,INCORRIDO!$E$6:$E$5005,O$7)+IF(O$7&gt;PARAMETROS!$C$12,IF($H8&gt;0,$G8*CURVA!O8/$H8,0)*O$6,0))</f>
        <v>202477.1</v>
      </c>
      <c r="P8" s="19" t="n">
        <f aca="false">IF($B8="",0,SUMIFS(INCORRIDO!$C$6:$C$5005,INCORRIDO!$D$6:$D$5005,$B8,INCORRIDO!$E$6:$E$5005,P$7)+IF(P$7&gt;PARAMETROS!$C$12,IF($H8&gt;0,$G8*CURVA!P8/$H8,0)*P$6,0))</f>
        <v>65133.61</v>
      </c>
      <c r="Q8" s="19" t="n">
        <f aca="false">IF($B8="",0,SUMIFS(INCORRIDO!$C$6:$C$5005,INCORRIDO!$D$6:$D$5005,$B8,INCORRIDO!$E$6:$E$5005,Q$7)+IF(Q$7&gt;PARAMETROS!$C$12,IF($H8&gt;0,$G8*CURVA!Q8/$H8,0)*Q$6,0))</f>
        <v>46336.42</v>
      </c>
      <c r="R8" s="19" t="n">
        <f aca="false">IF($B8="",0,SUMIFS(INCORRIDO!$C$6:$C$5005,INCORRIDO!$D$6:$D$5005,$B8,INCORRIDO!$E$6:$E$5005,R$7)+IF(R$7&gt;PARAMETROS!$C$12,IF($H8&gt;0,$G8*CURVA!R8/$H8,0)*R$6,0))</f>
        <v>89390.73</v>
      </c>
      <c r="S8" s="19" t="n">
        <f aca="false">IF($B8="",0,SUMIFS(INCORRIDO!$C$6:$C$5005,INCORRIDO!$D$6:$D$5005,$B8,INCORRIDO!$E$6:$E$5005,S$7)+IF(S$7&gt;PARAMETROS!$C$12,IF($H8&gt;0,$G8*CURVA!S8/$H8,0)*S$6,0))</f>
        <v>31201.11</v>
      </c>
      <c r="T8" s="19" t="n">
        <f aca="false">IF($B8="",0,SUMIFS(INCORRIDO!$C$6:$C$5005,INCORRIDO!$D$6:$D$5005,$B8,INCORRIDO!$E$6:$E$5005,T$7)+IF(T$7&gt;PARAMETROS!$C$12,IF($H8&gt;0,$G8*CURVA!T8/$H8,0)*T$6,0))</f>
        <v>59081.79</v>
      </c>
      <c r="U8" s="19" t="n">
        <f aca="false">IF($B8="",0,SUMIFS(INCORRIDO!$C$6:$C$5005,INCORRIDO!$D$6:$D$5005,$B8,INCORRIDO!$E$6:$E$5005,U$7)+IF(U$7&gt;PARAMETROS!$C$12,IF($H8&gt;0,$G8*CURVA!U8/$H8,0)*U$6,0))</f>
        <v>118743.26</v>
      </c>
      <c r="V8" s="19" t="n">
        <f aca="false">IF($B8="",0,SUMIFS(INCORRIDO!$C$6:$C$5005,INCORRIDO!$D$6:$D$5005,$B8,INCORRIDO!$E$6:$E$5005,V$7)+IF(V$7&gt;PARAMETROS!$C$12,IF($H8&gt;0,$G8*CURVA!V8/$H8,0)*V$6,0))</f>
        <v>73812.68</v>
      </c>
      <c r="W8" s="19" t="n">
        <f aca="false">IF($B8="",0,SUMIFS(INCORRIDO!$C$6:$C$5005,INCORRIDO!$D$6:$D$5005,$B8,INCORRIDO!$E$6:$E$5005,W$7)+IF(W$7&gt;PARAMETROS!$C$12,IF($H8&gt;0,$G8*CURVA!W8/$H8,0)*W$6,0))</f>
        <v>141055.81</v>
      </c>
      <c r="X8" s="19" t="n">
        <f aca="false">IF($B8="",0,SUMIFS(INCORRIDO!$C$6:$C$5005,INCORRIDO!$D$6:$D$5005,$B8,INCORRIDO!$E$6:$E$5005,X$7)+IF(X$7&gt;PARAMETROS!$C$12,IF($H8&gt;0,$G8*CURVA!X8/$H8,0)*X$6,0))</f>
        <v>93013.12</v>
      </c>
      <c r="Y8" s="19" t="n">
        <f aca="false">IF($B8="",0,SUMIFS(INCORRIDO!$C$6:$C$5005,INCORRIDO!$D$6:$D$5005,$B8,INCORRIDO!$E$6:$E$5005,Y$7)+IF(Y$7&gt;PARAMETROS!$C$12,IF($H8&gt;0,$G8*CURVA!Y8/$H8,0)*Y$6,0))</f>
        <v>46600</v>
      </c>
      <c r="Z8" s="19" t="n">
        <f aca="false">IF($B8="",0,SUMIFS(INCORRIDO!$C$6:$C$5005,INCORRIDO!$D$6:$D$5005,$B8,INCORRIDO!$E$6:$E$5005,Z$7)+IF(Z$7&gt;PARAMETROS!$C$12,IF($H8&gt;0,$G8*CURVA!Z8/$H8,0)*Z$6,0))</f>
        <v>145577.73</v>
      </c>
      <c r="AA8" s="19" t="n">
        <f aca="false">IF($B8="",0,SUMIFS(INCORRIDO!$C$6:$C$5005,INCORRIDO!$D$6:$D$5005,$B8,INCORRIDO!$E$6:$E$5005,AA$7)+IF(AA$7&gt;PARAMETROS!$C$12,IF($H8&gt;0,$G8*CURVA!AA8/$H8,0)*AA$6,0))</f>
        <v>925</v>
      </c>
      <c r="AB8" s="19" t="n">
        <f aca="false">IF($B8="",0,SUMIFS(INCORRIDO!$C$6:$C$5005,INCORRIDO!$D$6:$D$5005,$B8,INCORRIDO!$E$6:$E$5005,AB$7)+IF(AB$7&gt;PARAMETROS!$C$12,IF($H8&gt;0,$G8*CURVA!AB8/$H8,0)*AB$6,0))</f>
        <v>925</v>
      </c>
      <c r="AC8" s="19" t="n">
        <f aca="false">IF($B8="",0,SUMIFS(INCORRIDO!$C$6:$C$5005,INCORRIDO!$D$6:$D$5005,$B8,INCORRIDO!$E$6:$E$5005,AC$7)+IF(AC$7&gt;PARAMETROS!$C$12,IF($H8&gt;0,$G8*CURVA!AC8/$H8,0)*AC$6,0))</f>
        <v>17537.85</v>
      </c>
      <c r="AD8" s="19" t="n">
        <f aca="false">IF($B8="",0,SUMIFS(INCORRIDO!$C$6:$C$5005,INCORRIDO!$D$6:$D$5005,$B8,INCORRIDO!$E$6:$E$5005,AD$7)+IF(AD$7&gt;PARAMETROS!$C$12,IF($H8&gt;0,$G8*CURVA!AD8/$H8,0)*AD$6,0))</f>
        <v>33676.72</v>
      </c>
      <c r="AE8" s="19" t="n">
        <f aca="false">IF($B8="",0,SUMIFS(INCORRIDO!$C$6:$C$5005,INCORRIDO!$D$6:$D$5005,$B8,INCORRIDO!$E$6:$E$5005,AE$7)+IF(AE$7&gt;PARAMETROS!$C$12,IF($H8&gt;0,$G8*CURVA!AE8/$H8,0)*AE$6,0))</f>
        <v>15879.09</v>
      </c>
      <c r="AF8" s="19" t="n">
        <f aca="false">IF($B8="",0,SUMIFS(INCORRIDO!$C$6:$C$5005,INCORRIDO!$D$6:$D$5005,$B8,INCORRIDO!$E$6:$E$5005,AF$7)+IF(AF$7&gt;PARAMETROS!$C$12,IF($H8&gt;0,$G8*CURVA!AF8/$H8,0)*AF$6,0))</f>
        <v>100000</v>
      </c>
      <c r="AG8" s="19" t="n">
        <f aca="false">IF($B8="",0,SUMIFS(INCORRIDO!$C$6:$C$5005,INCORRIDO!$D$6:$D$5005,$B8,INCORRIDO!$E$6:$E$5005,AG$7)+IF(AG$7&gt;PARAMETROS!$C$12,IF($H8&gt;0,$G8*CURVA!AG8/$H8,0)*AG$6,0))</f>
        <v>100000</v>
      </c>
      <c r="AH8" s="19" t="n">
        <f aca="false">IF($B8="",0,SUMIFS(INCORRIDO!$C$6:$C$5005,INCORRIDO!$D$6:$D$5005,$B8,INCORRIDO!$E$6:$E$5005,AH$7)+IF(AH$7&gt;PARAMETROS!$C$12,IF($H8&gt;0,$G8*CURVA!AH8/$H8,0)*AH$6,0))</f>
        <v>14833</v>
      </c>
      <c r="AI8" s="19" t="n">
        <f aca="false">IF($B8="",0,SUMIFS(INCORRIDO!$C$6:$C$5005,INCORRIDO!$D$6:$D$5005,$B8,INCORRIDO!$E$6:$E$5005,AI$7)+IF(AI$7&gt;PARAMETROS!$C$12,IF($H8&gt;0,$G8*CURVA!AI8/$H8,0)*AI$6,0))</f>
        <v>14833</v>
      </c>
      <c r="AJ8" s="19" t="n">
        <f aca="false">IF($B8="",0,SUMIFS(INCORRIDO!$C$6:$C$5005,INCORRIDO!$D$6:$D$5005,$B8,INCORRIDO!$E$6:$E$5005,AJ$7)+IF(AJ$7&gt;PARAMETROS!$C$12,IF($H8&gt;0,$G8*CURVA!AJ8/$H8,0)*AJ$6,0))</f>
        <v>1100</v>
      </c>
      <c r="AK8" s="19" t="n">
        <f aca="false">IF($B8="",0,SUMIFS(INCORRIDO!$C$6:$C$5005,INCORRIDO!$D$6:$D$5005,$B8,INCORRIDO!$E$6:$E$5005,AK$7)+IF(AK$7&gt;PARAMETROS!$C$12,IF($H8&gt;0,$G8*CURVA!AK8/$H8,0)*AK$6,0))</f>
        <v>1100</v>
      </c>
      <c r="AL8" s="19" t="n">
        <f aca="false">IF($B8="",0,SUMIFS(INCORRIDO!$C$6:$C$5005,INCORRIDO!$D$6:$D$5005,$B8,INCORRIDO!$E$6:$E$5005,AL$7)+IF(AL$7&gt;PARAMETROS!$C$12,IF($H8&gt;0,$G8*CURVA!AL8/$H8,0)*AL$6,0))</f>
        <v>1100</v>
      </c>
      <c r="AM8" s="19" t="n">
        <f aca="false">IF($B8="",0,SUMIFS(INCORRIDO!$C$6:$C$5005,INCORRIDO!$D$6:$D$5005,$B8,INCORRIDO!$E$6:$E$5005,AM$7)+IF(AM$7&gt;PARAMETROS!$C$12,IF($H8&gt;0,$G8*CURVA!AM8/$H8,0)*AM$6,0))</f>
        <v>1100</v>
      </c>
      <c r="AN8" s="19" t="n">
        <f aca="false">IF($B8="",0,SUMIFS(INCORRIDO!$C$6:$C$5005,INCORRIDO!$D$6:$D$5005,$B8,INCORRIDO!$E$6:$E$5005,AN$7)+IF(AN$7&gt;PARAMETROS!$C$12,IF($H8&gt;0,$G8*CURVA!AN8/$H8,0)*AN$6,0))</f>
        <v>1100</v>
      </c>
      <c r="AO8" s="19" t="n">
        <f aca="false">IF($B8="",0,SUMIFS(INCORRIDO!$C$6:$C$5005,INCORRIDO!$D$6:$D$5005,$B8,INCORRIDO!$E$6:$E$5005,AO$7)+IF(AO$7&gt;PARAMETROS!$C$12,IF($H8&gt;0,$G8*CURVA!AO8/$H8,0)*AO$6,0))</f>
        <v>1100</v>
      </c>
      <c r="AP8" s="19" t="n">
        <f aca="false">IF($B8="",0,SUMIFS(INCORRIDO!$C$6:$C$5005,INCORRIDO!$D$6:$D$5005,$B8,INCORRIDO!$E$6:$E$5005,AP$7)+IF(AP$7&gt;PARAMETROS!$C$12,IF($H8&gt;0,$G8*CURVA!AP8/$H8,0)*AP$6,0))</f>
        <v>1100</v>
      </c>
      <c r="AQ8" s="19" t="n">
        <f aca="false">IF($B8="",0,SUMIFS(INCORRIDO!$C$6:$C$5005,INCORRIDO!$D$6:$D$5005,$B8,INCORRIDO!$E$6:$E$5005,AQ$7)+IF(AQ$7&gt;PARAMETROS!$C$12,IF($H8&gt;0,$G8*CURVA!AQ8/$H8,0)*AQ$6,0))</f>
        <v>1100</v>
      </c>
      <c r="AR8" s="19" t="n">
        <f aca="false">IF($B8="",0,SUMIFS(INCORRIDO!$C$6:$C$5005,INCORRIDO!$D$6:$D$5005,$B8,INCORRIDO!$E$6:$E$5005,AR$7)+IF(AR$7&gt;PARAMETROS!$C$12,IF($H8&gt;0,$G8*CURVA!AR8/$H8,0)*AR$6,0))</f>
        <v>1100</v>
      </c>
      <c r="AS8" s="19" t="n">
        <f aca="false">IF($B8="",0,SUMIFS(INCORRIDO!$C$6:$C$5005,INCORRIDO!$D$6:$D$5005,$B8,INCORRIDO!$E$6:$E$5005,AS$7)+IF(AS$7&gt;PARAMETROS!$C$12,IF($H8&gt;0,$G8*CURVA!AS8/$H8,0)*AS$6,0))</f>
        <v>1100</v>
      </c>
      <c r="AT8" s="19" t="n">
        <f aca="false">IF($B8="",0,SUMIFS(INCORRIDO!$C$6:$C$5005,INCORRIDO!$D$6:$D$5005,$B8,INCORRIDO!$E$6:$E$5005,AT$7)+IF(AT$7&gt;PARAMETROS!$C$12,IF($H8&gt;0,$G8*CURVA!AT8/$H8,0)*AT$6,0))</f>
        <v>1100</v>
      </c>
      <c r="AU8" s="19" t="n">
        <f aca="false">IF($B8="",0,SUMIFS(INCORRIDO!$C$6:$C$5005,INCORRIDO!$D$6:$D$5005,$B8,INCORRIDO!$E$6:$E$5005,AU$7)+IF(AU$7&gt;PARAMETROS!$C$12,IF($H8&gt;0,$G8*CURVA!AU8/$H8,0)*AU$6,0))</f>
        <v>1100</v>
      </c>
      <c r="AV8" s="19" t="n">
        <f aca="false">IF($B8="",0,SUMIFS(INCORRIDO!$C$6:$C$5005,INCORRIDO!$D$6:$D$5005,$B8,INCORRIDO!$E$6:$E$5005,AV$7)+IF(AV$7&gt;PARAMETROS!$C$12,IF($H8&gt;0,$G8*CURVA!AV8/$H8,0)*AV$6,0))</f>
        <v>1100</v>
      </c>
      <c r="AW8" s="19" t="n">
        <f aca="false">IF($B8="",0,SUMIFS(INCORRIDO!$C$6:$C$5005,INCORRIDO!$D$6:$D$5005,$B8,INCORRIDO!$E$6:$E$5005,AW$7)+IF(AW$7&gt;PARAMETROS!$C$12,IF($H8&gt;0,$G8*CURVA!AW8/$H8,0)*AW$6,0))</f>
        <v>1100</v>
      </c>
      <c r="AX8" s="19" t="n">
        <f aca="false">IF($B8="",0,SUMIFS(INCORRIDO!$C$6:$C$5005,INCORRIDO!$D$6:$D$5005,$B8,INCORRIDO!$E$6:$E$5005,AX$7)+IF(AX$7&gt;PARAMETROS!$C$12,IF($H8&gt;0,$G8*CURVA!AX8/$H8,0)*AX$6,0))</f>
        <v>1100</v>
      </c>
      <c r="AY8" s="19" t="n">
        <f aca="false">IF($B8="",0,SUMIFS(INCORRIDO!$C$6:$C$5005,INCORRIDO!$D$6:$D$5005,$B8,INCORRIDO!$E$6:$E$5005,AY$7)+IF(AY$7&gt;PARAMETROS!$C$12,IF($H8&gt;0,$G8*CURVA!AY8/$H8,0)*AY$6,0))</f>
        <v>1100</v>
      </c>
      <c r="AZ8" s="19" t="n">
        <f aca="false">IF($B8="",0,SUMIFS(INCORRIDO!$C$6:$C$5005,INCORRIDO!$D$6:$D$5005,$B8,INCORRIDO!$E$6:$E$5005,AZ$7)+IF(AZ$7&gt;PARAMETROS!$C$12,IF($H8&gt;0,$G8*CURVA!AZ8/$H8,0)*AZ$6,0))</f>
        <v>1100</v>
      </c>
      <c r="BA8" s="19" t="n">
        <f aca="false">IF($B8="",0,SUMIFS(INCORRIDO!$C$6:$C$5005,INCORRIDO!$D$6:$D$5005,$B8,INCORRIDO!$E$6:$E$5005,BA$7)+IF(BA$7&gt;PARAMETROS!$C$12,IF($H8&gt;0,$G8*CURVA!BA8/$H8,0)*BA$6,0))</f>
        <v>1100</v>
      </c>
      <c r="BB8" s="19" t="n">
        <f aca="false">IF($B8="",0,SUMIFS(INCORRIDO!$C$6:$C$5005,INCORRIDO!$D$6:$D$5005,$B8,INCORRIDO!$E$6:$E$5005,BB$7)+IF(BB$7&gt;PARAMETROS!$C$12,IF($H8&gt;0,$G8*CURVA!BB8/$H8,0)*BB$6,0))</f>
        <v>1100</v>
      </c>
      <c r="BC8" s="19" t="n">
        <f aca="false">IF($B8="",0,SUMIFS(INCORRIDO!$C$6:$C$5005,INCORRIDO!$D$6:$D$5005,$B8,INCORRIDO!$E$6:$E$5005,BC$7)+IF(BC$7&gt;PARAMETROS!$C$12,IF($H8&gt;0,$G8*CURVA!BC8/$H8,0)*BC$6,0))</f>
        <v>1100</v>
      </c>
      <c r="BD8" s="19" t="n">
        <f aca="false">IF($B8="",0,SUMIFS(INCORRIDO!$C$6:$C$5005,INCORRIDO!$D$6:$D$5005,$B8,INCORRIDO!$E$6:$E$5005,BD$7)+IF(BD$7&gt;PARAMETROS!$C$12,IF($H8&gt;0,$G8*CURVA!BD8/$H8,0)*BD$6,0))</f>
        <v>1100</v>
      </c>
      <c r="BE8" s="19" t="n">
        <f aca="false">IF($B8="",0,SUMIFS(INCORRIDO!$C$6:$C$5005,INCORRIDO!$D$6:$D$5005,$B8,INCORRIDO!$E$6:$E$5005,BE$7)+IF(BE$7&gt;PARAMETROS!$C$12,IF($H8&gt;0,$G8*CURVA!BE8/$H8,0)*BE$6,0))</f>
        <v>264616.27</v>
      </c>
      <c r="BF8" s="19" t="n">
        <f aca="false">IF($B8="",0,SUMIFS(INCORRIDO!$C$6:$C$5005,INCORRIDO!$D$6:$D$5005,$B8,INCORRIDO!$E$6:$E$5005,BF$7)+IF(BF$7&gt;PARAMETROS!$C$12,IF($H8&gt;0,$G8*CURVA!BF8/$H8,0)*BF$6,0))</f>
        <v>1100</v>
      </c>
      <c r="BG8" s="19" t="n">
        <f aca="false">IF($B8="",0,SUMIFS(INCORRIDO!$C$6:$C$5005,INCORRIDO!$D$6:$D$5005,$B8,INCORRIDO!$E$6:$E$5005,BG$7)+IF(BG$7&gt;PARAMETROS!$C$12,IF($H8&gt;0,$G8*CURVA!BG8/$H8,0)*BG$6,0))</f>
        <v>0</v>
      </c>
      <c r="BH8" s="19" t="n">
        <f aca="false">IF($B8="",0,SUMIFS(INCORRIDO!$C$6:$C$5005,INCORRIDO!$D$6:$D$5005,$B8,INCORRIDO!$E$6:$E$5005,BH$7)+IF(BH$7&gt;PARAMETROS!$C$12,IF($H8&gt;0,$G8*CURVA!BH8/$H8,0)*BH$6,0))</f>
        <v>0</v>
      </c>
      <c r="BI8" s="19" t="n">
        <f aca="false">IF($B8="",0,SUMIFS(INCORRIDO!$C$6:$C$5005,INCORRIDO!$D$6:$D$5005,$B8,INCORRIDO!$E$6:$E$5005,BI$7)+IF(BI$7&gt;PARAMETROS!$C$12,IF($H8&gt;0,$G8*CURVA!BI8/$H8,0)*BI$6,0))</f>
        <v>0</v>
      </c>
      <c r="BJ8" s="19" t="n">
        <f aca="false">IF($B8="",0,SUMIFS(INCORRIDO!$C$6:$C$5005,INCORRIDO!$D$6:$D$5005,$B8,INCORRIDO!$E$6:$E$5005,BJ$7)+IF(BJ$7&gt;PARAMETROS!$C$12,IF($H8&gt;0,$G8*CURVA!BJ8/$H8,0)*BJ$6,0))</f>
        <v>0</v>
      </c>
      <c r="BK8" s="19" t="n">
        <f aca="false">IF($B8="",0,SUMIFS(INCORRIDO!$C$6:$C$5005,INCORRIDO!$D$6:$D$5005,$B8,INCORRIDO!$E$6:$E$5005,BK$7)+IF(BK$7&gt;PARAMETROS!$C$12,IF($H8&gt;0,$G8*CURVA!BK8/$H8,0)*BK$6,0))</f>
        <v>0</v>
      </c>
      <c r="BL8" s="19" t="n">
        <f aca="false">IF($B8="",0,SUMIFS(INCORRIDO!$C$6:$C$5005,INCORRIDO!$D$6:$D$5005,$B8,INCORRIDO!$E$6:$E$5005,BL$7)+IF(BL$7&gt;PARAMETROS!$C$12,IF($H8&gt;0,$G8*CURVA!BL8/$H8,0)*BL$6,0))</f>
        <v>0</v>
      </c>
      <c r="BM8" s="19" t="n">
        <f aca="false">IF($B8="",0,SUMIFS(INCORRIDO!$C$6:$C$5005,INCORRIDO!$D$6:$D$5005,$B8,INCORRIDO!$E$6:$E$5005,BM$7)+IF(BM$7&gt;PARAMETROS!$C$12,IF($H8&gt;0,$G8*CURVA!BM8/$H8,0)*BM$6,0))</f>
        <v>0</v>
      </c>
      <c r="BN8" s="19" t="n">
        <f aca="false">IF($B8="",0,SUMIFS(INCORRIDO!$C$6:$C$5005,INCORRIDO!$D$6:$D$5005,$B8,INCORRIDO!$E$6:$E$5005,BN$7)+IF(BN$7&gt;PARAMETROS!$C$12,IF($H8&gt;0,$G8*CURVA!BN8/$H8,0)*BN$6,0))</f>
        <v>0</v>
      </c>
      <c r="BO8" s="19" t="n">
        <f aca="false">IF($B8="",0,SUMIFS(INCORRIDO!$C$6:$C$5005,INCORRIDO!$D$6:$D$5005,$B8,INCORRIDO!$E$6:$E$5005,BO$7)+IF(BO$7&gt;PARAMETROS!$C$12,IF($H8&gt;0,$G8*CURVA!BO8/$H8,0)*BO$6,0))</f>
        <v>0</v>
      </c>
      <c r="BP8" s="19" t="n">
        <f aca="false">IF($B8="",0,SUMIFS(INCORRIDO!$C$6:$C$5005,INCORRIDO!$D$6:$D$5005,$B8,INCORRIDO!$E$6:$E$5005,BP$7)+IF(BP$7&gt;PARAMETROS!$C$12,IF($H8&gt;0,$G8*CURVA!BP8/$H8,0)*BP$6,0))</f>
        <v>0</v>
      </c>
      <c r="BQ8" s="19" t="n">
        <f aca="false">IF($B8="",0,SUMIFS(INCORRIDO!$C$6:$C$5005,INCORRIDO!$D$6:$D$5005,$B8,INCORRIDO!$E$6:$E$5005,BQ$7)+IF(BQ$7&gt;PARAMETROS!$C$12,IF($H8&gt;0,$G8*CURVA!BQ8/$H8,0)*BQ$6,0))</f>
        <v>0</v>
      </c>
      <c r="BR8" s="19" t="n">
        <f aca="false">IF($B8="",0,SUMIFS(INCORRIDO!$C$6:$C$5005,INCORRIDO!$D$6:$D$5005,$B8,INCORRIDO!$E$6:$E$5005,BR$7)+IF(BR$7&gt;PARAMETROS!$C$12,IF($H8&gt;0,$G8*CURVA!BR8/$H8,0)*BR$6,0))</f>
        <v>0</v>
      </c>
      <c r="BS8" s="19" t="n">
        <f aca="false">IF($B8="",0,SUMIFS(INCORRIDO!$C$6:$C$5005,INCORRIDO!$D$6:$D$5005,$B8,INCORRIDO!$E$6:$E$5005,BS$7)+IF(BS$7&gt;PARAMETROS!$C$12,IF($H8&gt;0,$G8*CURVA!BS8/$H8,0)*BS$6,0))</f>
        <v>0</v>
      </c>
      <c r="BT8" s="19" t="n">
        <f aca="false">IF($B8="",0,SUMIFS(INCORRIDO!$C$6:$C$5005,INCORRIDO!$D$6:$D$5005,$B8,INCORRIDO!$E$6:$E$5005,BT$7)+IF(BT$7&gt;PARAMETROS!$C$12,IF($H8&gt;0,$G8*CURVA!BT8/$H8,0)*BT$6,0))</f>
        <v>0</v>
      </c>
      <c r="BU8" s="19" t="n">
        <f aca="false">IF($B8="",0,SUMIFS(INCORRIDO!$C$6:$C$5005,INCORRIDO!$D$6:$D$5005,$B8,INCORRIDO!$E$6:$E$5005,BU$7)+IF(BU$7&gt;PARAMETROS!$C$12,IF($H8&gt;0,$G8*CURVA!BU8/$H8,0)*BU$6,0))</f>
        <v>0</v>
      </c>
      <c r="BV8" s="19" t="n">
        <f aca="false">IF($B8="",0,SUMIFS(INCORRIDO!$C$6:$C$5005,INCORRIDO!$D$6:$D$5005,$B8,INCORRIDO!$E$6:$E$5005,BV$7)+IF(BV$7&gt;PARAMETROS!$C$12,IF($H8&gt;0,$G8*CURVA!BV8/$H8,0)*BV$6,0))</f>
        <v>0</v>
      </c>
      <c r="BW8" s="19" t="n">
        <f aca="false">IF($B8="",0,SUMIFS(INCORRIDO!$C$6:$C$5005,INCORRIDO!$D$6:$D$5005,$B8,INCORRIDO!$E$6:$E$5005,BW$7)+IF(BW$7&gt;PARAMETROS!$C$12,IF($H8&gt;0,$G8*CURVA!BW8/$H8,0)*BW$6,0))</f>
        <v>0</v>
      </c>
      <c r="BX8" s="19" t="n">
        <f aca="false">IF($B8="",0,SUMIFS(INCORRIDO!$C$6:$C$5005,INCORRIDO!$D$6:$D$5005,$B8,INCORRIDO!$E$6:$E$5005,BX$7)+IF(BX$7&gt;PARAMETROS!$C$12,IF($H8&gt;0,$G8*CURVA!BX8/$H8,0)*BX$6,0))</f>
        <v>0</v>
      </c>
      <c r="BY8" s="19" t="n">
        <f aca="false">IF($B8="",0,SUMIFS(INCORRIDO!$C$6:$C$5005,INCORRIDO!$D$6:$D$5005,$B8,INCORRIDO!$E$6:$E$5005,BY$7)+IF(BY$7&gt;PARAMETROS!$C$12,IF($H8&gt;0,$G8*CURVA!BY8/$H8,0)*BY$6,0))</f>
        <v>0</v>
      </c>
      <c r="BZ8" s="19" t="n">
        <f aca="false">IF($B8="",0,SUMIFS(INCORRIDO!$C$6:$C$5005,INCORRIDO!$D$6:$D$5005,$B8,INCORRIDO!$E$6:$E$5005,BZ$7)+IF(BZ$7&gt;PARAMETROS!$C$12,IF($H8&gt;0,$G8*CURVA!BZ8/$H8,0)*BZ$6,0))</f>
        <v>0</v>
      </c>
      <c r="CA8" s="19" t="n">
        <f aca="false">IF($B8="",0,SUMIFS(INCORRIDO!$C$6:$C$5005,INCORRIDO!$D$6:$D$5005,$B8,INCORRIDO!$E$6:$E$5005,CA$7)+IF(CA$7&gt;PARAMETROS!$C$12,IF($H8&gt;0,$G8*CURVA!CA8/$H8,0)*CA$6,0))</f>
        <v>0</v>
      </c>
      <c r="CB8" s="19" t="n">
        <f aca="false">IF($B8="",0,SUMIFS(INCORRIDO!$C$6:$C$5005,INCORRIDO!$D$6:$D$5005,$B8,INCORRIDO!$E$6:$E$5005,CB$7)+IF(CB$7&gt;PARAMETROS!$C$12,IF($H8&gt;0,$G8*CURVA!CB8/$H8,0)*CB$6,0))</f>
        <v>0</v>
      </c>
      <c r="CC8" s="19" t="n">
        <f aca="false">IF($B8="",0,SUMIFS(INCORRIDO!$C$6:$C$5005,INCORRIDO!$D$6:$D$5005,$B8,INCORRIDO!$E$6:$E$5005,CC$7)+IF(CC$7&gt;PARAMETROS!$C$12,IF($H8&gt;0,$G8*CURVA!CC8/$H8,0)*CC$6,0))</f>
        <v>0</v>
      </c>
    </row>
    <row r="9" customFormat="false" ht="15" hidden="false" customHeight="false" outlineLevel="0" collapsed="false">
      <c r="A9" s="31" t="str">
        <f aca="false">IF(ORCAMENTO!A7="","",ORCAMENTO!A7)</f>
        <v>02</v>
      </c>
      <c r="B9" s="31" t="str">
        <f aca="false">IF(ORCAMENTO!B7="","",ORCAMENTO!B7)</f>
        <v>SEGUROS</v>
      </c>
      <c r="C9" s="31" t="str">
        <f aca="false">IF(ORCAMENTO!C7="","",ORCAMENTO!C7)</f>
        <v>INDIRETOS</v>
      </c>
      <c r="D9" s="32" t="n">
        <f aca="false">IF($B9="",0,ORCAMENTO!E7)</f>
        <v>127911.99</v>
      </c>
      <c r="E9" s="19" t="n">
        <f aca="false">IF($B9="",0,SUMIFS(INCORRIDO!$C$6:$C$5005,INCORRIDO!$D$6:$D$5005,$B9,INCORRIDO!$E$6:$E$5005,"&lt;="&amp;PARAMETROS!$C$12))</f>
        <v>0</v>
      </c>
      <c r="F9" s="19" t="n">
        <f aca="false">IF($B9="",0,SUMIFS(INCORRIDO!$C$6:$C$5005,INCORRIDO!$D$6:$D$5005,$B9,INCORRIDO!$E$6:$E$5005,"&gt;"&amp;PARAMETROS!$C$12))</f>
        <v>0</v>
      </c>
      <c r="G9" s="19" t="n">
        <f aca="false">MAX(0,D9-E9-F9)</f>
        <v>127911.99</v>
      </c>
      <c r="H9" s="32" t="n">
        <f aca="false">CURVA!H9</f>
        <v>0</v>
      </c>
      <c r="I9" s="19" t="n">
        <f aca="false">SUM(J9:CC9)</f>
        <v>0</v>
      </c>
      <c r="J9" s="19" t="n">
        <f aca="false">IF($B9="",0,SUMIFS(INCORRIDO!$C$6:$C$5005,INCORRIDO!$D$6:$D$5005,$B9,INCORRIDO!$E$6:$E$5005,"&lt;="&amp;J$7)+IF(J$7&gt;PARAMETROS!$C$12,IF($H9&gt;0,$G9*CURVA!J9/$H9,0)*J$6,0))</f>
        <v>0</v>
      </c>
      <c r="K9" s="19" t="n">
        <f aca="false">IF($B9="",0,SUMIFS(INCORRIDO!$C$6:$C$5005,INCORRIDO!$D$6:$D$5005,$B9,INCORRIDO!$E$6:$E$5005,K$7)+IF(K$7&gt;PARAMETROS!$C$12,IF($H9&gt;0,$G9*CURVA!K9/$H9,0)*K$6,0))</f>
        <v>0</v>
      </c>
      <c r="L9" s="19" t="n">
        <f aca="false">IF($B9="",0,SUMIFS(INCORRIDO!$C$6:$C$5005,INCORRIDO!$D$6:$D$5005,$B9,INCORRIDO!$E$6:$E$5005,L$7)+IF(L$7&gt;PARAMETROS!$C$12,IF($H9&gt;0,$G9*CURVA!L9/$H9,0)*L$6,0))</f>
        <v>0</v>
      </c>
      <c r="M9" s="19" t="n">
        <f aca="false">IF($B9="",0,SUMIFS(INCORRIDO!$C$6:$C$5005,INCORRIDO!$D$6:$D$5005,$B9,INCORRIDO!$E$6:$E$5005,M$7)+IF(M$7&gt;PARAMETROS!$C$12,IF($H9&gt;0,$G9*CURVA!M9/$H9,0)*M$6,0))</f>
        <v>0</v>
      </c>
      <c r="N9" s="19" t="n">
        <f aca="false">IF($B9="",0,SUMIFS(INCORRIDO!$C$6:$C$5005,INCORRIDO!$D$6:$D$5005,$B9,INCORRIDO!$E$6:$E$5005,N$7)+IF(N$7&gt;PARAMETROS!$C$12,IF($H9&gt;0,$G9*CURVA!N9/$H9,0)*N$6,0))</f>
        <v>0</v>
      </c>
      <c r="O9" s="19" t="n">
        <f aca="false">IF($B9="",0,SUMIFS(INCORRIDO!$C$6:$C$5005,INCORRIDO!$D$6:$D$5005,$B9,INCORRIDO!$E$6:$E$5005,O$7)+IF(O$7&gt;PARAMETROS!$C$12,IF($H9&gt;0,$G9*CURVA!O9/$H9,0)*O$6,0))</f>
        <v>0</v>
      </c>
      <c r="P9" s="19" t="n">
        <f aca="false">IF($B9="",0,SUMIFS(INCORRIDO!$C$6:$C$5005,INCORRIDO!$D$6:$D$5005,$B9,INCORRIDO!$E$6:$E$5005,P$7)+IF(P$7&gt;PARAMETROS!$C$12,IF($H9&gt;0,$G9*CURVA!P9/$H9,0)*P$6,0))</f>
        <v>0</v>
      </c>
      <c r="Q9" s="19" t="n">
        <f aca="false">IF($B9="",0,SUMIFS(INCORRIDO!$C$6:$C$5005,INCORRIDO!$D$6:$D$5005,$B9,INCORRIDO!$E$6:$E$5005,Q$7)+IF(Q$7&gt;PARAMETROS!$C$12,IF($H9&gt;0,$G9*CURVA!Q9/$H9,0)*Q$6,0))</f>
        <v>0</v>
      </c>
      <c r="R9" s="19" t="n">
        <f aca="false">IF($B9="",0,SUMIFS(INCORRIDO!$C$6:$C$5005,INCORRIDO!$D$6:$D$5005,$B9,INCORRIDO!$E$6:$E$5005,R$7)+IF(R$7&gt;PARAMETROS!$C$12,IF($H9&gt;0,$G9*CURVA!R9/$H9,0)*R$6,0))</f>
        <v>0</v>
      </c>
      <c r="S9" s="19" t="n">
        <f aca="false">IF($B9="",0,SUMIFS(INCORRIDO!$C$6:$C$5005,INCORRIDO!$D$6:$D$5005,$B9,INCORRIDO!$E$6:$E$5005,S$7)+IF(S$7&gt;PARAMETROS!$C$12,IF($H9&gt;0,$G9*CURVA!S9/$H9,0)*S$6,0))</f>
        <v>0</v>
      </c>
      <c r="T9" s="19" t="n">
        <f aca="false">IF($B9="",0,SUMIFS(INCORRIDO!$C$6:$C$5005,INCORRIDO!$D$6:$D$5005,$B9,INCORRIDO!$E$6:$E$5005,T$7)+IF(T$7&gt;PARAMETROS!$C$12,IF($H9&gt;0,$G9*CURVA!T9/$H9,0)*T$6,0))</f>
        <v>0</v>
      </c>
      <c r="U9" s="19" t="n">
        <f aca="false">IF($B9="",0,SUMIFS(INCORRIDO!$C$6:$C$5005,INCORRIDO!$D$6:$D$5005,$B9,INCORRIDO!$E$6:$E$5005,U$7)+IF(U$7&gt;PARAMETROS!$C$12,IF($H9&gt;0,$G9*CURVA!U9/$H9,0)*U$6,0))</f>
        <v>0</v>
      </c>
      <c r="V9" s="19" t="n">
        <f aca="false">IF($B9="",0,SUMIFS(INCORRIDO!$C$6:$C$5005,INCORRIDO!$D$6:$D$5005,$B9,INCORRIDO!$E$6:$E$5005,V$7)+IF(V$7&gt;PARAMETROS!$C$12,IF($H9&gt;0,$G9*CURVA!V9/$H9,0)*V$6,0))</f>
        <v>0</v>
      </c>
      <c r="W9" s="19" t="n">
        <f aca="false">IF($B9="",0,SUMIFS(INCORRIDO!$C$6:$C$5005,INCORRIDO!$D$6:$D$5005,$B9,INCORRIDO!$E$6:$E$5005,W$7)+IF(W$7&gt;PARAMETROS!$C$12,IF($H9&gt;0,$G9*CURVA!W9/$H9,0)*W$6,0))</f>
        <v>0</v>
      </c>
      <c r="X9" s="19" t="n">
        <f aca="false">IF($B9="",0,SUMIFS(INCORRIDO!$C$6:$C$5005,INCORRIDO!$D$6:$D$5005,$B9,INCORRIDO!$E$6:$E$5005,X$7)+IF(X$7&gt;PARAMETROS!$C$12,IF($H9&gt;0,$G9*CURVA!X9/$H9,0)*X$6,0))</f>
        <v>0</v>
      </c>
      <c r="Y9" s="19" t="n">
        <f aca="false">IF($B9="",0,SUMIFS(INCORRIDO!$C$6:$C$5005,INCORRIDO!$D$6:$D$5005,$B9,INCORRIDO!$E$6:$E$5005,Y$7)+IF(Y$7&gt;PARAMETROS!$C$12,IF($H9&gt;0,$G9*CURVA!Y9/$H9,0)*Y$6,0))</f>
        <v>0</v>
      </c>
      <c r="Z9" s="19" t="n">
        <f aca="false">IF($B9="",0,SUMIFS(INCORRIDO!$C$6:$C$5005,INCORRIDO!$D$6:$D$5005,$B9,INCORRIDO!$E$6:$E$5005,Z$7)+IF(Z$7&gt;PARAMETROS!$C$12,IF($H9&gt;0,$G9*CURVA!Z9/$H9,0)*Z$6,0))</f>
        <v>0</v>
      </c>
      <c r="AA9" s="19" t="n">
        <f aca="false">IF($B9="",0,SUMIFS(INCORRIDO!$C$6:$C$5005,INCORRIDO!$D$6:$D$5005,$B9,INCORRIDO!$E$6:$E$5005,AA$7)+IF(AA$7&gt;PARAMETROS!$C$12,IF($H9&gt;0,$G9*CURVA!AA9/$H9,0)*AA$6,0))</f>
        <v>0</v>
      </c>
      <c r="AB9" s="19" t="n">
        <f aca="false">IF($B9="",0,SUMIFS(INCORRIDO!$C$6:$C$5005,INCORRIDO!$D$6:$D$5005,$B9,INCORRIDO!$E$6:$E$5005,AB$7)+IF(AB$7&gt;PARAMETROS!$C$12,IF($H9&gt;0,$G9*CURVA!AB9/$H9,0)*AB$6,0))</f>
        <v>0</v>
      </c>
      <c r="AC9" s="19" t="n">
        <f aca="false">IF($B9="",0,SUMIFS(INCORRIDO!$C$6:$C$5005,INCORRIDO!$D$6:$D$5005,$B9,INCORRIDO!$E$6:$E$5005,AC$7)+IF(AC$7&gt;PARAMETROS!$C$12,IF($H9&gt;0,$G9*CURVA!AC9/$H9,0)*AC$6,0))</f>
        <v>0</v>
      </c>
      <c r="AD9" s="19" t="n">
        <f aca="false">IF($B9="",0,SUMIFS(INCORRIDO!$C$6:$C$5005,INCORRIDO!$D$6:$D$5005,$B9,INCORRIDO!$E$6:$E$5005,AD$7)+IF(AD$7&gt;PARAMETROS!$C$12,IF($H9&gt;0,$G9*CURVA!AD9/$H9,0)*AD$6,0))</f>
        <v>0</v>
      </c>
      <c r="AE9" s="19" t="n">
        <f aca="false">IF($B9="",0,SUMIFS(INCORRIDO!$C$6:$C$5005,INCORRIDO!$D$6:$D$5005,$B9,INCORRIDO!$E$6:$E$5005,AE$7)+IF(AE$7&gt;PARAMETROS!$C$12,IF($H9&gt;0,$G9*CURVA!AE9/$H9,0)*AE$6,0))</f>
        <v>0</v>
      </c>
      <c r="AF9" s="19" t="n">
        <f aca="false">IF($B9="",0,SUMIFS(INCORRIDO!$C$6:$C$5005,INCORRIDO!$D$6:$D$5005,$B9,INCORRIDO!$E$6:$E$5005,AF$7)+IF(AF$7&gt;PARAMETROS!$C$12,IF($H9&gt;0,$G9*CURVA!AF9/$H9,0)*AF$6,0))</f>
        <v>0</v>
      </c>
      <c r="AG9" s="19" t="n">
        <f aca="false">IF($B9="",0,SUMIFS(INCORRIDO!$C$6:$C$5005,INCORRIDO!$D$6:$D$5005,$B9,INCORRIDO!$E$6:$E$5005,AG$7)+IF(AG$7&gt;PARAMETROS!$C$12,IF($H9&gt;0,$G9*CURVA!AG9/$H9,0)*AG$6,0))</f>
        <v>0</v>
      </c>
      <c r="AH9" s="19" t="n">
        <f aca="false">IF($B9="",0,SUMIFS(INCORRIDO!$C$6:$C$5005,INCORRIDO!$D$6:$D$5005,$B9,INCORRIDO!$E$6:$E$5005,AH$7)+IF(AH$7&gt;PARAMETROS!$C$12,IF($H9&gt;0,$G9*CURVA!AH9/$H9,0)*AH$6,0))</f>
        <v>0</v>
      </c>
      <c r="AI9" s="19" t="n">
        <f aca="false">IF($B9="",0,SUMIFS(INCORRIDO!$C$6:$C$5005,INCORRIDO!$D$6:$D$5005,$B9,INCORRIDO!$E$6:$E$5005,AI$7)+IF(AI$7&gt;PARAMETROS!$C$12,IF($H9&gt;0,$G9*CURVA!AI9/$H9,0)*AI$6,0))</f>
        <v>0</v>
      </c>
      <c r="AJ9" s="19" t="n">
        <f aca="false">IF($B9="",0,SUMIFS(INCORRIDO!$C$6:$C$5005,INCORRIDO!$D$6:$D$5005,$B9,INCORRIDO!$E$6:$E$5005,AJ$7)+IF(AJ$7&gt;PARAMETROS!$C$12,IF($H9&gt;0,$G9*CURVA!AJ9/$H9,0)*AJ$6,0))</f>
        <v>0</v>
      </c>
      <c r="AK9" s="19" t="n">
        <f aca="false">IF($B9="",0,SUMIFS(INCORRIDO!$C$6:$C$5005,INCORRIDO!$D$6:$D$5005,$B9,INCORRIDO!$E$6:$E$5005,AK$7)+IF(AK$7&gt;PARAMETROS!$C$12,IF($H9&gt;0,$G9*CURVA!AK9/$H9,0)*AK$6,0))</f>
        <v>0</v>
      </c>
      <c r="AL9" s="19" t="n">
        <f aca="false">IF($B9="",0,SUMIFS(INCORRIDO!$C$6:$C$5005,INCORRIDO!$D$6:$D$5005,$B9,INCORRIDO!$E$6:$E$5005,AL$7)+IF(AL$7&gt;PARAMETROS!$C$12,IF($H9&gt;0,$G9*CURVA!AL9/$H9,0)*AL$6,0))</f>
        <v>0</v>
      </c>
      <c r="AM9" s="19" t="n">
        <f aca="false">IF($B9="",0,SUMIFS(INCORRIDO!$C$6:$C$5005,INCORRIDO!$D$6:$D$5005,$B9,INCORRIDO!$E$6:$E$5005,AM$7)+IF(AM$7&gt;PARAMETROS!$C$12,IF($H9&gt;0,$G9*CURVA!AM9/$H9,0)*AM$6,0))</f>
        <v>0</v>
      </c>
      <c r="AN9" s="19" t="n">
        <f aca="false">IF($B9="",0,SUMIFS(INCORRIDO!$C$6:$C$5005,INCORRIDO!$D$6:$D$5005,$B9,INCORRIDO!$E$6:$E$5005,AN$7)+IF(AN$7&gt;PARAMETROS!$C$12,IF($H9&gt;0,$G9*CURVA!AN9/$H9,0)*AN$6,0))</f>
        <v>0</v>
      </c>
      <c r="AO9" s="19" t="n">
        <f aca="false">IF($B9="",0,SUMIFS(INCORRIDO!$C$6:$C$5005,INCORRIDO!$D$6:$D$5005,$B9,INCORRIDO!$E$6:$E$5005,AO$7)+IF(AO$7&gt;PARAMETROS!$C$12,IF($H9&gt;0,$G9*CURVA!AO9/$H9,0)*AO$6,0))</f>
        <v>0</v>
      </c>
      <c r="AP9" s="19" t="n">
        <f aca="false">IF($B9="",0,SUMIFS(INCORRIDO!$C$6:$C$5005,INCORRIDO!$D$6:$D$5005,$B9,INCORRIDO!$E$6:$E$5005,AP$7)+IF(AP$7&gt;PARAMETROS!$C$12,IF($H9&gt;0,$G9*CURVA!AP9/$H9,0)*AP$6,0))</f>
        <v>0</v>
      </c>
      <c r="AQ9" s="19" t="n">
        <f aca="false">IF($B9="",0,SUMIFS(INCORRIDO!$C$6:$C$5005,INCORRIDO!$D$6:$D$5005,$B9,INCORRIDO!$E$6:$E$5005,AQ$7)+IF(AQ$7&gt;PARAMETROS!$C$12,IF($H9&gt;0,$G9*CURVA!AQ9/$H9,0)*AQ$6,0))</f>
        <v>0</v>
      </c>
      <c r="AR9" s="19" t="n">
        <f aca="false">IF($B9="",0,SUMIFS(INCORRIDO!$C$6:$C$5005,INCORRIDO!$D$6:$D$5005,$B9,INCORRIDO!$E$6:$E$5005,AR$7)+IF(AR$7&gt;PARAMETROS!$C$12,IF($H9&gt;0,$G9*CURVA!AR9/$H9,0)*AR$6,0))</f>
        <v>0</v>
      </c>
      <c r="AS9" s="19" t="n">
        <f aca="false">IF($B9="",0,SUMIFS(INCORRIDO!$C$6:$C$5005,INCORRIDO!$D$6:$D$5005,$B9,INCORRIDO!$E$6:$E$5005,AS$7)+IF(AS$7&gt;PARAMETROS!$C$12,IF($H9&gt;0,$G9*CURVA!AS9/$H9,0)*AS$6,0))</f>
        <v>0</v>
      </c>
      <c r="AT9" s="19" t="n">
        <f aca="false">IF($B9="",0,SUMIFS(INCORRIDO!$C$6:$C$5005,INCORRIDO!$D$6:$D$5005,$B9,INCORRIDO!$E$6:$E$5005,AT$7)+IF(AT$7&gt;PARAMETROS!$C$12,IF($H9&gt;0,$G9*CURVA!AT9/$H9,0)*AT$6,0))</f>
        <v>0</v>
      </c>
      <c r="AU9" s="19" t="n">
        <f aca="false">IF($B9="",0,SUMIFS(INCORRIDO!$C$6:$C$5005,INCORRIDO!$D$6:$D$5005,$B9,INCORRIDO!$E$6:$E$5005,AU$7)+IF(AU$7&gt;PARAMETROS!$C$12,IF($H9&gt;0,$G9*CURVA!AU9/$H9,0)*AU$6,0))</f>
        <v>0</v>
      </c>
      <c r="AV9" s="19" t="n">
        <f aca="false">IF($B9="",0,SUMIFS(INCORRIDO!$C$6:$C$5005,INCORRIDO!$D$6:$D$5005,$B9,INCORRIDO!$E$6:$E$5005,AV$7)+IF(AV$7&gt;PARAMETROS!$C$12,IF($H9&gt;0,$G9*CURVA!AV9/$H9,0)*AV$6,0))</f>
        <v>0</v>
      </c>
      <c r="AW9" s="19" t="n">
        <f aca="false">IF($B9="",0,SUMIFS(INCORRIDO!$C$6:$C$5005,INCORRIDO!$D$6:$D$5005,$B9,INCORRIDO!$E$6:$E$5005,AW$7)+IF(AW$7&gt;PARAMETROS!$C$12,IF($H9&gt;0,$G9*CURVA!AW9/$H9,0)*AW$6,0))</f>
        <v>0</v>
      </c>
      <c r="AX9" s="19" t="n">
        <f aca="false">IF($B9="",0,SUMIFS(INCORRIDO!$C$6:$C$5005,INCORRIDO!$D$6:$D$5005,$B9,INCORRIDO!$E$6:$E$5005,AX$7)+IF(AX$7&gt;PARAMETROS!$C$12,IF($H9&gt;0,$G9*CURVA!AX9/$H9,0)*AX$6,0))</f>
        <v>0</v>
      </c>
      <c r="AY9" s="19" t="n">
        <f aca="false">IF($B9="",0,SUMIFS(INCORRIDO!$C$6:$C$5005,INCORRIDO!$D$6:$D$5005,$B9,INCORRIDO!$E$6:$E$5005,AY$7)+IF(AY$7&gt;PARAMETROS!$C$12,IF($H9&gt;0,$G9*CURVA!AY9/$H9,0)*AY$6,0))</f>
        <v>0</v>
      </c>
      <c r="AZ9" s="19" t="n">
        <f aca="false">IF($B9="",0,SUMIFS(INCORRIDO!$C$6:$C$5005,INCORRIDO!$D$6:$D$5005,$B9,INCORRIDO!$E$6:$E$5005,AZ$7)+IF(AZ$7&gt;PARAMETROS!$C$12,IF($H9&gt;0,$G9*CURVA!AZ9/$H9,0)*AZ$6,0))</f>
        <v>0</v>
      </c>
      <c r="BA9" s="19" t="n">
        <f aca="false">IF($B9="",0,SUMIFS(INCORRIDO!$C$6:$C$5005,INCORRIDO!$D$6:$D$5005,$B9,INCORRIDO!$E$6:$E$5005,BA$7)+IF(BA$7&gt;PARAMETROS!$C$12,IF($H9&gt;0,$G9*CURVA!BA9/$H9,0)*BA$6,0))</f>
        <v>0</v>
      </c>
      <c r="BB9" s="19" t="n">
        <f aca="false">IF($B9="",0,SUMIFS(INCORRIDO!$C$6:$C$5005,INCORRIDO!$D$6:$D$5005,$B9,INCORRIDO!$E$6:$E$5005,BB$7)+IF(BB$7&gt;PARAMETROS!$C$12,IF($H9&gt;0,$G9*CURVA!BB9/$H9,0)*BB$6,0))</f>
        <v>0</v>
      </c>
      <c r="BC9" s="19" t="n">
        <f aca="false">IF($B9="",0,SUMIFS(INCORRIDO!$C$6:$C$5005,INCORRIDO!$D$6:$D$5005,$B9,INCORRIDO!$E$6:$E$5005,BC$7)+IF(BC$7&gt;PARAMETROS!$C$12,IF($H9&gt;0,$G9*CURVA!BC9/$H9,0)*BC$6,0))</f>
        <v>0</v>
      </c>
      <c r="BD9" s="19" t="n">
        <f aca="false">IF($B9="",0,SUMIFS(INCORRIDO!$C$6:$C$5005,INCORRIDO!$D$6:$D$5005,$B9,INCORRIDO!$E$6:$E$5005,BD$7)+IF(BD$7&gt;PARAMETROS!$C$12,IF($H9&gt;0,$G9*CURVA!BD9/$H9,0)*BD$6,0))</f>
        <v>0</v>
      </c>
      <c r="BE9" s="19" t="n">
        <f aca="false">IF($B9="",0,SUMIFS(INCORRIDO!$C$6:$C$5005,INCORRIDO!$D$6:$D$5005,$B9,INCORRIDO!$E$6:$E$5005,BE$7)+IF(BE$7&gt;PARAMETROS!$C$12,IF($H9&gt;0,$G9*CURVA!BE9/$H9,0)*BE$6,0))</f>
        <v>0</v>
      </c>
      <c r="BF9" s="19" t="n">
        <f aca="false">IF($B9="",0,SUMIFS(INCORRIDO!$C$6:$C$5005,INCORRIDO!$D$6:$D$5005,$B9,INCORRIDO!$E$6:$E$5005,BF$7)+IF(BF$7&gt;PARAMETROS!$C$12,IF($H9&gt;0,$G9*CURVA!BF9/$H9,0)*BF$6,0))</f>
        <v>0</v>
      </c>
      <c r="BG9" s="19" t="n">
        <f aca="false">IF($B9="",0,SUMIFS(INCORRIDO!$C$6:$C$5005,INCORRIDO!$D$6:$D$5005,$B9,INCORRIDO!$E$6:$E$5005,BG$7)+IF(BG$7&gt;PARAMETROS!$C$12,IF($H9&gt;0,$G9*CURVA!BG9/$H9,0)*BG$6,0))</f>
        <v>0</v>
      </c>
      <c r="BH9" s="19" t="n">
        <f aca="false">IF($B9="",0,SUMIFS(INCORRIDO!$C$6:$C$5005,INCORRIDO!$D$6:$D$5005,$B9,INCORRIDO!$E$6:$E$5005,BH$7)+IF(BH$7&gt;PARAMETROS!$C$12,IF($H9&gt;0,$G9*CURVA!BH9/$H9,0)*BH$6,0))</f>
        <v>0</v>
      </c>
      <c r="BI9" s="19" t="n">
        <f aca="false">IF($B9="",0,SUMIFS(INCORRIDO!$C$6:$C$5005,INCORRIDO!$D$6:$D$5005,$B9,INCORRIDO!$E$6:$E$5005,BI$7)+IF(BI$7&gt;PARAMETROS!$C$12,IF($H9&gt;0,$G9*CURVA!BI9/$H9,0)*BI$6,0))</f>
        <v>0</v>
      </c>
      <c r="BJ9" s="19" t="n">
        <f aca="false">IF($B9="",0,SUMIFS(INCORRIDO!$C$6:$C$5005,INCORRIDO!$D$6:$D$5005,$B9,INCORRIDO!$E$6:$E$5005,BJ$7)+IF(BJ$7&gt;PARAMETROS!$C$12,IF($H9&gt;0,$G9*CURVA!BJ9/$H9,0)*BJ$6,0))</f>
        <v>0</v>
      </c>
      <c r="BK9" s="19" t="n">
        <f aca="false">IF($B9="",0,SUMIFS(INCORRIDO!$C$6:$C$5005,INCORRIDO!$D$6:$D$5005,$B9,INCORRIDO!$E$6:$E$5005,BK$7)+IF(BK$7&gt;PARAMETROS!$C$12,IF($H9&gt;0,$G9*CURVA!BK9/$H9,0)*BK$6,0))</f>
        <v>0</v>
      </c>
      <c r="BL9" s="19" t="n">
        <f aca="false">IF($B9="",0,SUMIFS(INCORRIDO!$C$6:$C$5005,INCORRIDO!$D$6:$D$5005,$B9,INCORRIDO!$E$6:$E$5005,BL$7)+IF(BL$7&gt;PARAMETROS!$C$12,IF($H9&gt;0,$G9*CURVA!BL9/$H9,0)*BL$6,0))</f>
        <v>0</v>
      </c>
      <c r="BM9" s="19" t="n">
        <f aca="false">IF($B9="",0,SUMIFS(INCORRIDO!$C$6:$C$5005,INCORRIDO!$D$6:$D$5005,$B9,INCORRIDO!$E$6:$E$5005,BM$7)+IF(BM$7&gt;PARAMETROS!$C$12,IF($H9&gt;0,$G9*CURVA!BM9/$H9,0)*BM$6,0))</f>
        <v>0</v>
      </c>
      <c r="BN9" s="19" t="n">
        <f aca="false">IF($B9="",0,SUMIFS(INCORRIDO!$C$6:$C$5005,INCORRIDO!$D$6:$D$5005,$B9,INCORRIDO!$E$6:$E$5005,BN$7)+IF(BN$7&gt;PARAMETROS!$C$12,IF($H9&gt;0,$G9*CURVA!BN9/$H9,0)*BN$6,0))</f>
        <v>0</v>
      </c>
      <c r="BO9" s="19" t="n">
        <f aca="false">IF($B9="",0,SUMIFS(INCORRIDO!$C$6:$C$5005,INCORRIDO!$D$6:$D$5005,$B9,INCORRIDO!$E$6:$E$5005,BO$7)+IF(BO$7&gt;PARAMETROS!$C$12,IF($H9&gt;0,$G9*CURVA!BO9/$H9,0)*BO$6,0))</f>
        <v>0</v>
      </c>
      <c r="BP9" s="19" t="n">
        <f aca="false">IF($B9="",0,SUMIFS(INCORRIDO!$C$6:$C$5005,INCORRIDO!$D$6:$D$5005,$B9,INCORRIDO!$E$6:$E$5005,BP$7)+IF(BP$7&gt;PARAMETROS!$C$12,IF($H9&gt;0,$G9*CURVA!BP9/$H9,0)*BP$6,0))</f>
        <v>0</v>
      </c>
      <c r="BQ9" s="19" t="n">
        <f aca="false">IF($B9="",0,SUMIFS(INCORRIDO!$C$6:$C$5005,INCORRIDO!$D$6:$D$5005,$B9,INCORRIDO!$E$6:$E$5005,BQ$7)+IF(BQ$7&gt;PARAMETROS!$C$12,IF($H9&gt;0,$G9*CURVA!BQ9/$H9,0)*BQ$6,0))</f>
        <v>0</v>
      </c>
      <c r="BR9" s="19" t="n">
        <f aca="false">IF($B9="",0,SUMIFS(INCORRIDO!$C$6:$C$5005,INCORRIDO!$D$6:$D$5005,$B9,INCORRIDO!$E$6:$E$5005,BR$7)+IF(BR$7&gt;PARAMETROS!$C$12,IF($H9&gt;0,$G9*CURVA!BR9/$H9,0)*BR$6,0))</f>
        <v>0</v>
      </c>
      <c r="BS9" s="19" t="n">
        <f aca="false">IF($B9="",0,SUMIFS(INCORRIDO!$C$6:$C$5005,INCORRIDO!$D$6:$D$5005,$B9,INCORRIDO!$E$6:$E$5005,BS$7)+IF(BS$7&gt;PARAMETROS!$C$12,IF($H9&gt;0,$G9*CURVA!BS9/$H9,0)*BS$6,0))</f>
        <v>0</v>
      </c>
      <c r="BT9" s="19" t="n">
        <f aca="false">IF($B9="",0,SUMIFS(INCORRIDO!$C$6:$C$5005,INCORRIDO!$D$6:$D$5005,$B9,INCORRIDO!$E$6:$E$5005,BT$7)+IF(BT$7&gt;PARAMETROS!$C$12,IF($H9&gt;0,$G9*CURVA!BT9/$H9,0)*BT$6,0))</f>
        <v>0</v>
      </c>
      <c r="BU9" s="19" t="n">
        <f aca="false">IF($B9="",0,SUMIFS(INCORRIDO!$C$6:$C$5005,INCORRIDO!$D$6:$D$5005,$B9,INCORRIDO!$E$6:$E$5005,BU$7)+IF(BU$7&gt;PARAMETROS!$C$12,IF($H9&gt;0,$G9*CURVA!BU9/$H9,0)*BU$6,0))</f>
        <v>0</v>
      </c>
      <c r="BV9" s="19" t="n">
        <f aca="false">IF($B9="",0,SUMIFS(INCORRIDO!$C$6:$C$5005,INCORRIDO!$D$6:$D$5005,$B9,INCORRIDO!$E$6:$E$5005,BV$7)+IF(BV$7&gt;PARAMETROS!$C$12,IF($H9&gt;0,$G9*CURVA!BV9/$H9,0)*BV$6,0))</f>
        <v>0</v>
      </c>
      <c r="BW9" s="19" t="n">
        <f aca="false">IF($B9="",0,SUMIFS(INCORRIDO!$C$6:$C$5005,INCORRIDO!$D$6:$D$5005,$B9,INCORRIDO!$E$6:$E$5005,BW$7)+IF(BW$7&gt;PARAMETROS!$C$12,IF($H9&gt;0,$G9*CURVA!BW9/$H9,0)*BW$6,0))</f>
        <v>0</v>
      </c>
      <c r="BX9" s="19" t="n">
        <f aca="false">IF($B9="",0,SUMIFS(INCORRIDO!$C$6:$C$5005,INCORRIDO!$D$6:$D$5005,$B9,INCORRIDO!$E$6:$E$5005,BX$7)+IF(BX$7&gt;PARAMETROS!$C$12,IF($H9&gt;0,$G9*CURVA!BX9/$H9,0)*BX$6,0))</f>
        <v>0</v>
      </c>
      <c r="BY9" s="19" t="n">
        <f aca="false">IF($B9="",0,SUMIFS(INCORRIDO!$C$6:$C$5005,INCORRIDO!$D$6:$D$5005,$B9,INCORRIDO!$E$6:$E$5005,BY$7)+IF(BY$7&gt;PARAMETROS!$C$12,IF($H9&gt;0,$G9*CURVA!BY9/$H9,0)*BY$6,0))</f>
        <v>0</v>
      </c>
      <c r="BZ9" s="19" t="n">
        <f aca="false">IF($B9="",0,SUMIFS(INCORRIDO!$C$6:$C$5005,INCORRIDO!$D$6:$D$5005,$B9,INCORRIDO!$E$6:$E$5005,BZ$7)+IF(BZ$7&gt;PARAMETROS!$C$12,IF($H9&gt;0,$G9*CURVA!BZ9/$H9,0)*BZ$6,0))</f>
        <v>0</v>
      </c>
      <c r="CA9" s="19" t="n">
        <f aca="false">IF($B9="",0,SUMIFS(INCORRIDO!$C$6:$C$5005,INCORRIDO!$D$6:$D$5005,$B9,INCORRIDO!$E$6:$E$5005,CA$7)+IF(CA$7&gt;PARAMETROS!$C$12,IF($H9&gt;0,$G9*CURVA!CA9/$H9,0)*CA$6,0))</f>
        <v>0</v>
      </c>
      <c r="CB9" s="19" t="n">
        <f aca="false">IF($B9="",0,SUMIFS(INCORRIDO!$C$6:$C$5005,INCORRIDO!$D$6:$D$5005,$B9,INCORRIDO!$E$6:$E$5005,CB$7)+IF(CB$7&gt;PARAMETROS!$C$12,IF($H9&gt;0,$G9*CURVA!CB9/$H9,0)*CB$6,0))</f>
        <v>0</v>
      </c>
      <c r="CC9" s="19" t="n">
        <f aca="false">IF($B9="",0,SUMIFS(INCORRIDO!$C$6:$C$5005,INCORRIDO!$D$6:$D$5005,$B9,INCORRIDO!$E$6:$E$5005,CC$7)+IF(CC$7&gt;PARAMETROS!$C$12,IF($H9&gt;0,$G9*CURVA!CC9/$H9,0)*CC$6,0))</f>
        <v>0</v>
      </c>
    </row>
    <row r="10" customFormat="false" ht="15" hidden="false" customHeight="false" outlineLevel="0" collapsed="false">
      <c r="A10" s="31" t="str">
        <f aca="false">IF(ORCAMENTO!A8="","",ORCAMENTO!A8)</f>
        <v>03</v>
      </c>
      <c r="B10" s="31" t="str">
        <f aca="false">IF(ORCAMENTO!B8="","",ORCAMENTO!B8)</f>
        <v>TAXAS DIVERSAS</v>
      </c>
      <c r="C10" s="31" t="str">
        <f aca="false">IF(ORCAMENTO!C8="","",ORCAMENTO!C8)</f>
        <v>INDIRETOS</v>
      </c>
      <c r="D10" s="32" t="n">
        <f aca="false">IF($B10="",0,ORCAMENTO!E8)</f>
        <v>158047.46</v>
      </c>
      <c r="E10" s="19" t="n">
        <f aca="false">IF($B10="",0,SUMIFS(INCORRIDO!$C$6:$C$5005,INCORRIDO!$D$6:$D$5005,$B10,INCORRIDO!$E$6:$E$5005,"&lt;="&amp;PARAMETROS!$C$12))</f>
        <v>5905.19</v>
      </c>
      <c r="F10" s="19" t="n">
        <f aca="false">IF($B10="",0,SUMIFS(INCORRIDO!$C$6:$C$5005,INCORRIDO!$D$6:$D$5005,$B10,INCORRIDO!$E$6:$E$5005,"&gt;"&amp;PARAMETROS!$C$12))</f>
        <v>0</v>
      </c>
      <c r="G10" s="19" t="n">
        <f aca="false">MAX(0,D10-E10-F10)</f>
        <v>152142.27</v>
      </c>
      <c r="H10" s="32" t="n">
        <f aca="false">CURVA!H10</f>
        <v>151217.5</v>
      </c>
      <c r="I10" s="19" t="n">
        <f aca="false">SUM(J10:CC10)</f>
        <v>158047.46</v>
      </c>
      <c r="J10" s="19" t="n">
        <f aca="false">IF($B10="",0,SUMIFS(INCORRIDO!$C$6:$C$5005,INCORRIDO!$D$6:$D$5005,$B10,INCORRIDO!$E$6:$E$5005,"&lt;="&amp;J$7)+IF(J$7&gt;PARAMETROS!$C$12,IF($H10&gt;0,$G10*CURVA!J10/$H10,0)*J$6,0))</f>
        <v>154.1</v>
      </c>
      <c r="K10" s="19" t="n">
        <f aca="false">IF($B10="",0,SUMIFS(INCORRIDO!$C$6:$C$5005,INCORRIDO!$D$6:$D$5005,$B10,INCORRIDO!$E$6:$E$5005,K$7)+IF(K$7&gt;PARAMETROS!$C$12,IF($H10&gt;0,$G10*CURVA!K10/$H10,0)*K$6,0))</f>
        <v>40.62</v>
      </c>
      <c r="L10" s="19" t="n">
        <f aca="false">IF($B10="",0,SUMIFS(INCORRIDO!$C$6:$C$5005,INCORRIDO!$D$6:$D$5005,$B10,INCORRIDO!$E$6:$E$5005,L$7)+IF(L$7&gt;PARAMETROS!$C$12,IF($H10&gt;0,$G10*CURVA!L10/$H10,0)*L$6,0))</f>
        <v>0</v>
      </c>
      <c r="M10" s="19" t="n">
        <f aca="false">IF($B10="",0,SUMIFS(INCORRIDO!$C$6:$C$5005,INCORRIDO!$D$6:$D$5005,$B10,INCORRIDO!$E$6:$E$5005,M$7)+IF(M$7&gt;PARAMETROS!$C$12,IF($H10&gt;0,$G10*CURVA!M10/$H10,0)*M$6,0))</f>
        <v>0</v>
      </c>
      <c r="N10" s="19" t="n">
        <f aca="false">IF($B10="",0,SUMIFS(INCORRIDO!$C$6:$C$5005,INCORRIDO!$D$6:$D$5005,$B10,INCORRIDO!$E$6:$E$5005,N$7)+IF(N$7&gt;PARAMETROS!$C$12,IF($H10&gt;0,$G10*CURVA!N10/$H10,0)*N$6,0))</f>
        <v>0</v>
      </c>
      <c r="O10" s="19" t="n">
        <f aca="false">IF($B10="",0,SUMIFS(INCORRIDO!$C$6:$C$5005,INCORRIDO!$D$6:$D$5005,$B10,INCORRIDO!$E$6:$E$5005,O$7)+IF(O$7&gt;PARAMETROS!$C$12,IF($H10&gt;0,$G10*CURVA!O10/$H10,0)*O$6,0))</f>
        <v>0</v>
      </c>
      <c r="P10" s="19" t="n">
        <f aca="false">IF($B10="",0,SUMIFS(INCORRIDO!$C$6:$C$5005,INCORRIDO!$D$6:$D$5005,$B10,INCORRIDO!$E$6:$E$5005,P$7)+IF(P$7&gt;PARAMETROS!$C$12,IF($H10&gt;0,$G10*CURVA!P10/$H10,0)*P$6,0))</f>
        <v>64.24</v>
      </c>
      <c r="Q10" s="19" t="n">
        <f aca="false">IF($B10="",0,SUMIFS(INCORRIDO!$C$6:$C$5005,INCORRIDO!$D$6:$D$5005,$B10,INCORRIDO!$E$6:$E$5005,Q$7)+IF(Q$7&gt;PARAMETROS!$C$12,IF($H10&gt;0,$G10*CURVA!Q10/$H10,0)*Q$6,0))</f>
        <v>0</v>
      </c>
      <c r="R10" s="19" t="n">
        <f aca="false">IF($B10="",0,SUMIFS(INCORRIDO!$C$6:$C$5005,INCORRIDO!$D$6:$D$5005,$B10,INCORRIDO!$E$6:$E$5005,R$7)+IF(R$7&gt;PARAMETROS!$C$12,IF($H10&gt;0,$G10*CURVA!R10/$H10,0)*R$6,0))</f>
        <v>0</v>
      </c>
      <c r="S10" s="19" t="n">
        <f aca="false">IF($B10="",0,SUMIFS(INCORRIDO!$C$6:$C$5005,INCORRIDO!$D$6:$D$5005,$B10,INCORRIDO!$E$6:$E$5005,S$7)+IF(S$7&gt;PARAMETROS!$C$12,IF($H10&gt;0,$G10*CURVA!S10/$H10,0)*S$6,0))</f>
        <v>0</v>
      </c>
      <c r="T10" s="19" t="n">
        <f aca="false">IF($B10="",0,SUMIFS(INCORRIDO!$C$6:$C$5005,INCORRIDO!$D$6:$D$5005,$B10,INCORRIDO!$E$6:$E$5005,T$7)+IF(T$7&gt;PARAMETROS!$C$12,IF($H10&gt;0,$G10*CURVA!T10/$H10,0)*T$6,0))</f>
        <v>0</v>
      </c>
      <c r="U10" s="19" t="n">
        <f aca="false">IF($B10="",0,SUMIFS(INCORRIDO!$C$6:$C$5005,INCORRIDO!$D$6:$D$5005,$B10,INCORRIDO!$E$6:$E$5005,U$7)+IF(U$7&gt;PARAMETROS!$C$12,IF($H10&gt;0,$G10*CURVA!U10/$H10,0)*U$6,0))</f>
        <v>103.03</v>
      </c>
      <c r="V10" s="19" t="n">
        <f aca="false">IF($B10="",0,SUMIFS(INCORRIDO!$C$6:$C$5005,INCORRIDO!$D$6:$D$5005,$B10,INCORRIDO!$E$6:$E$5005,V$7)+IF(V$7&gt;PARAMETROS!$C$12,IF($H10&gt;0,$G10*CURVA!V10/$H10,0)*V$6,0))</f>
        <v>0</v>
      </c>
      <c r="W10" s="19" t="n">
        <f aca="false">IF($B10="",0,SUMIFS(INCORRIDO!$C$6:$C$5005,INCORRIDO!$D$6:$D$5005,$B10,INCORRIDO!$E$6:$E$5005,W$7)+IF(W$7&gt;PARAMETROS!$C$12,IF($H10&gt;0,$G10*CURVA!W10/$H10,0)*W$6,0))</f>
        <v>0</v>
      </c>
      <c r="X10" s="19" t="n">
        <f aca="false">IF($B10="",0,SUMIFS(INCORRIDO!$C$6:$C$5005,INCORRIDO!$D$6:$D$5005,$B10,INCORRIDO!$E$6:$E$5005,X$7)+IF(X$7&gt;PARAMETROS!$C$12,IF($H10&gt;0,$G10*CURVA!X10/$H10,0)*X$6,0))</f>
        <v>0</v>
      </c>
      <c r="Y10" s="19" t="n">
        <f aca="false">IF($B10="",0,SUMIFS(INCORRIDO!$C$6:$C$5005,INCORRIDO!$D$6:$D$5005,$B10,INCORRIDO!$E$6:$E$5005,Y$7)+IF(Y$7&gt;PARAMETROS!$C$12,IF($H10&gt;0,$G10*CURVA!Y10/$H10,0)*Y$6,0))</f>
        <v>0</v>
      </c>
      <c r="Z10" s="19" t="n">
        <f aca="false">IF($B10="",0,SUMIFS(INCORRIDO!$C$6:$C$5005,INCORRIDO!$D$6:$D$5005,$B10,INCORRIDO!$E$6:$E$5005,Z$7)+IF(Z$7&gt;PARAMETROS!$C$12,IF($H10&gt;0,$G10*CURVA!Z10/$H10,0)*Z$6,0))</f>
        <v>0</v>
      </c>
      <c r="AA10" s="19" t="n">
        <f aca="false">IF($B10="",0,SUMIFS(INCORRIDO!$C$6:$C$5005,INCORRIDO!$D$6:$D$5005,$B10,INCORRIDO!$E$6:$E$5005,AA$7)+IF(AA$7&gt;PARAMETROS!$C$12,IF($H10&gt;0,$G10*CURVA!AA10/$H10,0)*AA$6,0))</f>
        <v>0</v>
      </c>
      <c r="AB10" s="19" t="n">
        <f aca="false">IF($B10="",0,SUMIFS(INCORRIDO!$C$6:$C$5005,INCORRIDO!$D$6:$D$5005,$B10,INCORRIDO!$E$6:$E$5005,AB$7)+IF(AB$7&gt;PARAMETROS!$C$12,IF($H10&gt;0,$G10*CURVA!AB10/$H10,0)*AB$6,0))</f>
        <v>0</v>
      </c>
      <c r="AC10" s="19" t="n">
        <f aca="false">IF($B10="",0,SUMIFS(INCORRIDO!$C$6:$C$5005,INCORRIDO!$D$6:$D$5005,$B10,INCORRIDO!$E$6:$E$5005,AC$7)+IF(AC$7&gt;PARAMETROS!$C$12,IF($H10&gt;0,$G10*CURVA!AC10/$H10,0)*AC$6,0))</f>
        <v>0</v>
      </c>
      <c r="AD10" s="19" t="n">
        <f aca="false">IF($B10="",0,SUMIFS(INCORRIDO!$C$6:$C$5005,INCORRIDO!$D$6:$D$5005,$B10,INCORRIDO!$E$6:$E$5005,AD$7)+IF(AD$7&gt;PARAMETROS!$C$12,IF($H10&gt;0,$G10*CURVA!AD10/$H10,0)*AD$6,0))</f>
        <v>5543.2</v>
      </c>
      <c r="AE10" s="19" t="n">
        <f aca="false">IF($B10="",0,SUMIFS(INCORRIDO!$C$6:$C$5005,INCORRIDO!$D$6:$D$5005,$B10,INCORRIDO!$E$6:$E$5005,AE$7)+IF(AE$7&gt;PARAMETROS!$C$12,IF($H10&gt;0,$G10*CURVA!AE10/$H10,0)*AE$6,0))</f>
        <v>930.415365980789</v>
      </c>
      <c r="AF10" s="19" t="n">
        <f aca="false">IF($B10="",0,SUMIFS(INCORRIDO!$C$6:$C$5005,INCORRIDO!$D$6:$D$5005,$B10,INCORRIDO!$E$6:$E$5005,AF$7)+IF(AF$7&gt;PARAMETROS!$C$12,IF($H10&gt;0,$G10*CURVA!AF10/$H10,0)*AF$6,0))</f>
        <v>0</v>
      </c>
      <c r="AG10" s="19" t="n">
        <f aca="false">IF($B10="",0,SUMIFS(INCORRIDO!$C$6:$C$5005,INCORRIDO!$D$6:$D$5005,$B10,INCORRIDO!$E$6:$E$5005,AG$7)+IF(AG$7&gt;PARAMETROS!$C$12,IF($H10&gt;0,$G10*CURVA!AG10/$H10,0)*AG$6,0))</f>
        <v>0</v>
      </c>
      <c r="AH10" s="19" t="n">
        <f aca="false">IF($B10="",0,SUMIFS(INCORRIDO!$C$6:$C$5005,INCORRIDO!$D$6:$D$5005,$B10,INCORRIDO!$E$6:$E$5005,AH$7)+IF(AH$7&gt;PARAMETROS!$C$12,IF($H10&gt;0,$G10*CURVA!AH10/$H10,0)*AH$6,0))</f>
        <v>930.415365980789</v>
      </c>
      <c r="AI10" s="19" t="n">
        <f aca="false">IF($B10="",0,SUMIFS(INCORRIDO!$C$6:$C$5005,INCORRIDO!$D$6:$D$5005,$B10,INCORRIDO!$E$6:$E$5005,AI$7)+IF(AI$7&gt;PARAMETROS!$C$12,IF($H10&gt;0,$G10*CURVA!AI10/$H10,0)*AI$6,0))</f>
        <v>0</v>
      </c>
      <c r="AJ10" s="19" t="n">
        <f aca="false">IF($B10="",0,SUMIFS(INCORRIDO!$C$6:$C$5005,INCORRIDO!$D$6:$D$5005,$B10,INCORRIDO!$E$6:$E$5005,AJ$7)+IF(AJ$7&gt;PARAMETROS!$C$12,IF($H10&gt;0,$G10*CURVA!AJ10/$H10,0)*AJ$6,0))</f>
        <v>0</v>
      </c>
      <c r="AK10" s="19" t="n">
        <f aca="false">IF($B10="",0,SUMIFS(INCORRIDO!$C$6:$C$5005,INCORRIDO!$D$6:$D$5005,$B10,INCORRIDO!$E$6:$E$5005,AK$7)+IF(AK$7&gt;PARAMETROS!$C$12,IF($H10&gt;0,$G10*CURVA!AK10/$H10,0)*AK$6,0))</f>
        <v>930.415365980789</v>
      </c>
      <c r="AL10" s="19" t="n">
        <f aca="false">IF($B10="",0,SUMIFS(INCORRIDO!$C$6:$C$5005,INCORRIDO!$D$6:$D$5005,$B10,INCORRIDO!$E$6:$E$5005,AL$7)+IF(AL$7&gt;PARAMETROS!$C$12,IF($H10&gt;0,$G10*CURVA!AL10/$H10,0)*AL$6,0))</f>
        <v>0</v>
      </c>
      <c r="AM10" s="19" t="n">
        <f aca="false">IF($B10="",0,SUMIFS(INCORRIDO!$C$6:$C$5005,INCORRIDO!$D$6:$D$5005,$B10,INCORRIDO!$E$6:$E$5005,AM$7)+IF(AM$7&gt;PARAMETROS!$C$12,IF($H10&gt;0,$G10*CURVA!AM10/$H10,0)*AM$6,0))</f>
        <v>0</v>
      </c>
      <c r="AN10" s="19" t="n">
        <f aca="false">IF($B10="",0,SUMIFS(INCORRIDO!$C$6:$C$5005,INCORRIDO!$D$6:$D$5005,$B10,INCORRIDO!$E$6:$E$5005,AN$7)+IF(AN$7&gt;PARAMETROS!$C$12,IF($H10&gt;0,$G10*CURVA!AN10/$H10,0)*AN$6,0))</f>
        <v>930.415365980789</v>
      </c>
      <c r="AO10" s="19" t="n">
        <f aca="false">IF($B10="",0,SUMIFS(INCORRIDO!$C$6:$C$5005,INCORRIDO!$D$6:$D$5005,$B10,INCORRIDO!$E$6:$E$5005,AO$7)+IF(AO$7&gt;PARAMETROS!$C$12,IF($H10&gt;0,$G10*CURVA!AO10/$H10,0)*AO$6,0))</f>
        <v>0</v>
      </c>
      <c r="AP10" s="19" t="n">
        <f aca="false">IF($B10="",0,SUMIFS(INCORRIDO!$C$6:$C$5005,INCORRIDO!$D$6:$D$5005,$B10,INCORRIDO!$E$6:$E$5005,AP$7)+IF(AP$7&gt;PARAMETROS!$C$12,IF($H10&gt;0,$G10*CURVA!AP10/$H10,0)*AP$6,0))</f>
        <v>0</v>
      </c>
      <c r="AQ10" s="19" t="n">
        <f aca="false">IF($B10="",0,SUMIFS(INCORRIDO!$C$6:$C$5005,INCORRIDO!$D$6:$D$5005,$B10,INCORRIDO!$E$6:$E$5005,AQ$7)+IF(AQ$7&gt;PARAMETROS!$C$12,IF($H10&gt;0,$G10*CURVA!AQ10/$H10,0)*AQ$6,0))</f>
        <v>930.415365980789</v>
      </c>
      <c r="AR10" s="19" t="n">
        <f aca="false">IF($B10="",0,SUMIFS(INCORRIDO!$C$6:$C$5005,INCORRIDO!$D$6:$D$5005,$B10,INCORRIDO!$E$6:$E$5005,AR$7)+IF(AR$7&gt;PARAMETROS!$C$12,IF($H10&gt;0,$G10*CURVA!AR10/$H10,0)*AR$6,0))</f>
        <v>0</v>
      </c>
      <c r="AS10" s="19" t="n">
        <f aca="false">IF($B10="",0,SUMIFS(INCORRIDO!$C$6:$C$5005,INCORRIDO!$D$6:$D$5005,$B10,INCORRIDO!$E$6:$E$5005,AS$7)+IF(AS$7&gt;PARAMETROS!$C$12,IF($H10&gt;0,$G10*CURVA!AS10/$H10,0)*AS$6,0))</f>
        <v>0</v>
      </c>
      <c r="AT10" s="19" t="n">
        <f aca="false">IF($B10="",0,SUMIFS(INCORRIDO!$C$6:$C$5005,INCORRIDO!$D$6:$D$5005,$B10,INCORRIDO!$E$6:$E$5005,AT$7)+IF(AT$7&gt;PARAMETROS!$C$12,IF($H10&gt;0,$G10*CURVA!AT10/$H10,0)*AT$6,0))</f>
        <v>0</v>
      </c>
      <c r="AU10" s="19" t="n">
        <f aca="false">IF($B10="",0,SUMIFS(INCORRIDO!$C$6:$C$5005,INCORRIDO!$D$6:$D$5005,$B10,INCORRIDO!$E$6:$E$5005,AU$7)+IF(AU$7&gt;PARAMETROS!$C$12,IF($H10&gt;0,$G10*CURVA!AU10/$H10,0)*AU$6,0))</f>
        <v>0</v>
      </c>
      <c r="AV10" s="19" t="n">
        <f aca="false">IF($B10="",0,SUMIFS(INCORRIDO!$C$6:$C$5005,INCORRIDO!$D$6:$D$5005,$B10,INCORRIDO!$E$6:$E$5005,AV$7)+IF(AV$7&gt;PARAMETROS!$C$12,IF($H10&gt;0,$G10*CURVA!AV10/$H10,0)*AV$6,0))</f>
        <v>0</v>
      </c>
      <c r="AW10" s="19" t="n">
        <f aca="false">IF($B10="",0,SUMIFS(INCORRIDO!$C$6:$C$5005,INCORRIDO!$D$6:$D$5005,$B10,INCORRIDO!$E$6:$E$5005,AW$7)+IF(AW$7&gt;PARAMETROS!$C$12,IF($H10&gt;0,$G10*CURVA!AW10/$H10,0)*AW$6,0))</f>
        <v>0</v>
      </c>
      <c r="AX10" s="19" t="n">
        <f aca="false">IF($B10="",0,SUMIFS(INCORRIDO!$C$6:$C$5005,INCORRIDO!$D$6:$D$5005,$B10,INCORRIDO!$E$6:$E$5005,AX$7)+IF(AX$7&gt;PARAMETROS!$C$12,IF($H10&gt;0,$G10*CURVA!AX10/$H10,0)*AX$6,0))</f>
        <v>0</v>
      </c>
      <c r="AY10" s="19" t="n">
        <f aca="false">IF($B10="",0,SUMIFS(INCORRIDO!$C$6:$C$5005,INCORRIDO!$D$6:$D$5005,$B10,INCORRIDO!$E$6:$E$5005,AY$7)+IF(AY$7&gt;PARAMETROS!$C$12,IF($H10&gt;0,$G10*CURVA!AY10/$H10,0)*AY$6,0))</f>
        <v>0</v>
      </c>
      <c r="AZ10" s="19" t="n">
        <f aca="false">IF($B10="",0,SUMIFS(INCORRIDO!$C$6:$C$5005,INCORRIDO!$D$6:$D$5005,$B10,INCORRIDO!$E$6:$E$5005,AZ$7)+IF(AZ$7&gt;PARAMETROS!$C$12,IF($H10&gt;0,$G10*CURVA!AZ10/$H10,0)*AZ$6,0))</f>
        <v>0</v>
      </c>
      <c r="BA10" s="19" t="n">
        <f aca="false">IF($B10="",0,SUMIFS(INCORRIDO!$C$6:$C$5005,INCORRIDO!$D$6:$D$5005,$B10,INCORRIDO!$E$6:$E$5005,BA$7)+IF(BA$7&gt;PARAMETROS!$C$12,IF($H10&gt;0,$G10*CURVA!BA10/$H10,0)*BA$6,0))</f>
        <v>0</v>
      </c>
      <c r="BB10" s="19" t="n">
        <f aca="false">IF($B10="",0,SUMIFS(INCORRIDO!$C$6:$C$5005,INCORRIDO!$D$6:$D$5005,$B10,INCORRIDO!$E$6:$E$5005,BB$7)+IF(BB$7&gt;PARAMETROS!$C$12,IF($H10&gt;0,$G10*CURVA!BB10/$H10,0)*BB$6,0))</f>
        <v>0</v>
      </c>
      <c r="BC10" s="19" t="n">
        <f aca="false">IF($B10="",0,SUMIFS(INCORRIDO!$C$6:$C$5005,INCORRIDO!$D$6:$D$5005,$B10,INCORRIDO!$E$6:$E$5005,BC$7)+IF(BC$7&gt;PARAMETROS!$C$12,IF($H10&gt;0,$G10*CURVA!BC10/$H10,0)*BC$6,0))</f>
        <v>0</v>
      </c>
      <c r="BD10" s="19" t="n">
        <f aca="false">IF($B10="",0,SUMIFS(INCORRIDO!$C$6:$C$5005,INCORRIDO!$D$6:$D$5005,$B10,INCORRIDO!$E$6:$E$5005,BD$7)+IF(BD$7&gt;PARAMETROS!$C$12,IF($H10&gt;0,$G10*CURVA!BD10/$H10,0)*BD$6,0))</f>
        <v>16059.0118761254</v>
      </c>
      <c r="BE10" s="19" t="n">
        <f aca="false">IF($B10="",0,SUMIFS(INCORRIDO!$C$6:$C$5005,INCORRIDO!$D$6:$D$5005,$B10,INCORRIDO!$E$6:$E$5005,BE$7)+IF(BE$7&gt;PARAMETROS!$C$12,IF($H10&gt;0,$G10*CURVA!BE10/$H10,0)*BE$6,0))</f>
        <v>25092.2085717348</v>
      </c>
      <c r="BF10" s="19" t="n">
        <f aca="false">IF($B10="",0,SUMIFS(INCORRIDO!$C$6:$C$5005,INCORRIDO!$D$6:$D$5005,$B10,INCORRIDO!$E$6:$E$5005,BF$7)+IF(BF$7&gt;PARAMETROS!$C$12,IF($H10&gt;0,$G10*CURVA!BF10/$H10,0)*BF$6,0))</f>
        <v>301.110245610462</v>
      </c>
      <c r="BG10" s="19" t="n">
        <f aca="false">IF($B10="",0,SUMIFS(INCORRIDO!$C$6:$C$5005,INCORRIDO!$D$6:$D$5005,$B10,INCORRIDO!$E$6:$E$5005,BG$7)+IF(BG$7&gt;PARAMETROS!$C$12,IF($H10&gt;0,$G10*CURVA!BG10/$H10,0)*BG$6,0))</f>
        <v>45165.9734168916</v>
      </c>
      <c r="BH10" s="19" t="n">
        <f aca="false">IF($B10="",0,SUMIFS(INCORRIDO!$C$6:$C$5005,INCORRIDO!$D$6:$D$5005,$B10,INCORRIDO!$E$6:$E$5005,BH$7)+IF(BH$7&gt;PARAMETROS!$C$12,IF($H10&gt;0,$G10*CURVA!BH10/$H10,0)*BH$6,0))</f>
        <v>60871.8890597338</v>
      </c>
      <c r="BI10" s="19" t="n">
        <f aca="false">IF($B10="",0,SUMIFS(INCORRIDO!$C$6:$C$5005,INCORRIDO!$D$6:$D$5005,$B10,INCORRIDO!$E$6:$E$5005,BI$7)+IF(BI$7&gt;PARAMETROS!$C$12,IF($H10&gt;0,$G10*CURVA!BI10/$H10,0)*BI$6,0))</f>
        <v>0</v>
      </c>
      <c r="BJ10" s="19" t="n">
        <f aca="false">IF($B10="",0,SUMIFS(INCORRIDO!$C$6:$C$5005,INCORRIDO!$D$6:$D$5005,$B10,INCORRIDO!$E$6:$E$5005,BJ$7)+IF(BJ$7&gt;PARAMETROS!$C$12,IF($H10&gt;0,$G10*CURVA!BJ10/$H10,0)*BJ$6,0))</f>
        <v>0</v>
      </c>
      <c r="BK10" s="19" t="n">
        <f aca="false">IF($B10="",0,SUMIFS(INCORRIDO!$C$6:$C$5005,INCORRIDO!$D$6:$D$5005,$B10,INCORRIDO!$E$6:$E$5005,BK$7)+IF(BK$7&gt;PARAMETROS!$C$12,IF($H10&gt;0,$G10*CURVA!BK10/$H10,0)*BK$6,0))</f>
        <v>0</v>
      </c>
      <c r="BL10" s="19" t="n">
        <f aca="false">IF($B10="",0,SUMIFS(INCORRIDO!$C$6:$C$5005,INCORRIDO!$D$6:$D$5005,$B10,INCORRIDO!$E$6:$E$5005,BL$7)+IF(BL$7&gt;PARAMETROS!$C$12,IF($H10&gt;0,$G10*CURVA!BL10/$H10,0)*BL$6,0))</f>
        <v>0</v>
      </c>
      <c r="BM10" s="19" t="n">
        <f aca="false">IF($B10="",0,SUMIFS(INCORRIDO!$C$6:$C$5005,INCORRIDO!$D$6:$D$5005,$B10,INCORRIDO!$E$6:$E$5005,BM$7)+IF(BM$7&gt;PARAMETROS!$C$12,IF($H10&gt;0,$G10*CURVA!BM10/$H10,0)*BM$6,0))</f>
        <v>0</v>
      </c>
      <c r="BN10" s="19" t="n">
        <f aca="false">IF($B10="",0,SUMIFS(INCORRIDO!$C$6:$C$5005,INCORRIDO!$D$6:$D$5005,$B10,INCORRIDO!$E$6:$E$5005,BN$7)+IF(BN$7&gt;PARAMETROS!$C$12,IF($H10&gt;0,$G10*CURVA!BN10/$H10,0)*BN$6,0))</f>
        <v>0</v>
      </c>
      <c r="BO10" s="19" t="n">
        <f aca="false">IF($B10="",0,SUMIFS(INCORRIDO!$C$6:$C$5005,INCORRIDO!$D$6:$D$5005,$B10,INCORRIDO!$E$6:$E$5005,BO$7)+IF(BO$7&gt;PARAMETROS!$C$12,IF($H10&gt;0,$G10*CURVA!BO10/$H10,0)*BO$6,0))</f>
        <v>0</v>
      </c>
      <c r="BP10" s="19" t="n">
        <f aca="false">IF($B10="",0,SUMIFS(INCORRIDO!$C$6:$C$5005,INCORRIDO!$D$6:$D$5005,$B10,INCORRIDO!$E$6:$E$5005,BP$7)+IF(BP$7&gt;PARAMETROS!$C$12,IF($H10&gt;0,$G10*CURVA!BP10/$H10,0)*BP$6,0))</f>
        <v>0</v>
      </c>
      <c r="BQ10" s="19" t="n">
        <f aca="false">IF($B10="",0,SUMIFS(INCORRIDO!$C$6:$C$5005,INCORRIDO!$D$6:$D$5005,$B10,INCORRIDO!$E$6:$E$5005,BQ$7)+IF(BQ$7&gt;PARAMETROS!$C$12,IF($H10&gt;0,$G10*CURVA!BQ10/$H10,0)*BQ$6,0))</f>
        <v>0</v>
      </c>
      <c r="BR10" s="19" t="n">
        <f aca="false">IF($B10="",0,SUMIFS(INCORRIDO!$C$6:$C$5005,INCORRIDO!$D$6:$D$5005,$B10,INCORRIDO!$E$6:$E$5005,BR$7)+IF(BR$7&gt;PARAMETROS!$C$12,IF($H10&gt;0,$G10*CURVA!BR10/$H10,0)*BR$6,0))</f>
        <v>0</v>
      </c>
      <c r="BS10" s="19" t="n">
        <f aca="false">IF($B10="",0,SUMIFS(INCORRIDO!$C$6:$C$5005,INCORRIDO!$D$6:$D$5005,$B10,INCORRIDO!$E$6:$E$5005,BS$7)+IF(BS$7&gt;PARAMETROS!$C$12,IF($H10&gt;0,$G10*CURVA!BS10/$H10,0)*BS$6,0))</f>
        <v>0</v>
      </c>
      <c r="BT10" s="19" t="n">
        <f aca="false">IF($B10="",0,SUMIFS(INCORRIDO!$C$6:$C$5005,INCORRIDO!$D$6:$D$5005,$B10,INCORRIDO!$E$6:$E$5005,BT$7)+IF(BT$7&gt;PARAMETROS!$C$12,IF($H10&gt;0,$G10*CURVA!BT10/$H10,0)*BT$6,0))</f>
        <v>0</v>
      </c>
      <c r="BU10" s="19" t="n">
        <f aca="false">IF($B10="",0,SUMIFS(INCORRIDO!$C$6:$C$5005,INCORRIDO!$D$6:$D$5005,$B10,INCORRIDO!$E$6:$E$5005,BU$7)+IF(BU$7&gt;PARAMETROS!$C$12,IF($H10&gt;0,$G10*CURVA!BU10/$H10,0)*BU$6,0))</f>
        <v>0</v>
      </c>
      <c r="BV10" s="19" t="n">
        <f aca="false">IF($B10="",0,SUMIFS(INCORRIDO!$C$6:$C$5005,INCORRIDO!$D$6:$D$5005,$B10,INCORRIDO!$E$6:$E$5005,BV$7)+IF(BV$7&gt;PARAMETROS!$C$12,IF($H10&gt;0,$G10*CURVA!BV10/$H10,0)*BV$6,0))</f>
        <v>0</v>
      </c>
      <c r="BW10" s="19" t="n">
        <f aca="false">IF($B10="",0,SUMIFS(INCORRIDO!$C$6:$C$5005,INCORRIDO!$D$6:$D$5005,$B10,INCORRIDO!$E$6:$E$5005,BW$7)+IF(BW$7&gt;PARAMETROS!$C$12,IF($H10&gt;0,$G10*CURVA!BW10/$H10,0)*BW$6,0))</f>
        <v>0</v>
      </c>
      <c r="BX10" s="19" t="n">
        <f aca="false">IF($B10="",0,SUMIFS(INCORRIDO!$C$6:$C$5005,INCORRIDO!$D$6:$D$5005,$B10,INCORRIDO!$E$6:$E$5005,BX$7)+IF(BX$7&gt;PARAMETROS!$C$12,IF($H10&gt;0,$G10*CURVA!BX10/$H10,0)*BX$6,0))</f>
        <v>0</v>
      </c>
      <c r="BY10" s="19" t="n">
        <f aca="false">IF($B10="",0,SUMIFS(INCORRIDO!$C$6:$C$5005,INCORRIDO!$D$6:$D$5005,$B10,INCORRIDO!$E$6:$E$5005,BY$7)+IF(BY$7&gt;PARAMETROS!$C$12,IF($H10&gt;0,$G10*CURVA!BY10/$H10,0)*BY$6,0))</f>
        <v>0</v>
      </c>
      <c r="BZ10" s="19" t="n">
        <f aca="false">IF($B10="",0,SUMIFS(INCORRIDO!$C$6:$C$5005,INCORRIDO!$D$6:$D$5005,$B10,INCORRIDO!$E$6:$E$5005,BZ$7)+IF(BZ$7&gt;PARAMETROS!$C$12,IF($H10&gt;0,$G10*CURVA!BZ10/$H10,0)*BZ$6,0))</f>
        <v>0</v>
      </c>
      <c r="CA10" s="19" t="n">
        <f aca="false">IF($B10="",0,SUMIFS(INCORRIDO!$C$6:$C$5005,INCORRIDO!$D$6:$D$5005,$B10,INCORRIDO!$E$6:$E$5005,CA$7)+IF(CA$7&gt;PARAMETROS!$C$12,IF($H10&gt;0,$G10*CURVA!CA10/$H10,0)*CA$6,0))</f>
        <v>0</v>
      </c>
      <c r="CB10" s="19" t="n">
        <f aca="false">IF($B10="",0,SUMIFS(INCORRIDO!$C$6:$C$5005,INCORRIDO!$D$6:$D$5005,$B10,INCORRIDO!$E$6:$E$5005,CB$7)+IF(CB$7&gt;PARAMETROS!$C$12,IF($H10&gt;0,$G10*CURVA!CB10/$H10,0)*CB$6,0))</f>
        <v>0</v>
      </c>
      <c r="CC10" s="19" t="n">
        <f aca="false">IF($B10="",0,SUMIFS(INCORRIDO!$C$6:$C$5005,INCORRIDO!$D$6:$D$5005,$B10,INCORRIDO!$E$6:$E$5005,CC$7)+IF(CC$7&gt;PARAMETROS!$C$12,IF($H10&gt;0,$G10*CURVA!CC10/$H10,0)*CC$6,0))</f>
        <v>0</v>
      </c>
    </row>
    <row r="11" customFormat="false" ht="15" hidden="false" customHeight="false" outlineLevel="0" collapsed="false">
      <c r="A11" s="31" t="str">
        <f aca="false">IF(ORCAMENTO!A9="","",ORCAMENTO!A9)</f>
        <v>04</v>
      </c>
      <c r="B11" s="31" t="str">
        <f aca="false">IF(ORCAMENTO!B9="","",ORCAMENTO!B9)</f>
        <v>BARRACAO DE OBRA</v>
      </c>
      <c r="C11" s="31" t="str">
        <f aca="false">IF(ORCAMENTO!C9="","",ORCAMENTO!C9)</f>
        <v>INDIRETOS</v>
      </c>
      <c r="D11" s="32" t="n">
        <f aca="false">IF($B11="",0,ORCAMENTO!E9)</f>
        <v>1249911.07</v>
      </c>
      <c r="E11" s="19" t="n">
        <f aca="false">IF($B11="",0,SUMIFS(INCORRIDO!$C$6:$C$5005,INCORRIDO!$D$6:$D$5005,$B11,INCORRIDO!$E$6:$E$5005,"&lt;="&amp;PARAMETROS!$C$12))</f>
        <v>631109.61</v>
      </c>
      <c r="F11" s="19" t="n">
        <f aca="false">IF($B11="",0,SUMIFS(INCORRIDO!$C$6:$C$5005,INCORRIDO!$D$6:$D$5005,$B11,INCORRIDO!$E$6:$E$5005,"&gt;"&amp;PARAMETROS!$C$12))</f>
        <v>21690.09</v>
      </c>
      <c r="G11" s="19" t="n">
        <f aca="false">MAX(0,D11-E11-F11)</f>
        <v>597111.37</v>
      </c>
      <c r="H11" s="32" t="n">
        <f aca="false">CURVA!H11</f>
        <v>597111.3</v>
      </c>
      <c r="I11" s="19" t="n">
        <f aca="false">SUM(J11:CC11)</f>
        <v>1249911.07</v>
      </c>
      <c r="J11" s="19" t="n">
        <f aca="false">IF($B11="",0,SUMIFS(INCORRIDO!$C$6:$C$5005,INCORRIDO!$D$6:$D$5005,$B11,INCORRIDO!$E$6:$E$5005,"&lt;="&amp;J$7)+IF(J$7&gt;PARAMETROS!$C$12,IF($H11&gt;0,$G11*CURVA!J11/$H11,0)*J$6,0))</f>
        <v>61380.97</v>
      </c>
      <c r="K11" s="19" t="n">
        <f aca="false">IF($B11="",0,SUMIFS(INCORRIDO!$C$6:$C$5005,INCORRIDO!$D$6:$D$5005,$B11,INCORRIDO!$E$6:$E$5005,K$7)+IF(K$7&gt;PARAMETROS!$C$12,IF($H11&gt;0,$G11*CURVA!K11/$H11,0)*K$6,0))</f>
        <v>0</v>
      </c>
      <c r="L11" s="19" t="n">
        <f aca="false">IF($B11="",0,SUMIFS(INCORRIDO!$C$6:$C$5005,INCORRIDO!$D$6:$D$5005,$B11,INCORRIDO!$E$6:$E$5005,L$7)+IF(L$7&gt;PARAMETROS!$C$12,IF($H11&gt;0,$G11*CURVA!L11/$H11,0)*L$6,0))</f>
        <v>0</v>
      </c>
      <c r="M11" s="19" t="n">
        <f aca="false">IF($B11="",0,SUMIFS(INCORRIDO!$C$6:$C$5005,INCORRIDO!$D$6:$D$5005,$B11,INCORRIDO!$E$6:$E$5005,M$7)+IF(M$7&gt;PARAMETROS!$C$12,IF($H11&gt;0,$G11*CURVA!M11/$H11,0)*M$6,0))</f>
        <v>0</v>
      </c>
      <c r="N11" s="19" t="n">
        <f aca="false">IF($B11="",0,SUMIFS(INCORRIDO!$C$6:$C$5005,INCORRIDO!$D$6:$D$5005,$B11,INCORRIDO!$E$6:$E$5005,N$7)+IF(N$7&gt;PARAMETROS!$C$12,IF($H11&gt;0,$G11*CURVA!N11/$H11,0)*N$6,0))</f>
        <v>0</v>
      </c>
      <c r="O11" s="19" t="n">
        <f aca="false">IF($B11="",0,SUMIFS(INCORRIDO!$C$6:$C$5005,INCORRIDO!$D$6:$D$5005,$B11,INCORRIDO!$E$6:$E$5005,O$7)+IF(O$7&gt;PARAMETROS!$C$12,IF($H11&gt;0,$G11*CURVA!O11/$H11,0)*O$6,0))</f>
        <v>0</v>
      </c>
      <c r="P11" s="19" t="n">
        <f aca="false">IF($B11="",0,SUMIFS(INCORRIDO!$C$6:$C$5005,INCORRIDO!$D$6:$D$5005,$B11,INCORRIDO!$E$6:$E$5005,P$7)+IF(P$7&gt;PARAMETROS!$C$12,IF($H11&gt;0,$G11*CURVA!P11/$H11,0)*P$6,0))</f>
        <v>61557.78</v>
      </c>
      <c r="Q11" s="19" t="n">
        <f aca="false">IF($B11="",0,SUMIFS(INCORRIDO!$C$6:$C$5005,INCORRIDO!$D$6:$D$5005,$B11,INCORRIDO!$E$6:$E$5005,Q$7)+IF(Q$7&gt;PARAMETROS!$C$12,IF($H11&gt;0,$G11*CURVA!Q11/$H11,0)*Q$6,0))</f>
        <v>70633.03</v>
      </c>
      <c r="R11" s="19" t="n">
        <f aca="false">IF($B11="",0,SUMIFS(INCORRIDO!$C$6:$C$5005,INCORRIDO!$D$6:$D$5005,$B11,INCORRIDO!$E$6:$E$5005,R$7)+IF(R$7&gt;PARAMETROS!$C$12,IF($H11&gt;0,$G11*CURVA!R11/$H11,0)*R$6,0))</f>
        <v>66792.52</v>
      </c>
      <c r="S11" s="19" t="n">
        <f aca="false">IF($B11="",0,SUMIFS(INCORRIDO!$C$6:$C$5005,INCORRIDO!$D$6:$D$5005,$B11,INCORRIDO!$E$6:$E$5005,S$7)+IF(S$7&gt;PARAMETROS!$C$12,IF($H11&gt;0,$G11*CURVA!S11/$H11,0)*S$6,0))</f>
        <v>71201.4</v>
      </c>
      <c r="T11" s="19" t="n">
        <f aca="false">IF($B11="",0,SUMIFS(INCORRIDO!$C$6:$C$5005,INCORRIDO!$D$6:$D$5005,$B11,INCORRIDO!$E$6:$E$5005,T$7)+IF(T$7&gt;PARAMETROS!$C$12,IF($H11&gt;0,$G11*CURVA!T11/$H11,0)*T$6,0))</f>
        <v>59244.3</v>
      </c>
      <c r="U11" s="19" t="n">
        <f aca="false">IF($B11="",0,SUMIFS(INCORRIDO!$C$6:$C$5005,INCORRIDO!$D$6:$D$5005,$B11,INCORRIDO!$E$6:$E$5005,U$7)+IF(U$7&gt;PARAMETROS!$C$12,IF($H11&gt;0,$G11*CURVA!U11/$H11,0)*U$6,0))</f>
        <v>40715.62</v>
      </c>
      <c r="V11" s="19" t="n">
        <f aca="false">IF($B11="",0,SUMIFS(INCORRIDO!$C$6:$C$5005,INCORRIDO!$D$6:$D$5005,$B11,INCORRIDO!$E$6:$E$5005,V$7)+IF(V$7&gt;PARAMETROS!$C$12,IF($H11&gt;0,$G11*CURVA!V11/$H11,0)*V$6,0))</f>
        <v>51460.01</v>
      </c>
      <c r="W11" s="19" t="n">
        <f aca="false">IF($B11="",0,SUMIFS(INCORRIDO!$C$6:$C$5005,INCORRIDO!$D$6:$D$5005,$B11,INCORRIDO!$E$6:$E$5005,W$7)+IF(W$7&gt;PARAMETROS!$C$12,IF($H11&gt;0,$G11*CURVA!W11/$H11,0)*W$6,0))</f>
        <v>22683.91</v>
      </c>
      <c r="X11" s="19" t="n">
        <f aca="false">IF($B11="",0,SUMIFS(INCORRIDO!$C$6:$C$5005,INCORRIDO!$D$6:$D$5005,$B11,INCORRIDO!$E$6:$E$5005,X$7)+IF(X$7&gt;PARAMETROS!$C$12,IF($H11&gt;0,$G11*CURVA!X11/$H11,0)*X$6,0))</f>
        <v>17563.67</v>
      </c>
      <c r="Y11" s="19" t="n">
        <f aca="false">IF($B11="",0,SUMIFS(INCORRIDO!$C$6:$C$5005,INCORRIDO!$D$6:$D$5005,$B11,INCORRIDO!$E$6:$E$5005,Y$7)+IF(Y$7&gt;PARAMETROS!$C$12,IF($H11&gt;0,$G11*CURVA!Y11/$H11,0)*Y$6,0))</f>
        <v>14403.47</v>
      </c>
      <c r="Z11" s="19" t="n">
        <f aca="false">IF($B11="",0,SUMIFS(INCORRIDO!$C$6:$C$5005,INCORRIDO!$D$6:$D$5005,$B11,INCORRIDO!$E$6:$E$5005,Z$7)+IF(Z$7&gt;PARAMETROS!$C$12,IF($H11&gt;0,$G11*CURVA!Z11/$H11,0)*Z$6,0))</f>
        <v>13639.33</v>
      </c>
      <c r="AA11" s="19" t="n">
        <f aca="false">IF($B11="",0,SUMIFS(INCORRIDO!$C$6:$C$5005,INCORRIDO!$D$6:$D$5005,$B11,INCORRIDO!$E$6:$E$5005,AA$7)+IF(AA$7&gt;PARAMETROS!$C$12,IF($H11&gt;0,$G11*CURVA!AA11/$H11,0)*AA$6,0))</f>
        <v>19885.18</v>
      </c>
      <c r="AB11" s="19" t="n">
        <f aca="false">IF($B11="",0,SUMIFS(INCORRIDO!$C$6:$C$5005,INCORRIDO!$D$6:$D$5005,$B11,INCORRIDO!$E$6:$E$5005,AB$7)+IF(AB$7&gt;PARAMETROS!$C$12,IF($H11&gt;0,$G11*CURVA!AB11/$H11,0)*AB$6,0))</f>
        <v>14872.41</v>
      </c>
      <c r="AC11" s="19" t="n">
        <f aca="false">IF($B11="",0,SUMIFS(INCORRIDO!$C$6:$C$5005,INCORRIDO!$D$6:$D$5005,$B11,INCORRIDO!$E$6:$E$5005,AC$7)+IF(AC$7&gt;PARAMETROS!$C$12,IF($H11&gt;0,$G11*CURVA!AC11/$H11,0)*AC$6,0))</f>
        <v>28641.88</v>
      </c>
      <c r="AD11" s="19" t="n">
        <f aca="false">IF($B11="",0,SUMIFS(INCORRIDO!$C$6:$C$5005,INCORRIDO!$D$6:$D$5005,$B11,INCORRIDO!$E$6:$E$5005,AD$7)+IF(AD$7&gt;PARAMETROS!$C$12,IF($H11&gt;0,$G11*CURVA!AD11/$H11,0)*AD$6,0))</f>
        <v>16434.13</v>
      </c>
      <c r="AE11" s="19" t="n">
        <f aca="false">IF($B11="",0,SUMIFS(INCORRIDO!$C$6:$C$5005,INCORRIDO!$D$6:$D$5005,$B11,INCORRIDO!$E$6:$E$5005,AE$7)+IF(AE$7&gt;PARAMETROS!$C$12,IF($H11&gt;0,$G11*CURVA!AE11/$H11,0)*AE$6,0))</f>
        <v>30552.6914523453</v>
      </c>
      <c r="AF11" s="19" t="n">
        <f aca="false">IF($B11="",0,SUMIFS(INCORRIDO!$C$6:$C$5005,INCORRIDO!$D$6:$D$5005,$B11,INCORRIDO!$E$6:$E$5005,AF$7)+IF(AF$7&gt;PARAMETROS!$C$12,IF($H11&gt;0,$G11*CURVA!AF11/$H11,0)*AF$6,0))</f>
        <v>13516.6814523453</v>
      </c>
      <c r="AG11" s="19" t="n">
        <f aca="false">IF($B11="",0,SUMIFS(INCORRIDO!$C$6:$C$5005,INCORRIDO!$D$6:$D$5005,$B11,INCORRIDO!$E$6:$E$5005,AG$7)+IF(AG$7&gt;PARAMETROS!$C$12,IF($H11&gt;0,$G11*CURVA!AG11/$H11,0)*AG$6,0))</f>
        <v>12388.7414523453</v>
      </c>
      <c r="AH11" s="19" t="n">
        <f aca="false">IF($B11="",0,SUMIFS(INCORRIDO!$C$6:$C$5005,INCORRIDO!$D$6:$D$5005,$B11,INCORRIDO!$E$6:$E$5005,AH$7)+IF(AH$7&gt;PARAMETROS!$C$12,IF($H11&gt;0,$G11*CURVA!AH11/$H11,0)*AH$6,0))</f>
        <v>14268.9414523453</v>
      </c>
      <c r="AI11" s="19" t="n">
        <f aca="false">IF($B11="",0,SUMIFS(INCORRIDO!$C$6:$C$5005,INCORRIDO!$D$6:$D$5005,$B11,INCORRIDO!$E$6:$E$5005,AI$7)+IF(AI$7&gt;PARAMETROS!$C$12,IF($H11&gt;0,$G11*CURVA!AI11/$H11,0)*AI$6,0))</f>
        <v>12388.7414523453</v>
      </c>
      <c r="AJ11" s="19" t="n">
        <f aca="false">IF($B11="",0,SUMIFS(INCORRIDO!$C$6:$C$5005,INCORRIDO!$D$6:$D$5005,$B11,INCORRIDO!$E$6:$E$5005,AJ$7)+IF(AJ$7&gt;PARAMETROS!$C$12,IF($H11&gt;0,$G11*CURVA!AJ11/$H11,0)*AJ$6,0))</f>
        <v>102388.752003142</v>
      </c>
      <c r="AK11" s="19" t="n">
        <f aca="false">IF($B11="",0,SUMIFS(INCORRIDO!$C$6:$C$5005,INCORRIDO!$D$6:$D$5005,$B11,INCORRIDO!$E$6:$E$5005,AK$7)+IF(AK$7&gt;PARAMETROS!$C$12,IF($H11&gt;0,$G11*CURVA!AK11/$H11,0)*AK$6,0))</f>
        <v>102906.752003142</v>
      </c>
      <c r="AL11" s="19" t="n">
        <f aca="false">IF($B11="",0,SUMIFS(INCORRIDO!$C$6:$C$5005,INCORRIDO!$D$6:$D$5005,$B11,INCORRIDO!$E$6:$E$5005,AL$7)+IF(AL$7&gt;PARAMETROS!$C$12,IF($H11&gt;0,$G11*CURVA!AL11/$H11,0)*AL$6,0))</f>
        <v>52388.7461415883</v>
      </c>
      <c r="AM11" s="19" t="n">
        <f aca="false">IF($B11="",0,SUMIFS(INCORRIDO!$C$6:$C$5005,INCORRIDO!$D$6:$D$5005,$B11,INCORRIDO!$E$6:$E$5005,AM$7)+IF(AM$7&gt;PARAMETROS!$C$12,IF($H11&gt;0,$G11*CURVA!AM11/$H11,0)*AM$6,0))</f>
        <v>12388.7414523453</v>
      </c>
      <c r="AN11" s="19" t="n">
        <f aca="false">IF($B11="",0,SUMIFS(INCORRIDO!$C$6:$C$5005,INCORRIDO!$D$6:$D$5005,$B11,INCORRIDO!$E$6:$E$5005,AN$7)+IF(AN$7&gt;PARAMETROS!$C$12,IF($H11&gt;0,$G11*CURVA!AN11/$H11,0)*AN$6,0))</f>
        <v>12388.7414523453</v>
      </c>
      <c r="AO11" s="19" t="n">
        <f aca="false">IF($B11="",0,SUMIFS(INCORRIDO!$C$6:$C$5005,INCORRIDO!$D$6:$D$5005,$B11,INCORRIDO!$E$6:$E$5005,AO$7)+IF(AO$7&gt;PARAMETROS!$C$12,IF($H11&gt;0,$G11*CURVA!AO11/$H11,0)*AO$6,0))</f>
        <v>12388.7414523453</v>
      </c>
      <c r="AP11" s="19" t="n">
        <f aca="false">IF($B11="",0,SUMIFS(INCORRIDO!$C$6:$C$5005,INCORRIDO!$D$6:$D$5005,$B11,INCORRIDO!$E$6:$E$5005,AP$7)+IF(AP$7&gt;PARAMETROS!$C$12,IF($H11&gt;0,$G11*CURVA!AP11/$H11,0)*AP$6,0))</f>
        <v>12388.7414523453</v>
      </c>
      <c r="AQ11" s="19" t="n">
        <f aca="false">IF($B11="",0,SUMIFS(INCORRIDO!$C$6:$C$5005,INCORRIDO!$D$6:$D$5005,$B11,INCORRIDO!$E$6:$E$5005,AQ$7)+IF(AQ$7&gt;PARAMETROS!$C$12,IF($H11&gt;0,$G11*CURVA!AQ11/$H11,0)*AQ$6,0))</f>
        <v>12388.7414523453</v>
      </c>
      <c r="AR11" s="19" t="n">
        <f aca="false">IF($B11="",0,SUMIFS(INCORRIDO!$C$6:$C$5005,INCORRIDO!$D$6:$D$5005,$B11,INCORRIDO!$E$6:$E$5005,AR$7)+IF(AR$7&gt;PARAMETROS!$C$12,IF($H11&gt;0,$G11*CURVA!AR11/$H11,0)*AR$6,0))</f>
        <v>12388.7414523453</v>
      </c>
      <c r="AS11" s="19" t="n">
        <f aca="false">IF($B11="",0,SUMIFS(INCORRIDO!$C$6:$C$5005,INCORRIDO!$D$6:$D$5005,$B11,INCORRIDO!$E$6:$E$5005,AS$7)+IF(AS$7&gt;PARAMETROS!$C$12,IF($H11&gt;0,$G11*CURVA!AS11/$H11,0)*AS$6,0))</f>
        <v>12388.7414523453</v>
      </c>
      <c r="AT11" s="19" t="n">
        <f aca="false">IF($B11="",0,SUMIFS(INCORRIDO!$C$6:$C$5005,INCORRIDO!$D$6:$D$5005,$B11,INCORRIDO!$E$6:$E$5005,AT$7)+IF(AT$7&gt;PARAMETROS!$C$12,IF($H11&gt;0,$G11*CURVA!AT11/$H11,0)*AT$6,0))</f>
        <v>12388.7414523453</v>
      </c>
      <c r="AU11" s="19" t="n">
        <f aca="false">IF($B11="",0,SUMIFS(INCORRIDO!$C$6:$C$5005,INCORRIDO!$D$6:$D$5005,$B11,INCORRIDO!$E$6:$E$5005,AU$7)+IF(AU$7&gt;PARAMETROS!$C$12,IF($H11&gt;0,$G11*CURVA!AU11/$H11,0)*AU$6,0))</f>
        <v>12388.7414523453</v>
      </c>
      <c r="AV11" s="19" t="n">
        <f aca="false">IF($B11="",0,SUMIFS(INCORRIDO!$C$6:$C$5005,INCORRIDO!$D$6:$D$5005,$B11,INCORRIDO!$E$6:$E$5005,AV$7)+IF(AV$7&gt;PARAMETROS!$C$12,IF($H11&gt;0,$G11*CURVA!AV11/$H11,0)*AV$6,0))</f>
        <v>12388.7414523453</v>
      </c>
      <c r="AW11" s="19" t="n">
        <f aca="false">IF($B11="",0,SUMIFS(INCORRIDO!$C$6:$C$5005,INCORRIDO!$D$6:$D$5005,$B11,INCORRIDO!$E$6:$E$5005,AW$7)+IF(AW$7&gt;PARAMETROS!$C$12,IF($H11&gt;0,$G11*CURVA!AW11/$H11,0)*AW$6,0))</f>
        <v>12388.7414523453</v>
      </c>
      <c r="AX11" s="19" t="n">
        <f aca="false">IF($B11="",0,SUMIFS(INCORRIDO!$C$6:$C$5005,INCORRIDO!$D$6:$D$5005,$B11,INCORRIDO!$E$6:$E$5005,AX$7)+IF(AX$7&gt;PARAMETROS!$C$12,IF($H11&gt;0,$G11*CURVA!AX11/$H11,0)*AX$6,0))</f>
        <v>12388.7414523453</v>
      </c>
      <c r="AY11" s="19" t="n">
        <f aca="false">IF($B11="",0,SUMIFS(INCORRIDO!$C$6:$C$5005,INCORRIDO!$D$6:$D$5005,$B11,INCORRIDO!$E$6:$E$5005,AY$7)+IF(AY$7&gt;PARAMETROS!$C$12,IF($H11&gt;0,$G11*CURVA!AY11/$H11,0)*AY$6,0))</f>
        <v>12388.7414523453</v>
      </c>
      <c r="AZ11" s="19" t="n">
        <f aca="false">IF($B11="",0,SUMIFS(INCORRIDO!$C$6:$C$5005,INCORRIDO!$D$6:$D$5005,$B11,INCORRIDO!$E$6:$E$5005,AZ$7)+IF(AZ$7&gt;PARAMETROS!$C$12,IF($H11&gt;0,$G11*CURVA!AZ11/$H11,0)*AZ$6,0))</f>
        <v>12388.7414523453</v>
      </c>
      <c r="BA11" s="19" t="n">
        <f aca="false">IF($B11="",0,SUMIFS(INCORRIDO!$C$6:$C$5005,INCORRIDO!$D$6:$D$5005,$B11,INCORRIDO!$E$6:$E$5005,BA$7)+IF(BA$7&gt;PARAMETROS!$C$12,IF($H11&gt;0,$G11*CURVA!BA11/$H11,0)*BA$6,0))</f>
        <v>12388.7414523453</v>
      </c>
      <c r="BB11" s="19" t="n">
        <f aca="false">IF($B11="",0,SUMIFS(INCORRIDO!$C$6:$C$5005,INCORRIDO!$D$6:$D$5005,$B11,INCORRIDO!$E$6:$E$5005,BB$7)+IF(BB$7&gt;PARAMETROS!$C$12,IF($H11&gt;0,$G11*CURVA!BB11/$H11,0)*BB$6,0))</f>
        <v>12388.7414523453</v>
      </c>
      <c r="BC11" s="19" t="n">
        <f aca="false">IF($B11="",0,SUMIFS(INCORRIDO!$C$6:$C$5005,INCORRIDO!$D$6:$D$5005,$B11,INCORRIDO!$E$6:$E$5005,BC$7)+IF(BC$7&gt;PARAMETROS!$C$12,IF($H11&gt;0,$G11*CURVA!BC11/$H11,0)*BC$6,0))</f>
        <v>1300.0001524004</v>
      </c>
      <c r="BD11" s="19" t="n">
        <f aca="false">IF($B11="",0,SUMIFS(INCORRIDO!$C$6:$C$5005,INCORRIDO!$D$6:$D$5005,$B11,INCORRIDO!$E$6:$E$5005,BD$7)+IF(BD$7&gt;PARAMETROS!$C$12,IF($H11&gt;0,$G11*CURVA!BD11/$H11,0)*BD$6,0))</f>
        <v>1300.0001524004</v>
      </c>
      <c r="BE11" s="19" t="n">
        <f aca="false">IF($B11="",0,SUMIFS(INCORRIDO!$C$6:$C$5005,INCORRIDO!$D$6:$D$5005,$B11,INCORRIDO!$E$6:$E$5005,BE$7)+IF(BE$7&gt;PARAMETROS!$C$12,IF($H11&gt;0,$G11*CURVA!BE11/$H11,0)*BE$6,0))</f>
        <v>1300.0001524004</v>
      </c>
      <c r="BF11" s="19" t="n">
        <f aca="false">IF($B11="",0,SUMIFS(INCORRIDO!$C$6:$C$5005,INCORRIDO!$D$6:$D$5005,$B11,INCORRIDO!$E$6:$E$5005,BF$7)+IF(BF$7&gt;PARAMETROS!$C$12,IF($H11&gt;0,$G11*CURVA!BF11/$H11,0)*BF$6,0))</f>
        <v>1771.78020770768</v>
      </c>
      <c r="BG11" s="19" t="n">
        <f aca="false">IF($B11="",0,SUMIFS(INCORRIDO!$C$6:$C$5005,INCORRIDO!$D$6:$D$5005,$B11,INCORRIDO!$E$6:$E$5005,BG$7)+IF(BG$7&gt;PARAMETROS!$C$12,IF($H11&gt;0,$G11*CURVA!BG11/$H11,0)*BG$6,0))</f>
        <v>1729.71020277576</v>
      </c>
      <c r="BH11" s="19" t="n">
        <f aca="false">IF($B11="",0,SUMIFS(INCORRIDO!$C$6:$C$5005,INCORRIDO!$D$6:$D$5005,$B11,INCORRIDO!$E$6:$E$5005,BH$7)+IF(BH$7&gt;PARAMETROS!$C$12,IF($H11&gt;0,$G11*CURVA!BH11/$H11,0)*BH$6,0))</f>
        <v>1729.71020277576</v>
      </c>
      <c r="BI11" s="19" t="n">
        <f aca="false">IF($B11="",0,SUMIFS(INCORRIDO!$C$6:$C$5005,INCORRIDO!$D$6:$D$5005,$B11,INCORRIDO!$E$6:$E$5005,BI$7)+IF(BI$7&gt;PARAMETROS!$C$12,IF($H11&gt;0,$G11*CURVA!BI11/$H11,0)*BI$6,0))</f>
        <v>70650.3482824154</v>
      </c>
      <c r="BJ11" s="19" t="n">
        <f aca="false">IF($B11="",0,SUMIFS(INCORRIDO!$C$6:$C$5005,INCORRIDO!$D$6:$D$5005,$B11,INCORRIDO!$E$6:$E$5005,BJ$7)+IF(BJ$7&gt;PARAMETROS!$C$12,IF($H11&gt;0,$G11*CURVA!BJ11/$H11,0)*BJ$6,0))</f>
        <v>0</v>
      </c>
      <c r="BK11" s="19" t="n">
        <f aca="false">IF($B11="",0,SUMIFS(INCORRIDO!$C$6:$C$5005,INCORRIDO!$D$6:$D$5005,$B11,INCORRIDO!$E$6:$E$5005,BK$7)+IF(BK$7&gt;PARAMETROS!$C$12,IF($H11&gt;0,$G11*CURVA!BK11/$H11,0)*BK$6,0))</f>
        <v>0</v>
      </c>
      <c r="BL11" s="19" t="n">
        <f aca="false">IF($B11="",0,SUMIFS(INCORRIDO!$C$6:$C$5005,INCORRIDO!$D$6:$D$5005,$B11,INCORRIDO!$E$6:$E$5005,BL$7)+IF(BL$7&gt;PARAMETROS!$C$12,IF($H11&gt;0,$G11*CURVA!BL11/$H11,0)*BL$6,0))</f>
        <v>0</v>
      </c>
      <c r="BM11" s="19" t="n">
        <f aca="false">IF($B11="",0,SUMIFS(INCORRIDO!$C$6:$C$5005,INCORRIDO!$D$6:$D$5005,$B11,INCORRIDO!$E$6:$E$5005,BM$7)+IF(BM$7&gt;PARAMETROS!$C$12,IF($H11&gt;0,$G11*CURVA!BM11/$H11,0)*BM$6,0))</f>
        <v>0</v>
      </c>
      <c r="BN11" s="19" t="n">
        <f aca="false">IF($B11="",0,SUMIFS(INCORRIDO!$C$6:$C$5005,INCORRIDO!$D$6:$D$5005,$B11,INCORRIDO!$E$6:$E$5005,BN$7)+IF(BN$7&gt;PARAMETROS!$C$12,IF($H11&gt;0,$G11*CURVA!BN11/$H11,0)*BN$6,0))</f>
        <v>0</v>
      </c>
      <c r="BO11" s="19" t="n">
        <f aca="false">IF($B11="",0,SUMIFS(INCORRIDO!$C$6:$C$5005,INCORRIDO!$D$6:$D$5005,$B11,INCORRIDO!$E$6:$E$5005,BO$7)+IF(BO$7&gt;PARAMETROS!$C$12,IF($H11&gt;0,$G11*CURVA!BO11/$H11,0)*BO$6,0))</f>
        <v>0</v>
      </c>
      <c r="BP11" s="19" t="n">
        <f aca="false">IF($B11="",0,SUMIFS(INCORRIDO!$C$6:$C$5005,INCORRIDO!$D$6:$D$5005,$B11,INCORRIDO!$E$6:$E$5005,BP$7)+IF(BP$7&gt;PARAMETROS!$C$12,IF($H11&gt;0,$G11*CURVA!BP11/$H11,0)*BP$6,0))</f>
        <v>0</v>
      </c>
      <c r="BQ11" s="19" t="n">
        <f aca="false">IF($B11="",0,SUMIFS(INCORRIDO!$C$6:$C$5005,INCORRIDO!$D$6:$D$5005,$B11,INCORRIDO!$E$6:$E$5005,BQ$7)+IF(BQ$7&gt;PARAMETROS!$C$12,IF($H11&gt;0,$G11*CURVA!BQ11/$H11,0)*BQ$6,0))</f>
        <v>0</v>
      </c>
      <c r="BR11" s="19" t="n">
        <f aca="false">IF($B11="",0,SUMIFS(INCORRIDO!$C$6:$C$5005,INCORRIDO!$D$6:$D$5005,$B11,INCORRIDO!$E$6:$E$5005,BR$7)+IF(BR$7&gt;PARAMETROS!$C$12,IF($H11&gt;0,$G11*CURVA!BR11/$H11,0)*BR$6,0))</f>
        <v>0</v>
      </c>
      <c r="BS11" s="19" t="n">
        <f aca="false">IF($B11="",0,SUMIFS(INCORRIDO!$C$6:$C$5005,INCORRIDO!$D$6:$D$5005,$B11,INCORRIDO!$E$6:$E$5005,BS$7)+IF(BS$7&gt;PARAMETROS!$C$12,IF($H11&gt;0,$G11*CURVA!BS11/$H11,0)*BS$6,0))</f>
        <v>0</v>
      </c>
      <c r="BT11" s="19" t="n">
        <f aca="false">IF($B11="",0,SUMIFS(INCORRIDO!$C$6:$C$5005,INCORRIDO!$D$6:$D$5005,$B11,INCORRIDO!$E$6:$E$5005,BT$7)+IF(BT$7&gt;PARAMETROS!$C$12,IF($H11&gt;0,$G11*CURVA!BT11/$H11,0)*BT$6,0))</f>
        <v>0</v>
      </c>
      <c r="BU11" s="19" t="n">
        <f aca="false">IF($B11="",0,SUMIFS(INCORRIDO!$C$6:$C$5005,INCORRIDO!$D$6:$D$5005,$B11,INCORRIDO!$E$6:$E$5005,BU$7)+IF(BU$7&gt;PARAMETROS!$C$12,IF($H11&gt;0,$G11*CURVA!BU11/$H11,0)*BU$6,0))</f>
        <v>0</v>
      </c>
      <c r="BV11" s="19" t="n">
        <f aca="false">IF($B11="",0,SUMIFS(INCORRIDO!$C$6:$C$5005,INCORRIDO!$D$6:$D$5005,$B11,INCORRIDO!$E$6:$E$5005,BV$7)+IF(BV$7&gt;PARAMETROS!$C$12,IF($H11&gt;0,$G11*CURVA!BV11/$H11,0)*BV$6,0))</f>
        <v>0</v>
      </c>
      <c r="BW11" s="19" t="n">
        <f aca="false">IF($B11="",0,SUMIFS(INCORRIDO!$C$6:$C$5005,INCORRIDO!$D$6:$D$5005,$B11,INCORRIDO!$E$6:$E$5005,BW$7)+IF(BW$7&gt;PARAMETROS!$C$12,IF($H11&gt;0,$G11*CURVA!BW11/$H11,0)*BW$6,0))</f>
        <v>0</v>
      </c>
      <c r="BX11" s="19" t="n">
        <f aca="false">IF($B11="",0,SUMIFS(INCORRIDO!$C$6:$C$5005,INCORRIDO!$D$6:$D$5005,$B11,INCORRIDO!$E$6:$E$5005,BX$7)+IF(BX$7&gt;PARAMETROS!$C$12,IF($H11&gt;0,$G11*CURVA!BX11/$H11,0)*BX$6,0))</f>
        <v>0</v>
      </c>
      <c r="BY11" s="19" t="n">
        <f aca="false">IF($B11="",0,SUMIFS(INCORRIDO!$C$6:$C$5005,INCORRIDO!$D$6:$D$5005,$B11,INCORRIDO!$E$6:$E$5005,BY$7)+IF(BY$7&gt;PARAMETROS!$C$12,IF($H11&gt;0,$G11*CURVA!BY11/$H11,0)*BY$6,0))</f>
        <v>0</v>
      </c>
      <c r="BZ11" s="19" t="n">
        <f aca="false">IF($B11="",0,SUMIFS(INCORRIDO!$C$6:$C$5005,INCORRIDO!$D$6:$D$5005,$B11,INCORRIDO!$E$6:$E$5005,BZ$7)+IF(BZ$7&gt;PARAMETROS!$C$12,IF($H11&gt;0,$G11*CURVA!BZ11/$H11,0)*BZ$6,0))</f>
        <v>0</v>
      </c>
      <c r="CA11" s="19" t="n">
        <f aca="false">IF($B11="",0,SUMIFS(INCORRIDO!$C$6:$C$5005,INCORRIDO!$D$6:$D$5005,$B11,INCORRIDO!$E$6:$E$5005,CA$7)+IF(CA$7&gt;PARAMETROS!$C$12,IF($H11&gt;0,$G11*CURVA!CA11/$H11,0)*CA$6,0))</f>
        <v>0</v>
      </c>
      <c r="CB11" s="19" t="n">
        <f aca="false">IF($B11="",0,SUMIFS(INCORRIDO!$C$6:$C$5005,INCORRIDO!$D$6:$D$5005,$B11,INCORRIDO!$E$6:$E$5005,CB$7)+IF(CB$7&gt;PARAMETROS!$C$12,IF($H11&gt;0,$G11*CURVA!CB11/$H11,0)*CB$6,0))</f>
        <v>0</v>
      </c>
      <c r="CC11" s="19" t="n">
        <f aca="false">IF($B11="",0,SUMIFS(INCORRIDO!$C$6:$C$5005,INCORRIDO!$D$6:$D$5005,$B11,INCORRIDO!$E$6:$E$5005,CC$7)+IF(CC$7&gt;PARAMETROS!$C$12,IF($H11&gt;0,$G11*CURVA!CC11/$H11,0)*CC$6,0))</f>
        <v>0</v>
      </c>
    </row>
    <row r="12" customFormat="false" ht="15" hidden="false" customHeight="false" outlineLevel="0" collapsed="false">
      <c r="A12" s="31" t="str">
        <f aca="false">IF(ORCAMENTO!A10="","",ORCAMENTO!A10)</f>
        <v>05</v>
      </c>
      <c r="B12" s="31" t="str">
        <f aca="false">IF(ORCAMENTO!B10="","",ORCAMENTO!B10)</f>
        <v>LIGAÇÕES PROVISÓRIAS AGUA, ENERGIA,TELEFONIA, ESGOTO</v>
      </c>
      <c r="C12" s="31" t="str">
        <f aca="false">IF(ORCAMENTO!C10="","",ORCAMENTO!C10)</f>
        <v>INDIRETOS</v>
      </c>
      <c r="D12" s="32" t="n">
        <f aca="false">IF($B12="",0,ORCAMENTO!E10)</f>
        <v>85665.05</v>
      </c>
      <c r="E12" s="19" t="n">
        <f aca="false">IF($B12="",0,SUMIFS(INCORRIDO!$C$6:$C$5005,INCORRIDO!$D$6:$D$5005,$B12,INCORRIDO!$E$6:$E$5005,"&lt;="&amp;PARAMETROS!$C$12))</f>
        <v>0</v>
      </c>
      <c r="F12" s="19" t="n">
        <f aca="false">IF($B12="",0,SUMIFS(INCORRIDO!$C$6:$C$5005,INCORRIDO!$D$6:$D$5005,$B12,INCORRIDO!$E$6:$E$5005,"&gt;"&amp;PARAMETROS!$C$12))</f>
        <v>0</v>
      </c>
      <c r="G12" s="19" t="n">
        <f aca="false">MAX(0,D12-E12-F12)</f>
        <v>85665.05</v>
      </c>
      <c r="H12" s="32" t="n">
        <f aca="false">CURVA!H12</f>
        <v>0</v>
      </c>
      <c r="I12" s="19" t="n">
        <f aca="false">SUM(J12:CC12)</f>
        <v>0</v>
      </c>
      <c r="J12" s="19" t="n">
        <f aca="false">IF($B12="",0,SUMIFS(INCORRIDO!$C$6:$C$5005,INCORRIDO!$D$6:$D$5005,$B12,INCORRIDO!$E$6:$E$5005,"&lt;="&amp;J$7)+IF(J$7&gt;PARAMETROS!$C$12,IF($H12&gt;0,$G12*CURVA!J12/$H12,0)*J$6,0))</f>
        <v>0</v>
      </c>
      <c r="K12" s="19" t="n">
        <f aca="false">IF($B12="",0,SUMIFS(INCORRIDO!$C$6:$C$5005,INCORRIDO!$D$6:$D$5005,$B12,INCORRIDO!$E$6:$E$5005,K$7)+IF(K$7&gt;PARAMETROS!$C$12,IF($H12&gt;0,$G12*CURVA!K12/$H12,0)*K$6,0))</f>
        <v>0</v>
      </c>
      <c r="L12" s="19" t="n">
        <f aca="false">IF($B12="",0,SUMIFS(INCORRIDO!$C$6:$C$5005,INCORRIDO!$D$6:$D$5005,$B12,INCORRIDO!$E$6:$E$5005,L$7)+IF(L$7&gt;PARAMETROS!$C$12,IF($H12&gt;0,$G12*CURVA!L12/$H12,0)*L$6,0))</f>
        <v>0</v>
      </c>
      <c r="M12" s="19" t="n">
        <f aca="false">IF($B12="",0,SUMIFS(INCORRIDO!$C$6:$C$5005,INCORRIDO!$D$6:$D$5005,$B12,INCORRIDO!$E$6:$E$5005,M$7)+IF(M$7&gt;PARAMETROS!$C$12,IF($H12&gt;0,$G12*CURVA!M12/$H12,0)*M$6,0))</f>
        <v>0</v>
      </c>
      <c r="N12" s="19" t="n">
        <f aca="false">IF($B12="",0,SUMIFS(INCORRIDO!$C$6:$C$5005,INCORRIDO!$D$6:$D$5005,$B12,INCORRIDO!$E$6:$E$5005,N$7)+IF(N$7&gt;PARAMETROS!$C$12,IF($H12&gt;0,$G12*CURVA!N12/$H12,0)*N$6,0))</f>
        <v>0</v>
      </c>
      <c r="O12" s="19" t="n">
        <f aca="false">IF($B12="",0,SUMIFS(INCORRIDO!$C$6:$C$5005,INCORRIDO!$D$6:$D$5005,$B12,INCORRIDO!$E$6:$E$5005,O$7)+IF(O$7&gt;PARAMETROS!$C$12,IF($H12&gt;0,$G12*CURVA!O12/$H12,0)*O$6,0))</f>
        <v>0</v>
      </c>
      <c r="P12" s="19" t="n">
        <f aca="false">IF($B12="",0,SUMIFS(INCORRIDO!$C$6:$C$5005,INCORRIDO!$D$6:$D$5005,$B12,INCORRIDO!$E$6:$E$5005,P$7)+IF(P$7&gt;PARAMETROS!$C$12,IF($H12&gt;0,$G12*CURVA!P12/$H12,0)*P$6,0))</f>
        <v>0</v>
      </c>
      <c r="Q12" s="19" t="n">
        <f aca="false">IF($B12="",0,SUMIFS(INCORRIDO!$C$6:$C$5005,INCORRIDO!$D$6:$D$5005,$B12,INCORRIDO!$E$6:$E$5005,Q$7)+IF(Q$7&gt;PARAMETROS!$C$12,IF($H12&gt;0,$G12*CURVA!Q12/$H12,0)*Q$6,0))</f>
        <v>0</v>
      </c>
      <c r="R12" s="19" t="n">
        <f aca="false">IF($B12="",0,SUMIFS(INCORRIDO!$C$6:$C$5005,INCORRIDO!$D$6:$D$5005,$B12,INCORRIDO!$E$6:$E$5005,R$7)+IF(R$7&gt;PARAMETROS!$C$12,IF($H12&gt;0,$G12*CURVA!R12/$H12,0)*R$6,0))</f>
        <v>0</v>
      </c>
      <c r="S12" s="19" t="n">
        <f aca="false">IF($B12="",0,SUMIFS(INCORRIDO!$C$6:$C$5005,INCORRIDO!$D$6:$D$5005,$B12,INCORRIDO!$E$6:$E$5005,S$7)+IF(S$7&gt;PARAMETROS!$C$12,IF($H12&gt;0,$G12*CURVA!S12/$H12,0)*S$6,0))</f>
        <v>0</v>
      </c>
      <c r="T12" s="19" t="n">
        <f aca="false">IF($B12="",0,SUMIFS(INCORRIDO!$C$6:$C$5005,INCORRIDO!$D$6:$D$5005,$B12,INCORRIDO!$E$6:$E$5005,T$7)+IF(T$7&gt;PARAMETROS!$C$12,IF($H12&gt;0,$G12*CURVA!T12/$H12,0)*T$6,0))</f>
        <v>0</v>
      </c>
      <c r="U12" s="19" t="n">
        <f aca="false">IF($B12="",0,SUMIFS(INCORRIDO!$C$6:$C$5005,INCORRIDO!$D$6:$D$5005,$B12,INCORRIDO!$E$6:$E$5005,U$7)+IF(U$7&gt;PARAMETROS!$C$12,IF($H12&gt;0,$G12*CURVA!U12/$H12,0)*U$6,0))</f>
        <v>0</v>
      </c>
      <c r="V12" s="19" t="n">
        <f aca="false">IF($B12="",0,SUMIFS(INCORRIDO!$C$6:$C$5005,INCORRIDO!$D$6:$D$5005,$B12,INCORRIDO!$E$6:$E$5005,V$7)+IF(V$7&gt;PARAMETROS!$C$12,IF($H12&gt;0,$G12*CURVA!V12/$H12,0)*V$6,0))</f>
        <v>0</v>
      </c>
      <c r="W12" s="19" t="n">
        <f aca="false">IF($B12="",0,SUMIFS(INCORRIDO!$C$6:$C$5005,INCORRIDO!$D$6:$D$5005,$B12,INCORRIDO!$E$6:$E$5005,W$7)+IF(W$7&gt;PARAMETROS!$C$12,IF($H12&gt;0,$G12*CURVA!W12/$H12,0)*W$6,0))</f>
        <v>0</v>
      </c>
      <c r="X12" s="19" t="n">
        <f aca="false">IF($B12="",0,SUMIFS(INCORRIDO!$C$6:$C$5005,INCORRIDO!$D$6:$D$5005,$B12,INCORRIDO!$E$6:$E$5005,X$7)+IF(X$7&gt;PARAMETROS!$C$12,IF($H12&gt;0,$G12*CURVA!X12/$H12,0)*X$6,0))</f>
        <v>0</v>
      </c>
      <c r="Y12" s="19" t="n">
        <f aca="false">IF($B12="",0,SUMIFS(INCORRIDO!$C$6:$C$5005,INCORRIDO!$D$6:$D$5005,$B12,INCORRIDO!$E$6:$E$5005,Y$7)+IF(Y$7&gt;PARAMETROS!$C$12,IF($H12&gt;0,$G12*CURVA!Y12/$H12,0)*Y$6,0))</f>
        <v>0</v>
      </c>
      <c r="Z12" s="19" t="n">
        <f aca="false">IF($B12="",0,SUMIFS(INCORRIDO!$C$6:$C$5005,INCORRIDO!$D$6:$D$5005,$B12,INCORRIDO!$E$6:$E$5005,Z$7)+IF(Z$7&gt;PARAMETROS!$C$12,IF($H12&gt;0,$G12*CURVA!Z12/$H12,0)*Z$6,0))</f>
        <v>0</v>
      </c>
      <c r="AA12" s="19" t="n">
        <f aca="false">IF($B12="",0,SUMIFS(INCORRIDO!$C$6:$C$5005,INCORRIDO!$D$6:$D$5005,$B12,INCORRIDO!$E$6:$E$5005,AA$7)+IF(AA$7&gt;PARAMETROS!$C$12,IF($H12&gt;0,$G12*CURVA!AA12/$H12,0)*AA$6,0))</f>
        <v>0</v>
      </c>
      <c r="AB12" s="19" t="n">
        <f aca="false">IF($B12="",0,SUMIFS(INCORRIDO!$C$6:$C$5005,INCORRIDO!$D$6:$D$5005,$B12,INCORRIDO!$E$6:$E$5005,AB$7)+IF(AB$7&gt;PARAMETROS!$C$12,IF($H12&gt;0,$G12*CURVA!AB12/$H12,0)*AB$6,0))</f>
        <v>0</v>
      </c>
      <c r="AC12" s="19" t="n">
        <f aca="false">IF($B12="",0,SUMIFS(INCORRIDO!$C$6:$C$5005,INCORRIDO!$D$6:$D$5005,$B12,INCORRIDO!$E$6:$E$5005,AC$7)+IF(AC$7&gt;PARAMETROS!$C$12,IF($H12&gt;0,$G12*CURVA!AC12/$H12,0)*AC$6,0))</f>
        <v>0</v>
      </c>
      <c r="AD12" s="19" t="n">
        <f aca="false">IF($B12="",0,SUMIFS(INCORRIDO!$C$6:$C$5005,INCORRIDO!$D$6:$D$5005,$B12,INCORRIDO!$E$6:$E$5005,AD$7)+IF(AD$7&gt;PARAMETROS!$C$12,IF($H12&gt;0,$G12*CURVA!AD12/$H12,0)*AD$6,0))</f>
        <v>0</v>
      </c>
      <c r="AE12" s="19" t="n">
        <f aca="false">IF($B12="",0,SUMIFS(INCORRIDO!$C$6:$C$5005,INCORRIDO!$D$6:$D$5005,$B12,INCORRIDO!$E$6:$E$5005,AE$7)+IF(AE$7&gt;PARAMETROS!$C$12,IF($H12&gt;0,$G12*CURVA!AE12/$H12,0)*AE$6,0))</f>
        <v>0</v>
      </c>
      <c r="AF12" s="19" t="n">
        <f aca="false">IF($B12="",0,SUMIFS(INCORRIDO!$C$6:$C$5005,INCORRIDO!$D$6:$D$5005,$B12,INCORRIDO!$E$6:$E$5005,AF$7)+IF(AF$7&gt;PARAMETROS!$C$12,IF($H12&gt;0,$G12*CURVA!AF12/$H12,0)*AF$6,0))</f>
        <v>0</v>
      </c>
      <c r="AG12" s="19" t="n">
        <f aca="false">IF($B12="",0,SUMIFS(INCORRIDO!$C$6:$C$5005,INCORRIDO!$D$6:$D$5005,$B12,INCORRIDO!$E$6:$E$5005,AG$7)+IF(AG$7&gt;PARAMETROS!$C$12,IF($H12&gt;0,$G12*CURVA!AG12/$H12,0)*AG$6,0))</f>
        <v>0</v>
      </c>
      <c r="AH12" s="19" t="n">
        <f aca="false">IF($B12="",0,SUMIFS(INCORRIDO!$C$6:$C$5005,INCORRIDO!$D$6:$D$5005,$B12,INCORRIDO!$E$6:$E$5005,AH$7)+IF(AH$7&gt;PARAMETROS!$C$12,IF($H12&gt;0,$G12*CURVA!AH12/$H12,0)*AH$6,0))</f>
        <v>0</v>
      </c>
      <c r="AI12" s="19" t="n">
        <f aca="false">IF($B12="",0,SUMIFS(INCORRIDO!$C$6:$C$5005,INCORRIDO!$D$6:$D$5005,$B12,INCORRIDO!$E$6:$E$5005,AI$7)+IF(AI$7&gt;PARAMETROS!$C$12,IF($H12&gt;0,$G12*CURVA!AI12/$H12,0)*AI$6,0))</f>
        <v>0</v>
      </c>
      <c r="AJ12" s="19" t="n">
        <f aca="false">IF($B12="",0,SUMIFS(INCORRIDO!$C$6:$C$5005,INCORRIDO!$D$6:$D$5005,$B12,INCORRIDO!$E$6:$E$5005,AJ$7)+IF(AJ$7&gt;PARAMETROS!$C$12,IF($H12&gt;0,$G12*CURVA!AJ12/$H12,0)*AJ$6,0))</f>
        <v>0</v>
      </c>
      <c r="AK12" s="19" t="n">
        <f aca="false">IF($B12="",0,SUMIFS(INCORRIDO!$C$6:$C$5005,INCORRIDO!$D$6:$D$5005,$B12,INCORRIDO!$E$6:$E$5005,AK$7)+IF(AK$7&gt;PARAMETROS!$C$12,IF($H12&gt;0,$G12*CURVA!AK12/$H12,0)*AK$6,0))</f>
        <v>0</v>
      </c>
      <c r="AL12" s="19" t="n">
        <f aca="false">IF($B12="",0,SUMIFS(INCORRIDO!$C$6:$C$5005,INCORRIDO!$D$6:$D$5005,$B12,INCORRIDO!$E$6:$E$5005,AL$7)+IF(AL$7&gt;PARAMETROS!$C$12,IF($H12&gt;0,$G12*CURVA!AL12/$H12,0)*AL$6,0))</f>
        <v>0</v>
      </c>
      <c r="AM12" s="19" t="n">
        <f aca="false">IF($B12="",0,SUMIFS(INCORRIDO!$C$6:$C$5005,INCORRIDO!$D$6:$D$5005,$B12,INCORRIDO!$E$6:$E$5005,AM$7)+IF(AM$7&gt;PARAMETROS!$C$12,IF($H12&gt;0,$G12*CURVA!AM12/$H12,0)*AM$6,0))</f>
        <v>0</v>
      </c>
      <c r="AN12" s="19" t="n">
        <f aca="false">IF($B12="",0,SUMIFS(INCORRIDO!$C$6:$C$5005,INCORRIDO!$D$6:$D$5005,$B12,INCORRIDO!$E$6:$E$5005,AN$7)+IF(AN$7&gt;PARAMETROS!$C$12,IF($H12&gt;0,$G12*CURVA!AN12/$H12,0)*AN$6,0))</f>
        <v>0</v>
      </c>
      <c r="AO12" s="19" t="n">
        <f aca="false">IF($B12="",0,SUMIFS(INCORRIDO!$C$6:$C$5005,INCORRIDO!$D$6:$D$5005,$B12,INCORRIDO!$E$6:$E$5005,AO$7)+IF(AO$7&gt;PARAMETROS!$C$12,IF($H12&gt;0,$G12*CURVA!AO12/$H12,0)*AO$6,0))</f>
        <v>0</v>
      </c>
      <c r="AP12" s="19" t="n">
        <f aca="false">IF($B12="",0,SUMIFS(INCORRIDO!$C$6:$C$5005,INCORRIDO!$D$6:$D$5005,$B12,INCORRIDO!$E$6:$E$5005,AP$7)+IF(AP$7&gt;PARAMETROS!$C$12,IF($H12&gt;0,$G12*CURVA!AP12/$H12,0)*AP$6,0))</f>
        <v>0</v>
      </c>
      <c r="AQ12" s="19" t="n">
        <f aca="false">IF($B12="",0,SUMIFS(INCORRIDO!$C$6:$C$5005,INCORRIDO!$D$6:$D$5005,$B12,INCORRIDO!$E$6:$E$5005,AQ$7)+IF(AQ$7&gt;PARAMETROS!$C$12,IF($H12&gt;0,$G12*CURVA!AQ12/$H12,0)*AQ$6,0))</f>
        <v>0</v>
      </c>
      <c r="AR12" s="19" t="n">
        <f aca="false">IF($B12="",0,SUMIFS(INCORRIDO!$C$6:$C$5005,INCORRIDO!$D$6:$D$5005,$B12,INCORRIDO!$E$6:$E$5005,AR$7)+IF(AR$7&gt;PARAMETROS!$C$12,IF($H12&gt;0,$G12*CURVA!AR12/$H12,0)*AR$6,0))</f>
        <v>0</v>
      </c>
      <c r="AS12" s="19" t="n">
        <f aca="false">IF($B12="",0,SUMIFS(INCORRIDO!$C$6:$C$5005,INCORRIDO!$D$6:$D$5005,$B12,INCORRIDO!$E$6:$E$5005,AS$7)+IF(AS$7&gt;PARAMETROS!$C$12,IF($H12&gt;0,$G12*CURVA!AS12/$H12,0)*AS$6,0))</f>
        <v>0</v>
      </c>
      <c r="AT12" s="19" t="n">
        <f aca="false">IF($B12="",0,SUMIFS(INCORRIDO!$C$6:$C$5005,INCORRIDO!$D$6:$D$5005,$B12,INCORRIDO!$E$6:$E$5005,AT$7)+IF(AT$7&gt;PARAMETROS!$C$12,IF($H12&gt;0,$G12*CURVA!AT12/$H12,0)*AT$6,0))</f>
        <v>0</v>
      </c>
      <c r="AU12" s="19" t="n">
        <f aca="false">IF($B12="",0,SUMIFS(INCORRIDO!$C$6:$C$5005,INCORRIDO!$D$6:$D$5005,$B12,INCORRIDO!$E$6:$E$5005,AU$7)+IF(AU$7&gt;PARAMETROS!$C$12,IF($H12&gt;0,$G12*CURVA!AU12/$H12,0)*AU$6,0))</f>
        <v>0</v>
      </c>
      <c r="AV12" s="19" t="n">
        <f aca="false">IF($B12="",0,SUMIFS(INCORRIDO!$C$6:$C$5005,INCORRIDO!$D$6:$D$5005,$B12,INCORRIDO!$E$6:$E$5005,AV$7)+IF(AV$7&gt;PARAMETROS!$C$12,IF($H12&gt;0,$G12*CURVA!AV12/$H12,0)*AV$6,0))</f>
        <v>0</v>
      </c>
      <c r="AW12" s="19" t="n">
        <f aca="false">IF($B12="",0,SUMIFS(INCORRIDO!$C$6:$C$5005,INCORRIDO!$D$6:$D$5005,$B12,INCORRIDO!$E$6:$E$5005,AW$7)+IF(AW$7&gt;PARAMETROS!$C$12,IF($H12&gt;0,$G12*CURVA!AW12/$H12,0)*AW$6,0))</f>
        <v>0</v>
      </c>
      <c r="AX12" s="19" t="n">
        <f aca="false">IF($B12="",0,SUMIFS(INCORRIDO!$C$6:$C$5005,INCORRIDO!$D$6:$D$5005,$B12,INCORRIDO!$E$6:$E$5005,AX$7)+IF(AX$7&gt;PARAMETROS!$C$12,IF($H12&gt;0,$G12*CURVA!AX12/$H12,0)*AX$6,0))</f>
        <v>0</v>
      </c>
      <c r="AY12" s="19" t="n">
        <f aca="false">IF($B12="",0,SUMIFS(INCORRIDO!$C$6:$C$5005,INCORRIDO!$D$6:$D$5005,$B12,INCORRIDO!$E$6:$E$5005,AY$7)+IF(AY$7&gt;PARAMETROS!$C$12,IF($H12&gt;0,$G12*CURVA!AY12/$H12,0)*AY$6,0))</f>
        <v>0</v>
      </c>
      <c r="AZ12" s="19" t="n">
        <f aca="false">IF($B12="",0,SUMIFS(INCORRIDO!$C$6:$C$5005,INCORRIDO!$D$6:$D$5005,$B12,INCORRIDO!$E$6:$E$5005,AZ$7)+IF(AZ$7&gt;PARAMETROS!$C$12,IF($H12&gt;0,$G12*CURVA!AZ12/$H12,0)*AZ$6,0))</f>
        <v>0</v>
      </c>
      <c r="BA12" s="19" t="n">
        <f aca="false">IF($B12="",0,SUMIFS(INCORRIDO!$C$6:$C$5005,INCORRIDO!$D$6:$D$5005,$B12,INCORRIDO!$E$6:$E$5005,BA$7)+IF(BA$7&gt;PARAMETROS!$C$12,IF($H12&gt;0,$G12*CURVA!BA12/$H12,0)*BA$6,0))</f>
        <v>0</v>
      </c>
      <c r="BB12" s="19" t="n">
        <f aca="false">IF($B12="",0,SUMIFS(INCORRIDO!$C$6:$C$5005,INCORRIDO!$D$6:$D$5005,$B12,INCORRIDO!$E$6:$E$5005,BB$7)+IF(BB$7&gt;PARAMETROS!$C$12,IF($H12&gt;0,$G12*CURVA!BB12/$H12,0)*BB$6,0))</f>
        <v>0</v>
      </c>
      <c r="BC12" s="19" t="n">
        <f aca="false">IF($B12="",0,SUMIFS(INCORRIDO!$C$6:$C$5005,INCORRIDO!$D$6:$D$5005,$B12,INCORRIDO!$E$6:$E$5005,BC$7)+IF(BC$7&gt;PARAMETROS!$C$12,IF($H12&gt;0,$G12*CURVA!BC12/$H12,0)*BC$6,0))</f>
        <v>0</v>
      </c>
      <c r="BD12" s="19" t="n">
        <f aca="false">IF($B12="",0,SUMIFS(INCORRIDO!$C$6:$C$5005,INCORRIDO!$D$6:$D$5005,$B12,INCORRIDO!$E$6:$E$5005,BD$7)+IF(BD$7&gt;PARAMETROS!$C$12,IF($H12&gt;0,$G12*CURVA!BD12/$H12,0)*BD$6,0))</f>
        <v>0</v>
      </c>
      <c r="BE12" s="19" t="n">
        <f aca="false">IF($B12="",0,SUMIFS(INCORRIDO!$C$6:$C$5005,INCORRIDO!$D$6:$D$5005,$B12,INCORRIDO!$E$6:$E$5005,BE$7)+IF(BE$7&gt;PARAMETROS!$C$12,IF($H12&gt;0,$G12*CURVA!BE12/$H12,0)*BE$6,0))</f>
        <v>0</v>
      </c>
      <c r="BF12" s="19" t="n">
        <f aca="false">IF($B12="",0,SUMIFS(INCORRIDO!$C$6:$C$5005,INCORRIDO!$D$6:$D$5005,$B12,INCORRIDO!$E$6:$E$5005,BF$7)+IF(BF$7&gt;PARAMETROS!$C$12,IF($H12&gt;0,$G12*CURVA!BF12/$H12,0)*BF$6,0))</f>
        <v>0</v>
      </c>
      <c r="BG12" s="19" t="n">
        <f aca="false">IF($B12="",0,SUMIFS(INCORRIDO!$C$6:$C$5005,INCORRIDO!$D$6:$D$5005,$B12,INCORRIDO!$E$6:$E$5005,BG$7)+IF(BG$7&gt;PARAMETROS!$C$12,IF($H12&gt;0,$G12*CURVA!BG12/$H12,0)*BG$6,0))</f>
        <v>0</v>
      </c>
      <c r="BH12" s="19" t="n">
        <f aca="false">IF($B12="",0,SUMIFS(INCORRIDO!$C$6:$C$5005,INCORRIDO!$D$6:$D$5005,$B12,INCORRIDO!$E$6:$E$5005,BH$7)+IF(BH$7&gt;PARAMETROS!$C$12,IF($H12&gt;0,$G12*CURVA!BH12/$H12,0)*BH$6,0))</f>
        <v>0</v>
      </c>
      <c r="BI12" s="19" t="n">
        <f aca="false">IF($B12="",0,SUMIFS(INCORRIDO!$C$6:$C$5005,INCORRIDO!$D$6:$D$5005,$B12,INCORRIDO!$E$6:$E$5005,BI$7)+IF(BI$7&gt;PARAMETROS!$C$12,IF($H12&gt;0,$G12*CURVA!BI12/$H12,0)*BI$6,0))</f>
        <v>0</v>
      </c>
      <c r="BJ12" s="19" t="n">
        <f aca="false">IF($B12="",0,SUMIFS(INCORRIDO!$C$6:$C$5005,INCORRIDO!$D$6:$D$5005,$B12,INCORRIDO!$E$6:$E$5005,BJ$7)+IF(BJ$7&gt;PARAMETROS!$C$12,IF($H12&gt;0,$G12*CURVA!BJ12/$H12,0)*BJ$6,0))</f>
        <v>0</v>
      </c>
      <c r="BK12" s="19" t="n">
        <f aca="false">IF($B12="",0,SUMIFS(INCORRIDO!$C$6:$C$5005,INCORRIDO!$D$6:$D$5005,$B12,INCORRIDO!$E$6:$E$5005,BK$7)+IF(BK$7&gt;PARAMETROS!$C$12,IF($H12&gt;0,$G12*CURVA!BK12/$H12,0)*BK$6,0))</f>
        <v>0</v>
      </c>
      <c r="BL12" s="19" t="n">
        <f aca="false">IF($B12="",0,SUMIFS(INCORRIDO!$C$6:$C$5005,INCORRIDO!$D$6:$D$5005,$B12,INCORRIDO!$E$6:$E$5005,BL$7)+IF(BL$7&gt;PARAMETROS!$C$12,IF($H12&gt;0,$G12*CURVA!BL12/$H12,0)*BL$6,0))</f>
        <v>0</v>
      </c>
      <c r="BM12" s="19" t="n">
        <f aca="false">IF($B12="",0,SUMIFS(INCORRIDO!$C$6:$C$5005,INCORRIDO!$D$6:$D$5005,$B12,INCORRIDO!$E$6:$E$5005,BM$7)+IF(BM$7&gt;PARAMETROS!$C$12,IF($H12&gt;0,$G12*CURVA!BM12/$H12,0)*BM$6,0))</f>
        <v>0</v>
      </c>
      <c r="BN12" s="19" t="n">
        <f aca="false">IF($B12="",0,SUMIFS(INCORRIDO!$C$6:$C$5005,INCORRIDO!$D$6:$D$5005,$B12,INCORRIDO!$E$6:$E$5005,BN$7)+IF(BN$7&gt;PARAMETROS!$C$12,IF($H12&gt;0,$G12*CURVA!BN12/$H12,0)*BN$6,0))</f>
        <v>0</v>
      </c>
      <c r="BO12" s="19" t="n">
        <f aca="false">IF($B12="",0,SUMIFS(INCORRIDO!$C$6:$C$5005,INCORRIDO!$D$6:$D$5005,$B12,INCORRIDO!$E$6:$E$5005,BO$7)+IF(BO$7&gt;PARAMETROS!$C$12,IF($H12&gt;0,$G12*CURVA!BO12/$H12,0)*BO$6,0))</f>
        <v>0</v>
      </c>
      <c r="BP12" s="19" t="n">
        <f aca="false">IF($B12="",0,SUMIFS(INCORRIDO!$C$6:$C$5005,INCORRIDO!$D$6:$D$5005,$B12,INCORRIDO!$E$6:$E$5005,BP$7)+IF(BP$7&gt;PARAMETROS!$C$12,IF($H12&gt;0,$G12*CURVA!BP12/$H12,0)*BP$6,0))</f>
        <v>0</v>
      </c>
      <c r="BQ12" s="19" t="n">
        <f aca="false">IF($B12="",0,SUMIFS(INCORRIDO!$C$6:$C$5005,INCORRIDO!$D$6:$D$5005,$B12,INCORRIDO!$E$6:$E$5005,BQ$7)+IF(BQ$7&gt;PARAMETROS!$C$12,IF($H12&gt;0,$G12*CURVA!BQ12/$H12,0)*BQ$6,0))</f>
        <v>0</v>
      </c>
      <c r="BR12" s="19" t="n">
        <f aca="false">IF($B12="",0,SUMIFS(INCORRIDO!$C$6:$C$5005,INCORRIDO!$D$6:$D$5005,$B12,INCORRIDO!$E$6:$E$5005,BR$7)+IF(BR$7&gt;PARAMETROS!$C$12,IF($H12&gt;0,$G12*CURVA!BR12/$H12,0)*BR$6,0))</f>
        <v>0</v>
      </c>
      <c r="BS12" s="19" t="n">
        <f aca="false">IF($B12="",0,SUMIFS(INCORRIDO!$C$6:$C$5005,INCORRIDO!$D$6:$D$5005,$B12,INCORRIDO!$E$6:$E$5005,BS$7)+IF(BS$7&gt;PARAMETROS!$C$12,IF($H12&gt;0,$G12*CURVA!BS12/$H12,0)*BS$6,0))</f>
        <v>0</v>
      </c>
      <c r="BT12" s="19" t="n">
        <f aca="false">IF($B12="",0,SUMIFS(INCORRIDO!$C$6:$C$5005,INCORRIDO!$D$6:$D$5005,$B12,INCORRIDO!$E$6:$E$5005,BT$7)+IF(BT$7&gt;PARAMETROS!$C$12,IF($H12&gt;0,$G12*CURVA!BT12/$H12,0)*BT$6,0))</f>
        <v>0</v>
      </c>
      <c r="BU12" s="19" t="n">
        <f aca="false">IF($B12="",0,SUMIFS(INCORRIDO!$C$6:$C$5005,INCORRIDO!$D$6:$D$5005,$B12,INCORRIDO!$E$6:$E$5005,BU$7)+IF(BU$7&gt;PARAMETROS!$C$12,IF($H12&gt;0,$G12*CURVA!BU12/$H12,0)*BU$6,0))</f>
        <v>0</v>
      </c>
      <c r="BV12" s="19" t="n">
        <f aca="false">IF($B12="",0,SUMIFS(INCORRIDO!$C$6:$C$5005,INCORRIDO!$D$6:$D$5005,$B12,INCORRIDO!$E$6:$E$5005,BV$7)+IF(BV$7&gt;PARAMETROS!$C$12,IF($H12&gt;0,$G12*CURVA!BV12/$H12,0)*BV$6,0))</f>
        <v>0</v>
      </c>
      <c r="BW12" s="19" t="n">
        <f aca="false">IF($B12="",0,SUMIFS(INCORRIDO!$C$6:$C$5005,INCORRIDO!$D$6:$D$5005,$B12,INCORRIDO!$E$6:$E$5005,BW$7)+IF(BW$7&gt;PARAMETROS!$C$12,IF($H12&gt;0,$G12*CURVA!BW12/$H12,0)*BW$6,0))</f>
        <v>0</v>
      </c>
      <c r="BX12" s="19" t="n">
        <f aca="false">IF($B12="",0,SUMIFS(INCORRIDO!$C$6:$C$5005,INCORRIDO!$D$6:$D$5005,$B12,INCORRIDO!$E$6:$E$5005,BX$7)+IF(BX$7&gt;PARAMETROS!$C$12,IF($H12&gt;0,$G12*CURVA!BX12/$H12,0)*BX$6,0))</f>
        <v>0</v>
      </c>
      <c r="BY12" s="19" t="n">
        <f aca="false">IF($B12="",0,SUMIFS(INCORRIDO!$C$6:$C$5005,INCORRIDO!$D$6:$D$5005,$B12,INCORRIDO!$E$6:$E$5005,BY$7)+IF(BY$7&gt;PARAMETROS!$C$12,IF($H12&gt;0,$G12*CURVA!BY12/$H12,0)*BY$6,0))</f>
        <v>0</v>
      </c>
      <c r="BZ12" s="19" t="n">
        <f aca="false">IF($B12="",0,SUMIFS(INCORRIDO!$C$6:$C$5005,INCORRIDO!$D$6:$D$5005,$B12,INCORRIDO!$E$6:$E$5005,BZ$7)+IF(BZ$7&gt;PARAMETROS!$C$12,IF($H12&gt;0,$G12*CURVA!BZ12/$H12,0)*BZ$6,0))</f>
        <v>0</v>
      </c>
      <c r="CA12" s="19" t="n">
        <f aca="false">IF($B12="",0,SUMIFS(INCORRIDO!$C$6:$C$5005,INCORRIDO!$D$6:$D$5005,$B12,INCORRIDO!$E$6:$E$5005,CA$7)+IF(CA$7&gt;PARAMETROS!$C$12,IF($H12&gt;0,$G12*CURVA!CA12/$H12,0)*CA$6,0))</f>
        <v>0</v>
      </c>
      <c r="CB12" s="19" t="n">
        <f aca="false">IF($B12="",0,SUMIFS(INCORRIDO!$C$6:$C$5005,INCORRIDO!$D$6:$D$5005,$B12,INCORRIDO!$E$6:$E$5005,CB$7)+IF(CB$7&gt;PARAMETROS!$C$12,IF($H12&gt;0,$G12*CURVA!CB12/$H12,0)*CB$6,0))</f>
        <v>0</v>
      </c>
      <c r="CC12" s="19" t="n">
        <f aca="false">IF($B12="",0,SUMIFS(INCORRIDO!$C$6:$C$5005,INCORRIDO!$D$6:$D$5005,$B12,INCORRIDO!$E$6:$E$5005,CC$7)+IF(CC$7&gt;PARAMETROS!$C$12,IF($H12&gt;0,$G12*CURVA!CC12/$H12,0)*CC$6,0))</f>
        <v>0</v>
      </c>
    </row>
    <row r="13" customFormat="false" ht="15" hidden="false" customHeight="false" outlineLevel="0" collapsed="false">
      <c r="A13" s="31" t="str">
        <f aca="false">IF(ORCAMENTO!A11="","",ORCAMENTO!A11)</f>
        <v>06</v>
      </c>
      <c r="B13" s="31" t="str">
        <f aca="false">IF(ORCAMENTO!B11="","",ORCAMENTO!B11)</f>
        <v>CONSUMO DE ÁGUA, ENERGIA, ETC.</v>
      </c>
      <c r="C13" s="31" t="str">
        <f aca="false">IF(ORCAMENTO!C11="","",ORCAMENTO!C11)</f>
        <v>INDIRETOS</v>
      </c>
      <c r="D13" s="32" t="n">
        <f aca="false">IF($B13="",0,ORCAMENTO!E11)</f>
        <v>544229.22</v>
      </c>
      <c r="E13" s="19" t="n">
        <f aca="false">IF($B13="",0,SUMIFS(INCORRIDO!$C$6:$C$5005,INCORRIDO!$D$6:$D$5005,$B13,INCORRIDO!$E$6:$E$5005,"&lt;="&amp;PARAMETROS!$C$12))</f>
        <v>36058.03</v>
      </c>
      <c r="F13" s="19" t="n">
        <f aca="false">IF($B13="",0,SUMIFS(INCORRIDO!$C$6:$C$5005,INCORRIDO!$D$6:$D$5005,$B13,INCORRIDO!$E$6:$E$5005,"&gt;"&amp;PARAMETROS!$C$12))</f>
        <v>10197.92</v>
      </c>
      <c r="G13" s="19" t="n">
        <f aca="false">MAX(0,D13-E13-F13)</f>
        <v>497973.27</v>
      </c>
      <c r="H13" s="32" t="n">
        <f aca="false">CURVA!H13</f>
        <v>494508.3</v>
      </c>
      <c r="I13" s="19" t="n">
        <f aca="false">SUM(J13:CC13)</f>
        <v>544229.22</v>
      </c>
      <c r="J13" s="19" t="n">
        <f aca="false">IF($B13="",0,SUMIFS(INCORRIDO!$C$6:$C$5005,INCORRIDO!$D$6:$D$5005,$B13,INCORRIDO!$E$6:$E$5005,"&lt;="&amp;J$7)+IF(J$7&gt;PARAMETROS!$C$12,IF($H13&gt;0,$G13*CURVA!J13/$H13,0)*J$6,0))</f>
        <v>0</v>
      </c>
      <c r="K13" s="19" t="n">
        <f aca="false">IF($B13="",0,SUMIFS(INCORRIDO!$C$6:$C$5005,INCORRIDO!$D$6:$D$5005,$B13,INCORRIDO!$E$6:$E$5005,K$7)+IF(K$7&gt;PARAMETROS!$C$12,IF($H13&gt;0,$G13*CURVA!K13/$H13,0)*K$6,0))</f>
        <v>0</v>
      </c>
      <c r="L13" s="19" t="n">
        <f aca="false">IF($B13="",0,SUMIFS(INCORRIDO!$C$6:$C$5005,INCORRIDO!$D$6:$D$5005,$B13,INCORRIDO!$E$6:$E$5005,L$7)+IF(L$7&gt;PARAMETROS!$C$12,IF($H13&gt;0,$G13*CURVA!L13/$H13,0)*L$6,0))</f>
        <v>0</v>
      </c>
      <c r="M13" s="19" t="n">
        <f aca="false">IF($B13="",0,SUMIFS(INCORRIDO!$C$6:$C$5005,INCORRIDO!$D$6:$D$5005,$B13,INCORRIDO!$E$6:$E$5005,M$7)+IF(M$7&gt;PARAMETROS!$C$12,IF($H13&gt;0,$G13*CURVA!M13/$H13,0)*M$6,0))</f>
        <v>0</v>
      </c>
      <c r="N13" s="19" t="n">
        <f aca="false">IF($B13="",0,SUMIFS(INCORRIDO!$C$6:$C$5005,INCORRIDO!$D$6:$D$5005,$B13,INCORRIDO!$E$6:$E$5005,N$7)+IF(N$7&gt;PARAMETROS!$C$12,IF($H13&gt;0,$G13*CURVA!N13/$H13,0)*N$6,0))</f>
        <v>0</v>
      </c>
      <c r="O13" s="19" t="n">
        <f aca="false">IF($B13="",0,SUMIFS(INCORRIDO!$C$6:$C$5005,INCORRIDO!$D$6:$D$5005,$B13,INCORRIDO!$E$6:$E$5005,O$7)+IF(O$7&gt;PARAMETROS!$C$12,IF($H13&gt;0,$G13*CURVA!O13/$H13,0)*O$6,0))</f>
        <v>0</v>
      </c>
      <c r="P13" s="19" t="n">
        <f aca="false">IF($B13="",0,SUMIFS(INCORRIDO!$C$6:$C$5005,INCORRIDO!$D$6:$D$5005,$B13,INCORRIDO!$E$6:$E$5005,P$7)+IF(P$7&gt;PARAMETROS!$C$12,IF($H13&gt;0,$G13*CURVA!P13/$H13,0)*P$6,0))</f>
        <v>0</v>
      </c>
      <c r="Q13" s="19" t="n">
        <f aca="false">IF($B13="",0,SUMIFS(INCORRIDO!$C$6:$C$5005,INCORRIDO!$D$6:$D$5005,$B13,INCORRIDO!$E$6:$E$5005,Q$7)+IF(Q$7&gt;PARAMETROS!$C$12,IF($H13&gt;0,$G13*CURVA!Q13/$H13,0)*Q$6,0))</f>
        <v>0</v>
      </c>
      <c r="R13" s="19" t="n">
        <f aca="false">IF($B13="",0,SUMIFS(INCORRIDO!$C$6:$C$5005,INCORRIDO!$D$6:$D$5005,$B13,INCORRIDO!$E$6:$E$5005,R$7)+IF(R$7&gt;PARAMETROS!$C$12,IF($H13&gt;0,$G13*CURVA!R13/$H13,0)*R$6,0))</f>
        <v>0</v>
      </c>
      <c r="S13" s="19" t="n">
        <f aca="false">IF($B13="",0,SUMIFS(INCORRIDO!$C$6:$C$5005,INCORRIDO!$D$6:$D$5005,$B13,INCORRIDO!$E$6:$E$5005,S$7)+IF(S$7&gt;PARAMETROS!$C$12,IF($H13&gt;0,$G13*CURVA!S13/$H13,0)*S$6,0))</f>
        <v>0</v>
      </c>
      <c r="T13" s="19" t="n">
        <f aca="false">IF($B13="",0,SUMIFS(INCORRIDO!$C$6:$C$5005,INCORRIDO!$D$6:$D$5005,$B13,INCORRIDO!$E$6:$E$5005,T$7)+IF(T$7&gt;PARAMETROS!$C$12,IF($H13&gt;0,$G13*CURVA!T13/$H13,0)*T$6,0))</f>
        <v>451.95</v>
      </c>
      <c r="U13" s="19" t="n">
        <f aca="false">IF($B13="",0,SUMIFS(INCORRIDO!$C$6:$C$5005,INCORRIDO!$D$6:$D$5005,$B13,INCORRIDO!$E$6:$E$5005,U$7)+IF(U$7&gt;PARAMETROS!$C$12,IF($H13&gt;0,$G13*CURVA!U13/$H13,0)*U$6,0))</f>
        <v>2796.26</v>
      </c>
      <c r="V13" s="19" t="n">
        <f aca="false">IF($B13="",0,SUMIFS(INCORRIDO!$C$6:$C$5005,INCORRIDO!$D$6:$D$5005,$B13,INCORRIDO!$E$6:$E$5005,V$7)+IF(V$7&gt;PARAMETROS!$C$12,IF($H13&gt;0,$G13*CURVA!V13/$H13,0)*V$6,0))</f>
        <v>159.9</v>
      </c>
      <c r="W13" s="19" t="n">
        <f aca="false">IF($B13="",0,SUMIFS(INCORRIDO!$C$6:$C$5005,INCORRIDO!$D$6:$D$5005,$B13,INCORRIDO!$E$6:$E$5005,W$7)+IF(W$7&gt;PARAMETROS!$C$12,IF($H13&gt;0,$G13*CURVA!W13/$H13,0)*W$6,0))</f>
        <v>2417.06</v>
      </c>
      <c r="X13" s="19" t="n">
        <f aca="false">IF($B13="",0,SUMIFS(INCORRIDO!$C$6:$C$5005,INCORRIDO!$D$6:$D$5005,$B13,INCORRIDO!$E$6:$E$5005,X$7)+IF(X$7&gt;PARAMETROS!$C$12,IF($H13&gt;0,$G13*CURVA!X13/$H13,0)*X$6,0))</f>
        <v>1957.61</v>
      </c>
      <c r="Y13" s="19" t="n">
        <f aca="false">IF($B13="",0,SUMIFS(INCORRIDO!$C$6:$C$5005,INCORRIDO!$D$6:$D$5005,$B13,INCORRIDO!$E$6:$E$5005,Y$7)+IF(Y$7&gt;PARAMETROS!$C$12,IF($H13&gt;0,$G13*CURVA!Y13/$H13,0)*Y$6,0))</f>
        <v>2936.03</v>
      </c>
      <c r="Z13" s="19" t="n">
        <f aca="false">IF($B13="",0,SUMIFS(INCORRIDO!$C$6:$C$5005,INCORRIDO!$D$6:$D$5005,$B13,INCORRIDO!$E$6:$E$5005,Z$7)+IF(Z$7&gt;PARAMETROS!$C$12,IF($H13&gt;0,$G13*CURVA!Z13/$H13,0)*Z$6,0))</f>
        <v>1594.43</v>
      </c>
      <c r="AA13" s="19" t="n">
        <f aca="false">IF($B13="",0,SUMIFS(INCORRIDO!$C$6:$C$5005,INCORRIDO!$D$6:$D$5005,$B13,INCORRIDO!$E$6:$E$5005,AA$7)+IF(AA$7&gt;PARAMETROS!$C$12,IF($H13&gt;0,$G13*CURVA!AA13/$H13,0)*AA$6,0))</f>
        <v>6339.97</v>
      </c>
      <c r="AB13" s="19" t="n">
        <f aca="false">IF($B13="",0,SUMIFS(INCORRIDO!$C$6:$C$5005,INCORRIDO!$D$6:$D$5005,$B13,INCORRIDO!$E$6:$E$5005,AB$7)+IF(AB$7&gt;PARAMETROS!$C$12,IF($H13&gt;0,$G13*CURVA!AB13/$H13,0)*AB$6,0))</f>
        <v>2360.61</v>
      </c>
      <c r="AC13" s="19" t="n">
        <f aca="false">IF($B13="",0,SUMIFS(INCORRIDO!$C$6:$C$5005,INCORRIDO!$D$6:$D$5005,$B13,INCORRIDO!$E$6:$E$5005,AC$7)+IF(AC$7&gt;PARAMETROS!$C$12,IF($H13&gt;0,$G13*CURVA!AC13/$H13,0)*AC$6,0))</f>
        <v>4502.73</v>
      </c>
      <c r="AD13" s="19" t="n">
        <f aca="false">IF($B13="",0,SUMIFS(INCORRIDO!$C$6:$C$5005,INCORRIDO!$D$6:$D$5005,$B13,INCORRIDO!$E$6:$E$5005,AD$7)+IF(AD$7&gt;PARAMETROS!$C$12,IF($H13&gt;0,$G13*CURVA!AD13/$H13,0)*AD$6,0))</f>
        <v>10541.48</v>
      </c>
      <c r="AE13" s="19" t="n">
        <f aca="false">IF($B13="",0,SUMIFS(INCORRIDO!$C$6:$C$5005,INCORRIDO!$D$6:$D$5005,$B13,INCORRIDO!$E$6:$E$5005,AE$7)+IF(AE$7&gt;PARAMETROS!$C$12,IF($H13&gt;0,$G13*CURVA!AE13/$H13,0)*AE$6,0))</f>
        <v>13357.4130917936</v>
      </c>
      <c r="AF13" s="19" t="n">
        <f aca="false">IF($B13="",0,SUMIFS(INCORRIDO!$C$6:$C$5005,INCORRIDO!$D$6:$D$5005,$B13,INCORRIDO!$E$6:$E$5005,AF$7)+IF(AF$7&gt;PARAMETROS!$C$12,IF($H13&gt;0,$G13*CURVA!AF13/$H13,0)*AF$6,0))</f>
        <v>13798.1843130904</v>
      </c>
      <c r="AG13" s="19" t="n">
        <f aca="false">IF($B13="",0,SUMIFS(INCORRIDO!$C$6:$C$5005,INCORRIDO!$D$6:$D$5005,$B13,INCORRIDO!$E$6:$E$5005,AG$7)+IF(AG$7&gt;PARAMETROS!$C$12,IF($H13&gt;0,$G13*CURVA!AG13/$H13,0)*AG$6,0))</f>
        <v>11366.2252309506</v>
      </c>
      <c r="AH13" s="19" t="n">
        <f aca="false">IF($B13="",0,SUMIFS(INCORRIDO!$C$6:$C$5005,INCORRIDO!$D$6:$D$5005,$B13,INCORRIDO!$E$6:$E$5005,AH$7)+IF(AH$7&gt;PARAMETROS!$C$12,IF($H13&gt;0,$G13*CURVA!AH13/$H13,0)*AH$6,0))</f>
        <v>10876.6386165124</v>
      </c>
      <c r="AI13" s="19" t="n">
        <f aca="false">IF($B13="",0,SUMIFS(INCORRIDO!$C$6:$C$5005,INCORRIDO!$D$6:$D$5005,$B13,INCORRIDO!$E$6:$E$5005,AI$7)+IF(AI$7&gt;PARAMETROS!$C$12,IF($H13&gt;0,$G13*CURVA!AI13/$H13,0)*AI$6,0))</f>
        <v>10501.0955334517</v>
      </c>
      <c r="AJ13" s="19" t="n">
        <f aca="false">IF($B13="",0,SUMIFS(INCORRIDO!$C$6:$C$5005,INCORRIDO!$D$6:$D$5005,$B13,INCORRIDO!$E$6:$E$5005,AJ$7)+IF(AJ$7&gt;PARAMETROS!$C$12,IF($H13&gt;0,$G13*CURVA!AJ13/$H13,0)*AJ$6,0))</f>
        <v>11343.3158239852</v>
      </c>
      <c r="AK13" s="19" t="n">
        <f aca="false">IF($B13="",0,SUMIFS(INCORRIDO!$C$6:$C$5005,INCORRIDO!$D$6:$D$5005,$B13,INCORRIDO!$E$6:$E$5005,AK$7)+IF(AK$7&gt;PARAMETROS!$C$12,IF($H13&gt;0,$G13*CURVA!AK13/$H13,0)*AK$6,0))</f>
        <v>11540.1252524392</v>
      </c>
      <c r="AL13" s="19" t="n">
        <f aca="false">IF($B13="",0,SUMIFS(INCORRIDO!$C$6:$C$5005,INCORRIDO!$D$6:$D$5005,$B13,INCORRIDO!$E$6:$E$5005,AL$7)+IF(AL$7&gt;PARAMETROS!$C$12,IF($H13&gt;0,$G13*CURVA!AL13/$H13,0)*AL$6,0))</f>
        <v>11125.15784926</v>
      </c>
      <c r="AM13" s="19" t="n">
        <f aca="false">IF($B13="",0,SUMIFS(INCORRIDO!$C$6:$C$5005,INCORRIDO!$D$6:$D$5005,$B13,INCORRIDO!$E$6:$E$5005,AM$7)+IF(AM$7&gt;PARAMETROS!$C$12,IF($H13&gt;0,$G13*CURVA!AM13/$H13,0)*AM$6,0))</f>
        <v>11428.2971362408</v>
      </c>
      <c r="AN13" s="19" t="n">
        <f aca="false">IF($B13="",0,SUMIFS(INCORRIDO!$C$6:$C$5005,INCORRIDO!$D$6:$D$5005,$B13,INCORRIDO!$E$6:$E$5005,AN$7)+IF(AN$7&gt;PARAMETROS!$C$12,IF($H13&gt;0,$G13*CURVA!AN13/$H13,0)*AN$6,0))</f>
        <v>11571.876179983</v>
      </c>
      <c r="AO13" s="19" t="n">
        <f aca="false">IF($B13="",0,SUMIFS(INCORRIDO!$C$6:$C$5005,INCORRIDO!$D$6:$D$5005,$B13,INCORRIDO!$E$6:$E$5005,AO$7)+IF(AO$7&gt;PARAMETROS!$C$12,IF($H13&gt;0,$G13*CURVA!AO13/$H13,0)*AO$6,0))</f>
        <v>11824.201898811</v>
      </c>
      <c r="AP13" s="19" t="n">
        <f aca="false">IF($B13="",0,SUMIFS(INCORRIDO!$C$6:$C$5005,INCORRIDO!$D$6:$D$5005,$B13,INCORRIDO!$E$6:$E$5005,AP$7)+IF(AP$7&gt;PARAMETROS!$C$12,IF($H13&gt;0,$G13*CURVA!AP13/$H13,0)*AP$6,0))</f>
        <v>12178.6985376704</v>
      </c>
      <c r="AQ13" s="19" t="n">
        <f aca="false">IF($B13="",0,SUMIFS(INCORRIDO!$C$6:$C$5005,INCORRIDO!$D$6:$D$5005,$B13,INCORRIDO!$E$6:$E$5005,AQ$7)+IF(AQ$7&gt;PARAMETROS!$C$12,IF($H13&gt;0,$G13*CURVA!AQ13/$H13,0)*AQ$6,0))</f>
        <v>12727.567648287</v>
      </c>
      <c r="AR13" s="19" t="n">
        <f aca="false">IF($B13="",0,SUMIFS(INCORRIDO!$C$6:$C$5005,INCORRIDO!$D$6:$D$5005,$B13,INCORRIDO!$E$6:$E$5005,AR$7)+IF(AR$7&gt;PARAMETROS!$C$12,IF($H13&gt;0,$G13*CURVA!AR13/$H13,0)*AR$6,0))</f>
        <v>13117.8935926335</v>
      </c>
      <c r="AS13" s="19" t="n">
        <f aca="false">IF($B13="",0,SUMIFS(INCORRIDO!$C$6:$C$5005,INCORRIDO!$D$6:$D$5005,$B13,INCORRIDO!$E$6:$E$5005,AS$7)+IF(AS$7&gt;PARAMETROS!$C$12,IF($H13&gt;0,$G13*CURVA!AS13/$H13,0)*AS$6,0))</f>
        <v>13103.2819225206</v>
      </c>
      <c r="AT13" s="19" t="n">
        <f aca="false">IF($B13="",0,SUMIFS(INCORRIDO!$C$6:$C$5005,INCORRIDO!$D$6:$D$5005,$B13,INCORRIDO!$E$6:$E$5005,AT$7)+IF(AT$7&gt;PARAMETROS!$C$12,IF($H13&gt;0,$G13*CURVA!AT13/$H13,0)*AT$6,0))</f>
        <v>13448.0408046611</v>
      </c>
      <c r="AU13" s="19" t="n">
        <f aca="false">IF($B13="",0,SUMIFS(INCORRIDO!$C$6:$C$5005,INCORRIDO!$D$6:$D$5005,$B13,INCORRIDO!$E$6:$E$5005,AU$7)+IF(AU$7&gt;PARAMETROS!$C$12,IF($H13&gt;0,$G13*CURVA!AU13/$H13,0)*AU$6,0))</f>
        <v>12250.7901616114</v>
      </c>
      <c r="AV13" s="19" t="n">
        <f aca="false">IF($B13="",0,SUMIFS(INCORRIDO!$C$6:$C$5005,INCORRIDO!$D$6:$D$5005,$B13,INCORRIDO!$E$6:$E$5005,AV$7)+IF(AV$7&gt;PARAMETROS!$C$12,IF($H13&gt;0,$G13*CURVA!AV13/$H13,0)*AV$6,0))</f>
        <v>13202.7742041992</v>
      </c>
      <c r="AW13" s="19" t="n">
        <f aca="false">IF($B13="",0,SUMIFS(INCORRIDO!$C$6:$C$5005,INCORRIDO!$D$6:$D$5005,$B13,INCORRIDO!$E$6:$E$5005,AW$7)+IF(AW$7&gt;PARAMETROS!$C$12,IF($H13&gt;0,$G13*CURVA!AW13/$H13,0)*AW$6,0))</f>
        <v>12991.0308634243</v>
      </c>
      <c r="AX13" s="19" t="n">
        <f aca="false">IF($B13="",0,SUMIFS(INCORRIDO!$C$6:$C$5005,INCORRIDO!$D$6:$D$5005,$B13,INCORRIDO!$E$6:$E$5005,AX$7)+IF(AX$7&gt;PARAMETROS!$C$12,IF($H13&gt;0,$G13*CURVA!AX13/$H13,0)*AX$6,0))</f>
        <v>12861.8822285531</v>
      </c>
      <c r="AY13" s="19" t="n">
        <f aca="false">IF($B13="",0,SUMIFS(INCORRIDO!$C$6:$C$5005,INCORRIDO!$D$6:$D$5005,$B13,INCORRIDO!$E$6:$E$5005,AY$7)+IF(AY$7&gt;PARAMETROS!$C$12,IF($H13&gt;0,$G13*CURVA!AY13/$H13,0)*AY$6,0))</f>
        <v>12459.7642334125</v>
      </c>
      <c r="AZ13" s="19" t="n">
        <f aca="false">IF($B13="",0,SUMIFS(INCORRIDO!$C$6:$C$5005,INCORRIDO!$D$6:$D$5005,$B13,INCORRIDO!$E$6:$E$5005,AZ$7)+IF(AZ$7&gt;PARAMETROS!$C$12,IF($H13&gt;0,$G13*CURVA!AZ13/$H13,0)*AZ$6,0))</f>
        <v>13212.4314003662</v>
      </c>
      <c r="BA13" s="19" t="n">
        <f aca="false">IF($B13="",0,SUMIFS(INCORRIDO!$C$6:$C$5005,INCORRIDO!$D$6:$D$5005,$B13,INCORRIDO!$E$6:$E$5005,BA$7)+IF(BA$7&gt;PARAMETROS!$C$12,IF($H13&gt;0,$G13*CURVA!BA13/$H13,0)*BA$6,0))</f>
        <v>12704.8596427014</v>
      </c>
      <c r="BB13" s="19" t="n">
        <f aca="false">IF($B13="",0,SUMIFS(INCORRIDO!$C$6:$C$5005,INCORRIDO!$D$6:$D$5005,$B13,INCORRIDO!$E$6:$E$5005,BB$7)+IF(BB$7&gt;PARAMETROS!$C$12,IF($H13&gt;0,$G13*CURVA!BB13/$H13,0)*BB$6,0))</f>
        <v>12562.5997779977</v>
      </c>
      <c r="BC13" s="19" t="n">
        <f aca="false">IF($B13="",0,SUMIFS(INCORRIDO!$C$6:$C$5005,INCORRIDO!$D$6:$D$5005,$B13,INCORRIDO!$E$6:$E$5005,BC$7)+IF(BC$7&gt;PARAMETROS!$C$12,IF($H13&gt;0,$G13*CURVA!BC13/$H13,0)*BC$6,0))</f>
        <v>12453.2992491172</v>
      </c>
      <c r="BD13" s="19" t="n">
        <f aca="false">IF($B13="",0,SUMIFS(INCORRIDO!$C$6:$C$5005,INCORRIDO!$D$6:$D$5005,$B13,INCORRIDO!$E$6:$E$5005,BD$7)+IF(BD$7&gt;PARAMETROS!$C$12,IF($H13&gt;0,$G13*CURVA!BD13/$H13,0)*BD$6,0))</f>
        <v>11851.9852191704</v>
      </c>
      <c r="BE13" s="19" t="n">
        <f aca="false">IF($B13="",0,SUMIFS(INCORRIDO!$C$6:$C$5005,INCORRIDO!$D$6:$D$5005,$B13,INCORRIDO!$E$6:$E$5005,BE$7)+IF(BE$7&gt;PARAMETROS!$C$12,IF($H13&gt;0,$G13*CURVA!BE13/$H13,0)*BE$6,0))</f>
        <v>11262.7653420877</v>
      </c>
      <c r="BF13" s="19" t="n">
        <f aca="false">IF($B13="",0,SUMIFS(INCORRIDO!$C$6:$C$5005,INCORRIDO!$D$6:$D$5005,$B13,INCORRIDO!$E$6:$E$5005,BF$7)+IF(BF$7&gt;PARAMETROS!$C$12,IF($H13&gt;0,$G13*CURVA!BF13/$H13,0)*BF$6,0))</f>
        <v>10544.2558491677</v>
      </c>
      <c r="BG13" s="19" t="n">
        <f aca="false">IF($B13="",0,SUMIFS(INCORRIDO!$C$6:$C$5005,INCORRIDO!$D$6:$D$5005,$B13,INCORRIDO!$E$6:$E$5005,BG$7)+IF(BG$7&gt;PARAMETROS!$C$12,IF($H13&gt;0,$G13*CURVA!BG13/$H13,0)*BG$6,0))</f>
        <v>10202.2964462081</v>
      </c>
      <c r="BH13" s="19" t="n">
        <f aca="false">IF($B13="",0,SUMIFS(INCORRIDO!$C$6:$C$5005,INCORRIDO!$D$6:$D$5005,$B13,INCORRIDO!$E$6:$E$5005,BH$7)+IF(BH$7&gt;PARAMETROS!$C$12,IF($H13&gt;0,$G13*CURVA!BH13/$H13,0)*BH$6,0))</f>
        <v>10166.8397332738</v>
      </c>
      <c r="BI13" s="19" t="n">
        <f aca="false">IF($B13="",0,SUMIFS(INCORRIDO!$C$6:$C$5005,INCORRIDO!$D$6:$D$5005,$B13,INCORRIDO!$E$6:$E$5005,BI$7)+IF(BI$7&gt;PARAMETROS!$C$12,IF($H13&gt;0,$G13*CURVA!BI13/$H13,0)*BI$6,0))</f>
        <v>9751.5400178177</v>
      </c>
      <c r="BJ13" s="19" t="n">
        <f aca="false">IF($B13="",0,SUMIFS(INCORRIDO!$C$6:$C$5005,INCORRIDO!$D$6:$D$5005,$B13,INCORRIDO!$E$6:$E$5005,BJ$7)+IF(BJ$7&gt;PARAMETROS!$C$12,IF($H13&gt;0,$G13*CURVA!BJ13/$H13,0)*BJ$6,0))</f>
        <v>9347.94172253469</v>
      </c>
      <c r="BK13" s="19" t="n">
        <f aca="false">IF($B13="",0,SUMIFS(INCORRIDO!$C$6:$C$5005,INCORRIDO!$D$6:$D$5005,$B13,INCORRIDO!$E$6:$E$5005,BK$7)+IF(BK$7&gt;PARAMETROS!$C$12,IF($H13&gt;0,$G13*CURVA!BK13/$H13,0)*BK$6,0))</f>
        <v>9347.94172253469</v>
      </c>
      <c r="BL13" s="19" t="n">
        <f aca="false">IF($B13="",0,SUMIFS(INCORRIDO!$C$6:$C$5005,INCORRIDO!$D$6:$D$5005,$B13,INCORRIDO!$E$6:$E$5005,BL$7)+IF(BL$7&gt;PARAMETROS!$C$12,IF($H13&gt;0,$G13*CURVA!BL13/$H13,0)*BL$6,0))</f>
        <v>9347.94172253469</v>
      </c>
      <c r="BM13" s="19" t="n">
        <f aca="false">IF($B13="",0,SUMIFS(INCORRIDO!$C$6:$C$5005,INCORRIDO!$D$6:$D$5005,$B13,INCORRIDO!$E$6:$E$5005,BM$7)+IF(BM$7&gt;PARAMETROS!$C$12,IF($H13&gt;0,$G13*CURVA!BM13/$H13,0)*BM$6,0))</f>
        <v>0</v>
      </c>
      <c r="BN13" s="19" t="n">
        <f aca="false">IF($B13="",0,SUMIFS(INCORRIDO!$C$6:$C$5005,INCORRIDO!$D$6:$D$5005,$B13,INCORRIDO!$E$6:$E$5005,BN$7)+IF(BN$7&gt;PARAMETROS!$C$12,IF($H13&gt;0,$G13*CURVA!BN13/$H13,0)*BN$6,0))</f>
        <v>108340.237030997</v>
      </c>
      <c r="BO13" s="19" t="n">
        <f aca="false">IF($B13="",0,SUMIFS(INCORRIDO!$C$6:$C$5005,INCORRIDO!$D$6:$D$5005,$B13,INCORRIDO!$E$6:$E$5005,BO$7)+IF(BO$7&gt;PARAMETROS!$C$12,IF($H13&gt;0,$G13*CURVA!BO13/$H13,0)*BO$6,0))</f>
        <v>0</v>
      </c>
      <c r="BP13" s="19" t="n">
        <f aca="false">IF($B13="",0,SUMIFS(INCORRIDO!$C$6:$C$5005,INCORRIDO!$D$6:$D$5005,$B13,INCORRIDO!$E$6:$E$5005,BP$7)+IF(BP$7&gt;PARAMETROS!$C$12,IF($H13&gt;0,$G13*CURVA!BP13/$H13,0)*BP$6,0))</f>
        <v>0</v>
      </c>
      <c r="BQ13" s="19" t="n">
        <f aca="false">IF($B13="",0,SUMIFS(INCORRIDO!$C$6:$C$5005,INCORRIDO!$D$6:$D$5005,$B13,INCORRIDO!$E$6:$E$5005,BQ$7)+IF(BQ$7&gt;PARAMETROS!$C$12,IF($H13&gt;0,$G13*CURVA!BQ13/$H13,0)*BQ$6,0))</f>
        <v>0</v>
      </c>
      <c r="BR13" s="19" t="n">
        <f aca="false">IF($B13="",0,SUMIFS(INCORRIDO!$C$6:$C$5005,INCORRIDO!$D$6:$D$5005,$B13,INCORRIDO!$E$6:$E$5005,BR$7)+IF(BR$7&gt;PARAMETROS!$C$12,IF($H13&gt;0,$G13*CURVA!BR13/$H13,0)*BR$6,0))</f>
        <v>0</v>
      </c>
      <c r="BS13" s="19" t="n">
        <f aca="false">IF($B13="",0,SUMIFS(INCORRIDO!$C$6:$C$5005,INCORRIDO!$D$6:$D$5005,$B13,INCORRIDO!$E$6:$E$5005,BS$7)+IF(BS$7&gt;PARAMETROS!$C$12,IF($H13&gt;0,$G13*CURVA!BS13/$H13,0)*BS$6,0))</f>
        <v>0</v>
      </c>
      <c r="BT13" s="19" t="n">
        <f aca="false">IF($B13="",0,SUMIFS(INCORRIDO!$C$6:$C$5005,INCORRIDO!$D$6:$D$5005,$B13,INCORRIDO!$E$6:$E$5005,BT$7)+IF(BT$7&gt;PARAMETROS!$C$12,IF($H13&gt;0,$G13*CURVA!BT13/$H13,0)*BT$6,0))</f>
        <v>0</v>
      </c>
      <c r="BU13" s="19" t="n">
        <f aca="false">IF($B13="",0,SUMIFS(INCORRIDO!$C$6:$C$5005,INCORRIDO!$D$6:$D$5005,$B13,INCORRIDO!$E$6:$E$5005,BU$7)+IF(BU$7&gt;PARAMETROS!$C$12,IF($H13&gt;0,$G13*CURVA!BU13/$H13,0)*BU$6,0))</f>
        <v>0</v>
      </c>
      <c r="BV13" s="19" t="n">
        <f aca="false">IF($B13="",0,SUMIFS(INCORRIDO!$C$6:$C$5005,INCORRIDO!$D$6:$D$5005,$B13,INCORRIDO!$E$6:$E$5005,BV$7)+IF(BV$7&gt;PARAMETROS!$C$12,IF($H13&gt;0,$G13*CURVA!BV13/$H13,0)*BV$6,0))</f>
        <v>0</v>
      </c>
      <c r="BW13" s="19" t="n">
        <f aca="false">IF($B13="",0,SUMIFS(INCORRIDO!$C$6:$C$5005,INCORRIDO!$D$6:$D$5005,$B13,INCORRIDO!$E$6:$E$5005,BW$7)+IF(BW$7&gt;PARAMETROS!$C$12,IF($H13&gt;0,$G13*CURVA!BW13/$H13,0)*BW$6,0))</f>
        <v>0</v>
      </c>
      <c r="BX13" s="19" t="n">
        <f aca="false">IF($B13="",0,SUMIFS(INCORRIDO!$C$6:$C$5005,INCORRIDO!$D$6:$D$5005,$B13,INCORRIDO!$E$6:$E$5005,BX$7)+IF(BX$7&gt;PARAMETROS!$C$12,IF($H13&gt;0,$G13*CURVA!BX13/$H13,0)*BX$6,0))</f>
        <v>0</v>
      </c>
      <c r="BY13" s="19" t="n">
        <f aca="false">IF($B13="",0,SUMIFS(INCORRIDO!$C$6:$C$5005,INCORRIDO!$D$6:$D$5005,$B13,INCORRIDO!$E$6:$E$5005,BY$7)+IF(BY$7&gt;PARAMETROS!$C$12,IF($H13&gt;0,$G13*CURVA!BY13/$H13,0)*BY$6,0))</f>
        <v>0</v>
      </c>
      <c r="BZ13" s="19" t="n">
        <f aca="false">IF($B13="",0,SUMIFS(INCORRIDO!$C$6:$C$5005,INCORRIDO!$D$6:$D$5005,$B13,INCORRIDO!$E$6:$E$5005,BZ$7)+IF(BZ$7&gt;PARAMETROS!$C$12,IF($H13&gt;0,$G13*CURVA!BZ13/$H13,0)*BZ$6,0))</f>
        <v>0</v>
      </c>
      <c r="CA13" s="19" t="n">
        <f aca="false">IF($B13="",0,SUMIFS(INCORRIDO!$C$6:$C$5005,INCORRIDO!$D$6:$D$5005,$B13,INCORRIDO!$E$6:$E$5005,CA$7)+IF(CA$7&gt;PARAMETROS!$C$12,IF($H13&gt;0,$G13*CURVA!CA13/$H13,0)*CA$6,0))</f>
        <v>0</v>
      </c>
      <c r="CB13" s="19" t="n">
        <f aca="false">IF($B13="",0,SUMIFS(INCORRIDO!$C$6:$C$5005,INCORRIDO!$D$6:$D$5005,$B13,INCORRIDO!$E$6:$E$5005,CB$7)+IF(CB$7&gt;PARAMETROS!$C$12,IF($H13&gt;0,$G13*CURVA!CB13/$H13,0)*CB$6,0))</f>
        <v>0</v>
      </c>
      <c r="CC13" s="19" t="n">
        <f aca="false">IF($B13="",0,SUMIFS(INCORRIDO!$C$6:$C$5005,INCORRIDO!$D$6:$D$5005,$B13,INCORRIDO!$E$6:$E$5005,CC$7)+IF(CC$7&gt;PARAMETROS!$C$12,IF($H13&gt;0,$G13*CURVA!CC13/$H13,0)*CC$6,0))</f>
        <v>0</v>
      </c>
    </row>
    <row r="14" customFormat="false" ht="15" hidden="false" customHeight="false" outlineLevel="0" collapsed="false">
      <c r="A14" s="31" t="str">
        <f aca="false">IF(ORCAMENTO!A12="","",ORCAMENTO!A12)</f>
        <v>07</v>
      </c>
      <c r="B14" s="31" t="str">
        <f aca="false">IF(ORCAMENTO!B12="","",ORCAMENTO!B12)</f>
        <v>DIVERSOS</v>
      </c>
      <c r="C14" s="31" t="str">
        <f aca="false">IF(ORCAMENTO!C12="","",ORCAMENTO!C12)</f>
        <v>INDIRETOS</v>
      </c>
      <c r="D14" s="32" t="n">
        <f aca="false">IF($B14="",0,ORCAMENTO!E12)</f>
        <v>194480.67</v>
      </c>
      <c r="E14" s="19" t="n">
        <f aca="false">IF($B14="",0,SUMIFS(INCORRIDO!$C$6:$C$5005,INCORRIDO!$D$6:$D$5005,$B14,INCORRIDO!$E$6:$E$5005,"&lt;="&amp;PARAMETROS!$C$12))</f>
        <v>34023.01</v>
      </c>
      <c r="F14" s="19" t="n">
        <f aca="false">IF($B14="",0,SUMIFS(INCORRIDO!$C$6:$C$5005,INCORRIDO!$D$6:$D$5005,$B14,INCORRIDO!$E$6:$E$5005,"&gt;"&amp;PARAMETROS!$C$12))</f>
        <v>5376.16</v>
      </c>
      <c r="G14" s="19" t="n">
        <f aca="false">MAX(0,D14-E14-F14)</f>
        <v>155081.5</v>
      </c>
      <c r="H14" s="32" t="n">
        <f aca="false">CURVA!H14</f>
        <v>155081.47</v>
      </c>
      <c r="I14" s="19" t="n">
        <f aca="false">SUM(J14:CC14)</f>
        <v>194480.67</v>
      </c>
      <c r="J14" s="19" t="n">
        <f aca="false">IF($B14="",0,SUMIFS(INCORRIDO!$C$6:$C$5005,INCORRIDO!$D$6:$D$5005,$B14,INCORRIDO!$E$6:$E$5005,"&lt;="&amp;J$7)+IF(J$7&gt;PARAMETROS!$C$12,IF($H14&gt;0,$G14*CURVA!J14/$H14,0)*J$6,0))</f>
        <v>7617.91</v>
      </c>
      <c r="K14" s="19" t="n">
        <f aca="false">IF($B14="",0,SUMIFS(INCORRIDO!$C$6:$C$5005,INCORRIDO!$D$6:$D$5005,$B14,INCORRIDO!$E$6:$E$5005,K$7)+IF(K$7&gt;PARAMETROS!$C$12,IF($H14&gt;0,$G14*CURVA!K14/$H14,0)*K$6,0))</f>
        <v>1467.74</v>
      </c>
      <c r="L14" s="19" t="n">
        <f aca="false">IF($B14="",0,SUMIFS(INCORRIDO!$C$6:$C$5005,INCORRIDO!$D$6:$D$5005,$B14,INCORRIDO!$E$6:$E$5005,L$7)+IF(L$7&gt;PARAMETROS!$C$12,IF($H14&gt;0,$G14*CURVA!L14/$H14,0)*L$6,0))</f>
        <v>0</v>
      </c>
      <c r="M14" s="19" t="n">
        <f aca="false">IF($B14="",0,SUMIFS(INCORRIDO!$C$6:$C$5005,INCORRIDO!$D$6:$D$5005,$B14,INCORRIDO!$E$6:$E$5005,M$7)+IF(M$7&gt;PARAMETROS!$C$12,IF($H14&gt;0,$G14*CURVA!M14/$H14,0)*M$6,0))</f>
        <v>0</v>
      </c>
      <c r="N14" s="19" t="n">
        <f aca="false">IF($B14="",0,SUMIFS(INCORRIDO!$C$6:$C$5005,INCORRIDO!$D$6:$D$5005,$B14,INCORRIDO!$E$6:$E$5005,N$7)+IF(N$7&gt;PARAMETROS!$C$12,IF($H14&gt;0,$G14*CURVA!N14/$H14,0)*N$6,0))</f>
        <v>66.6</v>
      </c>
      <c r="O14" s="19" t="n">
        <f aca="false">IF($B14="",0,SUMIFS(INCORRIDO!$C$6:$C$5005,INCORRIDO!$D$6:$D$5005,$B14,INCORRIDO!$E$6:$E$5005,O$7)+IF(O$7&gt;PARAMETROS!$C$12,IF($H14&gt;0,$G14*CURVA!O14/$H14,0)*O$6,0))</f>
        <v>0</v>
      </c>
      <c r="P14" s="19" t="n">
        <f aca="false">IF($B14="",0,SUMIFS(INCORRIDO!$C$6:$C$5005,INCORRIDO!$D$6:$D$5005,$B14,INCORRIDO!$E$6:$E$5005,P$7)+IF(P$7&gt;PARAMETROS!$C$12,IF($H14&gt;0,$G14*CURVA!P14/$H14,0)*P$6,0))</f>
        <v>0</v>
      </c>
      <c r="Q14" s="19" t="n">
        <f aca="false">IF($B14="",0,SUMIFS(INCORRIDO!$C$6:$C$5005,INCORRIDO!$D$6:$D$5005,$B14,INCORRIDO!$E$6:$E$5005,Q$7)+IF(Q$7&gt;PARAMETROS!$C$12,IF($H14&gt;0,$G14*CURVA!Q14/$H14,0)*Q$6,0))</f>
        <v>0</v>
      </c>
      <c r="R14" s="19" t="n">
        <f aca="false">IF($B14="",0,SUMIFS(INCORRIDO!$C$6:$C$5005,INCORRIDO!$D$6:$D$5005,$B14,INCORRIDO!$E$6:$E$5005,R$7)+IF(R$7&gt;PARAMETROS!$C$12,IF($H14&gt;0,$G14*CURVA!R14/$H14,0)*R$6,0))</f>
        <v>0</v>
      </c>
      <c r="S14" s="19" t="n">
        <f aca="false">IF($B14="",0,SUMIFS(INCORRIDO!$C$6:$C$5005,INCORRIDO!$D$6:$D$5005,$B14,INCORRIDO!$E$6:$E$5005,S$7)+IF(S$7&gt;PARAMETROS!$C$12,IF($H14&gt;0,$G14*CURVA!S14/$H14,0)*S$6,0))</f>
        <v>850.17</v>
      </c>
      <c r="T14" s="19" t="n">
        <f aca="false">IF($B14="",0,SUMIFS(INCORRIDO!$C$6:$C$5005,INCORRIDO!$D$6:$D$5005,$B14,INCORRIDO!$E$6:$E$5005,T$7)+IF(T$7&gt;PARAMETROS!$C$12,IF($H14&gt;0,$G14*CURVA!T14/$H14,0)*T$6,0))</f>
        <v>4204.06</v>
      </c>
      <c r="U14" s="19" t="n">
        <f aca="false">IF($B14="",0,SUMIFS(INCORRIDO!$C$6:$C$5005,INCORRIDO!$D$6:$D$5005,$B14,INCORRIDO!$E$6:$E$5005,U$7)+IF(U$7&gt;PARAMETROS!$C$12,IF($H14&gt;0,$G14*CURVA!U14/$H14,0)*U$6,0))</f>
        <v>713.41</v>
      </c>
      <c r="V14" s="19" t="n">
        <f aca="false">IF($B14="",0,SUMIFS(INCORRIDO!$C$6:$C$5005,INCORRIDO!$D$6:$D$5005,$B14,INCORRIDO!$E$6:$E$5005,V$7)+IF(V$7&gt;PARAMETROS!$C$12,IF($H14&gt;0,$G14*CURVA!V14/$H14,0)*V$6,0))</f>
        <v>1784.1</v>
      </c>
      <c r="W14" s="19" t="n">
        <f aca="false">IF($B14="",0,SUMIFS(INCORRIDO!$C$6:$C$5005,INCORRIDO!$D$6:$D$5005,$B14,INCORRIDO!$E$6:$E$5005,W$7)+IF(W$7&gt;PARAMETROS!$C$12,IF($H14&gt;0,$G14*CURVA!W14/$H14,0)*W$6,0))</f>
        <v>1122.95</v>
      </c>
      <c r="X14" s="19" t="n">
        <f aca="false">IF($B14="",0,SUMIFS(INCORRIDO!$C$6:$C$5005,INCORRIDO!$D$6:$D$5005,$B14,INCORRIDO!$E$6:$E$5005,X$7)+IF(X$7&gt;PARAMETROS!$C$12,IF($H14&gt;0,$G14*CURVA!X14/$H14,0)*X$6,0))</f>
        <v>1160.97</v>
      </c>
      <c r="Y14" s="19" t="n">
        <f aca="false">IF($B14="",0,SUMIFS(INCORRIDO!$C$6:$C$5005,INCORRIDO!$D$6:$D$5005,$B14,INCORRIDO!$E$6:$E$5005,Y$7)+IF(Y$7&gt;PARAMETROS!$C$12,IF($H14&gt;0,$G14*CURVA!Y14/$H14,0)*Y$6,0))</f>
        <v>2280.62</v>
      </c>
      <c r="Z14" s="19" t="n">
        <f aca="false">IF($B14="",0,SUMIFS(INCORRIDO!$C$6:$C$5005,INCORRIDO!$D$6:$D$5005,$B14,INCORRIDO!$E$6:$E$5005,Z$7)+IF(Z$7&gt;PARAMETROS!$C$12,IF($H14&gt;0,$G14*CURVA!Z14/$H14,0)*Z$6,0))</f>
        <v>1594.82</v>
      </c>
      <c r="AA14" s="19" t="n">
        <f aca="false">IF($B14="",0,SUMIFS(INCORRIDO!$C$6:$C$5005,INCORRIDO!$D$6:$D$5005,$B14,INCORRIDO!$E$6:$E$5005,AA$7)+IF(AA$7&gt;PARAMETROS!$C$12,IF($H14&gt;0,$G14*CURVA!AA14/$H14,0)*AA$6,0))</f>
        <v>1922.39</v>
      </c>
      <c r="AB14" s="19" t="n">
        <f aca="false">IF($B14="",0,SUMIFS(INCORRIDO!$C$6:$C$5005,INCORRIDO!$D$6:$D$5005,$B14,INCORRIDO!$E$6:$E$5005,AB$7)+IF(AB$7&gt;PARAMETROS!$C$12,IF($H14&gt;0,$G14*CURVA!AB14/$H14,0)*AB$6,0))</f>
        <v>1559.18</v>
      </c>
      <c r="AC14" s="19" t="n">
        <f aca="false">IF($B14="",0,SUMIFS(INCORRIDO!$C$6:$C$5005,INCORRIDO!$D$6:$D$5005,$B14,INCORRIDO!$E$6:$E$5005,AC$7)+IF(AC$7&gt;PARAMETROS!$C$12,IF($H14&gt;0,$G14*CURVA!AC14/$H14,0)*AC$6,0))</f>
        <v>2538.36</v>
      </c>
      <c r="AD14" s="19" t="n">
        <f aca="false">IF($B14="",0,SUMIFS(INCORRIDO!$C$6:$C$5005,INCORRIDO!$D$6:$D$5005,$B14,INCORRIDO!$E$6:$E$5005,AD$7)+IF(AD$7&gt;PARAMETROS!$C$12,IF($H14&gt;0,$G14*CURVA!AD14/$H14,0)*AD$6,0))</f>
        <v>5139.73</v>
      </c>
      <c r="AE14" s="19" t="n">
        <f aca="false">IF($B14="",0,SUMIFS(INCORRIDO!$C$6:$C$5005,INCORRIDO!$D$6:$D$5005,$B14,INCORRIDO!$E$6:$E$5005,AE$7)+IF(AE$7&gt;PARAMETROS!$C$12,IF($H14&gt;0,$G14*CURVA!AE14/$H14,0)*AE$6,0))</f>
        <v>5103.08016648798</v>
      </c>
      <c r="AF14" s="19" t="n">
        <f aca="false">IF($B14="",0,SUMIFS(INCORRIDO!$C$6:$C$5005,INCORRIDO!$D$6:$D$5005,$B14,INCORRIDO!$E$6:$E$5005,AF$7)+IF(AF$7&gt;PARAMETROS!$C$12,IF($H14&gt;0,$G14*CURVA!AF14/$H14,0)*AF$6,0))</f>
        <v>4392.94063048538</v>
      </c>
      <c r="AG14" s="19" t="n">
        <f aca="false">IF($B14="",0,SUMIFS(INCORRIDO!$C$6:$C$5005,INCORRIDO!$D$6:$D$5005,$B14,INCORRIDO!$E$6:$E$5005,AG$7)+IF(AG$7&gt;PARAMETROS!$C$12,IF($H14&gt;0,$G14*CURVA!AG14/$H14,0)*AG$6,0))</f>
        <v>4542.1608786659</v>
      </c>
      <c r="AH14" s="19" t="n">
        <f aca="false">IF($B14="",0,SUMIFS(INCORRIDO!$C$6:$C$5005,INCORRIDO!$D$6:$D$5005,$B14,INCORRIDO!$E$6:$E$5005,AH$7)+IF(AH$7&gt;PARAMETROS!$C$12,IF($H14&gt;0,$G14*CURVA!AH14/$H14,0)*AH$6,0))</f>
        <v>4253.6808228604</v>
      </c>
      <c r="AI14" s="19" t="n">
        <f aca="false">IF($B14="",0,SUMIFS(INCORRIDO!$C$6:$C$5005,INCORRIDO!$D$6:$D$5005,$B14,INCORRIDO!$E$6:$E$5005,AI$7)+IF(AI$7&gt;PARAMETROS!$C$12,IF($H14&gt;0,$G14*CURVA!AI14/$H14,0)*AI$6,0))</f>
        <v>4032.40078005451</v>
      </c>
      <c r="AJ14" s="19" t="n">
        <f aca="false">IF($B14="",0,SUMIFS(INCORRIDO!$C$6:$C$5005,INCORRIDO!$D$6:$D$5005,$B14,INCORRIDO!$E$6:$E$5005,AJ$7)+IF(AJ$7&gt;PARAMETROS!$C$12,IF($H14&gt;0,$G14*CURVA!AJ14/$H14,0)*AJ$6,0))</f>
        <v>4890.72094609369</v>
      </c>
      <c r="AK14" s="19" t="n">
        <f aca="false">IF($B14="",0,SUMIFS(INCORRIDO!$C$6:$C$5005,INCORRIDO!$D$6:$D$5005,$B14,INCORRIDO!$E$6:$E$5005,AK$7)+IF(AK$7&gt;PARAMETROS!$C$12,IF($H14&gt;0,$G14*CURVA!AK14/$H14,0)*AK$6,0))</f>
        <v>5097.20098603657</v>
      </c>
      <c r="AL14" s="19" t="n">
        <f aca="false">IF($B14="",0,SUMIFS(INCORRIDO!$C$6:$C$5005,INCORRIDO!$D$6:$D$5005,$B14,INCORRIDO!$E$6:$E$5005,AL$7)+IF(AL$7&gt;PARAMETROS!$C$12,IF($H14&gt;0,$G14*CURVA!AL14/$H14,0)*AL$6,0))</f>
        <v>4852.69093873691</v>
      </c>
      <c r="AM14" s="19" t="n">
        <f aca="false">IF($B14="",0,SUMIFS(INCORRIDO!$C$6:$C$5005,INCORRIDO!$D$6:$D$5005,$B14,INCORRIDO!$E$6:$E$5005,AM$7)+IF(AM$7&gt;PARAMETROS!$C$12,IF($H14&gt;0,$G14*CURVA!AM14/$H14,0)*AM$6,0))</f>
        <v>5121.82099079922</v>
      </c>
      <c r="AN14" s="19" t="n">
        <f aca="false">IF($B14="",0,SUMIFS(INCORRIDO!$C$6:$C$5005,INCORRIDO!$D$6:$D$5005,$B14,INCORRIDO!$E$6:$E$5005,AN$7)+IF(AN$7&gt;PARAMETROS!$C$12,IF($H14&gt;0,$G14*CURVA!AN14/$H14,0)*AN$6,0))</f>
        <v>5296.94102467561</v>
      </c>
      <c r="AO14" s="19" t="n">
        <f aca="false">IF($B14="",0,SUMIFS(INCORRIDO!$C$6:$C$5005,INCORRIDO!$D$6:$D$5005,$B14,INCORRIDO!$E$6:$E$5005,AO$7)+IF(AO$7&gt;PARAMETROS!$C$12,IF($H14&gt;0,$G14*CURVA!AO14/$H14,0)*AO$6,0))</f>
        <v>5355.10103592647</v>
      </c>
      <c r="AP14" s="19" t="n">
        <f aca="false">IF($B14="",0,SUMIFS(INCORRIDO!$C$6:$C$5005,INCORRIDO!$D$6:$D$5005,$B14,INCORRIDO!$E$6:$E$5005,AP$7)+IF(AP$7&gt;PARAMETROS!$C$12,IF($H14&gt;0,$G14*CURVA!AP14/$H14,0)*AP$6,0))</f>
        <v>5563.98107633362</v>
      </c>
      <c r="AQ14" s="19" t="n">
        <f aca="false">IF($B14="",0,SUMIFS(INCORRIDO!$C$6:$C$5005,INCORRIDO!$D$6:$D$5005,$B14,INCORRIDO!$E$6:$E$5005,AQ$7)+IF(AQ$7&gt;PARAMETROS!$C$12,IF($H14&gt;0,$G14*CURVA!AQ14/$H14,0)*AQ$6,0))</f>
        <v>5977.91115640702</v>
      </c>
      <c r="AR14" s="19" t="n">
        <f aca="false">IF($B14="",0,SUMIFS(INCORRIDO!$C$6:$C$5005,INCORRIDO!$D$6:$D$5005,$B14,INCORRIDO!$E$6:$E$5005,AR$7)+IF(AR$7&gt;PARAMETROS!$C$12,IF($H14&gt;0,$G14*CURVA!AR14/$H14,0)*AR$6,0))</f>
        <v>6207.91120089976</v>
      </c>
      <c r="AS14" s="19" t="n">
        <f aca="false">IF($B14="",0,SUMIFS(INCORRIDO!$C$6:$C$5005,INCORRIDO!$D$6:$D$5005,$B14,INCORRIDO!$E$6:$E$5005,AS$7)+IF(AS$7&gt;PARAMETROS!$C$12,IF($H14&gt;0,$G14*CURVA!AS14/$H14,0)*AS$6,0))</f>
        <v>6018.27116421453</v>
      </c>
      <c r="AT14" s="19" t="n">
        <f aca="false">IF($B14="",0,SUMIFS(INCORRIDO!$C$6:$C$5005,INCORRIDO!$D$6:$D$5005,$B14,INCORRIDO!$E$6:$E$5005,AT$7)+IF(AT$7&gt;PARAMETROS!$C$12,IF($H14&gt;0,$G14*CURVA!AT14/$H14,0)*AT$6,0))</f>
        <v>6221.41120351129</v>
      </c>
      <c r="AU14" s="19" t="n">
        <f aca="false">IF($B14="",0,SUMIFS(INCORRIDO!$C$6:$C$5005,INCORRIDO!$D$6:$D$5005,$B14,INCORRIDO!$E$6:$E$5005,AU$7)+IF(AU$7&gt;PARAMETROS!$C$12,IF($H14&gt;0,$G14*CURVA!AU14/$H14,0)*AU$6,0))</f>
        <v>5515.95106704237</v>
      </c>
      <c r="AV14" s="19" t="n">
        <f aca="false">IF($B14="",0,SUMIFS(INCORRIDO!$C$6:$C$5005,INCORRIDO!$D$6:$D$5005,$B14,INCORRIDO!$E$6:$E$5005,AV$7)+IF(AV$7&gt;PARAMETROS!$C$12,IF($H14&gt;0,$G14*CURVA!AV14/$H14,0)*AV$6,0))</f>
        <v>6076.89117555437</v>
      </c>
      <c r="AW14" s="19" t="n">
        <f aca="false">IF($B14="",0,SUMIFS(INCORRIDO!$C$6:$C$5005,INCORRIDO!$D$6:$D$5005,$B14,INCORRIDO!$E$6:$E$5005,AW$7)+IF(AW$7&gt;PARAMETROS!$C$12,IF($H14&gt;0,$G14*CURVA!AW14/$H14,0)*AW$6,0))</f>
        <v>5861.61113390916</v>
      </c>
      <c r="AX14" s="19" t="n">
        <f aca="false">IF($B14="",0,SUMIFS(INCORRIDO!$C$6:$C$5005,INCORRIDO!$D$6:$D$5005,$B14,INCORRIDO!$E$6:$E$5005,AX$7)+IF(AX$7&gt;PARAMETROS!$C$12,IF($H14&gt;0,$G14*CURVA!AX14/$H14,0)*AX$6,0))</f>
        <v>5785.51111918787</v>
      </c>
      <c r="AY14" s="19" t="n">
        <f aca="false">IF($B14="",0,SUMIFS(INCORRIDO!$C$6:$C$5005,INCORRIDO!$D$6:$D$5005,$B14,INCORRIDO!$E$6:$E$5005,AY$7)+IF(AY$7&gt;PARAMETROS!$C$12,IF($H14&gt;0,$G14*CURVA!AY14/$H14,0)*AY$6,0))</f>
        <v>5458.06105584375</v>
      </c>
      <c r="AZ14" s="19" t="n">
        <f aca="false">IF($B14="",0,SUMIFS(INCORRIDO!$C$6:$C$5005,INCORRIDO!$D$6:$D$5005,$B14,INCORRIDO!$E$6:$E$5005,AZ$7)+IF(AZ$7&gt;PARAMETROS!$C$12,IF($H14&gt;0,$G14*CURVA!AZ14/$H14,0)*AZ$6,0))</f>
        <v>5901.55114163543</v>
      </c>
      <c r="BA14" s="19" t="n">
        <f aca="false">IF($B14="",0,SUMIFS(INCORRIDO!$C$6:$C$5005,INCORRIDO!$D$6:$D$5005,$B14,INCORRIDO!$E$6:$E$5005,BA$7)+IF(BA$7&gt;PARAMETROS!$C$12,IF($H14&gt;0,$G14*CURVA!BA14/$H14,0)*BA$6,0))</f>
        <v>5602.48108378132</v>
      </c>
      <c r="BB14" s="19" t="n">
        <f aca="false">IF($B14="",0,SUMIFS(INCORRIDO!$C$6:$C$5005,INCORRIDO!$D$6:$D$5005,$B14,INCORRIDO!$E$6:$E$5005,BB$7)+IF(BB$7&gt;PARAMETROS!$C$12,IF($H14&gt;0,$G14*CURVA!BB14/$H14,0)*BB$6,0))</f>
        <v>5518.65106756468</v>
      </c>
      <c r="BC14" s="19" t="n">
        <f aca="false">IF($B14="",0,SUMIFS(INCORRIDO!$C$6:$C$5005,INCORRIDO!$D$6:$D$5005,$B14,INCORRIDO!$E$6:$E$5005,BC$7)+IF(BC$7&gt;PARAMETROS!$C$12,IF($H14&gt;0,$G14*CURVA!BC14/$H14,0)*BC$6,0))</f>
        <v>5273.22102008706</v>
      </c>
      <c r="BD14" s="19" t="n">
        <f aca="false">IF($B14="",0,SUMIFS(INCORRIDO!$C$6:$C$5005,INCORRIDO!$D$6:$D$5005,$B14,INCORRIDO!$E$6:$E$5005,BD$7)+IF(BD$7&gt;PARAMETROS!$C$12,IF($H14&gt;0,$G14*CURVA!BD14/$H14,0)*BD$6,0))</f>
        <v>4918.90095154502</v>
      </c>
      <c r="BE14" s="19" t="n">
        <f aca="false">IF($B14="",0,SUMIFS(INCORRIDO!$C$6:$C$5005,INCORRIDO!$D$6:$D$5005,$B14,INCORRIDO!$E$6:$E$5005,BE$7)+IF(BE$7&gt;PARAMETROS!$C$12,IF($H14&gt;0,$G14*CURVA!BE14/$H14,0)*BE$6,0))</f>
        <v>4571.72088438419</v>
      </c>
      <c r="BF14" s="19" t="n">
        <f aca="false">IF($B14="",0,SUMIFS(INCORRIDO!$C$6:$C$5005,INCORRIDO!$D$6:$D$5005,$B14,INCORRIDO!$E$6:$E$5005,BF$7)+IF(BF$7&gt;PARAMETROS!$C$12,IF($H14&gt;0,$G14*CURVA!BF14/$H14,0)*BF$6,0))</f>
        <v>3695.77071493454</v>
      </c>
      <c r="BG14" s="19" t="n">
        <f aca="false">IF($B14="",0,SUMIFS(INCORRIDO!$C$6:$C$5005,INCORRIDO!$D$6:$D$5005,$B14,INCORRIDO!$E$6:$E$5005,BG$7)+IF(BG$7&gt;PARAMETROS!$C$12,IF($H14&gt;0,$G14*CURVA!BG14/$H14,0)*BG$6,0))</f>
        <v>3222.74062342845</v>
      </c>
      <c r="BH14" s="19" t="n">
        <f aca="false">IF($B14="",0,SUMIFS(INCORRIDO!$C$6:$C$5005,INCORRIDO!$D$6:$D$5005,$B14,INCORRIDO!$E$6:$E$5005,BH$7)+IF(BH$7&gt;PARAMETROS!$C$12,IF($H14&gt;0,$G14*CURVA!BH14/$H14,0)*BH$6,0))</f>
        <v>3201.84061938541</v>
      </c>
      <c r="BI14" s="19" t="n">
        <f aca="false">IF($B14="",0,SUMIFS(INCORRIDO!$C$6:$C$5005,INCORRIDO!$D$6:$D$5005,$B14,INCORRIDO!$E$6:$E$5005,BI$7)+IF(BI$7&gt;PARAMETROS!$C$12,IF($H14&gt;0,$G14*CURVA!BI14/$H14,0)*BI$6,0))</f>
        <v>2504.57048450082</v>
      </c>
      <c r="BJ14" s="19" t="n">
        <f aca="false">IF($B14="",0,SUMIFS(INCORRIDO!$C$6:$C$5005,INCORRIDO!$D$6:$D$5005,$B14,INCORRIDO!$E$6:$E$5005,BJ$7)+IF(BJ$7&gt;PARAMETROS!$C$12,IF($H14&gt;0,$G14*CURVA!BJ14/$H14,0)*BJ$6,0))</f>
        <v>4419.96085502672</v>
      </c>
      <c r="BK14" s="19" t="n">
        <f aca="false">IF($B14="",0,SUMIFS(INCORRIDO!$C$6:$C$5005,INCORRIDO!$D$6:$D$5005,$B14,INCORRIDO!$E$6:$E$5005,BK$7)+IF(BK$7&gt;PARAMETROS!$C$12,IF($H14&gt;0,$G14*CURVA!BK14/$H14,0)*BK$6,0))</f>
        <v>0</v>
      </c>
      <c r="BL14" s="19" t="n">
        <f aca="false">IF($B14="",0,SUMIFS(INCORRIDO!$C$6:$C$5005,INCORRIDO!$D$6:$D$5005,$B14,INCORRIDO!$E$6:$E$5005,BL$7)+IF(BL$7&gt;PARAMETROS!$C$12,IF($H14&gt;0,$G14*CURVA!BL14/$H14,0)*BL$6,0))</f>
        <v>0</v>
      </c>
      <c r="BM14" s="19" t="n">
        <f aca="false">IF($B14="",0,SUMIFS(INCORRIDO!$C$6:$C$5005,INCORRIDO!$D$6:$D$5005,$B14,INCORRIDO!$E$6:$E$5005,BM$7)+IF(BM$7&gt;PARAMETROS!$C$12,IF($H14&gt;0,$G14*CURVA!BM14/$H14,0)*BM$6,0))</f>
        <v>0</v>
      </c>
      <c r="BN14" s="19" t="n">
        <f aca="false">IF($B14="",0,SUMIFS(INCORRIDO!$C$6:$C$5005,INCORRIDO!$D$6:$D$5005,$B14,INCORRIDO!$E$6:$E$5005,BN$7)+IF(BN$7&gt;PARAMETROS!$C$12,IF($H14&gt;0,$G14*CURVA!BN14/$H14,0)*BN$6,0))</f>
        <v>0</v>
      </c>
      <c r="BO14" s="19" t="n">
        <f aca="false">IF($B14="",0,SUMIFS(INCORRIDO!$C$6:$C$5005,INCORRIDO!$D$6:$D$5005,$B14,INCORRIDO!$E$6:$E$5005,BO$7)+IF(BO$7&gt;PARAMETROS!$C$12,IF($H14&gt;0,$G14*CURVA!BO14/$H14,0)*BO$6,0))</f>
        <v>0</v>
      </c>
      <c r="BP14" s="19" t="n">
        <f aca="false">IF($B14="",0,SUMIFS(INCORRIDO!$C$6:$C$5005,INCORRIDO!$D$6:$D$5005,$B14,INCORRIDO!$E$6:$E$5005,BP$7)+IF(BP$7&gt;PARAMETROS!$C$12,IF($H14&gt;0,$G14*CURVA!BP14/$H14,0)*BP$6,0))</f>
        <v>0</v>
      </c>
      <c r="BQ14" s="19" t="n">
        <f aca="false">IF($B14="",0,SUMIFS(INCORRIDO!$C$6:$C$5005,INCORRIDO!$D$6:$D$5005,$B14,INCORRIDO!$E$6:$E$5005,BQ$7)+IF(BQ$7&gt;PARAMETROS!$C$12,IF($H14&gt;0,$G14*CURVA!BQ14/$H14,0)*BQ$6,0))</f>
        <v>0</v>
      </c>
      <c r="BR14" s="19" t="n">
        <f aca="false">IF($B14="",0,SUMIFS(INCORRIDO!$C$6:$C$5005,INCORRIDO!$D$6:$D$5005,$B14,INCORRIDO!$E$6:$E$5005,BR$7)+IF(BR$7&gt;PARAMETROS!$C$12,IF($H14&gt;0,$G14*CURVA!BR14/$H14,0)*BR$6,0))</f>
        <v>0</v>
      </c>
      <c r="BS14" s="19" t="n">
        <f aca="false">IF($B14="",0,SUMIFS(INCORRIDO!$C$6:$C$5005,INCORRIDO!$D$6:$D$5005,$B14,INCORRIDO!$E$6:$E$5005,BS$7)+IF(BS$7&gt;PARAMETROS!$C$12,IF($H14&gt;0,$G14*CURVA!BS14/$H14,0)*BS$6,0))</f>
        <v>0</v>
      </c>
      <c r="BT14" s="19" t="n">
        <f aca="false">IF($B14="",0,SUMIFS(INCORRIDO!$C$6:$C$5005,INCORRIDO!$D$6:$D$5005,$B14,INCORRIDO!$E$6:$E$5005,BT$7)+IF(BT$7&gt;PARAMETROS!$C$12,IF($H14&gt;0,$G14*CURVA!BT14/$H14,0)*BT$6,0))</f>
        <v>0</v>
      </c>
      <c r="BU14" s="19" t="n">
        <f aca="false">IF($B14="",0,SUMIFS(INCORRIDO!$C$6:$C$5005,INCORRIDO!$D$6:$D$5005,$B14,INCORRIDO!$E$6:$E$5005,BU$7)+IF(BU$7&gt;PARAMETROS!$C$12,IF($H14&gt;0,$G14*CURVA!BU14/$H14,0)*BU$6,0))</f>
        <v>0</v>
      </c>
      <c r="BV14" s="19" t="n">
        <f aca="false">IF($B14="",0,SUMIFS(INCORRIDO!$C$6:$C$5005,INCORRIDO!$D$6:$D$5005,$B14,INCORRIDO!$E$6:$E$5005,BV$7)+IF(BV$7&gt;PARAMETROS!$C$12,IF($H14&gt;0,$G14*CURVA!BV14/$H14,0)*BV$6,0))</f>
        <v>0</v>
      </c>
      <c r="BW14" s="19" t="n">
        <f aca="false">IF($B14="",0,SUMIFS(INCORRIDO!$C$6:$C$5005,INCORRIDO!$D$6:$D$5005,$B14,INCORRIDO!$E$6:$E$5005,BW$7)+IF(BW$7&gt;PARAMETROS!$C$12,IF($H14&gt;0,$G14*CURVA!BW14/$H14,0)*BW$6,0))</f>
        <v>0</v>
      </c>
      <c r="BX14" s="19" t="n">
        <f aca="false">IF($B14="",0,SUMIFS(INCORRIDO!$C$6:$C$5005,INCORRIDO!$D$6:$D$5005,$B14,INCORRIDO!$E$6:$E$5005,BX$7)+IF(BX$7&gt;PARAMETROS!$C$12,IF($H14&gt;0,$G14*CURVA!BX14/$H14,0)*BX$6,0))</f>
        <v>0</v>
      </c>
      <c r="BY14" s="19" t="n">
        <f aca="false">IF($B14="",0,SUMIFS(INCORRIDO!$C$6:$C$5005,INCORRIDO!$D$6:$D$5005,$B14,INCORRIDO!$E$6:$E$5005,BY$7)+IF(BY$7&gt;PARAMETROS!$C$12,IF($H14&gt;0,$G14*CURVA!BY14/$H14,0)*BY$6,0))</f>
        <v>0</v>
      </c>
      <c r="BZ14" s="19" t="n">
        <f aca="false">IF($B14="",0,SUMIFS(INCORRIDO!$C$6:$C$5005,INCORRIDO!$D$6:$D$5005,$B14,INCORRIDO!$E$6:$E$5005,BZ$7)+IF(BZ$7&gt;PARAMETROS!$C$12,IF($H14&gt;0,$G14*CURVA!BZ14/$H14,0)*BZ$6,0))</f>
        <v>0</v>
      </c>
      <c r="CA14" s="19" t="n">
        <f aca="false">IF($B14="",0,SUMIFS(INCORRIDO!$C$6:$C$5005,INCORRIDO!$D$6:$D$5005,$B14,INCORRIDO!$E$6:$E$5005,CA$7)+IF(CA$7&gt;PARAMETROS!$C$12,IF($H14&gt;0,$G14*CURVA!CA14/$H14,0)*CA$6,0))</f>
        <v>0</v>
      </c>
      <c r="CB14" s="19" t="n">
        <f aca="false">IF($B14="",0,SUMIFS(INCORRIDO!$C$6:$C$5005,INCORRIDO!$D$6:$D$5005,$B14,INCORRIDO!$E$6:$E$5005,CB$7)+IF(CB$7&gt;PARAMETROS!$C$12,IF($H14&gt;0,$G14*CURVA!CB14/$H14,0)*CB$6,0))</f>
        <v>0</v>
      </c>
      <c r="CC14" s="19" t="n">
        <f aca="false">IF($B14="",0,SUMIFS(INCORRIDO!$C$6:$C$5005,INCORRIDO!$D$6:$D$5005,$B14,INCORRIDO!$E$6:$E$5005,CC$7)+IF(CC$7&gt;PARAMETROS!$C$12,IF($H14&gt;0,$G14*CURVA!CC14/$H14,0)*CC$6,0))</f>
        <v>0</v>
      </c>
    </row>
    <row r="15" customFormat="false" ht="15" hidden="false" customHeight="false" outlineLevel="0" collapsed="false">
      <c r="A15" s="31" t="str">
        <f aca="false">IF(ORCAMENTO!A13="","",ORCAMENTO!A13)</f>
        <v>08</v>
      </c>
      <c r="B15" s="31" t="str">
        <f aca="false">IF(ORCAMENTO!B13="","",ORCAMENTO!B13)</f>
        <v>TRANSPORTES</v>
      </c>
      <c r="C15" s="31" t="str">
        <f aca="false">IF(ORCAMENTO!C13="","",ORCAMENTO!C13)</f>
        <v>INDIRETOS</v>
      </c>
      <c r="D15" s="32" t="n">
        <f aca="false">IF($B15="",0,ORCAMENTO!E13)</f>
        <v>817599.43</v>
      </c>
      <c r="E15" s="19" t="n">
        <f aca="false">IF($B15="",0,SUMIFS(INCORRIDO!$C$6:$C$5005,INCORRIDO!$D$6:$D$5005,$B15,INCORRIDO!$E$6:$E$5005,"&lt;="&amp;PARAMETROS!$C$12))</f>
        <v>70284.77</v>
      </c>
      <c r="F15" s="19" t="n">
        <f aca="false">IF($B15="",0,SUMIFS(INCORRIDO!$C$6:$C$5005,INCORRIDO!$D$6:$D$5005,$B15,INCORRIDO!$E$6:$E$5005,"&gt;"&amp;PARAMETROS!$C$12))</f>
        <v>2017.36</v>
      </c>
      <c r="G15" s="19" t="n">
        <f aca="false">MAX(0,D15-E15-F15)</f>
        <v>745297.3</v>
      </c>
      <c r="H15" s="32" t="n">
        <f aca="false">CURVA!H15</f>
        <v>745297.28</v>
      </c>
      <c r="I15" s="19" t="n">
        <f aca="false">SUM(J15:CC15)</f>
        <v>817599.43</v>
      </c>
      <c r="J15" s="19" t="n">
        <f aca="false">IF($B15="",0,SUMIFS(INCORRIDO!$C$6:$C$5005,INCORRIDO!$D$6:$D$5005,$B15,INCORRIDO!$E$6:$E$5005,"&lt;="&amp;J$7)+IF(J$7&gt;PARAMETROS!$C$12,IF($H15&gt;0,$G15*CURVA!J15/$H15,0)*J$6,0))</f>
        <v>230</v>
      </c>
      <c r="K15" s="19" t="n">
        <f aca="false">IF($B15="",0,SUMIFS(INCORRIDO!$C$6:$C$5005,INCORRIDO!$D$6:$D$5005,$B15,INCORRIDO!$E$6:$E$5005,K$7)+IF(K$7&gt;PARAMETROS!$C$12,IF($H15&gt;0,$G15*CURVA!K15/$H15,0)*K$6,0))</f>
        <v>0</v>
      </c>
      <c r="L15" s="19" t="n">
        <f aca="false">IF($B15="",0,SUMIFS(INCORRIDO!$C$6:$C$5005,INCORRIDO!$D$6:$D$5005,$B15,INCORRIDO!$E$6:$E$5005,L$7)+IF(L$7&gt;PARAMETROS!$C$12,IF($H15&gt;0,$G15*CURVA!L15/$H15,0)*L$6,0))</f>
        <v>101.63</v>
      </c>
      <c r="M15" s="19" t="n">
        <f aca="false">IF($B15="",0,SUMIFS(INCORRIDO!$C$6:$C$5005,INCORRIDO!$D$6:$D$5005,$B15,INCORRIDO!$E$6:$E$5005,M$7)+IF(M$7&gt;PARAMETROS!$C$12,IF($H15&gt;0,$G15*CURVA!M15/$H15,0)*M$6,0))</f>
        <v>3.37</v>
      </c>
      <c r="N15" s="19" t="n">
        <f aca="false">IF($B15="",0,SUMIFS(INCORRIDO!$C$6:$C$5005,INCORRIDO!$D$6:$D$5005,$B15,INCORRIDO!$E$6:$E$5005,N$7)+IF(N$7&gt;PARAMETROS!$C$12,IF($H15&gt;0,$G15*CURVA!N15/$H15,0)*N$6,0))</f>
        <v>0</v>
      </c>
      <c r="O15" s="19" t="n">
        <f aca="false">IF($B15="",0,SUMIFS(INCORRIDO!$C$6:$C$5005,INCORRIDO!$D$6:$D$5005,$B15,INCORRIDO!$E$6:$E$5005,O$7)+IF(O$7&gt;PARAMETROS!$C$12,IF($H15&gt;0,$G15*CURVA!O15/$H15,0)*O$6,0))</f>
        <v>53.21</v>
      </c>
      <c r="P15" s="19" t="n">
        <f aca="false">IF($B15="",0,SUMIFS(INCORRIDO!$C$6:$C$5005,INCORRIDO!$D$6:$D$5005,$B15,INCORRIDO!$E$6:$E$5005,P$7)+IF(P$7&gt;PARAMETROS!$C$12,IF($H15&gt;0,$G15*CURVA!P15/$H15,0)*P$6,0))</f>
        <v>50.16</v>
      </c>
      <c r="Q15" s="19" t="n">
        <f aca="false">IF($B15="",0,SUMIFS(INCORRIDO!$C$6:$C$5005,INCORRIDO!$D$6:$D$5005,$B15,INCORRIDO!$E$6:$E$5005,Q$7)+IF(Q$7&gt;PARAMETROS!$C$12,IF($H15&gt;0,$G15*CURVA!Q15/$H15,0)*Q$6,0))</f>
        <v>1010.05</v>
      </c>
      <c r="R15" s="19" t="n">
        <f aca="false">IF($B15="",0,SUMIFS(INCORRIDO!$C$6:$C$5005,INCORRIDO!$D$6:$D$5005,$B15,INCORRIDO!$E$6:$E$5005,R$7)+IF(R$7&gt;PARAMETROS!$C$12,IF($H15&gt;0,$G15*CURVA!R15/$H15,0)*R$6,0))</f>
        <v>1873.32</v>
      </c>
      <c r="S15" s="19" t="n">
        <f aca="false">IF($B15="",0,SUMIFS(INCORRIDO!$C$6:$C$5005,INCORRIDO!$D$6:$D$5005,$B15,INCORRIDO!$E$6:$E$5005,S$7)+IF(S$7&gt;PARAMETROS!$C$12,IF($H15&gt;0,$G15*CURVA!S15/$H15,0)*S$6,0))</f>
        <v>15662.6</v>
      </c>
      <c r="T15" s="19" t="n">
        <f aca="false">IF($B15="",0,SUMIFS(INCORRIDO!$C$6:$C$5005,INCORRIDO!$D$6:$D$5005,$B15,INCORRIDO!$E$6:$E$5005,T$7)+IF(T$7&gt;PARAMETROS!$C$12,IF($H15&gt;0,$G15*CURVA!T15/$H15,0)*T$6,0))</f>
        <v>8416.58</v>
      </c>
      <c r="U15" s="19" t="n">
        <f aca="false">IF($B15="",0,SUMIFS(INCORRIDO!$C$6:$C$5005,INCORRIDO!$D$6:$D$5005,$B15,INCORRIDO!$E$6:$E$5005,U$7)+IF(U$7&gt;PARAMETROS!$C$12,IF($H15&gt;0,$G15*CURVA!U15/$H15,0)*U$6,0))</f>
        <v>4003.5</v>
      </c>
      <c r="V15" s="19" t="n">
        <f aca="false">IF($B15="",0,SUMIFS(INCORRIDO!$C$6:$C$5005,INCORRIDO!$D$6:$D$5005,$B15,INCORRIDO!$E$6:$E$5005,V$7)+IF(V$7&gt;PARAMETROS!$C$12,IF($H15&gt;0,$G15*CURVA!V15/$H15,0)*V$6,0))</f>
        <v>7558.47</v>
      </c>
      <c r="W15" s="19" t="n">
        <f aca="false">IF($B15="",0,SUMIFS(INCORRIDO!$C$6:$C$5005,INCORRIDO!$D$6:$D$5005,$B15,INCORRIDO!$E$6:$E$5005,W$7)+IF(W$7&gt;PARAMETROS!$C$12,IF($H15&gt;0,$G15*CURVA!W15/$H15,0)*W$6,0))</f>
        <v>4295.23</v>
      </c>
      <c r="X15" s="19" t="n">
        <f aca="false">IF($B15="",0,SUMIFS(INCORRIDO!$C$6:$C$5005,INCORRIDO!$D$6:$D$5005,$B15,INCORRIDO!$E$6:$E$5005,X$7)+IF(X$7&gt;PARAMETROS!$C$12,IF($H15&gt;0,$G15*CURVA!X15/$H15,0)*X$6,0))</f>
        <v>3978</v>
      </c>
      <c r="Y15" s="19" t="n">
        <f aca="false">IF($B15="",0,SUMIFS(INCORRIDO!$C$6:$C$5005,INCORRIDO!$D$6:$D$5005,$B15,INCORRIDO!$E$6:$E$5005,Y$7)+IF(Y$7&gt;PARAMETROS!$C$12,IF($H15&gt;0,$G15*CURVA!Y15/$H15,0)*Y$6,0))</f>
        <v>8413.92</v>
      </c>
      <c r="Z15" s="19" t="n">
        <f aca="false">IF($B15="",0,SUMIFS(INCORRIDO!$C$6:$C$5005,INCORRIDO!$D$6:$D$5005,$B15,INCORRIDO!$E$6:$E$5005,Z$7)+IF(Z$7&gt;PARAMETROS!$C$12,IF($H15&gt;0,$G15*CURVA!Z15/$H15,0)*Z$6,0))</f>
        <v>2007.6</v>
      </c>
      <c r="AA15" s="19" t="n">
        <f aca="false">IF($B15="",0,SUMIFS(INCORRIDO!$C$6:$C$5005,INCORRIDO!$D$6:$D$5005,$B15,INCORRIDO!$E$6:$E$5005,AA$7)+IF(AA$7&gt;PARAMETROS!$C$12,IF($H15&gt;0,$G15*CURVA!AA15/$H15,0)*AA$6,0))</f>
        <v>2550.05</v>
      </c>
      <c r="AB15" s="19" t="n">
        <f aca="false">IF($B15="",0,SUMIFS(INCORRIDO!$C$6:$C$5005,INCORRIDO!$D$6:$D$5005,$B15,INCORRIDO!$E$6:$E$5005,AB$7)+IF(AB$7&gt;PARAMETROS!$C$12,IF($H15&gt;0,$G15*CURVA!AB15/$H15,0)*AB$6,0))</f>
        <v>3240.62</v>
      </c>
      <c r="AC15" s="19" t="n">
        <f aca="false">IF($B15="",0,SUMIFS(INCORRIDO!$C$6:$C$5005,INCORRIDO!$D$6:$D$5005,$B15,INCORRIDO!$E$6:$E$5005,AC$7)+IF(AC$7&gt;PARAMETROS!$C$12,IF($H15&gt;0,$G15*CURVA!AC15/$H15,0)*AC$6,0))</f>
        <v>1114.34</v>
      </c>
      <c r="AD15" s="19" t="n">
        <f aca="false">IF($B15="",0,SUMIFS(INCORRIDO!$C$6:$C$5005,INCORRIDO!$D$6:$D$5005,$B15,INCORRIDO!$E$6:$E$5005,AD$7)+IF(AD$7&gt;PARAMETROS!$C$12,IF($H15&gt;0,$G15*CURVA!AD15/$H15,0)*AD$6,0))</f>
        <v>5722.12</v>
      </c>
      <c r="AE15" s="19" t="n">
        <f aca="false">IF($B15="",0,SUMIFS(INCORRIDO!$C$6:$C$5005,INCORRIDO!$D$6:$D$5005,$B15,INCORRIDO!$E$6:$E$5005,AE$7)+IF(AE$7&gt;PARAMETROS!$C$12,IF($H15&gt;0,$G15*CURVA!AE15/$H15,0)*AE$6,0))</f>
        <v>16196.3603817744</v>
      </c>
      <c r="AF15" s="19" t="n">
        <f aca="false">IF($B15="",0,SUMIFS(INCORRIDO!$C$6:$C$5005,INCORRIDO!$D$6:$D$5005,$B15,INCORRIDO!$E$6:$E$5005,AF$7)+IF(AF$7&gt;PARAMETROS!$C$12,IF($H15&gt;0,$G15*CURVA!AF15/$H15,0)*AF$6,0))</f>
        <v>17958.0504806211</v>
      </c>
      <c r="AG15" s="19" t="n">
        <f aca="false">IF($B15="",0,SUMIFS(INCORRIDO!$C$6:$C$5005,INCORRIDO!$D$6:$D$5005,$B15,INCORRIDO!$E$6:$E$5005,AG$7)+IF(AG$7&gt;PARAMETROS!$C$12,IF($H15&gt;0,$G15*CURVA!AG15/$H15,0)*AG$6,0))</f>
        <v>12060.1803236341</v>
      </c>
      <c r="AH15" s="19" t="n">
        <f aca="false">IF($B15="",0,SUMIFS(INCORRIDO!$C$6:$C$5005,INCORRIDO!$D$6:$D$5005,$B15,INCORRIDO!$E$6:$E$5005,AH$7)+IF(AH$7&gt;PARAMETROS!$C$12,IF($H15&gt;0,$G15*CURVA!AH15/$H15,0)*AH$6,0))</f>
        <v>12369.1603319255</v>
      </c>
      <c r="AI15" s="19" t="n">
        <f aca="false">IF($B15="",0,SUMIFS(INCORRIDO!$C$6:$C$5005,INCORRIDO!$D$6:$D$5005,$B15,INCORRIDO!$E$6:$E$5005,AI$7)+IF(AI$7&gt;PARAMETROS!$C$12,IF($H15&gt;0,$G15*CURVA!AI15/$H15,0)*AI$6,0))</f>
        <v>16309.5004376643</v>
      </c>
      <c r="AJ15" s="19" t="n">
        <f aca="false">IF($B15="",0,SUMIFS(INCORRIDO!$C$6:$C$5005,INCORRIDO!$D$6:$D$5005,$B15,INCORRIDO!$E$6:$E$5005,AJ$7)+IF(AJ$7&gt;PARAMETROS!$C$12,IF($H15&gt;0,$G15*CURVA!AJ15/$H15,0)*AJ$6,0))</f>
        <v>28235.8707577076</v>
      </c>
      <c r="AK15" s="19" t="n">
        <f aca="false">IF($B15="",0,SUMIFS(INCORRIDO!$C$6:$C$5005,INCORRIDO!$D$6:$D$5005,$B15,INCORRIDO!$E$6:$E$5005,AK$7)+IF(AK$7&gt;PARAMETROS!$C$12,IF($H15&gt;0,$G15*CURVA!AK15/$H15,0)*AK$6,0))</f>
        <v>25515.0206846938</v>
      </c>
      <c r="AL15" s="19" t="n">
        <f aca="false">IF($B15="",0,SUMIFS(INCORRIDO!$C$6:$C$5005,INCORRIDO!$D$6:$D$5005,$B15,INCORRIDO!$E$6:$E$5005,AL$7)+IF(AL$7&gt;PARAMETROS!$C$12,IF($H15&gt;0,$G15*CURVA!AL15/$H15,0)*AL$6,0))</f>
        <v>29900.880802388</v>
      </c>
      <c r="AM15" s="19" t="n">
        <f aca="false">IF($B15="",0,SUMIFS(INCORRIDO!$C$6:$C$5005,INCORRIDO!$D$6:$D$5005,$B15,INCORRIDO!$E$6:$E$5005,AM$7)+IF(AM$7&gt;PARAMETROS!$C$12,IF($H15&gt;0,$G15*CURVA!AM15/$H15,0)*AM$6,0))</f>
        <v>30199.6308104049</v>
      </c>
      <c r="AN15" s="19" t="n">
        <f aca="false">IF($B15="",0,SUMIFS(INCORRIDO!$C$6:$C$5005,INCORRIDO!$D$6:$D$5005,$B15,INCORRIDO!$E$6:$E$5005,AN$7)+IF(AN$7&gt;PARAMETROS!$C$12,IF($H15&gt;0,$G15*CURVA!AN15/$H15,0)*AN$6,0))</f>
        <v>34501.0209258324</v>
      </c>
      <c r="AO15" s="19" t="n">
        <f aca="false">IF($B15="",0,SUMIFS(INCORRIDO!$C$6:$C$5005,INCORRIDO!$D$6:$D$5005,$B15,INCORRIDO!$E$6:$E$5005,AO$7)+IF(AO$7&gt;PARAMETROS!$C$12,IF($H15&gt;0,$G15*CURVA!AO15/$H15,0)*AO$6,0))</f>
        <v>32780.4408796608</v>
      </c>
      <c r="AP15" s="19" t="n">
        <f aca="false">IF($B15="",0,SUMIFS(INCORRIDO!$C$6:$C$5005,INCORRIDO!$D$6:$D$5005,$B15,INCORRIDO!$E$6:$E$5005,AP$7)+IF(AP$7&gt;PARAMETROS!$C$12,IF($H15&gt;0,$G15*CURVA!AP15/$H15,0)*AP$6,0))</f>
        <v>31177.910836657</v>
      </c>
      <c r="AQ15" s="19" t="n">
        <f aca="false">IF($B15="",0,SUMIFS(INCORRIDO!$C$6:$C$5005,INCORRIDO!$D$6:$D$5005,$B15,INCORRIDO!$E$6:$E$5005,AQ$7)+IF(AQ$7&gt;PARAMETROS!$C$12,IF($H15&gt;0,$G15*CURVA!AQ15/$H15,0)*AQ$6,0))</f>
        <v>34021.9909129777</v>
      </c>
      <c r="AR15" s="19" t="n">
        <f aca="false">IF($B15="",0,SUMIFS(INCORRIDO!$C$6:$C$5005,INCORRIDO!$D$6:$D$5005,$B15,INCORRIDO!$E$6:$E$5005,AR$7)+IF(AR$7&gt;PARAMETROS!$C$12,IF($H15&gt;0,$G15*CURVA!AR15/$H15,0)*AR$6,0))</f>
        <v>29443.7407901207</v>
      </c>
      <c r="AS15" s="19" t="n">
        <f aca="false">IF($B15="",0,SUMIFS(INCORRIDO!$C$6:$C$5005,INCORRIDO!$D$6:$D$5005,$B15,INCORRIDO!$E$6:$E$5005,AS$7)+IF(AS$7&gt;PARAMETROS!$C$12,IF($H15&gt;0,$G15*CURVA!AS15/$H15,0)*AS$6,0))</f>
        <v>26464.1907101647</v>
      </c>
      <c r="AT15" s="19" t="n">
        <f aca="false">IF($B15="",0,SUMIFS(INCORRIDO!$C$6:$C$5005,INCORRIDO!$D$6:$D$5005,$B15,INCORRIDO!$E$6:$E$5005,AT$7)+IF(AT$7&gt;PARAMETROS!$C$12,IF($H15&gt;0,$G15*CURVA!AT15/$H15,0)*AT$6,0))</f>
        <v>29004.4807783332</v>
      </c>
      <c r="AU15" s="19" t="n">
        <f aca="false">IF($B15="",0,SUMIFS(INCORRIDO!$C$6:$C$5005,INCORRIDO!$D$6:$D$5005,$B15,INCORRIDO!$E$6:$E$5005,AU$7)+IF(AU$7&gt;PARAMETROS!$C$12,IF($H15&gt;0,$G15*CURVA!AU15/$H15,0)*AU$6,0))</f>
        <v>31522.3008458987</v>
      </c>
      <c r="AV15" s="19" t="n">
        <f aca="false">IF($B15="",0,SUMIFS(INCORRIDO!$C$6:$C$5005,INCORRIDO!$D$6:$D$5005,$B15,INCORRIDO!$E$6:$E$5005,AV$7)+IF(AV$7&gt;PARAMETROS!$C$12,IF($H15&gt;0,$G15*CURVA!AV15/$H15,0)*AV$6,0))</f>
        <v>31011.9408322032</v>
      </c>
      <c r="AW15" s="19" t="n">
        <f aca="false">IF($B15="",0,SUMIFS(INCORRIDO!$C$6:$C$5005,INCORRIDO!$D$6:$D$5005,$B15,INCORRIDO!$E$6:$E$5005,AW$7)+IF(AW$7&gt;PARAMETROS!$C$12,IF($H15&gt;0,$G15*CURVA!AW15/$H15,0)*AW$6,0))</f>
        <v>20653.6005542379</v>
      </c>
      <c r="AX15" s="19" t="n">
        <f aca="false">IF($B15="",0,SUMIFS(INCORRIDO!$C$6:$C$5005,INCORRIDO!$D$6:$D$5005,$B15,INCORRIDO!$E$6:$E$5005,AX$7)+IF(AX$7&gt;PARAMETROS!$C$12,IF($H15&gt;0,$G15*CURVA!AX15/$H15,0)*AX$6,0))</f>
        <v>12928.2203469279</v>
      </c>
      <c r="AY15" s="19" t="n">
        <f aca="false">IF($B15="",0,SUMIFS(INCORRIDO!$C$6:$C$5005,INCORRIDO!$D$6:$D$5005,$B15,INCORRIDO!$E$6:$E$5005,AY$7)+IF(AY$7&gt;PARAMETROS!$C$12,IF($H15&gt;0,$G15*CURVA!AY15/$H15,0)*AY$6,0))</f>
        <v>12928.2203469279</v>
      </c>
      <c r="AZ15" s="19" t="n">
        <f aca="false">IF($B15="",0,SUMIFS(INCORRIDO!$C$6:$C$5005,INCORRIDO!$D$6:$D$5005,$B15,INCORRIDO!$E$6:$E$5005,AZ$7)+IF(AZ$7&gt;PARAMETROS!$C$12,IF($H15&gt;0,$G15*CURVA!AZ15/$H15,0)*AZ$6,0))</f>
        <v>12928.2203469279</v>
      </c>
      <c r="BA15" s="19" t="n">
        <f aca="false">IF($B15="",0,SUMIFS(INCORRIDO!$C$6:$C$5005,INCORRIDO!$D$6:$D$5005,$B15,INCORRIDO!$E$6:$E$5005,BA$7)+IF(BA$7&gt;PARAMETROS!$C$12,IF($H15&gt;0,$G15*CURVA!BA15/$H15,0)*BA$6,0))</f>
        <v>12928.2203469279</v>
      </c>
      <c r="BB15" s="19" t="n">
        <f aca="false">IF($B15="",0,SUMIFS(INCORRIDO!$C$6:$C$5005,INCORRIDO!$D$6:$D$5005,$B15,INCORRIDO!$E$6:$E$5005,BB$7)+IF(BB$7&gt;PARAMETROS!$C$12,IF($H15&gt;0,$G15*CURVA!BB15/$H15,0)*BB$6,0))</f>
        <v>12928.2203469279</v>
      </c>
      <c r="BC15" s="19" t="n">
        <f aca="false">IF($B15="",0,SUMIFS(INCORRIDO!$C$6:$C$5005,INCORRIDO!$D$6:$D$5005,$B15,INCORRIDO!$E$6:$E$5005,BC$7)+IF(BC$7&gt;PARAMETROS!$C$12,IF($H15&gt;0,$G15*CURVA!BC15/$H15,0)*BC$6,0))</f>
        <v>12928.2203469279</v>
      </c>
      <c r="BD15" s="19" t="n">
        <f aca="false">IF($B15="",0,SUMIFS(INCORRIDO!$C$6:$C$5005,INCORRIDO!$D$6:$D$5005,$B15,INCORRIDO!$E$6:$E$5005,BD$7)+IF(BD$7&gt;PARAMETROS!$C$12,IF($H15&gt;0,$G15*CURVA!BD15/$H15,0)*BD$6,0))</f>
        <v>12928.2203469279</v>
      </c>
      <c r="BE15" s="19" t="n">
        <f aca="false">IF($B15="",0,SUMIFS(INCORRIDO!$C$6:$C$5005,INCORRIDO!$D$6:$D$5005,$B15,INCORRIDO!$E$6:$E$5005,BE$7)+IF(BE$7&gt;PARAMETROS!$C$12,IF($H15&gt;0,$G15*CURVA!BE15/$H15,0)*BE$6,0))</f>
        <v>12928.2203469279</v>
      </c>
      <c r="BF15" s="19" t="n">
        <f aca="false">IF($B15="",0,SUMIFS(INCORRIDO!$C$6:$C$5005,INCORRIDO!$D$6:$D$5005,$B15,INCORRIDO!$E$6:$E$5005,BF$7)+IF(BF$7&gt;PARAMETROS!$C$12,IF($H15&gt;0,$G15*CURVA!BF15/$H15,0)*BF$6,0))</f>
        <v>12928.2203469279</v>
      </c>
      <c r="BG15" s="19" t="n">
        <f aca="false">IF($B15="",0,SUMIFS(INCORRIDO!$C$6:$C$5005,INCORRIDO!$D$6:$D$5005,$B15,INCORRIDO!$E$6:$E$5005,BG$7)+IF(BG$7&gt;PARAMETROS!$C$12,IF($H15&gt;0,$G15*CURVA!BG15/$H15,0)*BG$6,0))</f>
        <v>12928.2203469279</v>
      </c>
      <c r="BH15" s="19" t="n">
        <f aca="false">IF($B15="",0,SUMIFS(INCORRIDO!$C$6:$C$5005,INCORRIDO!$D$6:$D$5005,$B15,INCORRIDO!$E$6:$E$5005,BH$7)+IF(BH$7&gt;PARAMETROS!$C$12,IF($H15&gt;0,$G15*CURVA!BH15/$H15,0)*BH$6,0))</f>
        <v>6000.00016100958</v>
      </c>
      <c r="BI15" s="19" t="n">
        <f aca="false">IF($B15="",0,SUMIFS(INCORRIDO!$C$6:$C$5005,INCORRIDO!$D$6:$D$5005,$B15,INCORRIDO!$E$6:$E$5005,BI$7)+IF(BI$7&gt;PARAMETROS!$C$12,IF($H15&gt;0,$G15*CURVA!BI15/$H15,0)*BI$6,0))</f>
        <v>65559.0117592714</v>
      </c>
      <c r="BJ15" s="19" t="n">
        <f aca="false">IF($B15="",0,SUMIFS(INCORRIDO!$C$6:$C$5005,INCORRIDO!$D$6:$D$5005,$B15,INCORRIDO!$E$6:$E$5005,BJ$7)+IF(BJ$7&gt;PARAMETROS!$C$12,IF($H15&gt;0,$G15*CURVA!BJ15/$H15,0)*BJ$6,0))</f>
        <v>19438.3005216254</v>
      </c>
      <c r="BK15" s="19" t="n">
        <f aca="false">IF($B15="",0,SUMIFS(INCORRIDO!$C$6:$C$5005,INCORRIDO!$D$6:$D$5005,$B15,INCORRIDO!$E$6:$E$5005,BK$7)+IF(BK$7&gt;PARAMETROS!$C$12,IF($H15&gt;0,$G15*CURVA!BK15/$H15,0)*BK$6,0))</f>
        <v>37708.8710119149</v>
      </c>
      <c r="BL15" s="19" t="n">
        <f aca="false">IF($B15="",0,SUMIFS(INCORRIDO!$C$6:$C$5005,INCORRIDO!$D$6:$D$5005,$B15,INCORRIDO!$E$6:$E$5005,BL$7)+IF(BL$7&gt;PARAMETROS!$C$12,IF($H15&gt;0,$G15*CURVA!BL15/$H15,0)*BL$6,0))</f>
        <v>0</v>
      </c>
      <c r="BM15" s="19" t="n">
        <f aca="false">IF($B15="",0,SUMIFS(INCORRIDO!$C$6:$C$5005,INCORRIDO!$D$6:$D$5005,$B15,INCORRIDO!$E$6:$E$5005,BM$7)+IF(BM$7&gt;PARAMETROS!$C$12,IF($H15&gt;0,$G15*CURVA!BM15/$H15,0)*BM$6,0))</f>
        <v>0</v>
      </c>
      <c r="BN15" s="19" t="n">
        <f aca="false">IF($B15="",0,SUMIFS(INCORRIDO!$C$6:$C$5005,INCORRIDO!$D$6:$D$5005,$B15,INCORRIDO!$E$6:$E$5005,BN$7)+IF(BN$7&gt;PARAMETROS!$C$12,IF($H15&gt;0,$G15*CURVA!BN15/$H15,0)*BN$6,0))</f>
        <v>0</v>
      </c>
      <c r="BO15" s="19" t="n">
        <f aca="false">IF($B15="",0,SUMIFS(INCORRIDO!$C$6:$C$5005,INCORRIDO!$D$6:$D$5005,$B15,INCORRIDO!$E$6:$E$5005,BO$7)+IF(BO$7&gt;PARAMETROS!$C$12,IF($H15&gt;0,$G15*CURVA!BO15/$H15,0)*BO$6,0))</f>
        <v>0</v>
      </c>
      <c r="BP15" s="19" t="n">
        <f aca="false">IF($B15="",0,SUMIFS(INCORRIDO!$C$6:$C$5005,INCORRIDO!$D$6:$D$5005,$B15,INCORRIDO!$E$6:$E$5005,BP$7)+IF(BP$7&gt;PARAMETROS!$C$12,IF($H15&gt;0,$G15*CURVA!BP15/$H15,0)*BP$6,0))</f>
        <v>0</v>
      </c>
      <c r="BQ15" s="19" t="n">
        <f aca="false">IF($B15="",0,SUMIFS(INCORRIDO!$C$6:$C$5005,INCORRIDO!$D$6:$D$5005,$B15,INCORRIDO!$E$6:$E$5005,BQ$7)+IF(BQ$7&gt;PARAMETROS!$C$12,IF($H15&gt;0,$G15*CURVA!BQ15/$H15,0)*BQ$6,0))</f>
        <v>0</v>
      </c>
      <c r="BR15" s="19" t="n">
        <f aca="false">IF($B15="",0,SUMIFS(INCORRIDO!$C$6:$C$5005,INCORRIDO!$D$6:$D$5005,$B15,INCORRIDO!$E$6:$E$5005,BR$7)+IF(BR$7&gt;PARAMETROS!$C$12,IF($H15&gt;0,$G15*CURVA!BR15/$H15,0)*BR$6,0))</f>
        <v>0</v>
      </c>
      <c r="BS15" s="19" t="n">
        <f aca="false">IF($B15="",0,SUMIFS(INCORRIDO!$C$6:$C$5005,INCORRIDO!$D$6:$D$5005,$B15,INCORRIDO!$E$6:$E$5005,BS$7)+IF(BS$7&gt;PARAMETROS!$C$12,IF($H15&gt;0,$G15*CURVA!BS15/$H15,0)*BS$6,0))</f>
        <v>0</v>
      </c>
      <c r="BT15" s="19" t="n">
        <f aca="false">IF($B15="",0,SUMIFS(INCORRIDO!$C$6:$C$5005,INCORRIDO!$D$6:$D$5005,$B15,INCORRIDO!$E$6:$E$5005,BT$7)+IF(BT$7&gt;PARAMETROS!$C$12,IF($H15&gt;0,$G15*CURVA!BT15/$H15,0)*BT$6,0))</f>
        <v>0</v>
      </c>
      <c r="BU15" s="19" t="n">
        <f aca="false">IF($B15="",0,SUMIFS(INCORRIDO!$C$6:$C$5005,INCORRIDO!$D$6:$D$5005,$B15,INCORRIDO!$E$6:$E$5005,BU$7)+IF(BU$7&gt;PARAMETROS!$C$12,IF($H15&gt;0,$G15*CURVA!BU15/$H15,0)*BU$6,0))</f>
        <v>0</v>
      </c>
      <c r="BV15" s="19" t="n">
        <f aca="false">IF($B15="",0,SUMIFS(INCORRIDO!$C$6:$C$5005,INCORRIDO!$D$6:$D$5005,$B15,INCORRIDO!$E$6:$E$5005,BV$7)+IF(BV$7&gt;PARAMETROS!$C$12,IF($H15&gt;0,$G15*CURVA!BV15/$H15,0)*BV$6,0))</f>
        <v>0</v>
      </c>
      <c r="BW15" s="19" t="n">
        <f aca="false">IF($B15="",0,SUMIFS(INCORRIDO!$C$6:$C$5005,INCORRIDO!$D$6:$D$5005,$B15,INCORRIDO!$E$6:$E$5005,BW$7)+IF(BW$7&gt;PARAMETROS!$C$12,IF($H15&gt;0,$G15*CURVA!BW15/$H15,0)*BW$6,0))</f>
        <v>0</v>
      </c>
      <c r="BX15" s="19" t="n">
        <f aca="false">IF($B15="",0,SUMIFS(INCORRIDO!$C$6:$C$5005,INCORRIDO!$D$6:$D$5005,$B15,INCORRIDO!$E$6:$E$5005,BX$7)+IF(BX$7&gt;PARAMETROS!$C$12,IF($H15&gt;0,$G15*CURVA!BX15/$H15,0)*BX$6,0))</f>
        <v>0</v>
      </c>
      <c r="BY15" s="19" t="n">
        <f aca="false">IF($B15="",0,SUMIFS(INCORRIDO!$C$6:$C$5005,INCORRIDO!$D$6:$D$5005,$B15,INCORRIDO!$E$6:$E$5005,BY$7)+IF(BY$7&gt;PARAMETROS!$C$12,IF($H15&gt;0,$G15*CURVA!BY15/$H15,0)*BY$6,0))</f>
        <v>0</v>
      </c>
      <c r="BZ15" s="19" t="n">
        <f aca="false">IF($B15="",0,SUMIFS(INCORRIDO!$C$6:$C$5005,INCORRIDO!$D$6:$D$5005,$B15,INCORRIDO!$E$6:$E$5005,BZ$7)+IF(BZ$7&gt;PARAMETROS!$C$12,IF($H15&gt;0,$G15*CURVA!BZ15/$H15,0)*BZ$6,0))</f>
        <v>0</v>
      </c>
      <c r="CA15" s="19" t="n">
        <f aca="false">IF($B15="",0,SUMIFS(INCORRIDO!$C$6:$C$5005,INCORRIDO!$D$6:$D$5005,$B15,INCORRIDO!$E$6:$E$5005,CA$7)+IF(CA$7&gt;PARAMETROS!$C$12,IF($H15&gt;0,$G15*CURVA!CA15/$H15,0)*CA$6,0))</f>
        <v>0</v>
      </c>
      <c r="CB15" s="19" t="n">
        <f aca="false">IF($B15="",0,SUMIFS(INCORRIDO!$C$6:$C$5005,INCORRIDO!$D$6:$D$5005,$B15,INCORRIDO!$E$6:$E$5005,CB$7)+IF(CB$7&gt;PARAMETROS!$C$12,IF($H15&gt;0,$G15*CURVA!CB15/$H15,0)*CB$6,0))</f>
        <v>0</v>
      </c>
      <c r="CC15" s="19" t="n">
        <f aca="false">IF($B15="",0,SUMIFS(INCORRIDO!$C$6:$C$5005,INCORRIDO!$D$6:$D$5005,$B15,INCORRIDO!$E$6:$E$5005,CC$7)+IF(CC$7&gt;PARAMETROS!$C$12,IF($H15&gt;0,$G15*CURVA!CC15/$H15,0)*CC$6,0))</f>
        <v>0</v>
      </c>
    </row>
    <row r="16" customFormat="false" ht="15" hidden="false" customHeight="false" outlineLevel="0" collapsed="false">
      <c r="A16" s="31" t="str">
        <f aca="false">IF(ORCAMENTO!A14="","",ORCAMENTO!A14)</f>
        <v>09</v>
      </c>
      <c r="B16" s="31" t="str">
        <f aca="false">IF(ORCAMENTO!B14="","",ORCAMENTO!B14)</f>
        <v>CONSULTORIAS (OBRAS)</v>
      </c>
      <c r="C16" s="31" t="str">
        <f aca="false">IF(ORCAMENTO!C14="","",ORCAMENTO!C14)</f>
        <v>INDIRETOS</v>
      </c>
      <c r="D16" s="32" t="n">
        <f aca="false">IF($B16="",0,ORCAMENTO!E14)</f>
        <v>1371532.11</v>
      </c>
      <c r="E16" s="19" t="n">
        <f aca="false">IF($B16="",0,SUMIFS(INCORRIDO!$C$6:$C$5005,INCORRIDO!$D$6:$D$5005,$B16,INCORRIDO!$E$6:$E$5005,"&lt;="&amp;PARAMETROS!$C$12))</f>
        <v>674559.83</v>
      </c>
      <c r="F16" s="19" t="n">
        <f aca="false">IF($B16="",0,SUMIFS(INCORRIDO!$C$6:$C$5005,INCORRIDO!$D$6:$D$5005,$B16,INCORRIDO!$E$6:$E$5005,"&gt;"&amp;PARAMETROS!$C$12))</f>
        <v>25028.91</v>
      </c>
      <c r="G16" s="19" t="n">
        <f aca="false">MAX(0,D16-E16-F16)</f>
        <v>671943.37</v>
      </c>
      <c r="H16" s="32" t="n">
        <f aca="false">CURVA!H16</f>
        <v>671943.38</v>
      </c>
      <c r="I16" s="19" t="n">
        <f aca="false">SUM(J16:CC16)</f>
        <v>1371532.11</v>
      </c>
      <c r="J16" s="19" t="n">
        <f aca="false">IF($B16="",0,SUMIFS(INCORRIDO!$C$6:$C$5005,INCORRIDO!$D$6:$D$5005,$B16,INCORRIDO!$E$6:$E$5005,"&lt;="&amp;J$7)+IF(J$7&gt;PARAMETROS!$C$12,IF($H16&gt;0,$G16*CURVA!J16/$H16,0)*J$6,0))</f>
        <v>43088.09</v>
      </c>
      <c r="K16" s="19" t="n">
        <f aca="false">IF($B16="",0,SUMIFS(INCORRIDO!$C$6:$C$5005,INCORRIDO!$D$6:$D$5005,$B16,INCORRIDO!$E$6:$E$5005,K$7)+IF(K$7&gt;PARAMETROS!$C$12,IF($H16&gt;0,$G16*CURVA!K16/$H16,0)*K$6,0))</f>
        <v>0</v>
      </c>
      <c r="L16" s="19" t="n">
        <f aca="false">IF($B16="",0,SUMIFS(INCORRIDO!$C$6:$C$5005,INCORRIDO!$D$6:$D$5005,$B16,INCORRIDO!$E$6:$E$5005,L$7)+IF(L$7&gt;PARAMETROS!$C$12,IF($H16&gt;0,$G16*CURVA!L16/$H16,0)*L$6,0))</f>
        <v>14421.7</v>
      </c>
      <c r="M16" s="19" t="n">
        <f aca="false">IF($B16="",0,SUMIFS(INCORRIDO!$C$6:$C$5005,INCORRIDO!$D$6:$D$5005,$B16,INCORRIDO!$E$6:$E$5005,M$7)+IF(M$7&gt;PARAMETROS!$C$12,IF($H16&gt;0,$G16*CURVA!M16/$H16,0)*M$6,0))</f>
        <v>608.73</v>
      </c>
      <c r="N16" s="19" t="n">
        <f aca="false">IF($B16="",0,SUMIFS(INCORRIDO!$C$6:$C$5005,INCORRIDO!$D$6:$D$5005,$B16,INCORRIDO!$E$6:$E$5005,N$7)+IF(N$7&gt;PARAMETROS!$C$12,IF($H16&gt;0,$G16*CURVA!N16/$H16,0)*N$6,0))</f>
        <v>0</v>
      </c>
      <c r="O16" s="19" t="n">
        <f aca="false">IF($B16="",0,SUMIFS(INCORRIDO!$C$6:$C$5005,INCORRIDO!$D$6:$D$5005,$B16,INCORRIDO!$E$6:$E$5005,O$7)+IF(O$7&gt;PARAMETROS!$C$12,IF($H16&gt;0,$G16*CURVA!O16/$H16,0)*O$6,0))</f>
        <v>0</v>
      </c>
      <c r="P16" s="19" t="n">
        <f aca="false">IF($B16="",0,SUMIFS(INCORRIDO!$C$6:$C$5005,INCORRIDO!$D$6:$D$5005,$B16,INCORRIDO!$E$6:$E$5005,P$7)+IF(P$7&gt;PARAMETROS!$C$12,IF($H16&gt;0,$G16*CURVA!P16/$H16,0)*P$6,0))</f>
        <v>0</v>
      </c>
      <c r="Q16" s="19" t="n">
        <f aca="false">IF($B16="",0,SUMIFS(INCORRIDO!$C$6:$C$5005,INCORRIDO!$D$6:$D$5005,$B16,INCORRIDO!$E$6:$E$5005,Q$7)+IF(Q$7&gt;PARAMETROS!$C$12,IF($H16&gt;0,$G16*CURVA!Q16/$H16,0)*Q$6,0))</f>
        <v>20181.97</v>
      </c>
      <c r="R16" s="19" t="n">
        <f aca="false">IF($B16="",0,SUMIFS(INCORRIDO!$C$6:$C$5005,INCORRIDO!$D$6:$D$5005,$B16,INCORRIDO!$E$6:$E$5005,R$7)+IF(R$7&gt;PARAMETROS!$C$12,IF($H16&gt;0,$G16*CURVA!R16/$H16,0)*R$6,0))</f>
        <v>6015.91</v>
      </c>
      <c r="S16" s="19" t="n">
        <f aca="false">IF($B16="",0,SUMIFS(INCORRIDO!$C$6:$C$5005,INCORRIDO!$D$6:$D$5005,$B16,INCORRIDO!$E$6:$E$5005,S$7)+IF(S$7&gt;PARAMETROS!$C$12,IF($H16&gt;0,$G16*CURVA!S16/$H16,0)*S$6,0))</f>
        <v>9715.37</v>
      </c>
      <c r="T16" s="19" t="n">
        <f aca="false">IF($B16="",0,SUMIFS(INCORRIDO!$C$6:$C$5005,INCORRIDO!$D$6:$D$5005,$B16,INCORRIDO!$E$6:$E$5005,T$7)+IF(T$7&gt;PARAMETROS!$C$12,IF($H16&gt;0,$G16*CURVA!T16/$H16,0)*T$6,0))</f>
        <v>28769</v>
      </c>
      <c r="U16" s="19" t="n">
        <f aca="false">IF($B16="",0,SUMIFS(INCORRIDO!$C$6:$C$5005,INCORRIDO!$D$6:$D$5005,$B16,INCORRIDO!$E$6:$E$5005,U$7)+IF(U$7&gt;PARAMETROS!$C$12,IF($H16&gt;0,$G16*CURVA!U16/$H16,0)*U$6,0))</f>
        <v>255492.31</v>
      </c>
      <c r="V16" s="19" t="n">
        <f aca="false">IF($B16="",0,SUMIFS(INCORRIDO!$C$6:$C$5005,INCORRIDO!$D$6:$D$5005,$B16,INCORRIDO!$E$6:$E$5005,V$7)+IF(V$7&gt;PARAMETROS!$C$12,IF($H16&gt;0,$G16*CURVA!V16/$H16,0)*V$6,0))</f>
        <v>61293.83</v>
      </c>
      <c r="W16" s="19" t="n">
        <f aca="false">IF($B16="",0,SUMIFS(INCORRIDO!$C$6:$C$5005,INCORRIDO!$D$6:$D$5005,$B16,INCORRIDO!$E$6:$E$5005,W$7)+IF(W$7&gt;PARAMETROS!$C$12,IF($H16&gt;0,$G16*CURVA!W16/$H16,0)*W$6,0))</f>
        <v>26405.03</v>
      </c>
      <c r="X16" s="19" t="n">
        <f aca="false">IF($B16="",0,SUMIFS(INCORRIDO!$C$6:$C$5005,INCORRIDO!$D$6:$D$5005,$B16,INCORRIDO!$E$6:$E$5005,X$7)+IF(X$7&gt;PARAMETROS!$C$12,IF($H16&gt;0,$G16*CURVA!X16/$H16,0)*X$6,0))</f>
        <v>27423.86</v>
      </c>
      <c r="Y16" s="19" t="n">
        <f aca="false">IF($B16="",0,SUMIFS(INCORRIDO!$C$6:$C$5005,INCORRIDO!$D$6:$D$5005,$B16,INCORRIDO!$E$6:$E$5005,Y$7)+IF(Y$7&gt;PARAMETROS!$C$12,IF($H16&gt;0,$G16*CURVA!Y16/$H16,0)*Y$6,0))</f>
        <v>42679.98</v>
      </c>
      <c r="Z16" s="19" t="n">
        <f aca="false">IF($B16="",0,SUMIFS(INCORRIDO!$C$6:$C$5005,INCORRIDO!$D$6:$D$5005,$B16,INCORRIDO!$E$6:$E$5005,Z$7)+IF(Z$7&gt;PARAMETROS!$C$12,IF($H16&gt;0,$G16*CURVA!Z16/$H16,0)*Z$6,0))</f>
        <v>22203.86</v>
      </c>
      <c r="AA16" s="19" t="n">
        <f aca="false">IF($B16="",0,SUMIFS(INCORRIDO!$C$6:$C$5005,INCORRIDO!$D$6:$D$5005,$B16,INCORRIDO!$E$6:$E$5005,AA$7)+IF(AA$7&gt;PARAMETROS!$C$12,IF($H16&gt;0,$G16*CURVA!AA16/$H16,0)*AA$6,0))</f>
        <v>22652.84</v>
      </c>
      <c r="AB16" s="19" t="n">
        <f aca="false">IF($B16="",0,SUMIFS(INCORRIDO!$C$6:$C$5005,INCORRIDO!$D$6:$D$5005,$B16,INCORRIDO!$E$6:$E$5005,AB$7)+IF(AB$7&gt;PARAMETROS!$C$12,IF($H16&gt;0,$G16*CURVA!AB16/$H16,0)*AB$6,0))</f>
        <v>18615.9</v>
      </c>
      <c r="AC16" s="19" t="n">
        <f aca="false">IF($B16="",0,SUMIFS(INCORRIDO!$C$6:$C$5005,INCORRIDO!$D$6:$D$5005,$B16,INCORRIDO!$E$6:$E$5005,AC$7)+IF(AC$7&gt;PARAMETROS!$C$12,IF($H16&gt;0,$G16*CURVA!AC16/$H16,0)*AC$6,0))</f>
        <v>42382.64</v>
      </c>
      <c r="AD16" s="19" t="n">
        <f aca="false">IF($B16="",0,SUMIFS(INCORRIDO!$C$6:$C$5005,INCORRIDO!$D$6:$D$5005,$B16,INCORRIDO!$E$6:$E$5005,AD$7)+IF(AD$7&gt;PARAMETROS!$C$12,IF($H16&gt;0,$G16*CURVA!AD16/$H16,0)*AD$6,0))</f>
        <v>32608.81</v>
      </c>
      <c r="AE16" s="19" t="n">
        <f aca="false">IF($B16="",0,SUMIFS(INCORRIDO!$C$6:$C$5005,INCORRIDO!$D$6:$D$5005,$B16,INCORRIDO!$E$6:$E$5005,AE$7)+IF(AE$7&gt;PARAMETROS!$C$12,IF($H16&gt;0,$G16*CURVA!AE16/$H16,0)*AE$6,0))</f>
        <v>54075.8795648894</v>
      </c>
      <c r="AF16" s="19" t="n">
        <f aca="false">IF($B16="",0,SUMIFS(INCORRIDO!$C$6:$C$5005,INCORRIDO!$D$6:$D$5005,$B16,INCORRIDO!$E$6:$E$5005,AF$7)+IF(AF$7&gt;PARAMETROS!$C$12,IF($H16&gt;0,$G16*CURVA!AF16/$H16,0)*AF$6,0))</f>
        <v>25181.4596280719</v>
      </c>
      <c r="AG16" s="19" t="n">
        <f aca="false">IF($B16="",0,SUMIFS(INCORRIDO!$C$6:$C$5005,INCORRIDO!$D$6:$D$5005,$B16,INCORRIDO!$E$6:$E$5005,AG$7)+IF(AG$7&gt;PARAMETROS!$C$12,IF($H16&gt;0,$G16*CURVA!AG16/$H16,0)*AG$6,0))</f>
        <v>22791.4596608128</v>
      </c>
      <c r="AH16" s="19" t="n">
        <f aca="false">IF($B16="",0,SUMIFS(INCORRIDO!$C$6:$C$5005,INCORRIDO!$D$6:$D$5005,$B16,INCORRIDO!$E$6:$E$5005,AH$7)+IF(AH$7&gt;PARAMETROS!$C$12,IF($H16&gt;0,$G16*CURVA!AH16/$H16,0)*AH$6,0))</f>
        <v>22791.4596608128</v>
      </c>
      <c r="AI16" s="19" t="n">
        <f aca="false">IF($B16="",0,SUMIFS(INCORRIDO!$C$6:$C$5005,INCORRIDO!$D$6:$D$5005,$B16,INCORRIDO!$E$6:$E$5005,AI$7)+IF(AI$7&gt;PARAMETROS!$C$12,IF($H16&gt;0,$G16*CURVA!AI16/$H16,0)*AI$6,0))</f>
        <v>25692.7396176354</v>
      </c>
      <c r="AJ16" s="19" t="n">
        <f aca="false">IF($B16="",0,SUMIFS(INCORRIDO!$C$6:$C$5005,INCORRIDO!$D$6:$D$5005,$B16,INCORRIDO!$E$6:$E$5005,AJ$7)+IF(AJ$7&gt;PARAMETROS!$C$12,IF($H16&gt;0,$G16*CURVA!AJ16/$H16,0)*AJ$6,0))</f>
        <v>19492.739709905</v>
      </c>
      <c r="AK16" s="19" t="n">
        <f aca="false">IF($B16="",0,SUMIFS(INCORRIDO!$C$6:$C$5005,INCORRIDO!$D$6:$D$5005,$B16,INCORRIDO!$E$6:$E$5005,AK$7)+IF(AK$7&gt;PARAMETROS!$C$12,IF($H16&gt;0,$G16*CURVA!AK16/$H16,0)*AK$6,0))</f>
        <v>19492.739709905</v>
      </c>
      <c r="AL16" s="19" t="n">
        <f aca="false">IF($B16="",0,SUMIFS(INCORRIDO!$C$6:$C$5005,INCORRIDO!$D$6:$D$5005,$B16,INCORRIDO!$E$6:$E$5005,AL$7)+IF(AL$7&gt;PARAMETROS!$C$12,IF($H16&gt;0,$G16*CURVA!AL16/$H16,0)*AL$6,0))</f>
        <v>21692.7396771642</v>
      </c>
      <c r="AM16" s="19" t="n">
        <f aca="false">IF($B16="",0,SUMIFS(INCORRIDO!$C$6:$C$5005,INCORRIDO!$D$6:$D$5005,$B16,INCORRIDO!$E$6:$E$5005,AM$7)+IF(AM$7&gt;PARAMETROS!$C$12,IF($H16&gt;0,$G16*CURVA!AM16/$H16,0)*AM$6,0))</f>
        <v>19492.739709905</v>
      </c>
      <c r="AN16" s="19" t="n">
        <f aca="false">IF($B16="",0,SUMIFS(INCORRIDO!$C$6:$C$5005,INCORRIDO!$D$6:$D$5005,$B16,INCORRIDO!$E$6:$E$5005,AN$7)+IF(AN$7&gt;PARAMETROS!$C$12,IF($H16&gt;0,$G16*CURVA!AN16/$H16,0)*AN$6,0))</f>
        <v>24517.7396351219</v>
      </c>
      <c r="AO16" s="19" t="n">
        <f aca="false">IF($B16="",0,SUMIFS(INCORRIDO!$C$6:$C$5005,INCORRIDO!$D$6:$D$5005,$B16,INCORRIDO!$E$6:$E$5005,AO$7)+IF(AO$7&gt;PARAMETROS!$C$12,IF($H16&gt;0,$G16*CURVA!AO16/$H16,0)*AO$6,0))</f>
        <v>21692.7396771642</v>
      </c>
      <c r="AP16" s="19" t="n">
        <f aca="false">IF($B16="",0,SUMIFS(INCORRIDO!$C$6:$C$5005,INCORRIDO!$D$6:$D$5005,$B16,INCORRIDO!$E$6:$E$5005,AP$7)+IF(AP$7&gt;PARAMETROS!$C$12,IF($H16&gt;0,$G16*CURVA!AP16/$H16,0)*AP$6,0))</f>
        <v>19492.739709905</v>
      </c>
      <c r="AQ16" s="19" t="n">
        <f aca="false">IF($B16="",0,SUMIFS(INCORRIDO!$C$6:$C$5005,INCORRIDO!$D$6:$D$5005,$B16,INCORRIDO!$E$6:$E$5005,AQ$7)+IF(AQ$7&gt;PARAMETROS!$C$12,IF($H16&gt;0,$G16*CURVA!AQ16/$H16,0)*AQ$6,0))</f>
        <v>19492.739709905</v>
      </c>
      <c r="AR16" s="19" t="n">
        <f aca="false">IF($B16="",0,SUMIFS(INCORRIDO!$C$6:$C$5005,INCORRIDO!$D$6:$D$5005,$B16,INCORRIDO!$E$6:$E$5005,AR$7)+IF(AR$7&gt;PARAMETROS!$C$12,IF($H16&gt;0,$G16*CURVA!AR16/$H16,0)*AR$6,0))</f>
        <v>21692.7396771642</v>
      </c>
      <c r="AS16" s="19" t="n">
        <f aca="false">IF($B16="",0,SUMIFS(INCORRIDO!$C$6:$C$5005,INCORRIDO!$D$6:$D$5005,$B16,INCORRIDO!$E$6:$E$5005,AS$7)+IF(AS$7&gt;PARAMETROS!$C$12,IF($H16&gt;0,$G16*CURVA!AS16/$H16,0)*AS$6,0))</f>
        <v>19492.739709905</v>
      </c>
      <c r="AT16" s="19" t="n">
        <f aca="false">IF($B16="",0,SUMIFS(INCORRIDO!$C$6:$C$5005,INCORRIDO!$D$6:$D$5005,$B16,INCORRIDO!$E$6:$E$5005,AT$7)+IF(AT$7&gt;PARAMETROS!$C$12,IF($H16&gt;0,$G16*CURVA!AT16/$H16,0)*AT$6,0))</f>
        <v>15610.7797676772</v>
      </c>
      <c r="AU16" s="19" t="n">
        <f aca="false">IF($B16="",0,SUMIFS(INCORRIDO!$C$6:$C$5005,INCORRIDO!$D$6:$D$5005,$B16,INCORRIDO!$E$6:$E$5005,AU$7)+IF(AU$7&gt;PARAMETROS!$C$12,IF($H16&gt;0,$G16*CURVA!AU16/$H16,0)*AU$6,0))</f>
        <v>17385.6797412627</v>
      </c>
      <c r="AV16" s="19" t="n">
        <f aca="false">IF($B16="",0,SUMIFS(INCORRIDO!$C$6:$C$5005,INCORRIDO!$D$6:$D$5005,$B16,INCORRIDO!$E$6:$E$5005,AV$7)+IF(AV$7&gt;PARAMETROS!$C$12,IF($H16&gt;0,$G16*CURVA!AV16/$H16,0)*AV$6,0))</f>
        <v>15185.6797740036</v>
      </c>
      <c r="AW16" s="19" t="n">
        <f aca="false">IF($B16="",0,SUMIFS(INCORRIDO!$C$6:$C$5005,INCORRIDO!$D$6:$D$5005,$B16,INCORRIDO!$E$6:$E$5005,AW$7)+IF(AW$7&gt;PARAMETROS!$C$12,IF($H16&gt;0,$G16*CURVA!AW16/$H16,0)*AW$6,0))</f>
        <v>11185.6798335324</v>
      </c>
      <c r="AX16" s="19" t="n">
        <f aca="false">IF($B16="",0,SUMIFS(INCORRIDO!$C$6:$C$5005,INCORRIDO!$D$6:$D$5005,$B16,INCORRIDO!$E$6:$E$5005,AX$7)+IF(AX$7&gt;PARAMETROS!$C$12,IF($H16&gt;0,$G16*CURVA!AX16/$H16,0)*AX$6,0))</f>
        <v>13385.6798007916</v>
      </c>
      <c r="AY16" s="19" t="n">
        <f aca="false">IF($B16="",0,SUMIFS(INCORRIDO!$C$6:$C$5005,INCORRIDO!$D$6:$D$5005,$B16,INCORRIDO!$E$6:$E$5005,AY$7)+IF(AY$7&gt;PARAMETROS!$C$12,IF($H16&gt;0,$G16*CURVA!AY16/$H16,0)*AY$6,0))</f>
        <v>11185.6798335324</v>
      </c>
      <c r="AZ16" s="19" t="n">
        <f aca="false">IF($B16="",0,SUMIFS(INCORRIDO!$C$6:$C$5005,INCORRIDO!$D$6:$D$5005,$B16,INCORRIDO!$E$6:$E$5005,AZ$7)+IF(AZ$7&gt;PARAMETROS!$C$12,IF($H16&gt;0,$G16*CURVA!AZ16/$H16,0)*AZ$6,0))</f>
        <v>16210.6797587493</v>
      </c>
      <c r="BA16" s="19" t="n">
        <f aca="false">IF($B16="",0,SUMIFS(INCORRIDO!$C$6:$C$5005,INCORRIDO!$D$6:$D$5005,$B16,INCORRIDO!$E$6:$E$5005,BA$7)+IF(BA$7&gt;PARAMETROS!$C$12,IF($H16&gt;0,$G16*CURVA!BA16/$H16,0)*BA$6,0))</f>
        <v>13385.6798007916</v>
      </c>
      <c r="BB16" s="19" t="n">
        <f aca="false">IF($B16="",0,SUMIFS(INCORRIDO!$C$6:$C$5005,INCORRIDO!$D$6:$D$5005,$B16,INCORRIDO!$E$6:$E$5005,BB$7)+IF(BB$7&gt;PARAMETROS!$C$12,IF($H16&gt;0,$G16*CURVA!BB16/$H16,0)*BB$6,0))</f>
        <v>48685.6792754497</v>
      </c>
      <c r="BC16" s="19" t="n">
        <f aca="false">IF($B16="",0,SUMIFS(INCORRIDO!$C$6:$C$5005,INCORRIDO!$D$6:$D$5005,$B16,INCORRIDO!$E$6:$E$5005,BC$7)+IF(BC$7&gt;PARAMETROS!$C$12,IF($H16&gt;0,$G16*CURVA!BC16/$H16,0)*BC$6,0))</f>
        <v>50885.6792427088</v>
      </c>
      <c r="BD16" s="19" t="n">
        <f aca="false">IF($B16="",0,SUMIFS(INCORRIDO!$C$6:$C$5005,INCORRIDO!$D$6:$D$5005,$B16,INCORRIDO!$E$6:$E$5005,BD$7)+IF(BD$7&gt;PARAMETROS!$C$12,IF($H16&gt;0,$G16*CURVA!BD16/$H16,0)*BD$6,0))</f>
        <v>11185.6798335324</v>
      </c>
      <c r="BE16" s="19" t="n">
        <f aca="false">IF($B16="",0,SUMIFS(INCORRIDO!$C$6:$C$5005,INCORRIDO!$D$6:$D$5005,$B16,INCORRIDO!$E$6:$E$5005,BE$7)+IF(BE$7&gt;PARAMETROS!$C$12,IF($H16&gt;0,$G16*CURVA!BE16/$H16,0)*BE$6,0))</f>
        <v>10483.6798439797</v>
      </c>
      <c r="BF16" s="19" t="n">
        <f aca="false">IF($B16="",0,SUMIFS(INCORRIDO!$C$6:$C$5005,INCORRIDO!$D$6:$D$5005,$B16,INCORRIDO!$E$6:$E$5005,BF$7)+IF(BF$7&gt;PARAMETROS!$C$12,IF($H16&gt;0,$G16*CURVA!BF16/$H16,0)*BF$6,0))</f>
        <v>12683.6798112389</v>
      </c>
      <c r="BG16" s="19" t="n">
        <f aca="false">IF($B16="",0,SUMIFS(INCORRIDO!$C$6:$C$5005,INCORRIDO!$D$6:$D$5005,$B16,INCORRIDO!$E$6:$E$5005,BG$7)+IF(BG$7&gt;PARAMETROS!$C$12,IF($H16&gt;0,$G16*CURVA!BG16/$H16,0)*BG$6,0))</f>
        <v>9485.67985883215</v>
      </c>
      <c r="BH16" s="19" t="n">
        <f aca="false">IF($B16="",0,SUMIFS(INCORRIDO!$C$6:$C$5005,INCORRIDO!$D$6:$D$5005,$B16,INCORRIDO!$E$6:$E$5005,BH$7)+IF(BH$7&gt;PARAMETROS!$C$12,IF($H16&gt;0,$G16*CURVA!BH16/$H16,0)*BH$6,0))</f>
        <v>5685.67991538454</v>
      </c>
      <c r="BI16" s="19" t="n">
        <f aca="false">IF($B16="",0,SUMIFS(INCORRIDO!$C$6:$C$5005,INCORRIDO!$D$6:$D$5005,$B16,INCORRIDO!$E$6:$E$5005,BI$7)+IF(BI$7&gt;PARAMETROS!$C$12,IF($H16&gt;0,$G16*CURVA!BI16/$H16,0)*BI$6,0))</f>
        <v>77255.5888502664</v>
      </c>
      <c r="BJ16" s="19" t="n">
        <f aca="false">IF($B16="",0,SUMIFS(INCORRIDO!$C$6:$C$5005,INCORRIDO!$D$6:$D$5005,$B16,INCORRIDO!$E$6:$E$5005,BJ$7)+IF(BJ$7&gt;PARAMETROS!$C$12,IF($H16&gt;0,$G16*CURVA!BJ16/$H16,0)*BJ$6,0))</f>
        <v>0</v>
      </c>
      <c r="BK16" s="19" t="n">
        <f aca="false">IF($B16="",0,SUMIFS(INCORRIDO!$C$6:$C$5005,INCORRIDO!$D$6:$D$5005,$B16,INCORRIDO!$E$6:$E$5005,BK$7)+IF(BK$7&gt;PARAMETROS!$C$12,IF($H16&gt;0,$G16*CURVA!BK16/$H16,0)*BK$6,0))</f>
        <v>0</v>
      </c>
      <c r="BL16" s="19" t="n">
        <f aca="false">IF($B16="",0,SUMIFS(INCORRIDO!$C$6:$C$5005,INCORRIDO!$D$6:$D$5005,$B16,INCORRIDO!$E$6:$E$5005,BL$7)+IF(BL$7&gt;PARAMETROS!$C$12,IF($H16&gt;0,$G16*CURVA!BL16/$H16,0)*BL$6,0))</f>
        <v>0</v>
      </c>
      <c r="BM16" s="19" t="n">
        <f aca="false">IF($B16="",0,SUMIFS(INCORRIDO!$C$6:$C$5005,INCORRIDO!$D$6:$D$5005,$B16,INCORRIDO!$E$6:$E$5005,BM$7)+IF(BM$7&gt;PARAMETROS!$C$12,IF($H16&gt;0,$G16*CURVA!BM16/$H16,0)*BM$6,0))</f>
        <v>0</v>
      </c>
      <c r="BN16" s="19" t="n">
        <f aca="false">IF($B16="",0,SUMIFS(INCORRIDO!$C$6:$C$5005,INCORRIDO!$D$6:$D$5005,$B16,INCORRIDO!$E$6:$E$5005,BN$7)+IF(BN$7&gt;PARAMETROS!$C$12,IF($H16&gt;0,$G16*CURVA!BN16/$H16,0)*BN$6,0))</f>
        <v>0</v>
      </c>
      <c r="BO16" s="19" t="n">
        <f aca="false">IF($B16="",0,SUMIFS(INCORRIDO!$C$6:$C$5005,INCORRIDO!$D$6:$D$5005,$B16,INCORRIDO!$E$6:$E$5005,BO$7)+IF(BO$7&gt;PARAMETROS!$C$12,IF($H16&gt;0,$G16*CURVA!BO16/$H16,0)*BO$6,0))</f>
        <v>0</v>
      </c>
      <c r="BP16" s="19" t="n">
        <f aca="false">IF($B16="",0,SUMIFS(INCORRIDO!$C$6:$C$5005,INCORRIDO!$D$6:$D$5005,$B16,INCORRIDO!$E$6:$E$5005,BP$7)+IF(BP$7&gt;PARAMETROS!$C$12,IF($H16&gt;0,$G16*CURVA!BP16/$H16,0)*BP$6,0))</f>
        <v>0</v>
      </c>
      <c r="BQ16" s="19" t="n">
        <f aca="false">IF($B16="",0,SUMIFS(INCORRIDO!$C$6:$C$5005,INCORRIDO!$D$6:$D$5005,$B16,INCORRIDO!$E$6:$E$5005,BQ$7)+IF(BQ$7&gt;PARAMETROS!$C$12,IF($H16&gt;0,$G16*CURVA!BQ16/$H16,0)*BQ$6,0))</f>
        <v>0</v>
      </c>
      <c r="BR16" s="19" t="n">
        <f aca="false">IF($B16="",0,SUMIFS(INCORRIDO!$C$6:$C$5005,INCORRIDO!$D$6:$D$5005,$B16,INCORRIDO!$E$6:$E$5005,BR$7)+IF(BR$7&gt;PARAMETROS!$C$12,IF($H16&gt;0,$G16*CURVA!BR16/$H16,0)*BR$6,0))</f>
        <v>0</v>
      </c>
      <c r="BS16" s="19" t="n">
        <f aca="false">IF($B16="",0,SUMIFS(INCORRIDO!$C$6:$C$5005,INCORRIDO!$D$6:$D$5005,$B16,INCORRIDO!$E$6:$E$5005,BS$7)+IF(BS$7&gt;PARAMETROS!$C$12,IF($H16&gt;0,$G16*CURVA!BS16/$H16,0)*BS$6,0))</f>
        <v>0</v>
      </c>
      <c r="BT16" s="19" t="n">
        <f aca="false">IF($B16="",0,SUMIFS(INCORRIDO!$C$6:$C$5005,INCORRIDO!$D$6:$D$5005,$B16,INCORRIDO!$E$6:$E$5005,BT$7)+IF(BT$7&gt;PARAMETROS!$C$12,IF($H16&gt;0,$G16*CURVA!BT16/$H16,0)*BT$6,0))</f>
        <v>0</v>
      </c>
      <c r="BU16" s="19" t="n">
        <f aca="false">IF($B16="",0,SUMIFS(INCORRIDO!$C$6:$C$5005,INCORRIDO!$D$6:$D$5005,$B16,INCORRIDO!$E$6:$E$5005,BU$7)+IF(BU$7&gt;PARAMETROS!$C$12,IF($H16&gt;0,$G16*CURVA!BU16/$H16,0)*BU$6,0))</f>
        <v>0</v>
      </c>
      <c r="BV16" s="19" t="n">
        <f aca="false">IF($B16="",0,SUMIFS(INCORRIDO!$C$6:$C$5005,INCORRIDO!$D$6:$D$5005,$B16,INCORRIDO!$E$6:$E$5005,BV$7)+IF(BV$7&gt;PARAMETROS!$C$12,IF($H16&gt;0,$G16*CURVA!BV16/$H16,0)*BV$6,0))</f>
        <v>0</v>
      </c>
      <c r="BW16" s="19" t="n">
        <f aca="false">IF($B16="",0,SUMIFS(INCORRIDO!$C$6:$C$5005,INCORRIDO!$D$6:$D$5005,$B16,INCORRIDO!$E$6:$E$5005,BW$7)+IF(BW$7&gt;PARAMETROS!$C$12,IF($H16&gt;0,$G16*CURVA!BW16/$H16,0)*BW$6,0))</f>
        <v>0</v>
      </c>
      <c r="BX16" s="19" t="n">
        <f aca="false">IF($B16="",0,SUMIFS(INCORRIDO!$C$6:$C$5005,INCORRIDO!$D$6:$D$5005,$B16,INCORRIDO!$E$6:$E$5005,BX$7)+IF(BX$7&gt;PARAMETROS!$C$12,IF($H16&gt;0,$G16*CURVA!BX16/$H16,0)*BX$6,0))</f>
        <v>0</v>
      </c>
      <c r="BY16" s="19" t="n">
        <f aca="false">IF($B16="",0,SUMIFS(INCORRIDO!$C$6:$C$5005,INCORRIDO!$D$6:$D$5005,$B16,INCORRIDO!$E$6:$E$5005,BY$7)+IF(BY$7&gt;PARAMETROS!$C$12,IF($H16&gt;0,$G16*CURVA!BY16/$H16,0)*BY$6,0))</f>
        <v>0</v>
      </c>
      <c r="BZ16" s="19" t="n">
        <f aca="false">IF($B16="",0,SUMIFS(INCORRIDO!$C$6:$C$5005,INCORRIDO!$D$6:$D$5005,$B16,INCORRIDO!$E$6:$E$5005,BZ$7)+IF(BZ$7&gt;PARAMETROS!$C$12,IF($H16&gt;0,$G16*CURVA!BZ16/$H16,0)*BZ$6,0))</f>
        <v>0</v>
      </c>
      <c r="CA16" s="19" t="n">
        <f aca="false">IF($B16="",0,SUMIFS(INCORRIDO!$C$6:$C$5005,INCORRIDO!$D$6:$D$5005,$B16,INCORRIDO!$E$6:$E$5005,CA$7)+IF(CA$7&gt;PARAMETROS!$C$12,IF($H16&gt;0,$G16*CURVA!CA16/$H16,0)*CA$6,0))</f>
        <v>0</v>
      </c>
      <c r="CB16" s="19" t="n">
        <f aca="false">IF($B16="",0,SUMIFS(INCORRIDO!$C$6:$C$5005,INCORRIDO!$D$6:$D$5005,$B16,INCORRIDO!$E$6:$E$5005,CB$7)+IF(CB$7&gt;PARAMETROS!$C$12,IF($H16&gt;0,$G16*CURVA!CB16/$H16,0)*CB$6,0))</f>
        <v>0</v>
      </c>
      <c r="CC16" s="19" t="n">
        <f aca="false">IF($B16="",0,SUMIFS(INCORRIDO!$C$6:$C$5005,INCORRIDO!$D$6:$D$5005,$B16,INCORRIDO!$E$6:$E$5005,CC$7)+IF(CC$7&gt;PARAMETROS!$C$12,IF($H16&gt;0,$G16*CURVA!CC16/$H16,0)*CC$6,0))</f>
        <v>0</v>
      </c>
    </row>
    <row r="17" customFormat="false" ht="15" hidden="false" customHeight="false" outlineLevel="0" collapsed="false">
      <c r="A17" s="31" t="str">
        <f aca="false">IF(ORCAMENTO!A15="","",ORCAMENTO!A15)</f>
        <v>10</v>
      </c>
      <c r="B17" s="31" t="str">
        <f aca="false">IF(ORCAMENTO!B15="","",ORCAMENTO!B15)</f>
        <v>MÃO DE OBRA PRÓPRIA</v>
      </c>
      <c r="C17" s="31" t="str">
        <f aca="false">IF(ORCAMENTO!C15="","",ORCAMENTO!C15)</f>
        <v>INDIRETOS</v>
      </c>
      <c r="D17" s="32" t="n">
        <f aca="false">IF($B17="",0,ORCAMENTO!E15)</f>
        <v>21271106.08</v>
      </c>
      <c r="E17" s="19" t="n">
        <f aca="false">IF($B17="",0,SUMIFS(INCORRIDO!$C$6:$C$5005,INCORRIDO!$D$6:$D$5005,$B17,INCORRIDO!$E$6:$E$5005,"&lt;="&amp;PARAMETROS!$C$12))</f>
        <v>3300360.16</v>
      </c>
      <c r="F17" s="19" t="n">
        <f aca="false">IF($B17="",0,SUMIFS(INCORRIDO!$C$6:$C$5005,INCORRIDO!$D$6:$D$5005,$B17,INCORRIDO!$E$6:$E$5005,"&gt;"&amp;PARAMETROS!$C$12))</f>
        <v>475302.52</v>
      </c>
      <c r="G17" s="19" t="n">
        <f aca="false">MAX(0,D17-E17-F17)</f>
        <v>17495443.4</v>
      </c>
      <c r="H17" s="32" t="n">
        <f aca="false">CURVA!H17</f>
        <v>17058053.85</v>
      </c>
      <c r="I17" s="19" t="n">
        <f aca="false">SUM(J17:CC17)</f>
        <v>21271106.08</v>
      </c>
      <c r="J17" s="19" t="n">
        <f aca="false">IF($B17="",0,SUMIFS(INCORRIDO!$C$6:$C$5005,INCORRIDO!$D$6:$D$5005,$B17,INCORRIDO!$E$6:$E$5005,"&lt;="&amp;J$7)+IF(J$7&gt;PARAMETROS!$C$12,IF($H17&gt;0,$G17*CURVA!J17/$H17,0)*J$6,0))</f>
        <v>387208.85</v>
      </c>
      <c r="K17" s="19" t="n">
        <f aca="false">IF($B17="",0,SUMIFS(INCORRIDO!$C$6:$C$5005,INCORRIDO!$D$6:$D$5005,$B17,INCORRIDO!$E$6:$E$5005,K$7)+IF(K$7&gt;PARAMETROS!$C$12,IF($H17&gt;0,$G17*CURVA!K17/$H17,0)*K$6,0))</f>
        <v>940</v>
      </c>
      <c r="L17" s="19" t="n">
        <f aca="false">IF($B17="",0,SUMIFS(INCORRIDO!$C$6:$C$5005,INCORRIDO!$D$6:$D$5005,$B17,INCORRIDO!$E$6:$E$5005,L$7)+IF(L$7&gt;PARAMETROS!$C$12,IF($H17&gt;0,$G17*CURVA!L17/$H17,0)*L$6,0))</f>
        <v>61357.36</v>
      </c>
      <c r="M17" s="19" t="n">
        <f aca="false">IF($B17="",0,SUMIFS(INCORRIDO!$C$6:$C$5005,INCORRIDO!$D$6:$D$5005,$B17,INCORRIDO!$E$6:$E$5005,M$7)+IF(M$7&gt;PARAMETROS!$C$12,IF($H17&gt;0,$G17*CURVA!M17/$H17,0)*M$6,0))</f>
        <v>118973.07</v>
      </c>
      <c r="N17" s="19" t="n">
        <f aca="false">IF($B17="",0,SUMIFS(INCORRIDO!$C$6:$C$5005,INCORRIDO!$D$6:$D$5005,$B17,INCORRIDO!$E$6:$E$5005,N$7)+IF(N$7&gt;PARAMETROS!$C$12,IF($H17&gt;0,$G17*CURVA!N17/$H17,0)*N$6,0))</f>
        <v>60617.36</v>
      </c>
      <c r="O17" s="19" t="n">
        <f aca="false">IF($B17="",0,SUMIFS(INCORRIDO!$C$6:$C$5005,INCORRIDO!$D$6:$D$5005,$B17,INCORRIDO!$E$6:$E$5005,O$7)+IF(O$7&gt;PARAMETROS!$C$12,IF($H17&gt;0,$G17*CURVA!O17/$H17,0)*O$6,0))</f>
        <v>23912.84</v>
      </c>
      <c r="P17" s="19" t="n">
        <f aca="false">IF($B17="",0,SUMIFS(INCORRIDO!$C$6:$C$5005,INCORRIDO!$D$6:$D$5005,$B17,INCORRIDO!$E$6:$E$5005,P$7)+IF(P$7&gt;PARAMETROS!$C$12,IF($H17&gt;0,$G17*CURVA!P17/$H17,0)*P$6,0))</f>
        <v>27131.75</v>
      </c>
      <c r="Q17" s="19" t="n">
        <f aca="false">IF($B17="",0,SUMIFS(INCORRIDO!$C$6:$C$5005,INCORRIDO!$D$6:$D$5005,$B17,INCORRIDO!$E$6:$E$5005,Q$7)+IF(Q$7&gt;PARAMETROS!$C$12,IF($H17&gt;0,$G17*CURVA!Q17/$H17,0)*Q$6,0))</f>
        <v>51487.59</v>
      </c>
      <c r="R17" s="19" t="n">
        <f aca="false">IF($B17="",0,SUMIFS(INCORRIDO!$C$6:$C$5005,INCORRIDO!$D$6:$D$5005,$B17,INCORRIDO!$E$6:$E$5005,R$7)+IF(R$7&gt;PARAMETROS!$C$12,IF($H17&gt;0,$G17*CURVA!R17/$H17,0)*R$6,0))</f>
        <v>89901.3</v>
      </c>
      <c r="S17" s="19" t="n">
        <f aca="false">IF($B17="",0,SUMIFS(INCORRIDO!$C$6:$C$5005,INCORRIDO!$D$6:$D$5005,$B17,INCORRIDO!$E$6:$E$5005,S$7)+IF(S$7&gt;PARAMETROS!$C$12,IF($H17&gt;0,$G17*CURVA!S17/$H17,0)*S$6,0))</f>
        <v>109406.48</v>
      </c>
      <c r="T17" s="19" t="n">
        <f aca="false">IF($B17="",0,SUMIFS(INCORRIDO!$C$6:$C$5005,INCORRIDO!$D$6:$D$5005,$B17,INCORRIDO!$E$6:$E$5005,T$7)+IF(T$7&gt;PARAMETROS!$C$12,IF($H17&gt;0,$G17*CURVA!T17/$H17,0)*T$6,0))</f>
        <v>164098.29</v>
      </c>
      <c r="U17" s="19" t="n">
        <f aca="false">IF($B17="",0,SUMIFS(INCORRIDO!$C$6:$C$5005,INCORRIDO!$D$6:$D$5005,$B17,INCORRIDO!$E$6:$E$5005,U$7)+IF(U$7&gt;PARAMETROS!$C$12,IF($H17&gt;0,$G17*CURVA!U17/$H17,0)*U$6,0))</f>
        <v>234224.1</v>
      </c>
      <c r="V17" s="19" t="n">
        <f aca="false">IF($B17="",0,SUMIFS(INCORRIDO!$C$6:$C$5005,INCORRIDO!$D$6:$D$5005,$B17,INCORRIDO!$E$6:$E$5005,V$7)+IF(V$7&gt;PARAMETROS!$C$12,IF($H17&gt;0,$G17*CURVA!V17/$H17,0)*V$6,0))</f>
        <v>187300.46</v>
      </c>
      <c r="W17" s="19" t="n">
        <f aca="false">IF($B17="",0,SUMIFS(INCORRIDO!$C$6:$C$5005,INCORRIDO!$D$6:$D$5005,$B17,INCORRIDO!$E$6:$E$5005,W$7)+IF(W$7&gt;PARAMETROS!$C$12,IF($H17&gt;0,$G17*CURVA!W17/$H17,0)*W$6,0))</f>
        <v>207035.09</v>
      </c>
      <c r="X17" s="19" t="n">
        <f aca="false">IF($B17="",0,SUMIFS(INCORRIDO!$C$6:$C$5005,INCORRIDO!$D$6:$D$5005,$B17,INCORRIDO!$E$6:$E$5005,X$7)+IF(X$7&gt;PARAMETROS!$C$12,IF($H17&gt;0,$G17*CURVA!X17/$H17,0)*X$6,0))</f>
        <v>189783.71</v>
      </c>
      <c r="Y17" s="19" t="n">
        <f aca="false">IF($B17="",0,SUMIFS(INCORRIDO!$C$6:$C$5005,INCORRIDO!$D$6:$D$5005,$B17,INCORRIDO!$E$6:$E$5005,Y$7)+IF(Y$7&gt;PARAMETROS!$C$12,IF($H17&gt;0,$G17*CURVA!Y17/$H17,0)*Y$6,0))</f>
        <v>215160.73</v>
      </c>
      <c r="Z17" s="19" t="n">
        <f aca="false">IF($B17="",0,SUMIFS(INCORRIDO!$C$6:$C$5005,INCORRIDO!$D$6:$D$5005,$B17,INCORRIDO!$E$6:$E$5005,Z$7)+IF(Z$7&gt;PARAMETROS!$C$12,IF($H17&gt;0,$G17*CURVA!Z17/$H17,0)*Z$6,0))</f>
        <v>203548.11</v>
      </c>
      <c r="AA17" s="19" t="n">
        <f aca="false">IF($B17="",0,SUMIFS(INCORRIDO!$C$6:$C$5005,INCORRIDO!$D$6:$D$5005,$B17,INCORRIDO!$E$6:$E$5005,AA$7)+IF(AA$7&gt;PARAMETROS!$C$12,IF($H17&gt;0,$G17*CURVA!AA17/$H17,0)*AA$6,0))</f>
        <v>207785.71</v>
      </c>
      <c r="AB17" s="19" t="n">
        <f aca="false">IF($B17="",0,SUMIFS(INCORRIDO!$C$6:$C$5005,INCORRIDO!$D$6:$D$5005,$B17,INCORRIDO!$E$6:$E$5005,AB$7)+IF(AB$7&gt;PARAMETROS!$C$12,IF($H17&gt;0,$G17*CURVA!AB17/$H17,0)*AB$6,0))</f>
        <v>205254.17</v>
      </c>
      <c r="AC17" s="19" t="n">
        <f aca="false">IF($B17="",0,SUMIFS(INCORRIDO!$C$6:$C$5005,INCORRIDO!$D$6:$D$5005,$B17,INCORRIDO!$E$6:$E$5005,AC$7)+IF(AC$7&gt;PARAMETROS!$C$12,IF($H17&gt;0,$G17*CURVA!AC17/$H17,0)*AC$6,0))</f>
        <v>256382.45</v>
      </c>
      <c r="AD17" s="19" t="n">
        <f aca="false">IF($B17="",0,SUMIFS(INCORRIDO!$C$6:$C$5005,INCORRIDO!$D$6:$D$5005,$B17,INCORRIDO!$E$6:$E$5005,AD$7)+IF(AD$7&gt;PARAMETROS!$C$12,IF($H17&gt;0,$G17*CURVA!AD17/$H17,0)*AD$6,0))</f>
        <v>298850.74</v>
      </c>
      <c r="AE17" s="19" t="n">
        <f aca="false">IF($B17="",0,SUMIFS(INCORRIDO!$C$6:$C$5005,INCORRIDO!$D$6:$D$5005,$B17,INCORRIDO!$E$6:$E$5005,AE$7)+IF(AE$7&gt;PARAMETROS!$C$12,IF($H17&gt;0,$G17*CURVA!AE17/$H17,0)*AE$6,0))</f>
        <v>338530.402004608</v>
      </c>
      <c r="AF17" s="19" t="n">
        <f aca="false">IF($B17="",0,SUMIFS(INCORRIDO!$C$6:$C$5005,INCORRIDO!$D$6:$D$5005,$B17,INCORRIDO!$E$6:$E$5005,AF$7)+IF(AF$7&gt;PARAMETROS!$C$12,IF($H17&gt;0,$G17*CURVA!AF17/$H17,0)*AF$6,0))</f>
        <v>341354.99970917</v>
      </c>
      <c r="AG17" s="19" t="n">
        <f aca="false">IF($B17="",0,SUMIFS(INCORRIDO!$C$6:$C$5005,INCORRIDO!$D$6:$D$5005,$B17,INCORRIDO!$E$6:$E$5005,AG$7)+IF(AG$7&gt;PARAMETROS!$C$12,IF($H17&gt;0,$G17*CURVA!AG17/$H17,0)*AG$6,0))</f>
        <v>383622.922122915</v>
      </c>
      <c r="AH17" s="19" t="n">
        <f aca="false">IF($B17="",0,SUMIFS(INCORRIDO!$C$6:$C$5005,INCORRIDO!$D$6:$D$5005,$B17,INCORRIDO!$E$6:$E$5005,AH$7)+IF(AH$7&gt;PARAMETROS!$C$12,IF($H17&gt;0,$G17*CURVA!AH17/$H17,0)*AH$6,0))</f>
        <v>428625.979777042</v>
      </c>
      <c r="AI17" s="19" t="n">
        <f aca="false">IF($B17="",0,SUMIFS(INCORRIDO!$C$6:$C$5005,INCORRIDO!$D$6:$D$5005,$B17,INCORRIDO!$E$6:$E$5005,AI$7)+IF(AI$7&gt;PARAMETROS!$C$12,IF($H17&gt;0,$G17*CURVA!AI17/$H17,0)*AI$6,0))</f>
        <v>502125.563074007</v>
      </c>
      <c r="AJ17" s="19" t="n">
        <f aca="false">IF($B17="",0,SUMIFS(INCORRIDO!$C$6:$C$5005,INCORRIDO!$D$6:$D$5005,$B17,INCORRIDO!$E$6:$E$5005,AJ$7)+IF(AJ$7&gt;PARAMETROS!$C$12,IF($H17&gt;0,$G17*CURVA!AJ17/$H17,0)*AJ$6,0))</f>
        <v>451980.589035903</v>
      </c>
      <c r="AK17" s="19" t="n">
        <f aca="false">IF($B17="",0,SUMIFS(INCORRIDO!$C$6:$C$5005,INCORRIDO!$D$6:$D$5005,$B17,INCORRIDO!$E$6:$E$5005,AK$7)+IF(AK$7&gt;PARAMETROS!$C$12,IF($H17&gt;0,$G17*CURVA!AK17/$H17,0)*AK$6,0))</f>
        <v>451924.558580567</v>
      </c>
      <c r="AL17" s="19" t="n">
        <f aca="false">IF($B17="",0,SUMIFS(INCORRIDO!$C$6:$C$5005,INCORRIDO!$D$6:$D$5005,$B17,INCORRIDO!$E$6:$E$5005,AL$7)+IF(AL$7&gt;PARAMETROS!$C$12,IF($H17&gt;0,$G17*CURVA!AL17/$H17,0)*AL$6,0))</f>
        <v>462539.663186365</v>
      </c>
      <c r="AM17" s="19" t="n">
        <f aca="false">IF($B17="",0,SUMIFS(INCORRIDO!$C$6:$C$5005,INCORRIDO!$D$6:$D$5005,$B17,INCORRIDO!$E$6:$E$5005,AM$7)+IF(AM$7&gt;PARAMETROS!$C$12,IF($H17&gt;0,$G17*CURVA!AM17/$H17,0)*AM$6,0))</f>
        <v>468223.869469202</v>
      </c>
      <c r="AN17" s="19" t="n">
        <f aca="false">IF($B17="",0,SUMIFS(INCORRIDO!$C$6:$C$5005,INCORRIDO!$D$6:$D$5005,$B17,INCORRIDO!$E$6:$E$5005,AN$7)+IF(AN$7&gt;PARAMETROS!$C$12,IF($H17&gt;0,$G17*CURVA!AN17/$H17,0)*AN$6,0))</f>
        <v>468223.869469202</v>
      </c>
      <c r="AO17" s="19" t="n">
        <f aca="false">IF($B17="",0,SUMIFS(INCORRIDO!$C$6:$C$5005,INCORRIDO!$D$6:$D$5005,$B17,INCORRIDO!$E$6:$E$5005,AO$7)+IF(AO$7&gt;PARAMETROS!$C$12,IF($H17&gt;0,$G17*CURVA!AO17/$H17,0)*AO$6,0))</f>
        <v>468223.869469202</v>
      </c>
      <c r="AP17" s="19" t="n">
        <f aca="false">IF($B17="",0,SUMIFS(INCORRIDO!$C$6:$C$5005,INCORRIDO!$D$6:$D$5005,$B17,INCORRIDO!$E$6:$E$5005,AP$7)+IF(AP$7&gt;PARAMETROS!$C$12,IF($H17&gt;0,$G17*CURVA!AP17/$H17,0)*AP$6,0))</f>
        <v>476506.189100306</v>
      </c>
      <c r="AQ17" s="19" t="n">
        <f aca="false">IF($B17="",0,SUMIFS(INCORRIDO!$C$6:$C$5005,INCORRIDO!$D$6:$D$5005,$B17,INCORRIDO!$E$6:$E$5005,AQ$7)+IF(AQ$7&gt;PARAMETROS!$C$12,IF($H17&gt;0,$G17*CURVA!AQ17/$H17,0)*AQ$6,0))</f>
        <v>476506.189100306</v>
      </c>
      <c r="AR17" s="19" t="n">
        <f aca="false">IF($B17="",0,SUMIFS(INCORRIDO!$C$6:$C$5005,INCORRIDO!$D$6:$D$5005,$B17,INCORRIDO!$E$6:$E$5005,AR$7)+IF(AR$7&gt;PARAMETROS!$C$12,IF($H17&gt;0,$G17*CURVA!AR17/$H17,0)*AR$6,0))</f>
        <v>476484.04738194</v>
      </c>
      <c r="AS17" s="19" t="n">
        <f aca="false">IF($B17="",0,SUMIFS(INCORRIDO!$C$6:$C$5005,INCORRIDO!$D$6:$D$5005,$B17,INCORRIDO!$E$6:$E$5005,AS$7)+IF(AS$7&gt;PARAMETROS!$C$12,IF($H17&gt;0,$G17*CURVA!AS17/$H17,0)*AS$6,0))</f>
        <v>607421.590052101</v>
      </c>
      <c r="AT17" s="19" t="n">
        <f aca="false">IF($B17="",0,SUMIFS(INCORRIDO!$C$6:$C$5005,INCORRIDO!$D$6:$D$5005,$B17,INCORRIDO!$E$6:$E$5005,AT$7)+IF(AT$7&gt;PARAMETROS!$C$12,IF($H17&gt;0,$G17*CURVA!AT17/$H17,0)*AT$6,0))</f>
        <v>607204.87829129</v>
      </c>
      <c r="AU17" s="19" t="n">
        <f aca="false">IF($B17="",0,SUMIFS(INCORRIDO!$C$6:$C$5005,INCORRIDO!$D$6:$D$5005,$B17,INCORRIDO!$E$6:$E$5005,AU$7)+IF(AU$7&gt;PARAMETROS!$C$12,IF($H17&gt;0,$G17*CURVA!AU17/$H17,0)*AU$6,0))</f>
        <v>476506.189100306</v>
      </c>
      <c r="AV17" s="19" t="n">
        <f aca="false">IF($B17="",0,SUMIFS(INCORRIDO!$C$6:$C$5005,INCORRIDO!$D$6:$D$5005,$B17,INCORRIDO!$E$6:$E$5005,AV$7)+IF(AV$7&gt;PARAMETROS!$C$12,IF($H17&gt;0,$G17*CURVA!AV17/$H17,0)*AV$6,0))</f>
        <v>476506.189100306</v>
      </c>
      <c r="AW17" s="19" t="n">
        <f aca="false">IF($B17="",0,SUMIFS(INCORRIDO!$C$6:$C$5005,INCORRIDO!$D$6:$D$5005,$B17,INCORRIDO!$E$6:$E$5005,AW$7)+IF(AW$7&gt;PARAMETROS!$C$12,IF($H17&gt;0,$G17*CURVA!AW17/$H17,0)*AW$6,0))</f>
        <v>476506.189100306</v>
      </c>
      <c r="AX17" s="19" t="n">
        <f aca="false">IF($B17="",0,SUMIFS(INCORRIDO!$C$6:$C$5005,INCORRIDO!$D$6:$D$5005,$B17,INCORRIDO!$E$6:$E$5005,AX$7)+IF(AX$7&gt;PARAMETROS!$C$12,IF($H17&gt;0,$G17*CURVA!AX17/$H17,0)*AX$6,0))</f>
        <v>457907.98019425</v>
      </c>
      <c r="AY17" s="19" t="n">
        <f aca="false">IF($B17="",0,SUMIFS(INCORRIDO!$C$6:$C$5005,INCORRIDO!$D$6:$D$5005,$B17,INCORRIDO!$E$6:$E$5005,AY$7)+IF(AY$7&gt;PARAMETROS!$C$12,IF($H17&gt;0,$G17*CURVA!AY17/$H17,0)*AY$6,0))</f>
        <v>457907.98019425</v>
      </c>
      <c r="AZ17" s="19" t="n">
        <f aca="false">IF($B17="",0,SUMIFS(INCORRIDO!$C$6:$C$5005,INCORRIDO!$D$6:$D$5005,$B17,INCORRIDO!$E$6:$E$5005,AZ$7)+IF(AZ$7&gt;PARAMETROS!$C$12,IF($H17&gt;0,$G17*CURVA!AZ17/$H17,0)*AZ$6,0))</f>
        <v>457907.98019425</v>
      </c>
      <c r="BA17" s="19" t="n">
        <f aca="false">IF($B17="",0,SUMIFS(INCORRIDO!$C$6:$C$5005,INCORRIDO!$D$6:$D$5005,$B17,INCORRIDO!$E$6:$E$5005,BA$7)+IF(BA$7&gt;PARAMETROS!$C$12,IF($H17&gt;0,$G17*CURVA!BA17/$H17,0)*BA$6,0))</f>
        <v>441239.853731533</v>
      </c>
      <c r="BB17" s="19" t="n">
        <f aca="false">IF($B17="",0,SUMIFS(INCORRIDO!$C$6:$C$5005,INCORRIDO!$D$6:$D$5005,$B17,INCORRIDO!$E$6:$E$5005,BB$7)+IF(BB$7&gt;PARAMETROS!$C$12,IF($H17&gt;0,$G17*CURVA!BB17/$H17,0)*BB$6,0))</f>
        <v>419513.890343983</v>
      </c>
      <c r="BC17" s="19" t="n">
        <f aca="false">IF($B17="",0,SUMIFS(INCORRIDO!$C$6:$C$5005,INCORRIDO!$D$6:$D$5005,$B17,INCORRIDO!$E$6:$E$5005,BC$7)+IF(BC$7&gt;PARAMETROS!$C$12,IF($H17&gt;0,$G17*CURVA!BC17/$H17,0)*BC$6,0))</f>
        <v>419513.890343983</v>
      </c>
      <c r="BD17" s="19" t="n">
        <f aca="false">IF($B17="",0,SUMIFS(INCORRIDO!$C$6:$C$5005,INCORRIDO!$D$6:$D$5005,$B17,INCORRIDO!$E$6:$E$5005,BD$7)+IF(BD$7&gt;PARAMETROS!$C$12,IF($H17&gt;0,$G17*CURVA!BD17/$H17,0)*BD$6,0))</f>
        <v>419513.890343983</v>
      </c>
      <c r="BE17" s="19" t="n">
        <f aca="false">IF($B17="",0,SUMIFS(INCORRIDO!$C$6:$C$5005,INCORRIDO!$D$6:$D$5005,$B17,INCORRIDO!$E$6:$E$5005,BE$7)+IF(BE$7&gt;PARAMETROS!$C$12,IF($H17&gt;0,$G17*CURVA!BE17/$H17,0)*BE$6,0))</f>
        <v>595379.895298381</v>
      </c>
      <c r="BF17" s="19" t="n">
        <f aca="false">IF($B17="",0,SUMIFS(INCORRIDO!$C$6:$C$5005,INCORRIDO!$D$6:$D$5005,$B17,INCORRIDO!$E$6:$E$5005,BF$7)+IF(BF$7&gt;PARAMETROS!$C$12,IF($H17&gt;0,$G17*CURVA!BF17/$H17,0)*BF$6,0))</f>
        <v>621294.833895811</v>
      </c>
      <c r="BG17" s="19" t="n">
        <f aca="false">IF($B17="",0,SUMIFS(INCORRIDO!$C$6:$C$5005,INCORRIDO!$D$6:$D$5005,$B17,INCORRIDO!$E$6:$E$5005,BG$7)+IF(BG$7&gt;PARAMETROS!$C$12,IF($H17&gt;0,$G17*CURVA!BG17/$H17,0)*BG$6,0))</f>
        <v>485613.83197598</v>
      </c>
      <c r="BH17" s="19" t="n">
        <f aca="false">IF($B17="",0,SUMIFS(INCORRIDO!$C$6:$C$5005,INCORRIDO!$D$6:$D$5005,$B17,INCORRIDO!$E$6:$E$5005,BH$7)+IF(BH$7&gt;PARAMETROS!$C$12,IF($H17&gt;0,$G17*CURVA!BH17/$H17,0)*BH$6,0))</f>
        <v>449148.809184232</v>
      </c>
      <c r="BI17" s="19" t="n">
        <f aca="false">IF($B17="",0,SUMIFS(INCORRIDO!$C$6:$C$5005,INCORRIDO!$D$6:$D$5005,$B17,INCORRIDO!$E$6:$E$5005,BI$7)+IF(BI$7&gt;PARAMETROS!$C$12,IF($H17&gt;0,$G17*CURVA!BI17/$H17,0)*BI$6,0))</f>
        <v>449148.809184232</v>
      </c>
      <c r="BJ17" s="19" t="n">
        <f aca="false">IF($B17="",0,SUMIFS(INCORRIDO!$C$6:$C$5005,INCORRIDO!$D$6:$D$5005,$B17,INCORRIDO!$E$6:$E$5005,BJ$7)+IF(BJ$7&gt;PARAMETROS!$C$12,IF($H17&gt;0,$G17*CURVA!BJ17/$H17,0)*BJ$6,0))</f>
        <v>631301.594902842</v>
      </c>
      <c r="BK17" s="19" t="n">
        <f aca="false">IF($B17="",0,SUMIFS(INCORRIDO!$C$6:$C$5005,INCORRIDO!$D$6:$D$5005,$B17,INCORRIDO!$E$6:$E$5005,BK$7)+IF(BK$7&gt;PARAMETROS!$C$12,IF($H17&gt;0,$G17*CURVA!BK17/$H17,0)*BK$6,0))</f>
        <v>167318.126294992</v>
      </c>
      <c r="BL17" s="19" t="n">
        <f aca="false">IF($B17="",0,SUMIFS(INCORRIDO!$C$6:$C$5005,INCORRIDO!$D$6:$D$5005,$B17,INCORRIDO!$E$6:$E$5005,BL$7)+IF(BL$7&gt;PARAMETROS!$C$12,IF($H17&gt;0,$G17*CURVA!BL17/$H17,0)*BL$6,0))</f>
        <v>64997.490126005</v>
      </c>
      <c r="BM17" s="19" t="n">
        <f aca="false">IF($B17="",0,SUMIFS(INCORRIDO!$C$6:$C$5005,INCORRIDO!$D$6:$D$5005,$B17,INCORRIDO!$E$6:$E$5005,BM$7)+IF(BM$7&gt;PARAMETROS!$C$12,IF($H17&gt;0,$G17*CURVA!BM17/$H17,0)*BM$6,0))</f>
        <v>64997.490126005</v>
      </c>
      <c r="BN17" s="19" t="n">
        <f aca="false">IF($B17="",0,SUMIFS(INCORRIDO!$C$6:$C$5005,INCORRIDO!$D$6:$D$5005,$B17,INCORRIDO!$E$6:$E$5005,BN$7)+IF(BN$7&gt;PARAMETROS!$C$12,IF($H17&gt;0,$G17*CURVA!BN17/$H17,0)*BN$6,0))</f>
        <v>0</v>
      </c>
      <c r="BO17" s="19" t="n">
        <f aca="false">IF($B17="",0,SUMIFS(INCORRIDO!$C$6:$C$5005,INCORRIDO!$D$6:$D$5005,$B17,INCORRIDO!$E$6:$E$5005,BO$7)+IF(BO$7&gt;PARAMETROS!$C$12,IF($H17&gt;0,$G17*CURVA!BO17/$H17,0)*BO$6,0))</f>
        <v>0</v>
      </c>
      <c r="BP17" s="19" t="n">
        <f aca="false">IF($B17="",0,SUMIFS(INCORRIDO!$C$6:$C$5005,INCORRIDO!$D$6:$D$5005,$B17,INCORRIDO!$E$6:$E$5005,BP$7)+IF(BP$7&gt;PARAMETROS!$C$12,IF($H17&gt;0,$G17*CURVA!BP17/$H17,0)*BP$6,0))</f>
        <v>2529021.82654024</v>
      </c>
      <c r="BQ17" s="19" t="n">
        <f aca="false">IF($B17="",0,SUMIFS(INCORRIDO!$C$6:$C$5005,INCORRIDO!$D$6:$D$5005,$B17,INCORRIDO!$E$6:$E$5005,BQ$7)+IF(BQ$7&gt;PARAMETROS!$C$12,IF($H17&gt;0,$G17*CURVA!BQ17/$H17,0)*BQ$6,0))</f>
        <v>0</v>
      </c>
      <c r="BR17" s="19" t="n">
        <f aca="false">IF($B17="",0,SUMIFS(INCORRIDO!$C$6:$C$5005,INCORRIDO!$D$6:$D$5005,$B17,INCORRIDO!$E$6:$E$5005,BR$7)+IF(BR$7&gt;PARAMETROS!$C$12,IF($H17&gt;0,$G17*CURVA!BR17/$H17,0)*BR$6,0))</f>
        <v>0</v>
      </c>
      <c r="BS17" s="19" t="n">
        <f aca="false">IF($B17="",0,SUMIFS(INCORRIDO!$C$6:$C$5005,INCORRIDO!$D$6:$D$5005,$B17,INCORRIDO!$E$6:$E$5005,BS$7)+IF(BS$7&gt;PARAMETROS!$C$12,IF($H17&gt;0,$G17*CURVA!BS17/$H17,0)*BS$6,0))</f>
        <v>0</v>
      </c>
      <c r="BT17" s="19" t="n">
        <f aca="false">IF($B17="",0,SUMIFS(INCORRIDO!$C$6:$C$5005,INCORRIDO!$D$6:$D$5005,$B17,INCORRIDO!$E$6:$E$5005,BT$7)+IF(BT$7&gt;PARAMETROS!$C$12,IF($H17&gt;0,$G17*CURVA!BT17/$H17,0)*BT$6,0))</f>
        <v>0</v>
      </c>
      <c r="BU17" s="19" t="n">
        <f aca="false">IF($B17="",0,SUMIFS(INCORRIDO!$C$6:$C$5005,INCORRIDO!$D$6:$D$5005,$B17,INCORRIDO!$E$6:$E$5005,BU$7)+IF(BU$7&gt;PARAMETROS!$C$12,IF($H17&gt;0,$G17*CURVA!BU17/$H17,0)*BU$6,0))</f>
        <v>0</v>
      </c>
      <c r="BV17" s="19" t="n">
        <f aca="false">IF($B17="",0,SUMIFS(INCORRIDO!$C$6:$C$5005,INCORRIDO!$D$6:$D$5005,$B17,INCORRIDO!$E$6:$E$5005,BV$7)+IF(BV$7&gt;PARAMETROS!$C$12,IF($H17&gt;0,$G17*CURVA!BV17/$H17,0)*BV$6,0))</f>
        <v>0</v>
      </c>
      <c r="BW17" s="19" t="n">
        <f aca="false">IF($B17="",0,SUMIFS(INCORRIDO!$C$6:$C$5005,INCORRIDO!$D$6:$D$5005,$B17,INCORRIDO!$E$6:$E$5005,BW$7)+IF(BW$7&gt;PARAMETROS!$C$12,IF($H17&gt;0,$G17*CURVA!BW17/$H17,0)*BW$6,0))</f>
        <v>0</v>
      </c>
      <c r="BX17" s="19" t="n">
        <f aca="false">IF($B17="",0,SUMIFS(INCORRIDO!$C$6:$C$5005,INCORRIDO!$D$6:$D$5005,$B17,INCORRIDO!$E$6:$E$5005,BX$7)+IF(BX$7&gt;PARAMETROS!$C$12,IF($H17&gt;0,$G17*CURVA!BX17/$H17,0)*BX$6,0))</f>
        <v>0</v>
      </c>
      <c r="BY17" s="19" t="n">
        <f aca="false">IF($B17="",0,SUMIFS(INCORRIDO!$C$6:$C$5005,INCORRIDO!$D$6:$D$5005,$B17,INCORRIDO!$E$6:$E$5005,BY$7)+IF(BY$7&gt;PARAMETROS!$C$12,IF($H17&gt;0,$G17*CURVA!BY17/$H17,0)*BY$6,0))</f>
        <v>0</v>
      </c>
      <c r="BZ17" s="19" t="n">
        <f aca="false">IF($B17="",0,SUMIFS(INCORRIDO!$C$6:$C$5005,INCORRIDO!$D$6:$D$5005,$B17,INCORRIDO!$E$6:$E$5005,BZ$7)+IF(BZ$7&gt;PARAMETROS!$C$12,IF($H17&gt;0,$G17*CURVA!BZ17/$H17,0)*BZ$6,0))</f>
        <v>0</v>
      </c>
      <c r="CA17" s="19" t="n">
        <f aca="false">IF($B17="",0,SUMIFS(INCORRIDO!$C$6:$C$5005,INCORRIDO!$D$6:$D$5005,$B17,INCORRIDO!$E$6:$E$5005,CA$7)+IF(CA$7&gt;PARAMETROS!$C$12,IF($H17&gt;0,$G17*CURVA!CA17/$H17,0)*CA$6,0))</f>
        <v>0</v>
      </c>
      <c r="CB17" s="19" t="n">
        <f aca="false">IF($B17="",0,SUMIFS(INCORRIDO!$C$6:$C$5005,INCORRIDO!$D$6:$D$5005,$B17,INCORRIDO!$E$6:$E$5005,CB$7)+IF(CB$7&gt;PARAMETROS!$C$12,IF($H17&gt;0,$G17*CURVA!CB17/$H17,0)*CB$6,0))</f>
        <v>0</v>
      </c>
      <c r="CC17" s="19" t="n">
        <f aca="false">IF($B17="",0,SUMIFS(INCORRIDO!$C$6:$C$5005,INCORRIDO!$D$6:$D$5005,$B17,INCORRIDO!$E$6:$E$5005,CC$7)+IF(CC$7&gt;PARAMETROS!$C$12,IF($H17&gt;0,$G17*CURVA!CC17/$H17,0)*CC$6,0))</f>
        <v>0</v>
      </c>
    </row>
    <row r="18" customFormat="false" ht="15" hidden="false" customHeight="false" outlineLevel="0" collapsed="false">
      <c r="A18" s="31" t="str">
        <f aca="false">IF(ORCAMENTO!A16="","",ORCAMENTO!A16)</f>
        <v>11</v>
      </c>
      <c r="B18" s="31" t="str">
        <f aca="false">IF(ORCAMENTO!B16="","",ORCAMENTO!B16)</f>
        <v>EQUIPAMENTOS E FERRAMENTAS</v>
      </c>
      <c r="C18" s="31" t="str">
        <f aca="false">IF(ORCAMENTO!C16="","",ORCAMENTO!C16)</f>
        <v>INDIRETOS</v>
      </c>
      <c r="D18" s="32" t="n">
        <f aca="false">IF($B18="",0,ORCAMENTO!E16)</f>
        <v>6774432.94</v>
      </c>
      <c r="E18" s="19" t="n">
        <f aca="false">IF($B18="",0,SUMIFS(INCORRIDO!$C$6:$C$5005,INCORRIDO!$D$6:$D$5005,$B18,INCORRIDO!$E$6:$E$5005,"&lt;="&amp;PARAMETROS!$C$12))</f>
        <v>543667.72</v>
      </c>
      <c r="F18" s="19" t="n">
        <f aca="false">IF($B18="",0,SUMIFS(INCORRIDO!$C$6:$C$5005,INCORRIDO!$D$6:$D$5005,$B18,INCORRIDO!$E$6:$E$5005,"&gt;"&amp;PARAMETROS!$C$12))</f>
        <v>102156.96</v>
      </c>
      <c r="G18" s="19" t="n">
        <f aca="false">MAX(0,D18-E18-F18)</f>
        <v>6128608.26</v>
      </c>
      <c r="H18" s="32" t="n">
        <f aca="false">CURVA!H18</f>
        <v>6128608.3</v>
      </c>
      <c r="I18" s="19" t="n">
        <f aca="false">SUM(J18:CC18)</f>
        <v>6774432.94</v>
      </c>
      <c r="J18" s="19" t="n">
        <f aca="false">IF($B18="",0,SUMIFS(INCORRIDO!$C$6:$C$5005,INCORRIDO!$D$6:$D$5005,$B18,INCORRIDO!$E$6:$E$5005,"&lt;="&amp;J$7)+IF(J$7&gt;PARAMETROS!$C$12,IF($H18&gt;0,$G18*CURVA!J18/$H18,0)*J$6,0))</f>
        <v>0</v>
      </c>
      <c r="K18" s="19" t="n">
        <f aca="false">IF($B18="",0,SUMIFS(INCORRIDO!$C$6:$C$5005,INCORRIDO!$D$6:$D$5005,$B18,INCORRIDO!$E$6:$E$5005,K$7)+IF(K$7&gt;PARAMETROS!$C$12,IF($H18&gt;0,$G18*CURVA!K18/$H18,0)*K$6,0))</f>
        <v>0</v>
      </c>
      <c r="L18" s="19" t="n">
        <f aca="false">IF($B18="",0,SUMIFS(INCORRIDO!$C$6:$C$5005,INCORRIDO!$D$6:$D$5005,$B18,INCORRIDO!$E$6:$E$5005,L$7)+IF(L$7&gt;PARAMETROS!$C$12,IF($H18&gt;0,$G18*CURVA!L18/$H18,0)*L$6,0))</f>
        <v>0</v>
      </c>
      <c r="M18" s="19" t="n">
        <f aca="false">IF($B18="",0,SUMIFS(INCORRIDO!$C$6:$C$5005,INCORRIDO!$D$6:$D$5005,$B18,INCORRIDO!$E$6:$E$5005,M$7)+IF(M$7&gt;PARAMETROS!$C$12,IF($H18&gt;0,$G18*CURVA!M18/$H18,0)*M$6,0))</f>
        <v>0</v>
      </c>
      <c r="N18" s="19" t="n">
        <f aca="false">IF($B18="",0,SUMIFS(INCORRIDO!$C$6:$C$5005,INCORRIDO!$D$6:$D$5005,$B18,INCORRIDO!$E$6:$E$5005,N$7)+IF(N$7&gt;PARAMETROS!$C$12,IF($H18&gt;0,$G18*CURVA!N18/$H18,0)*N$6,0))</f>
        <v>0</v>
      </c>
      <c r="O18" s="19" t="n">
        <f aca="false">IF($B18="",0,SUMIFS(INCORRIDO!$C$6:$C$5005,INCORRIDO!$D$6:$D$5005,$B18,INCORRIDO!$E$6:$E$5005,O$7)+IF(O$7&gt;PARAMETROS!$C$12,IF($H18&gt;0,$G18*CURVA!O18/$H18,0)*O$6,0))</f>
        <v>0</v>
      </c>
      <c r="P18" s="19" t="n">
        <f aca="false">IF($B18="",0,SUMIFS(INCORRIDO!$C$6:$C$5005,INCORRIDO!$D$6:$D$5005,$B18,INCORRIDO!$E$6:$E$5005,P$7)+IF(P$7&gt;PARAMETROS!$C$12,IF($H18&gt;0,$G18*CURVA!P18/$H18,0)*P$6,0))</f>
        <v>0</v>
      </c>
      <c r="Q18" s="19" t="n">
        <f aca="false">IF($B18="",0,SUMIFS(INCORRIDO!$C$6:$C$5005,INCORRIDO!$D$6:$D$5005,$B18,INCORRIDO!$E$6:$E$5005,Q$7)+IF(Q$7&gt;PARAMETROS!$C$12,IF($H18&gt;0,$G18*CURVA!Q18/$H18,0)*Q$6,0))</f>
        <v>672.9</v>
      </c>
      <c r="R18" s="19" t="n">
        <f aca="false">IF($B18="",0,SUMIFS(INCORRIDO!$C$6:$C$5005,INCORRIDO!$D$6:$D$5005,$B18,INCORRIDO!$E$6:$E$5005,R$7)+IF(R$7&gt;PARAMETROS!$C$12,IF($H18&gt;0,$G18*CURVA!R18/$H18,0)*R$6,0))</f>
        <v>5281.41</v>
      </c>
      <c r="S18" s="19" t="n">
        <f aca="false">IF($B18="",0,SUMIFS(INCORRIDO!$C$6:$C$5005,INCORRIDO!$D$6:$D$5005,$B18,INCORRIDO!$E$6:$E$5005,S$7)+IF(S$7&gt;PARAMETROS!$C$12,IF($H18&gt;0,$G18*CURVA!S18/$H18,0)*S$6,0))</f>
        <v>6232.49</v>
      </c>
      <c r="T18" s="19" t="n">
        <f aca="false">IF($B18="",0,SUMIFS(INCORRIDO!$C$6:$C$5005,INCORRIDO!$D$6:$D$5005,$B18,INCORRIDO!$E$6:$E$5005,T$7)+IF(T$7&gt;PARAMETROS!$C$12,IF($H18&gt;0,$G18*CURVA!T18/$H18,0)*T$6,0))</f>
        <v>9500.17</v>
      </c>
      <c r="U18" s="19" t="n">
        <f aca="false">IF($B18="",0,SUMIFS(INCORRIDO!$C$6:$C$5005,INCORRIDO!$D$6:$D$5005,$B18,INCORRIDO!$E$6:$E$5005,U$7)+IF(U$7&gt;PARAMETROS!$C$12,IF($H18&gt;0,$G18*CURVA!U18/$H18,0)*U$6,0))</f>
        <v>55945.36</v>
      </c>
      <c r="V18" s="19" t="n">
        <f aca="false">IF($B18="",0,SUMIFS(INCORRIDO!$C$6:$C$5005,INCORRIDO!$D$6:$D$5005,$B18,INCORRIDO!$E$6:$E$5005,V$7)+IF(V$7&gt;PARAMETROS!$C$12,IF($H18&gt;0,$G18*CURVA!V18/$H18,0)*V$6,0))</f>
        <v>58948.93</v>
      </c>
      <c r="W18" s="19" t="n">
        <f aca="false">IF($B18="",0,SUMIFS(INCORRIDO!$C$6:$C$5005,INCORRIDO!$D$6:$D$5005,$B18,INCORRIDO!$E$6:$E$5005,W$7)+IF(W$7&gt;PARAMETROS!$C$12,IF($H18&gt;0,$G18*CURVA!W18/$H18,0)*W$6,0))</f>
        <v>144547.58</v>
      </c>
      <c r="X18" s="19" t="n">
        <f aca="false">IF($B18="",0,SUMIFS(INCORRIDO!$C$6:$C$5005,INCORRIDO!$D$6:$D$5005,$B18,INCORRIDO!$E$6:$E$5005,X$7)+IF(X$7&gt;PARAMETROS!$C$12,IF($H18&gt;0,$G18*CURVA!X18/$H18,0)*X$6,0))</f>
        <v>11787.59</v>
      </c>
      <c r="Y18" s="19" t="n">
        <f aca="false">IF($B18="",0,SUMIFS(INCORRIDO!$C$6:$C$5005,INCORRIDO!$D$6:$D$5005,$B18,INCORRIDO!$E$6:$E$5005,Y$7)+IF(Y$7&gt;PARAMETROS!$C$12,IF($H18&gt;0,$G18*CURVA!Y18/$H18,0)*Y$6,0))</f>
        <v>6734.81</v>
      </c>
      <c r="Z18" s="19" t="n">
        <f aca="false">IF($B18="",0,SUMIFS(INCORRIDO!$C$6:$C$5005,INCORRIDO!$D$6:$D$5005,$B18,INCORRIDO!$E$6:$E$5005,Z$7)+IF(Z$7&gt;PARAMETROS!$C$12,IF($H18&gt;0,$G18*CURVA!Z18/$H18,0)*Z$6,0))</f>
        <v>2323.6</v>
      </c>
      <c r="AA18" s="19" t="n">
        <f aca="false">IF($B18="",0,SUMIFS(INCORRIDO!$C$6:$C$5005,INCORRIDO!$D$6:$D$5005,$B18,INCORRIDO!$E$6:$E$5005,AA$7)+IF(AA$7&gt;PARAMETROS!$C$12,IF($H18&gt;0,$G18*CURVA!AA18/$H18,0)*AA$6,0))</f>
        <v>28516.02</v>
      </c>
      <c r="AB18" s="19" t="n">
        <f aca="false">IF($B18="",0,SUMIFS(INCORRIDO!$C$6:$C$5005,INCORRIDO!$D$6:$D$5005,$B18,INCORRIDO!$E$6:$E$5005,AB$7)+IF(AB$7&gt;PARAMETROS!$C$12,IF($H18&gt;0,$G18*CURVA!AB18/$H18,0)*AB$6,0))</f>
        <v>24451.29</v>
      </c>
      <c r="AC18" s="19" t="n">
        <f aca="false">IF($B18="",0,SUMIFS(INCORRIDO!$C$6:$C$5005,INCORRIDO!$D$6:$D$5005,$B18,INCORRIDO!$E$6:$E$5005,AC$7)+IF(AC$7&gt;PARAMETROS!$C$12,IF($H18&gt;0,$G18*CURVA!AC18/$H18,0)*AC$6,0))</f>
        <v>63176.57</v>
      </c>
      <c r="AD18" s="19" t="n">
        <f aca="false">IF($B18="",0,SUMIFS(INCORRIDO!$C$6:$C$5005,INCORRIDO!$D$6:$D$5005,$B18,INCORRIDO!$E$6:$E$5005,AD$7)+IF(AD$7&gt;PARAMETROS!$C$12,IF($H18&gt;0,$G18*CURVA!AD18/$H18,0)*AD$6,0))</f>
        <v>125549</v>
      </c>
      <c r="AE18" s="19" t="n">
        <f aca="false">IF($B18="",0,SUMIFS(INCORRIDO!$C$6:$C$5005,INCORRIDO!$D$6:$D$5005,$B18,INCORRIDO!$E$6:$E$5005,AE$7)+IF(AE$7&gt;PARAMETROS!$C$12,IF($H18&gt;0,$G18*CURVA!AE18/$H18,0)*AE$6,0))</f>
        <v>183751.969380349</v>
      </c>
      <c r="AF18" s="19" t="n">
        <f aca="false">IF($B18="",0,SUMIFS(INCORRIDO!$C$6:$C$5005,INCORRIDO!$D$6:$D$5005,$B18,INCORRIDO!$E$6:$E$5005,AF$7)+IF(AF$7&gt;PARAMETROS!$C$12,IF($H18&gt;0,$G18*CURVA!AF18/$H18,0)*AF$6,0))</f>
        <v>168502.378965086</v>
      </c>
      <c r="AG18" s="19" t="n">
        <f aca="false">IF($B18="",0,SUMIFS(INCORRIDO!$C$6:$C$5005,INCORRIDO!$D$6:$D$5005,$B18,INCORRIDO!$E$6:$E$5005,AG$7)+IF(AG$7&gt;PARAMETROS!$C$12,IF($H18&gt;0,$G18*CURVA!AG18/$H18,0)*AG$6,0))</f>
        <v>96002.3793750947</v>
      </c>
      <c r="AH18" s="19" t="n">
        <f aca="false">IF($B18="",0,SUMIFS(INCORRIDO!$C$6:$C$5005,INCORRIDO!$D$6:$D$5005,$B18,INCORRIDO!$E$6:$E$5005,AH$7)+IF(AH$7&gt;PARAMETROS!$C$12,IF($H18&gt;0,$G18*CURVA!AH18/$H18,0)*AH$6,0))</f>
        <v>201083.078687578</v>
      </c>
      <c r="AI18" s="19" t="n">
        <f aca="false">IF($B18="",0,SUMIFS(INCORRIDO!$C$6:$C$5005,INCORRIDO!$D$6:$D$5005,$B18,INCORRIDO!$E$6:$E$5005,AI$7)+IF(AI$7&gt;PARAMETROS!$C$12,IF($H18&gt;0,$G18*CURVA!AI18/$H18,0)*AI$6,0))</f>
        <v>98138.3793594737</v>
      </c>
      <c r="AJ18" s="19" t="n">
        <f aca="false">IF($B18="",0,SUMIFS(INCORRIDO!$C$6:$C$5005,INCORRIDO!$D$6:$D$5005,$B18,INCORRIDO!$E$6:$E$5005,AJ$7)+IF(AJ$7&gt;PARAMETROS!$C$12,IF($H18&gt;0,$G18*CURVA!AJ18/$H18,0)*AJ$6,0))</f>
        <v>199363.918708304</v>
      </c>
      <c r="AK18" s="19" t="n">
        <f aca="false">IF($B18="",0,SUMIFS(INCORRIDO!$C$6:$C$5005,INCORRIDO!$D$6:$D$5005,$B18,INCORRIDO!$E$6:$E$5005,AK$7)+IF(AK$7&gt;PARAMETROS!$C$12,IF($H18&gt;0,$G18*CURVA!AK18/$H18,0)*AK$6,0))</f>
        <v>162918.888936666</v>
      </c>
      <c r="AL18" s="19" t="n">
        <f aca="false">IF($B18="",0,SUMIFS(INCORRIDO!$C$6:$C$5005,INCORRIDO!$D$6:$D$5005,$B18,INCORRIDO!$E$6:$E$5005,AL$7)+IF(AL$7&gt;PARAMETROS!$C$12,IF($H18&gt;0,$G18*CURVA!AL18/$H18,0)*AL$6,0))</f>
        <v>169058.888896592</v>
      </c>
      <c r="AM18" s="19" t="n">
        <f aca="false">IF($B18="",0,SUMIFS(INCORRIDO!$C$6:$C$5005,INCORRIDO!$D$6:$D$5005,$B18,INCORRIDO!$E$6:$E$5005,AM$7)+IF(AM$7&gt;PARAMETROS!$C$12,IF($H18&gt;0,$G18*CURVA!AM18/$H18,0)*AM$6,0))</f>
        <v>273009.58821813</v>
      </c>
      <c r="AN18" s="19" t="n">
        <f aca="false">IF($B18="",0,SUMIFS(INCORRIDO!$C$6:$C$5005,INCORRIDO!$D$6:$D$5005,$B18,INCORRIDO!$E$6:$E$5005,AN$7)+IF(AN$7&gt;PARAMETROS!$C$12,IF($H18&gt;0,$G18*CURVA!AN18/$H18,0)*AN$6,0))</f>
        <v>218406.218574513</v>
      </c>
      <c r="AO18" s="19" t="n">
        <f aca="false">IF($B18="",0,SUMIFS(INCORRIDO!$C$6:$C$5005,INCORRIDO!$D$6:$D$5005,$B18,INCORRIDO!$E$6:$E$5005,AO$7)+IF(AO$7&gt;PARAMETROS!$C$12,IF($H18&gt;0,$G18*CURVA!AO18/$H18,0)*AO$6,0))</f>
        <v>267270.568255587</v>
      </c>
      <c r="AP18" s="19" t="n">
        <f aca="false">IF($B18="",0,SUMIFS(INCORRIDO!$C$6:$C$5005,INCORRIDO!$D$6:$D$5005,$B18,INCORRIDO!$E$6:$E$5005,AP$7)+IF(AP$7&gt;PARAMETROS!$C$12,IF($H18&gt;0,$G18*CURVA!AP18/$H18,0)*AP$6,0))</f>
        <v>233262.218477552</v>
      </c>
      <c r="AQ18" s="19" t="n">
        <f aca="false">IF($B18="",0,SUMIFS(INCORRIDO!$C$6:$C$5005,INCORRIDO!$D$6:$D$5005,$B18,INCORRIDO!$E$6:$E$5005,AQ$7)+IF(AQ$7&gt;PARAMETROS!$C$12,IF($H18&gt;0,$G18*CURVA!AQ18/$H18,0)*AQ$6,0))</f>
        <v>229592.218501505</v>
      </c>
      <c r="AR18" s="19" t="n">
        <f aca="false">IF($B18="",0,SUMIFS(INCORRIDO!$C$6:$C$5005,INCORRIDO!$D$6:$D$5005,$B18,INCORRIDO!$E$6:$E$5005,AR$7)+IF(AR$7&gt;PARAMETROS!$C$12,IF($H18&gt;0,$G18*CURVA!AR18/$H18,0)*AR$6,0))</f>
        <v>286769.568128322</v>
      </c>
      <c r="AS18" s="19" t="n">
        <f aca="false">IF($B18="",0,SUMIFS(INCORRIDO!$C$6:$C$5005,INCORRIDO!$D$6:$D$5005,$B18,INCORRIDO!$E$6:$E$5005,AS$7)+IF(AS$7&gt;PARAMETROS!$C$12,IF($H18&gt;0,$G18*CURVA!AS18/$H18,0)*AS$6,0))</f>
        <v>327219.857864312</v>
      </c>
      <c r="AT18" s="19" t="n">
        <f aca="false">IF($B18="",0,SUMIFS(INCORRIDO!$C$6:$C$5005,INCORRIDO!$D$6:$D$5005,$B18,INCORRIDO!$E$6:$E$5005,AT$7)+IF(AT$7&gt;PARAMETROS!$C$12,IF($H18&gt;0,$G18*CURVA!AT18/$H18,0)*AT$6,0))</f>
        <v>263647.678279233</v>
      </c>
      <c r="AU18" s="19" t="n">
        <f aca="false">IF($B18="",0,SUMIFS(INCORRIDO!$C$6:$C$5005,INCORRIDO!$D$6:$D$5005,$B18,INCORRIDO!$E$6:$E$5005,AU$7)+IF(AU$7&gt;PARAMETROS!$C$12,IF($H18&gt;0,$G18*CURVA!AU18/$H18,0)*AU$6,0))</f>
        <v>245007.678400892</v>
      </c>
      <c r="AV18" s="19" t="n">
        <f aca="false">IF($B18="",0,SUMIFS(INCORRIDO!$C$6:$C$5005,INCORRIDO!$D$6:$D$5005,$B18,INCORRIDO!$E$6:$E$5005,AV$7)+IF(AV$7&gt;PARAMETROS!$C$12,IF($H18&gt;0,$G18*CURVA!AV18/$H18,0)*AV$6,0))</f>
        <v>249007.678374785</v>
      </c>
      <c r="AW18" s="19" t="n">
        <f aca="false">IF($B18="",0,SUMIFS(INCORRIDO!$C$6:$C$5005,INCORRIDO!$D$6:$D$5005,$B18,INCORRIDO!$E$6:$E$5005,AW$7)+IF(AW$7&gt;PARAMETROS!$C$12,IF($H18&gt;0,$G18*CURVA!AW18/$H18,0)*AW$6,0))</f>
        <v>239688.678435608</v>
      </c>
      <c r="AX18" s="19" t="n">
        <f aca="false">IF($B18="",0,SUMIFS(INCORRIDO!$C$6:$C$5005,INCORRIDO!$D$6:$D$5005,$B18,INCORRIDO!$E$6:$E$5005,AX$7)+IF(AX$7&gt;PARAMETROS!$C$12,IF($H18&gt;0,$G18*CURVA!AX18/$H18,0)*AX$6,0))</f>
        <v>250628.678364205</v>
      </c>
      <c r="AY18" s="19" t="n">
        <f aca="false">IF($B18="",0,SUMIFS(INCORRIDO!$C$6:$C$5005,INCORRIDO!$D$6:$D$5005,$B18,INCORRIDO!$E$6:$E$5005,AY$7)+IF(AY$7&gt;PARAMETROS!$C$12,IF($H18&gt;0,$G18*CURVA!AY18/$H18,0)*AY$6,0))</f>
        <v>263254.678281798</v>
      </c>
      <c r="AZ18" s="19" t="n">
        <f aca="false">IF($B18="",0,SUMIFS(INCORRIDO!$C$6:$C$5005,INCORRIDO!$D$6:$D$5005,$B18,INCORRIDO!$E$6:$E$5005,AZ$7)+IF(AZ$7&gt;PARAMETROS!$C$12,IF($H18&gt;0,$G18*CURVA!AZ18/$H18,0)*AZ$6,0))</f>
        <v>249749.298369944</v>
      </c>
      <c r="BA18" s="19" t="n">
        <f aca="false">IF($B18="",0,SUMIFS(INCORRIDO!$C$6:$C$5005,INCORRIDO!$D$6:$D$5005,$B18,INCORRIDO!$E$6:$E$5005,BA$7)+IF(BA$7&gt;PARAMETROS!$C$12,IF($H18&gt;0,$G18*CURVA!BA18/$H18,0)*BA$6,0))</f>
        <v>262559.288297389</v>
      </c>
      <c r="BB18" s="19" t="n">
        <f aca="false">IF($B18="",0,SUMIFS(INCORRIDO!$C$6:$C$5005,INCORRIDO!$D$6:$D$5005,$B18,INCORRIDO!$E$6:$E$5005,BB$7)+IF(BB$7&gt;PARAMETROS!$C$12,IF($H18&gt;0,$G18*CURVA!BB18/$H18,0)*BB$6,0))</f>
        <v>318689.617919987</v>
      </c>
      <c r="BC18" s="19" t="n">
        <f aca="false">IF($B18="",0,SUMIFS(INCORRIDO!$C$6:$C$5005,INCORRIDO!$D$6:$D$5005,$B18,INCORRIDO!$E$6:$E$5005,BC$7)+IF(BC$7&gt;PARAMETROS!$C$12,IF($H18&gt;0,$G18*CURVA!BC18/$H18,0)*BC$6,0))</f>
        <v>209920.298629899</v>
      </c>
      <c r="BD18" s="19" t="n">
        <f aca="false">IF($B18="",0,SUMIFS(INCORRIDO!$C$6:$C$5005,INCORRIDO!$D$6:$D$5005,$B18,INCORRIDO!$E$6:$E$5005,BD$7)+IF(BD$7&gt;PARAMETROS!$C$12,IF($H18&gt;0,$G18*CURVA!BD18/$H18,0)*BD$6,0))</f>
        <v>233466.968476215</v>
      </c>
      <c r="BE18" s="19" t="n">
        <f aca="false">IF($B18="",0,SUMIFS(INCORRIDO!$C$6:$C$5005,INCORRIDO!$D$6:$D$5005,$B18,INCORRIDO!$E$6:$E$5005,BE$7)+IF(BE$7&gt;PARAMETROS!$C$12,IF($H18&gt;0,$G18*CURVA!BE18/$H18,0)*BE$6,0))</f>
        <v>18744.199877661</v>
      </c>
      <c r="BF18" s="19" t="n">
        <f aca="false">IF($B18="",0,SUMIFS(INCORRIDO!$C$6:$C$5005,INCORRIDO!$D$6:$D$5005,$B18,INCORRIDO!$E$6:$E$5005,BF$7)+IF(BF$7&gt;PARAMETROS!$C$12,IF($H18&gt;0,$G18*CURVA!BF18/$H18,0)*BF$6,0))</f>
        <v>109412.329285891</v>
      </c>
      <c r="BG18" s="19" t="n">
        <f aca="false">IF($B18="",0,SUMIFS(INCORRIDO!$C$6:$C$5005,INCORRIDO!$D$6:$D$5005,$B18,INCORRIDO!$E$6:$E$5005,BG$7)+IF(BG$7&gt;PARAMETROS!$C$12,IF($H18&gt;0,$G18*CURVA!BG18/$H18,0)*BG$6,0))</f>
        <v>104432.329318395</v>
      </c>
      <c r="BH18" s="19" t="n">
        <f aca="false">IF($B18="",0,SUMIFS(INCORRIDO!$C$6:$C$5005,INCORRIDO!$D$6:$D$5005,$B18,INCORRIDO!$E$6:$E$5005,BH$7)+IF(BH$7&gt;PARAMETROS!$C$12,IF($H18&gt;0,$G18*CURVA!BH18/$H18,0)*BH$6,0))</f>
        <v>86124.8894378829</v>
      </c>
      <c r="BI18" s="19" t="n">
        <f aca="false">IF($B18="",0,SUMIFS(INCORRIDO!$C$6:$C$5005,INCORRIDO!$D$6:$D$5005,$B18,INCORRIDO!$E$6:$E$5005,BI$7)+IF(BI$7&gt;PARAMETROS!$C$12,IF($H18&gt;0,$G18*CURVA!BI18/$H18,0)*BI$6,0))</f>
        <v>6352.26995854021</v>
      </c>
      <c r="BJ18" s="19" t="n">
        <f aca="false">IF($B18="",0,SUMIFS(INCORRIDO!$C$6:$C$5005,INCORRIDO!$D$6:$D$5005,$B18,INCORRIDO!$E$6:$E$5005,BJ$7)+IF(BJ$7&gt;PARAMETROS!$C$12,IF($H18&gt;0,$G18*CURVA!BJ18/$H18,0)*BJ$6,0))</f>
        <v>2864.26998130558</v>
      </c>
      <c r="BK18" s="19" t="n">
        <f aca="false">IF($B18="",0,SUMIFS(INCORRIDO!$C$6:$C$5005,INCORRIDO!$D$6:$D$5005,$B18,INCORRIDO!$E$6:$E$5005,BK$7)+IF(BK$7&gt;PARAMETROS!$C$12,IF($H18&gt;0,$G18*CURVA!BK18/$H18,0)*BK$6,0))</f>
        <v>2864.26998130558</v>
      </c>
      <c r="BL18" s="19" t="n">
        <f aca="false">IF($B18="",0,SUMIFS(INCORRIDO!$C$6:$C$5005,INCORRIDO!$D$6:$D$5005,$B18,INCORRIDO!$E$6:$E$5005,BL$7)+IF(BL$7&gt;PARAMETROS!$C$12,IF($H18&gt;0,$G18*CURVA!BL18/$H18,0)*BL$6,0))</f>
        <v>0</v>
      </c>
      <c r="BM18" s="19" t="n">
        <f aca="false">IF($B18="",0,SUMIFS(INCORRIDO!$C$6:$C$5005,INCORRIDO!$D$6:$D$5005,$B18,INCORRIDO!$E$6:$E$5005,BM$7)+IF(BM$7&gt;PARAMETROS!$C$12,IF($H18&gt;0,$G18*CURVA!BM18/$H18,0)*BM$6,0))</f>
        <v>0</v>
      </c>
      <c r="BN18" s="19" t="n">
        <f aca="false">IF($B18="",0,SUMIFS(INCORRIDO!$C$6:$C$5005,INCORRIDO!$D$6:$D$5005,$B18,INCORRIDO!$E$6:$E$5005,BN$7)+IF(BN$7&gt;PARAMETROS!$C$12,IF($H18&gt;0,$G18*CURVA!BN18/$H18,0)*BN$6,0))</f>
        <v>0</v>
      </c>
      <c r="BO18" s="19" t="n">
        <f aca="false">IF($B18="",0,SUMIFS(INCORRIDO!$C$6:$C$5005,INCORRIDO!$D$6:$D$5005,$B18,INCORRIDO!$E$6:$E$5005,BO$7)+IF(BO$7&gt;PARAMETROS!$C$12,IF($H18&gt;0,$G18*CURVA!BO18/$H18,0)*BO$6,0))</f>
        <v>0</v>
      </c>
      <c r="BP18" s="19" t="n">
        <f aca="false">IF($B18="",0,SUMIFS(INCORRIDO!$C$6:$C$5005,INCORRIDO!$D$6:$D$5005,$B18,INCORRIDO!$E$6:$E$5005,BP$7)+IF(BP$7&gt;PARAMETROS!$C$12,IF($H18&gt;0,$G18*CURVA!BP18/$H18,0)*BP$6,0))</f>
        <v>0</v>
      </c>
      <c r="BQ18" s="19" t="n">
        <f aca="false">IF($B18="",0,SUMIFS(INCORRIDO!$C$6:$C$5005,INCORRIDO!$D$6:$D$5005,$B18,INCORRIDO!$E$6:$E$5005,BQ$7)+IF(BQ$7&gt;PARAMETROS!$C$12,IF($H18&gt;0,$G18*CURVA!BQ18/$H18,0)*BQ$6,0))</f>
        <v>0</v>
      </c>
      <c r="BR18" s="19" t="n">
        <f aca="false">IF($B18="",0,SUMIFS(INCORRIDO!$C$6:$C$5005,INCORRIDO!$D$6:$D$5005,$B18,INCORRIDO!$E$6:$E$5005,BR$7)+IF(BR$7&gt;PARAMETROS!$C$12,IF($H18&gt;0,$G18*CURVA!BR18/$H18,0)*BR$6,0))</f>
        <v>0</v>
      </c>
      <c r="BS18" s="19" t="n">
        <f aca="false">IF($B18="",0,SUMIFS(INCORRIDO!$C$6:$C$5005,INCORRIDO!$D$6:$D$5005,$B18,INCORRIDO!$E$6:$E$5005,BS$7)+IF(BS$7&gt;PARAMETROS!$C$12,IF($H18&gt;0,$G18*CURVA!BS18/$H18,0)*BS$6,0))</f>
        <v>0</v>
      </c>
      <c r="BT18" s="19" t="n">
        <f aca="false">IF($B18="",0,SUMIFS(INCORRIDO!$C$6:$C$5005,INCORRIDO!$D$6:$D$5005,$B18,INCORRIDO!$E$6:$E$5005,BT$7)+IF(BT$7&gt;PARAMETROS!$C$12,IF($H18&gt;0,$G18*CURVA!BT18/$H18,0)*BT$6,0))</f>
        <v>0</v>
      </c>
      <c r="BU18" s="19" t="n">
        <f aca="false">IF($B18="",0,SUMIFS(INCORRIDO!$C$6:$C$5005,INCORRIDO!$D$6:$D$5005,$B18,INCORRIDO!$E$6:$E$5005,BU$7)+IF(BU$7&gt;PARAMETROS!$C$12,IF($H18&gt;0,$G18*CURVA!BU18/$H18,0)*BU$6,0))</f>
        <v>0</v>
      </c>
      <c r="BV18" s="19" t="n">
        <f aca="false">IF($B18="",0,SUMIFS(INCORRIDO!$C$6:$C$5005,INCORRIDO!$D$6:$D$5005,$B18,INCORRIDO!$E$6:$E$5005,BV$7)+IF(BV$7&gt;PARAMETROS!$C$12,IF($H18&gt;0,$G18*CURVA!BV18/$H18,0)*BV$6,0))</f>
        <v>0</v>
      </c>
      <c r="BW18" s="19" t="n">
        <f aca="false">IF($B18="",0,SUMIFS(INCORRIDO!$C$6:$C$5005,INCORRIDO!$D$6:$D$5005,$B18,INCORRIDO!$E$6:$E$5005,BW$7)+IF(BW$7&gt;PARAMETROS!$C$12,IF($H18&gt;0,$G18*CURVA!BW18/$H18,0)*BW$6,0))</f>
        <v>0</v>
      </c>
      <c r="BX18" s="19" t="n">
        <f aca="false">IF($B18="",0,SUMIFS(INCORRIDO!$C$6:$C$5005,INCORRIDO!$D$6:$D$5005,$B18,INCORRIDO!$E$6:$E$5005,BX$7)+IF(BX$7&gt;PARAMETROS!$C$12,IF($H18&gt;0,$G18*CURVA!BX18/$H18,0)*BX$6,0))</f>
        <v>0</v>
      </c>
      <c r="BY18" s="19" t="n">
        <f aca="false">IF($B18="",0,SUMIFS(INCORRIDO!$C$6:$C$5005,INCORRIDO!$D$6:$D$5005,$B18,INCORRIDO!$E$6:$E$5005,BY$7)+IF(BY$7&gt;PARAMETROS!$C$12,IF($H18&gt;0,$G18*CURVA!BY18/$H18,0)*BY$6,0))</f>
        <v>0</v>
      </c>
      <c r="BZ18" s="19" t="n">
        <f aca="false">IF($B18="",0,SUMIFS(INCORRIDO!$C$6:$C$5005,INCORRIDO!$D$6:$D$5005,$B18,INCORRIDO!$E$6:$E$5005,BZ$7)+IF(BZ$7&gt;PARAMETROS!$C$12,IF($H18&gt;0,$G18*CURVA!BZ18/$H18,0)*BZ$6,0))</f>
        <v>0</v>
      </c>
      <c r="CA18" s="19" t="n">
        <f aca="false">IF($B18="",0,SUMIFS(INCORRIDO!$C$6:$C$5005,INCORRIDO!$D$6:$D$5005,$B18,INCORRIDO!$E$6:$E$5005,CA$7)+IF(CA$7&gt;PARAMETROS!$C$12,IF($H18&gt;0,$G18*CURVA!CA18/$H18,0)*CA$6,0))</f>
        <v>0</v>
      </c>
      <c r="CB18" s="19" t="n">
        <f aca="false">IF($B18="",0,SUMIFS(INCORRIDO!$C$6:$C$5005,INCORRIDO!$D$6:$D$5005,$B18,INCORRIDO!$E$6:$E$5005,CB$7)+IF(CB$7&gt;PARAMETROS!$C$12,IF($H18&gt;0,$G18*CURVA!CB18/$H18,0)*CB$6,0))</f>
        <v>0</v>
      </c>
      <c r="CC18" s="19" t="n">
        <f aca="false">IF($B18="",0,SUMIFS(INCORRIDO!$C$6:$C$5005,INCORRIDO!$D$6:$D$5005,$B18,INCORRIDO!$E$6:$E$5005,CC$7)+IF(CC$7&gt;PARAMETROS!$C$12,IF($H18&gt;0,$G18*CURVA!CC18/$H18,0)*CC$6,0))</f>
        <v>0</v>
      </c>
    </row>
    <row r="19" customFormat="false" ht="15" hidden="false" customHeight="false" outlineLevel="0" collapsed="false">
      <c r="A19" s="31" t="str">
        <f aca="false">IF(ORCAMENTO!A17="","",ORCAMENTO!A17)</f>
        <v>12</v>
      </c>
      <c r="B19" s="31" t="str">
        <f aca="false">IF(ORCAMENTO!B17="","",ORCAMENTO!B17)</f>
        <v>SERVIÇOS INICIAIS</v>
      </c>
      <c r="C19" s="31" t="str">
        <f aca="false">IF(ORCAMENTO!C17="","",ORCAMENTO!C17)</f>
        <v>INFRAESTRUTURA</v>
      </c>
      <c r="D19" s="32" t="n">
        <f aca="false">IF($B19="",0,ORCAMENTO!E17)</f>
        <v>176378.52</v>
      </c>
      <c r="E19" s="19" t="n">
        <f aca="false">IF($B19="",0,SUMIFS(INCORRIDO!$C$6:$C$5005,INCORRIDO!$D$6:$D$5005,$B19,INCORRIDO!$E$6:$E$5005,"&lt;="&amp;PARAMETROS!$C$12))</f>
        <v>108365.04</v>
      </c>
      <c r="F19" s="19" t="n">
        <f aca="false">IF($B19="",0,SUMIFS(INCORRIDO!$C$6:$C$5005,INCORRIDO!$D$6:$D$5005,$B19,INCORRIDO!$E$6:$E$5005,"&gt;"&amp;PARAMETROS!$C$12))</f>
        <v>6706</v>
      </c>
      <c r="G19" s="19" t="n">
        <f aca="false">MAX(0,D19-E19-F19)</f>
        <v>61307.48</v>
      </c>
      <c r="H19" s="32" t="n">
        <f aca="false">CURVA!H19</f>
        <v>56654.6</v>
      </c>
      <c r="I19" s="19" t="n">
        <f aca="false">SUM(J19:CC19)</f>
        <v>176378.52</v>
      </c>
      <c r="J19" s="19" t="n">
        <f aca="false">IF($B19="",0,SUMIFS(INCORRIDO!$C$6:$C$5005,INCORRIDO!$D$6:$D$5005,$B19,INCORRIDO!$E$6:$E$5005,"&lt;="&amp;J$7)+IF(J$7&gt;PARAMETROS!$C$12,IF($H19&gt;0,$G19*CURVA!J19/$H19,0)*J$6,0))</f>
        <v>0</v>
      </c>
      <c r="K19" s="19" t="n">
        <f aca="false">IF($B19="",0,SUMIFS(INCORRIDO!$C$6:$C$5005,INCORRIDO!$D$6:$D$5005,$B19,INCORRIDO!$E$6:$E$5005,K$7)+IF(K$7&gt;PARAMETROS!$C$12,IF($H19&gt;0,$G19*CURVA!K19/$H19,0)*K$6,0))</f>
        <v>0</v>
      </c>
      <c r="L19" s="19" t="n">
        <f aca="false">IF($B19="",0,SUMIFS(INCORRIDO!$C$6:$C$5005,INCORRIDO!$D$6:$D$5005,$B19,INCORRIDO!$E$6:$E$5005,L$7)+IF(L$7&gt;PARAMETROS!$C$12,IF($H19&gt;0,$G19*CURVA!L19/$H19,0)*L$6,0))</f>
        <v>0</v>
      </c>
      <c r="M19" s="19" t="n">
        <f aca="false">IF($B19="",0,SUMIFS(INCORRIDO!$C$6:$C$5005,INCORRIDO!$D$6:$D$5005,$B19,INCORRIDO!$E$6:$E$5005,M$7)+IF(M$7&gt;PARAMETROS!$C$12,IF($H19&gt;0,$G19*CURVA!M19/$H19,0)*M$6,0))</f>
        <v>0</v>
      </c>
      <c r="N19" s="19" t="n">
        <f aca="false">IF($B19="",0,SUMIFS(INCORRIDO!$C$6:$C$5005,INCORRIDO!$D$6:$D$5005,$B19,INCORRIDO!$E$6:$E$5005,N$7)+IF(N$7&gt;PARAMETROS!$C$12,IF($H19&gt;0,$G19*CURVA!N19/$H19,0)*N$6,0))</f>
        <v>0</v>
      </c>
      <c r="O19" s="19" t="n">
        <f aca="false">IF($B19="",0,SUMIFS(INCORRIDO!$C$6:$C$5005,INCORRIDO!$D$6:$D$5005,$B19,INCORRIDO!$E$6:$E$5005,O$7)+IF(O$7&gt;PARAMETROS!$C$12,IF($H19&gt;0,$G19*CURVA!O19/$H19,0)*O$6,0))</f>
        <v>0</v>
      </c>
      <c r="P19" s="19" t="n">
        <f aca="false">IF($B19="",0,SUMIFS(INCORRIDO!$C$6:$C$5005,INCORRIDO!$D$6:$D$5005,$B19,INCORRIDO!$E$6:$E$5005,P$7)+IF(P$7&gt;PARAMETROS!$C$12,IF($H19&gt;0,$G19*CURVA!P19/$H19,0)*P$6,0))</f>
        <v>29688.12</v>
      </c>
      <c r="Q19" s="19" t="n">
        <f aca="false">IF($B19="",0,SUMIFS(INCORRIDO!$C$6:$C$5005,INCORRIDO!$D$6:$D$5005,$B19,INCORRIDO!$E$6:$E$5005,Q$7)+IF(Q$7&gt;PARAMETROS!$C$12,IF($H19&gt;0,$G19*CURVA!Q19/$H19,0)*Q$6,0))</f>
        <v>5465.88</v>
      </c>
      <c r="R19" s="19" t="n">
        <f aca="false">IF($B19="",0,SUMIFS(INCORRIDO!$C$6:$C$5005,INCORRIDO!$D$6:$D$5005,$B19,INCORRIDO!$E$6:$E$5005,R$7)+IF(R$7&gt;PARAMETROS!$C$12,IF($H19&gt;0,$G19*CURVA!R19/$H19,0)*R$6,0))</f>
        <v>0</v>
      </c>
      <c r="S19" s="19" t="n">
        <f aca="false">IF($B19="",0,SUMIFS(INCORRIDO!$C$6:$C$5005,INCORRIDO!$D$6:$D$5005,$B19,INCORRIDO!$E$6:$E$5005,S$7)+IF(S$7&gt;PARAMETROS!$C$12,IF($H19&gt;0,$G19*CURVA!S19/$H19,0)*S$6,0))</f>
        <v>15003.12</v>
      </c>
      <c r="T19" s="19" t="n">
        <f aca="false">IF($B19="",0,SUMIFS(INCORRIDO!$C$6:$C$5005,INCORRIDO!$D$6:$D$5005,$B19,INCORRIDO!$E$6:$E$5005,T$7)+IF(T$7&gt;PARAMETROS!$C$12,IF($H19&gt;0,$G19*CURVA!T19/$H19,0)*T$6,0))</f>
        <v>8525.88</v>
      </c>
      <c r="U19" s="19" t="n">
        <f aca="false">IF($B19="",0,SUMIFS(INCORRIDO!$C$6:$C$5005,INCORRIDO!$D$6:$D$5005,$B19,INCORRIDO!$E$6:$E$5005,U$7)+IF(U$7&gt;PARAMETROS!$C$12,IF($H19&gt;0,$G19*CURVA!U19/$H19,0)*U$6,0))</f>
        <v>9755.94</v>
      </c>
      <c r="V19" s="19" t="n">
        <f aca="false">IF($B19="",0,SUMIFS(INCORRIDO!$C$6:$C$5005,INCORRIDO!$D$6:$D$5005,$B19,INCORRIDO!$E$6:$E$5005,V$7)+IF(V$7&gt;PARAMETROS!$C$12,IF($H19&gt;0,$G19*CURVA!V19/$H19,0)*V$6,0))</f>
        <v>13712.62</v>
      </c>
      <c r="W19" s="19" t="n">
        <f aca="false">IF($B19="",0,SUMIFS(INCORRIDO!$C$6:$C$5005,INCORRIDO!$D$6:$D$5005,$B19,INCORRIDO!$E$6:$E$5005,W$7)+IF(W$7&gt;PARAMETROS!$C$12,IF($H19&gt;0,$G19*CURVA!W19/$H19,0)*W$6,0))</f>
        <v>9641.44</v>
      </c>
      <c r="X19" s="19" t="n">
        <f aca="false">IF($B19="",0,SUMIFS(INCORRIDO!$C$6:$C$5005,INCORRIDO!$D$6:$D$5005,$B19,INCORRIDO!$E$6:$E$5005,X$7)+IF(X$7&gt;PARAMETROS!$C$12,IF($H19&gt;0,$G19*CURVA!X19/$H19,0)*X$6,0))</f>
        <v>1604.07</v>
      </c>
      <c r="Y19" s="19" t="n">
        <f aca="false">IF($B19="",0,SUMIFS(INCORRIDO!$C$6:$C$5005,INCORRIDO!$D$6:$D$5005,$B19,INCORRIDO!$E$6:$E$5005,Y$7)+IF(Y$7&gt;PARAMETROS!$C$12,IF($H19&gt;0,$G19*CURVA!Y19/$H19,0)*Y$6,0))</f>
        <v>10302.97</v>
      </c>
      <c r="Z19" s="19" t="n">
        <f aca="false">IF($B19="",0,SUMIFS(INCORRIDO!$C$6:$C$5005,INCORRIDO!$D$6:$D$5005,$B19,INCORRIDO!$E$6:$E$5005,Z$7)+IF(Z$7&gt;PARAMETROS!$C$12,IF($H19&gt;0,$G19*CURVA!Z19/$H19,0)*Z$6,0))</f>
        <v>3859.6</v>
      </c>
      <c r="AA19" s="19" t="n">
        <f aca="false">IF($B19="",0,SUMIFS(INCORRIDO!$C$6:$C$5005,INCORRIDO!$D$6:$D$5005,$B19,INCORRIDO!$E$6:$E$5005,AA$7)+IF(AA$7&gt;PARAMETROS!$C$12,IF($H19&gt;0,$G19*CURVA!AA19/$H19,0)*AA$6,0))</f>
        <v>140.4</v>
      </c>
      <c r="AB19" s="19" t="n">
        <f aca="false">IF($B19="",0,SUMIFS(INCORRIDO!$C$6:$C$5005,INCORRIDO!$D$6:$D$5005,$B19,INCORRIDO!$E$6:$E$5005,AB$7)+IF(AB$7&gt;PARAMETROS!$C$12,IF($H19&gt;0,$G19*CURVA!AB19/$H19,0)*AB$6,0))</f>
        <v>665</v>
      </c>
      <c r="AC19" s="19" t="n">
        <f aca="false">IF($B19="",0,SUMIFS(INCORRIDO!$C$6:$C$5005,INCORRIDO!$D$6:$D$5005,$B19,INCORRIDO!$E$6:$E$5005,AC$7)+IF(AC$7&gt;PARAMETROS!$C$12,IF($H19&gt;0,$G19*CURVA!AC19/$H19,0)*AC$6,0))</f>
        <v>0</v>
      </c>
      <c r="AD19" s="19" t="n">
        <f aca="false">IF($B19="",0,SUMIFS(INCORRIDO!$C$6:$C$5005,INCORRIDO!$D$6:$D$5005,$B19,INCORRIDO!$E$6:$E$5005,AD$7)+IF(AD$7&gt;PARAMETROS!$C$12,IF($H19&gt;0,$G19*CURVA!AD19/$H19,0)*AD$6,0))</f>
        <v>0</v>
      </c>
      <c r="AE19" s="19" t="n">
        <f aca="false">IF($B19="",0,SUMIFS(INCORRIDO!$C$6:$C$5005,INCORRIDO!$D$6:$D$5005,$B19,INCORRIDO!$E$6:$E$5005,AE$7)+IF(AE$7&gt;PARAMETROS!$C$12,IF($H19&gt;0,$G19*CURVA!AE19/$H19,0)*AE$6,0))</f>
        <v>3402</v>
      </c>
      <c r="AF19" s="19" t="n">
        <f aca="false">IF($B19="",0,SUMIFS(INCORRIDO!$C$6:$C$5005,INCORRIDO!$D$6:$D$5005,$B19,INCORRIDO!$E$6:$E$5005,AF$7)+IF(AF$7&gt;PARAMETROS!$C$12,IF($H19&gt;0,$G19*CURVA!AF19/$H19,0)*AF$6,0))</f>
        <v>0</v>
      </c>
      <c r="AG19" s="19" t="n">
        <f aca="false">IF($B19="",0,SUMIFS(INCORRIDO!$C$6:$C$5005,INCORRIDO!$D$6:$D$5005,$B19,INCORRIDO!$E$6:$E$5005,AG$7)+IF(AG$7&gt;PARAMETROS!$C$12,IF($H19&gt;0,$G19*CURVA!AG19/$H19,0)*AG$6,0))</f>
        <v>399</v>
      </c>
      <c r="AH19" s="19" t="n">
        <f aca="false">IF($B19="",0,SUMIFS(INCORRIDO!$C$6:$C$5005,INCORRIDO!$D$6:$D$5005,$B19,INCORRIDO!$E$6:$E$5005,AH$7)+IF(AH$7&gt;PARAMETROS!$C$12,IF($H19&gt;0,$G19*CURVA!AH19/$H19,0)*AH$6,0))</f>
        <v>0</v>
      </c>
      <c r="AI19" s="19" t="n">
        <f aca="false">IF($B19="",0,SUMIFS(INCORRIDO!$C$6:$C$5005,INCORRIDO!$D$6:$D$5005,$B19,INCORRIDO!$E$6:$E$5005,AI$7)+IF(AI$7&gt;PARAMETROS!$C$12,IF($H19&gt;0,$G19*CURVA!AI19/$H19,0)*AI$6,0))</f>
        <v>0</v>
      </c>
      <c r="AJ19" s="19" t="n">
        <f aca="false">IF($B19="",0,SUMIFS(INCORRIDO!$C$6:$C$5005,INCORRIDO!$D$6:$D$5005,$B19,INCORRIDO!$E$6:$E$5005,AJ$7)+IF(AJ$7&gt;PARAMETROS!$C$12,IF($H19&gt;0,$G19*CURVA!AJ19/$H19,0)*AJ$6,0))</f>
        <v>0</v>
      </c>
      <c r="AK19" s="19" t="n">
        <f aca="false">IF($B19="",0,SUMIFS(INCORRIDO!$C$6:$C$5005,INCORRIDO!$D$6:$D$5005,$B19,INCORRIDO!$E$6:$E$5005,AK$7)+IF(AK$7&gt;PARAMETROS!$C$12,IF($H19&gt;0,$G19*CURVA!AK19/$H19,0)*AK$6,0))</f>
        <v>0</v>
      </c>
      <c r="AL19" s="19" t="n">
        <f aca="false">IF($B19="",0,SUMIFS(INCORRIDO!$C$6:$C$5005,INCORRIDO!$D$6:$D$5005,$B19,INCORRIDO!$E$6:$E$5005,AL$7)+IF(AL$7&gt;PARAMETROS!$C$12,IF($H19&gt;0,$G19*CURVA!AL19/$H19,0)*AL$6,0))</f>
        <v>61307.48</v>
      </c>
      <c r="AM19" s="19" t="n">
        <f aca="false">IF($B19="",0,SUMIFS(INCORRIDO!$C$6:$C$5005,INCORRIDO!$D$6:$D$5005,$B19,INCORRIDO!$E$6:$E$5005,AM$7)+IF(AM$7&gt;PARAMETROS!$C$12,IF($H19&gt;0,$G19*CURVA!AM19/$H19,0)*AM$6,0))</f>
        <v>0</v>
      </c>
      <c r="AN19" s="19" t="n">
        <f aca="false">IF($B19="",0,SUMIFS(INCORRIDO!$C$6:$C$5005,INCORRIDO!$D$6:$D$5005,$B19,INCORRIDO!$E$6:$E$5005,AN$7)+IF(AN$7&gt;PARAMETROS!$C$12,IF($H19&gt;0,$G19*CURVA!AN19/$H19,0)*AN$6,0))</f>
        <v>0</v>
      </c>
      <c r="AO19" s="19" t="n">
        <f aca="false">IF($B19="",0,SUMIFS(INCORRIDO!$C$6:$C$5005,INCORRIDO!$D$6:$D$5005,$B19,INCORRIDO!$E$6:$E$5005,AO$7)+IF(AO$7&gt;PARAMETROS!$C$12,IF($H19&gt;0,$G19*CURVA!AO19/$H19,0)*AO$6,0))</f>
        <v>0</v>
      </c>
      <c r="AP19" s="19" t="n">
        <f aca="false">IF($B19="",0,SUMIFS(INCORRIDO!$C$6:$C$5005,INCORRIDO!$D$6:$D$5005,$B19,INCORRIDO!$E$6:$E$5005,AP$7)+IF(AP$7&gt;PARAMETROS!$C$12,IF($H19&gt;0,$G19*CURVA!AP19/$H19,0)*AP$6,0))</f>
        <v>0</v>
      </c>
      <c r="AQ19" s="19" t="n">
        <f aca="false">IF($B19="",0,SUMIFS(INCORRIDO!$C$6:$C$5005,INCORRIDO!$D$6:$D$5005,$B19,INCORRIDO!$E$6:$E$5005,AQ$7)+IF(AQ$7&gt;PARAMETROS!$C$12,IF($H19&gt;0,$G19*CURVA!AQ19/$H19,0)*AQ$6,0))</f>
        <v>0</v>
      </c>
      <c r="AR19" s="19" t="n">
        <f aca="false">IF($B19="",0,SUMIFS(INCORRIDO!$C$6:$C$5005,INCORRIDO!$D$6:$D$5005,$B19,INCORRIDO!$E$6:$E$5005,AR$7)+IF(AR$7&gt;PARAMETROS!$C$12,IF($H19&gt;0,$G19*CURVA!AR19/$H19,0)*AR$6,0))</f>
        <v>0</v>
      </c>
      <c r="AS19" s="19" t="n">
        <f aca="false">IF($B19="",0,SUMIFS(INCORRIDO!$C$6:$C$5005,INCORRIDO!$D$6:$D$5005,$B19,INCORRIDO!$E$6:$E$5005,AS$7)+IF(AS$7&gt;PARAMETROS!$C$12,IF($H19&gt;0,$G19*CURVA!AS19/$H19,0)*AS$6,0))</f>
        <v>0</v>
      </c>
      <c r="AT19" s="19" t="n">
        <f aca="false">IF($B19="",0,SUMIFS(INCORRIDO!$C$6:$C$5005,INCORRIDO!$D$6:$D$5005,$B19,INCORRIDO!$E$6:$E$5005,AT$7)+IF(AT$7&gt;PARAMETROS!$C$12,IF($H19&gt;0,$G19*CURVA!AT19/$H19,0)*AT$6,0))</f>
        <v>2905</v>
      </c>
      <c r="AU19" s="19" t="n">
        <f aca="false">IF($B19="",0,SUMIFS(INCORRIDO!$C$6:$C$5005,INCORRIDO!$D$6:$D$5005,$B19,INCORRIDO!$E$6:$E$5005,AU$7)+IF(AU$7&gt;PARAMETROS!$C$12,IF($H19&gt;0,$G19*CURVA!AU19/$H19,0)*AU$6,0))</f>
        <v>0</v>
      </c>
      <c r="AV19" s="19" t="n">
        <f aca="false">IF($B19="",0,SUMIFS(INCORRIDO!$C$6:$C$5005,INCORRIDO!$D$6:$D$5005,$B19,INCORRIDO!$E$6:$E$5005,AV$7)+IF(AV$7&gt;PARAMETROS!$C$12,IF($H19&gt;0,$G19*CURVA!AV19/$H19,0)*AV$6,0))</f>
        <v>0</v>
      </c>
      <c r="AW19" s="19" t="n">
        <f aca="false">IF($B19="",0,SUMIFS(INCORRIDO!$C$6:$C$5005,INCORRIDO!$D$6:$D$5005,$B19,INCORRIDO!$E$6:$E$5005,AW$7)+IF(AW$7&gt;PARAMETROS!$C$12,IF($H19&gt;0,$G19*CURVA!AW19/$H19,0)*AW$6,0))</f>
        <v>0</v>
      </c>
      <c r="AX19" s="19" t="n">
        <f aca="false">IF($B19="",0,SUMIFS(INCORRIDO!$C$6:$C$5005,INCORRIDO!$D$6:$D$5005,$B19,INCORRIDO!$E$6:$E$5005,AX$7)+IF(AX$7&gt;PARAMETROS!$C$12,IF($H19&gt;0,$G19*CURVA!AX19/$H19,0)*AX$6,0))</f>
        <v>0</v>
      </c>
      <c r="AY19" s="19" t="n">
        <f aca="false">IF($B19="",0,SUMIFS(INCORRIDO!$C$6:$C$5005,INCORRIDO!$D$6:$D$5005,$B19,INCORRIDO!$E$6:$E$5005,AY$7)+IF(AY$7&gt;PARAMETROS!$C$12,IF($H19&gt;0,$G19*CURVA!AY19/$H19,0)*AY$6,0))</f>
        <v>0</v>
      </c>
      <c r="AZ19" s="19" t="n">
        <f aca="false">IF($B19="",0,SUMIFS(INCORRIDO!$C$6:$C$5005,INCORRIDO!$D$6:$D$5005,$B19,INCORRIDO!$E$6:$E$5005,AZ$7)+IF(AZ$7&gt;PARAMETROS!$C$12,IF($H19&gt;0,$G19*CURVA!AZ19/$H19,0)*AZ$6,0))</f>
        <v>0</v>
      </c>
      <c r="BA19" s="19" t="n">
        <f aca="false">IF($B19="",0,SUMIFS(INCORRIDO!$C$6:$C$5005,INCORRIDO!$D$6:$D$5005,$B19,INCORRIDO!$E$6:$E$5005,BA$7)+IF(BA$7&gt;PARAMETROS!$C$12,IF($H19&gt;0,$G19*CURVA!BA19/$H19,0)*BA$6,0))</f>
        <v>0</v>
      </c>
      <c r="BB19" s="19" t="n">
        <f aca="false">IF($B19="",0,SUMIFS(INCORRIDO!$C$6:$C$5005,INCORRIDO!$D$6:$D$5005,$B19,INCORRIDO!$E$6:$E$5005,BB$7)+IF(BB$7&gt;PARAMETROS!$C$12,IF($H19&gt;0,$G19*CURVA!BB19/$H19,0)*BB$6,0))</f>
        <v>0</v>
      </c>
      <c r="BC19" s="19" t="n">
        <f aca="false">IF($B19="",0,SUMIFS(INCORRIDO!$C$6:$C$5005,INCORRIDO!$D$6:$D$5005,$B19,INCORRIDO!$E$6:$E$5005,BC$7)+IF(BC$7&gt;PARAMETROS!$C$12,IF($H19&gt;0,$G19*CURVA!BC19/$H19,0)*BC$6,0))</f>
        <v>0</v>
      </c>
      <c r="BD19" s="19" t="n">
        <f aca="false">IF($B19="",0,SUMIFS(INCORRIDO!$C$6:$C$5005,INCORRIDO!$D$6:$D$5005,$B19,INCORRIDO!$E$6:$E$5005,BD$7)+IF(BD$7&gt;PARAMETROS!$C$12,IF($H19&gt;0,$G19*CURVA!BD19/$H19,0)*BD$6,0))</f>
        <v>0</v>
      </c>
      <c r="BE19" s="19" t="n">
        <f aca="false">IF($B19="",0,SUMIFS(INCORRIDO!$C$6:$C$5005,INCORRIDO!$D$6:$D$5005,$B19,INCORRIDO!$E$6:$E$5005,BE$7)+IF(BE$7&gt;PARAMETROS!$C$12,IF($H19&gt;0,$G19*CURVA!BE19/$H19,0)*BE$6,0))</f>
        <v>0</v>
      </c>
      <c r="BF19" s="19" t="n">
        <f aca="false">IF($B19="",0,SUMIFS(INCORRIDO!$C$6:$C$5005,INCORRIDO!$D$6:$D$5005,$B19,INCORRIDO!$E$6:$E$5005,BF$7)+IF(BF$7&gt;PARAMETROS!$C$12,IF($H19&gt;0,$G19*CURVA!BF19/$H19,0)*BF$6,0))</f>
        <v>0</v>
      </c>
      <c r="BG19" s="19" t="n">
        <f aca="false">IF($B19="",0,SUMIFS(INCORRIDO!$C$6:$C$5005,INCORRIDO!$D$6:$D$5005,$B19,INCORRIDO!$E$6:$E$5005,BG$7)+IF(BG$7&gt;PARAMETROS!$C$12,IF($H19&gt;0,$G19*CURVA!BG19/$H19,0)*BG$6,0))</f>
        <v>0</v>
      </c>
      <c r="BH19" s="19" t="n">
        <f aca="false">IF($B19="",0,SUMIFS(INCORRIDO!$C$6:$C$5005,INCORRIDO!$D$6:$D$5005,$B19,INCORRIDO!$E$6:$E$5005,BH$7)+IF(BH$7&gt;PARAMETROS!$C$12,IF($H19&gt;0,$G19*CURVA!BH19/$H19,0)*BH$6,0))</f>
        <v>0</v>
      </c>
      <c r="BI19" s="19" t="n">
        <f aca="false">IF($B19="",0,SUMIFS(INCORRIDO!$C$6:$C$5005,INCORRIDO!$D$6:$D$5005,$B19,INCORRIDO!$E$6:$E$5005,BI$7)+IF(BI$7&gt;PARAMETROS!$C$12,IF($H19&gt;0,$G19*CURVA!BI19/$H19,0)*BI$6,0))</f>
        <v>0</v>
      </c>
      <c r="BJ19" s="19" t="n">
        <f aca="false">IF($B19="",0,SUMIFS(INCORRIDO!$C$6:$C$5005,INCORRIDO!$D$6:$D$5005,$B19,INCORRIDO!$E$6:$E$5005,BJ$7)+IF(BJ$7&gt;PARAMETROS!$C$12,IF($H19&gt;0,$G19*CURVA!BJ19/$H19,0)*BJ$6,0))</f>
        <v>0</v>
      </c>
      <c r="BK19" s="19" t="n">
        <f aca="false">IF($B19="",0,SUMIFS(INCORRIDO!$C$6:$C$5005,INCORRIDO!$D$6:$D$5005,$B19,INCORRIDO!$E$6:$E$5005,BK$7)+IF(BK$7&gt;PARAMETROS!$C$12,IF($H19&gt;0,$G19*CURVA!BK19/$H19,0)*BK$6,0))</f>
        <v>0</v>
      </c>
      <c r="BL19" s="19" t="n">
        <f aca="false">IF($B19="",0,SUMIFS(INCORRIDO!$C$6:$C$5005,INCORRIDO!$D$6:$D$5005,$B19,INCORRIDO!$E$6:$E$5005,BL$7)+IF(BL$7&gt;PARAMETROS!$C$12,IF($H19&gt;0,$G19*CURVA!BL19/$H19,0)*BL$6,0))</f>
        <v>0</v>
      </c>
      <c r="BM19" s="19" t="n">
        <f aca="false">IF($B19="",0,SUMIFS(INCORRIDO!$C$6:$C$5005,INCORRIDO!$D$6:$D$5005,$B19,INCORRIDO!$E$6:$E$5005,BM$7)+IF(BM$7&gt;PARAMETROS!$C$12,IF($H19&gt;0,$G19*CURVA!BM19/$H19,0)*BM$6,0))</f>
        <v>0</v>
      </c>
      <c r="BN19" s="19" t="n">
        <f aca="false">IF($B19="",0,SUMIFS(INCORRIDO!$C$6:$C$5005,INCORRIDO!$D$6:$D$5005,$B19,INCORRIDO!$E$6:$E$5005,BN$7)+IF(BN$7&gt;PARAMETROS!$C$12,IF($H19&gt;0,$G19*CURVA!BN19/$H19,0)*BN$6,0))</f>
        <v>0</v>
      </c>
      <c r="BO19" s="19" t="n">
        <f aca="false">IF($B19="",0,SUMIFS(INCORRIDO!$C$6:$C$5005,INCORRIDO!$D$6:$D$5005,$B19,INCORRIDO!$E$6:$E$5005,BO$7)+IF(BO$7&gt;PARAMETROS!$C$12,IF($H19&gt;0,$G19*CURVA!BO19/$H19,0)*BO$6,0))</f>
        <v>0</v>
      </c>
      <c r="BP19" s="19" t="n">
        <f aca="false">IF($B19="",0,SUMIFS(INCORRIDO!$C$6:$C$5005,INCORRIDO!$D$6:$D$5005,$B19,INCORRIDO!$E$6:$E$5005,BP$7)+IF(BP$7&gt;PARAMETROS!$C$12,IF($H19&gt;0,$G19*CURVA!BP19/$H19,0)*BP$6,0))</f>
        <v>0</v>
      </c>
      <c r="BQ19" s="19" t="n">
        <f aca="false">IF($B19="",0,SUMIFS(INCORRIDO!$C$6:$C$5005,INCORRIDO!$D$6:$D$5005,$B19,INCORRIDO!$E$6:$E$5005,BQ$7)+IF(BQ$7&gt;PARAMETROS!$C$12,IF($H19&gt;0,$G19*CURVA!BQ19/$H19,0)*BQ$6,0))</f>
        <v>0</v>
      </c>
      <c r="BR19" s="19" t="n">
        <f aca="false">IF($B19="",0,SUMIFS(INCORRIDO!$C$6:$C$5005,INCORRIDO!$D$6:$D$5005,$B19,INCORRIDO!$E$6:$E$5005,BR$7)+IF(BR$7&gt;PARAMETROS!$C$12,IF($H19&gt;0,$G19*CURVA!BR19/$H19,0)*BR$6,0))</f>
        <v>0</v>
      </c>
      <c r="BS19" s="19" t="n">
        <f aca="false">IF($B19="",0,SUMIFS(INCORRIDO!$C$6:$C$5005,INCORRIDO!$D$6:$D$5005,$B19,INCORRIDO!$E$6:$E$5005,BS$7)+IF(BS$7&gt;PARAMETROS!$C$12,IF($H19&gt;0,$G19*CURVA!BS19/$H19,0)*BS$6,0))</f>
        <v>0</v>
      </c>
      <c r="BT19" s="19" t="n">
        <f aca="false">IF($B19="",0,SUMIFS(INCORRIDO!$C$6:$C$5005,INCORRIDO!$D$6:$D$5005,$B19,INCORRIDO!$E$6:$E$5005,BT$7)+IF(BT$7&gt;PARAMETROS!$C$12,IF($H19&gt;0,$G19*CURVA!BT19/$H19,0)*BT$6,0))</f>
        <v>0</v>
      </c>
      <c r="BU19" s="19" t="n">
        <f aca="false">IF($B19="",0,SUMIFS(INCORRIDO!$C$6:$C$5005,INCORRIDO!$D$6:$D$5005,$B19,INCORRIDO!$E$6:$E$5005,BU$7)+IF(BU$7&gt;PARAMETROS!$C$12,IF($H19&gt;0,$G19*CURVA!BU19/$H19,0)*BU$6,0))</f>
        <v>0</v>
      </c>
      <c r="BV19" s="19" t="n">
        <f aca="false">IF($B19="",0,SUMIFS(INCORRIDO!$C$6:$C$5005,INCORRIDO!$D$6:$D$5005,$B19,INCORRIDO!$E$6:$E$5005,BV$7)+IF(BV$7&gt;PARAMETROS!$C$12,IF($H19&gt;0,$G19*CURVA!BV19/$H19,0)*BV$6,0))</f>
        <v>0</v>
      </c>
      <c r="BW19" s="19" t="n">
        <f aca="false">IF($B19="",0,SUMIFS(INCORRIDO!$C$6:$C$5005,INCORRIDO!$D$6:$D$5005,$B19,INCORRIDO!$E$6:$E$5005,BW$7)+IF(BW$7&gt;PARAMETROS!$C$12,IF($H19&gt;0,$G19*CURVA!BW19/$H19,0)*BW$6,0))</f>
        <v>0</v>
      </c>
      <c r="BX19" s="19" t="n">
        <f aca="false">IF($B19="",0,SUMIFS(INCORRIDO!$C$6:$C$5005,INCORRIDO!$D$6:$D$5005,$B19,INCORRIDO!$E$6:$E$5005,BX$7)+IF(BX$7&gt;PARAMETROS!$C$12,IF($H19&gt;0,$G19*CURVA!BX19/$H19,0)*BX$6,0))</f>
        <v>0</v>
      </c>
      <c r="BY19" s="19" t="n">
        <f aca="false">IF($B19="",0,SUMIFS(INCORRIDO!$C$6:$C$5005,INCORRIDO!$D$6:$D$5005,$B19,INCORRIDO!$E$6:$E$5005,BY$7)+IF(BY$7&gt;PARAMETROS!$C$12,IF($H19&gt;0,$G19*CURVA!BY19/$H19,0)*BY$6,0))</f>
        <v>0</v>
      </c>
      <c r="BZ19" s="19" t="n">
        <f aca="false">IF($B19="",0,SUMIFS(INCORRIDO!$C$6:$C$5005,INCORRIDO!$D$6:$D$5005,$B19,INCORRIDO!$E$6:$E$5005,BZ$7)+IF(BZ$7&gt;PARAMETROS!$C$12,IF($H19&gt;0,$G19*CURVA!BZ19/$H19,0)*BZ$6,0))</f>
        <v>0</v>
      </c>
      <c r="CA19" s="19" t="n">
        <f aca="false">IF($B19="",0,SUMIFS(INCORRIDO!$C$6:$C$5005,INCORRIDO!$D$6:$D$5005,$B19,INCORRIDO!$E$6:$E$5005,CA$7)+IF(CA$7&gt;PARAMETROS!$C$12,IF($H19&gt;0,$G19*CURVA!CA19/$H19,0)*CA$6,0))</f>
        <v>0</v>
      </c>
      <c r="CB19" s="19" t="n">
        <f aca="false">IF($B19="",0,SUMIFS(INCORRIDO!$C$6:$C$5005,INCORRIDO!$D$6:$D$5005,$B19,INCORRIDO!$E$6:$E$5005,CB$7)+IF(CB$7&gt;PARAMETROS!$C$12,IF($H19&gt;0,$G19*CURVA!CB19/$H19,0)*CB$6,0))</f>
        <v>0</v>
      </c>
      <c r="CC19" s="19" t="n">
        <f aca="false">IF($B19="",0,SUMIFS(INCORRIDO!$C$6:$C$5005,INCORRIDO!$D$6:$D$5005,$B19,INCORRIDO!$E$6:$E$5005,CC$7)+IF(CC$7&gt;PARAMETROS!$C$12,IF($H19&gt;0,$G19*CURVA!CC19/$H19,0)*CC$6,0))</f>
        <v>0</v>
      </c>
    </row>
    <row r="20" customFormat="false" ht="15" hidden="false" customHeight="false" outlineLevel="0" collapsed="false">
      <c r="A20" s="31" t="str">
        <f aca="false">IF(ORCAMENTO!A18="","",ORCAMENTO!A18)</f>
        <v>13</v>
      </c>
      <c r="B20" s="31" t="str">
        <f aca="false">IF(ORCAMENTO!B18="","",ORCAMENTO!B18)</f>
        <v>CONTENÇÃO</v>
      </c>
      <c r="C20" s="31" t="str">
        <f aca="false">IF(ORCAMENTO!C18="","",ORCAMENTO!C18)</f>
        <v>INFRAESTRUTURA</v>
      </c>
      <c r="D20" s="32" t="n">
        <f aca="false">IF($B20="",0,ORCAMENTO!E18)</f>
        <v>1475989.69</v>
      </c>
      <c r="E20" s="19" t="n">
        <f aca="false">IF($B20="",0,SUMIFS(INCORRIDO!$C$6:$C$5005,INCORRIDO!$D$6:$D$5005,$B20,INCORRIDO!$E$6:$E$5005,"&lt;="&amp;PARAMETROS!$C$12))</f>
        <v>1075302.41</v>
      </c>
      <c r="F20" s="19" t="n">
        <f aca="false">IF($B20="",0,SUMIFS(INCORRIDO!$C$6:$C$5005,INCORRIDO!$D$6:$D$5005,$B20,INCORRIDO!$E$6:$E$5005,"&gt;"&amp;PARAMETROS!$C$12))</f>
        <v>16116.03</v>
      </c>
      <c r="G20" s="19" t="n">
        <f aca="false">MAX(0,D20-E20-F20)</f>
        <v>384571.25</v>
      </c>
      <c r="H20" s="32" t="n">
        <f aca="false">CURVA!H20</f>
        <v>384571.25</v>
      </c>
      <c r="I20" s="19" t="n">
        <f aca="false">SUM(J20:CC20)</f>
        <v>1475989.69</v>
      </c>
      <c r="J20" s="19" t="n">
        <f aca="false">IF($B20="",0,SUMIFS(INCORRIDO!$C$6:$C$5005,INCORRIDO!$D$6:$D$5005,$B20,INCORRIDO!$E$6:$E$5005,"&lt;="&amp;J$7)+IF(J$7&gt;PARAMETROS!$C$12,IF($H20&gt;0,$G20*CURVA!J20/$H20,0)*J$6,0))</f>
        <v>0</v>
      </c>
      <c r="K20" s="19" t="n">
        <f aca="false">IF($B20="",0,SUMIFS(INCORRIDO!$C$6:$C$5005,INCORRIDO!$D$6:$D$5005,$B20,INCORRIDO!$E$6:$E$5005,K$7)+IF(K$7&gt;PARAMETROS!$C$12,IF($H20&gt;0,$G20*CURVA!K20/$H20,0)*K$6,0))</f>
        <v>0</v>
      </c>
      <c r="L20" s="19" t="n">
        <f aca="false">IF($B20="",0,SUMIFS(INCORRIDO!$C$6:$C$5005,INCORRIDO!$D$6:$D$5005,$B20,INCORRIDO!$E$6:$E$5005,L$7)+IF(L$7&gt;PARAMETROS!$C$12,IF($H20&gt;0,$G20*CURVA!L20/$H20,0)*L$6,0))</f>
        <v>0</v>
      </c>
      <c r="M20" s="19" t="n">
        <f aca="false">IF($B20="",0,SUMIFS(INCORRIDO!$C$6:$C$5005,INCORRIDO!$D$6:$D$5005,$B20,INCORRIDO!$E$6:$E$5005,M$7)+IF(M$7&gt;PARAMETROS!$C$12,IF($H20&gt;0,$G20*CURVA!M20/$H20,0)*M$6,0))</f>
        <v>0</v>
      </c>
      <c r="N20" s="19" t="n">
        <f aca="false">IF($B20="",0,SUMIFS(INCORRIDO!$C$6:$C$5005,INCORRIDO!$D$6:$D$5005,$B20,INCORRIDO!$E$6:$E$5005,N$7)+IF(N$7&gt;PARAMETROS!$C$12,IF($H20&gt;0,$G20*CURVA!N20/$H20,0)*N$6,0))</f>
        <v>0</v>
      </c>
      <c r="O20" s="19" t="n">
        <f aca="false">IF($B20="",0,SUMIFS(INCORRIDO!$C$6:$C$5005,INCORRIDO!$D$6:$D$5005,$B20,INCORRIDO!$E$6:$E$5005,O$7)+IF(O$7&gt;PARAMETROS!$C$12,IF($H20&gt;0,$G20*CURVA!O20/$H20,0)*O$6,0))</f>
        <v>0</v>
      </c>
      <c r="P20" s="19" t="n">
        <f aca="false">IF($B20="",0,SUMIFS(INCORRIDO!$C$6:$C$5005,INCORRIDO!$D$6:$D$5005,$B20,INCORRIDO!$E$6:$E$5005,P$7)+IF(P$7&gt;PARAMETROS!$C$12,IF($H20&gt;0,$G20*CURVA!P20/$H20,0)*P$6,0))</f>
        <v>0</v>
      </c>
      <c r="Q20" s="19" t="n">
        <f aca="false">IF($B20="",0,SUMIFS(INCORRIDO!$C$6:$C$5005,INCORRIDO!$D$6:$D$5005,$B20,INCORRIDO!$E$6:$E$5005,Q$7)+IF(Q$7&gt;PARAMETROS!$C$12,IF($H20&gt;0,$G20*CURVA!Q20/$H20,0)*Q$6,0))</f>
        <v>12009.9</v>
      </c>
      <c r="R20" s="19" t="n">
        <f aca="false">IF($B20="",0,SUMIFS(INCORRIDO!$C$6:$C$5005,INCORRIDO!$D$6:$D$5005,$B20,INCORRIDO!$E$6:$E$5005,R$7)+IF(R$7&gt;PARAMETROS!$C$12,IF($H20&gt;0,$G20*CURVA!R20/$H20,0)*R$6,0))</f>
        <v>107813.99</v>
      </c>
      <c r="S20" s="19" t="n">
        <f aca="false">IF($B20="",0,SUMIFS(INCORRIDO!$C$6:$C$5005,INCORRIDO!$D$6:$D$5005,$B20,INCORRIDO!$E$6:$E$5005,S$7)+IF(S$7&gt;PARAMETROS!$C$12,IF($H20&gt;0,$G20*CURVA!S20/$H20,0)*S$6,0))</f>
        <v>236848.02</v>
      </c>
      <c r="T20" s="19" t="n">
        <f aca="false">IF($B20="",0,SUMIFS(INCORRIDO!$C$6:$C$5005,INCORRIDO!$D$6:$D$5005,$B20,INCORRIDO!$E$6:$E$5005,T$7)+IF(T$7&gt;PARAMETROS!$C$12,IF($H20&gt;0,$G20*CURVA!T20/$H20,0)*T$6,0))</f>
        <v>285810.89</v>
      </c>
      <c r="U20" s="19" t="n">
        <f aca="false">IF($B20="",0,SUMIFS(INCORRIDO!$C$6:$C$5005,INCORRIDO!$D$6:$D$5005,$B20,INCORRIDO!$E$6:$E$5005,U$7)+IF(U$7&gt;PARAMETROS!$C$12,IF($H20&gt;0,$G20*CURVA!U20/$H20,0)*U$6,0))</f>
        <v>200940.58</v>
      </c>
      <c r="V20" s="19" t="n">
        <f aca="false">IF($B20="",0,SUMIFS(INCORRIDO!$C$6:$C$5005,INCORRIDO!$D$6:$D$5005,$B20,INCORRIDO!$E$6:$E$5005,V$7)+IF(V$7&gt;PARAMETROS!$C$12,IF($H20&gt;0,$G20*CURVA!V20/$H20,0)*V$6,0))</f>
        <v>135305.99</v>
      </c>
      <c r="W20" s="19" t="n">
        <f aca="false">IF($B20="",0,SUMIFS(INCORRIDO!$C$6:$C$5005,INCORRIDO!$D$6:$D$5005,$B20,INCORRIDO!$E$6:$E$5005,W$7)+IF(W$7&gt;PARAMETROS!$C$12,IF($H20&gt;0,$G20*CURVA!W20/$H20,0)*W$6,0))</f>
        <v>4650</v>
      </c>
      <c r="X20" s="19" t="n">
        <f aca="false">IF($B20="",0,SUMIFS(INCORRIDO!$C$6:$C$5005,INCORRIDO!$D$6:$D$5005,$B20,INCORRIDO!$E$6:$E$5005,X$7)+IF(X$7&gt;PARAMETROS!$C$12,IF($H20&gt;0,$G20*CURVA!X20/$H20,0)*X$6,0))</f>
        <v>860</v>
      </c>
      <c r="Y20" s="19" t="n">
        <f aca="false">IF($B20="",0,SUMIFS(INCORRIDO!$C$6:$C$5005,INCORRIDO!$D$6:$D$5005,$B20,INCORRIDO!$E$6:$E$5005,Y$7)+IF(Y$7&gt;PARAMETROS!$C$12,IF($H20&gt;0,$G20*CURVA!Y20/$H20,0)*Y$6,0))</f>
        <v>44182</v>
      </c>
      <c r="Z20" s="19" t="n">
        <f aca="false">IF($B20="",0,SUMIFS(INCORRIDO!$C$6:$C$5005,INCORRIDO!$D$6:$D$5005,$B20,INCORRIDO!$E$6:$E$5005,Z$7)+IF(Z$7&gt;PARAMETROS!$C$12,IF($H20&gt;0,$G20*CURVA!Z20/$H20,0)*Z$6,0))</f>
        <v>346.94</v>
      </c>
      <c r="AA20" s="19" t="n">
        <f aca="false">IF($B20="",0,SUMIFS(INCORRIDO!$C$6:$C$5005,INCORRIDO!$D$6:$D$5005,$B20,INCORRIDO!$E$6:$E$5005,AA$7)+IF(AA$7&gt;PARAMETROS!$C$12,IF($H20&gt;0,$G20*CURVA!AA20/$H20,0)*AA$6,0))</f>
        <v>4280</v>
      </c>
      <c r="AB20" s="19" t="n">
        <f aca="false">IF($B20="",0,SUMIFS(INCORRIDO!$C$6:$C$5005,INCORRIDO!$D$6:$D$5005,$B20,INCORRIDO!$E$6:$E$5005,AB$7)+IF(AB$7&gt;PARAMETROS!$C$12,IF($H20&gt;0,$G20*CURVA!AB20/$H20,0)*AB$6,0))</f>
        <v>6148</v>
      </c>
      <c r="AC20" s="19" t="n">
        <f aca="false">IF($B20="",0,SUMIFS(INCORRIDO!$C$6:$C$5005,INCORRIDO!$D$6:$D$5005,$B20,INCORRIDO!$E$6:$E$5005,AC$7)+IF(AC$7&gt;PARAMETROS!$C$12,IF($H20&gt;0,$G20*CURVA!AC20/$H20,0)*AC$6,0))</f>
        <v>36106.1</v>
      </c>
      <c r="AD20" s="19" t="n">
        <f aca="false">IF($B20="",0,SUMIFS(INCORRIDO!$C$6:$C$5005,INCORRIDO!$D$6:$D$5005,$B20,INCORRIDO!$E$6:$E$5005,AD$7)+IF(AD$7&gt;PARAMETROS!$C$12,IF($H20&gt;0,$G20*CURVA!AD20/$H20,0)*AD$6,0))</f>
        <v>0</v>
      </c>
      <c r="AE20" s="19" t="n">
        <f aca="false">IF($B20="",0,SUMIFS(INCORRIDO!$C$6:$C$5005,INCORRIDO!$D$6:$D$5005,$B20,INCORRIDO!$E$6:$E$5005,AE$7)+IF(AE$7&gt;PARAMETROS!$C$12,IF($H20&gt;0,$G20*CURVA!AE20/$H20,0)*AE$6,0))</f>
        <v>10352.65</v>
      </c>
      <c r="AF20" s="19" t="n">
        <f aca="false">IF($B20="",0,SUMIFS(INCORRIDO!$C$6:$C$5005,INCORRIDO!$D$6:$D$5005,$B20,INCORRIDO!$E$6:$E$5005,AF$7)+IF(AF$7&gt;PARAMETROS!$C$12,IF($H20&gt;0,$G20*CURVA!AF20/$H20,0)*AF$6,0))</f>
        <v>70000</v>
      </c>
      <c r="AG20" s="19" t="n">
        <f aca="false">IF($B20="",0,SUMIFS(INCORRIDO!$C$6:$C$5005,INCORRIDO!$D$6:$D$5005,$B20,INCORRIDO!$E$6:$E$5005,AG$7)+IF(AG$7&gt;PARAMETROS!$C$12,IF($H20&gt;0,$G20*CURVA!AG20/$H20,0)*AG$6,0))</f>
        <v>75763.38</v>
      </c>
      <c r="AH20" s="19" t="n">
        <f aca="false">IF($B20="",0,SUMIFS(INCORRIDO!$C$6:$C$5005,INCORRIDO!$D$6:$D$5005,$B20,INCORRIDO!$E$6:$E$5005,AH$7)+IF(AH$7&gt;PARAMETROS!$C$12,IF($H20&gt;0,$G20*CURVA!AH20/$H20,0)*AH$6,0))</f>
        <v>0</v>
      </c>
      <c r="AI20" s="19" t="n">
        <f aca="false">IF($B20="",0,SUMIFS(INCORRIDO!$C$6:$C$5005,INCORRIDO!$D$6:$D$5005,$B20,INCORRIDO!$E$6:$E$5005,AI$7)+IF(AI$7&gt;PARAMETROS!$C$12,IF($H20&gt;0,$G20*CURVA!AI20/$H20,0)*AI$6,0))</f>
        <v>130000</v>
      </c>
      <c r="AJ20" s="19" t="n">
        <f aca="false">IF($B20="",0,SUMIFS(INCORRIDO!$C$6:$C$5005,INCORRIDO!$D$6:$D$5005,$B20,INCORRIDO!$E$6:$E$5005,AJ$7)+IF(AJ$7&gt;PARAMETROS!$C$12,IF($H20&gt;0,$G20*CURVA!AJ20/$H20,0)*AJ$6,0))</f>
        <v>114571.25</v>
      </c>
      <c r="AK20" s="19" t="n">
        <f aca="false">IF($B20="",0,SUMIFS(INCORRIDO!$C$6:$C$5005,INCORRIDO!$D$6:$D$5005,$B20,INCORRIDO!$E$6:$E$5005,AK$7)+IF(AK$7&gt;PARAMETROS!$C$12,IF($H20&gt;0,$G20*CURVA!AK20/$H20,0)*AK$6,0))</f>
        <v>0</v>
      </c>
      <c r="AL20" s="19" t="n">
        <f aca="false">IF($B20="",0,SUMIFS(INCORRIDO!$C$6:$C$5005,INCORRIDO!$D$6:$D$5005,$B20,INCORRIDO!$E$6:$E$5005,AL$7)+IF(AL$7&gt;PARAMETROS!$C$12,IF($H20&gt;0,$G20*CURVA!AL20/$H20,0)*AL$6,0))</f>
        <v>0</v>
      </c>
      <c r="AM20" s="19" t="n">
        <f aca="false">IF($B20="",0,SUMIFS(INCORRIDO!$C$6:$C$5005,INCORRIDO!$D$6:$D$5005,$B20,INCORRIDO!$E$6:$E$5005,AM$7)+IF(AM$7&gt;PARAMETROS!$C$12,IF($H20&gt;0,$G20*CURVA!AM20/$H20,0)*AM$6,0))</f>
        <v>0</v>
      </c>
      <c r="AN20" s="19" t="n">
        <f aca="false">IF($B20="",0,SUMIFS(INCORRIDO!$C$6:$C$5005,INCORRIDO!$D$6:$D$5005,$B20,INCORRIDO!$E$6:$E$5005,AN$7)+IF(AN$7&gt;PARAMETROS!$C$12,IF($H20&gt;0,$G20*CURVA!AN20/$H20,0)*AN$6,0))</f>
        <v>0</v>
      </c>
      <c r="AO20" s="19" t="n">
        <f aca="false">IF($B20="",0,SUMIFS(INCORRIDO!$C$6:$C$5005,INCORRIDO!$D$6:$D$5005,$B20,INCORRIDO!$E$6:$E$5005,AO$7)+IF(AO$7&gt;PARAMETROS!$C$12,IF($H20&gt;0,$G20*CURVA!AO20/$H20,0)*AO$6,0))</f>
        <v>0</v>
      </c>
      <c r="AP20" s="19" t="n">
        <f aca="false">IF($B20="",0,SUMIFS(INCORRIDO!$C$6:$C$5005,INCORRIDO!$D$6:$D$5005,$B20,INCORRIDO!$E$6:$E$5005,AP$7)+IF(AP$7&gt;PARAMETROS!$C$12,IF($H20&gt;0,$G20*CURVA!AP20/$H20,0)*AP$6,0))</f>
        <v>0</v>
      </c>
      <c r="AQ20" s="19" t="n">
        <f aca="false">IF($B20="",0,SUMIFS(INCORRIDO!$C$6:$C$5005,INCORRIDO!$D$6:$D$5005,$B20,INCORRIDO!$E$6:$E$5005,AQ$7)+IF(AQ$7&gt;PARAMETROS!$C$12,IF($H20&gt;0,$G20*CURVA!AQ20/$H20,0)*AQ$6,0))</f>
        <v>0</v>
      </c>
      <c r="AR20" s="19" t="n">
        <f aca="false">IF($B20="",0,SUMIFS(INCORRIDO!$C$6:$C$5005,INCORRIDO!$D$6:$D$5005,$B20,INCORRIDO!$E$6:$E$5005,AR$7)+IF(AR$7&gt;PARAMETROS!$C$12,IF($H20&gt;0,$G20*CURVA!AR20/$H20,0)*AR$6,0))</f>
        <v>0</v>
      </c>
      <c r="AS20" s="19" t="n">
        <f aca="false">IF($B20="",0,SUMIFS(INCORRIDO!$C$6:$C$5005,INCORRIDO!$D$6:$D$5005,$B20,INCORRIDO!$E$6:$E$5005,AS$7)+IF(AS$7&gt;PARAMETROS!$C$12,IF($H20&gt;0,$G20*CURVA!AS20/$H20,0)*AS$6,0))</f>
        <v>0</v>
      </c>
      <c r="AT20" s="19" t="n">
        <f aca="false">IF($B20="",0,SUMIFS(INCORRIDO!$C$6:$C$5005,INCORRIDO!$D$6:$D$5005,$B20,INCORRIDO!$E$6:$E$5005,AT$7)+IF(AT$7&gt;PARAMETROS!$C$12,IF($H20&gt;0,$G20*CURVA!AT20/$H20,0)*AT$6,0))</f>
        <v>0</v>
      </c>
      <c r="AU20" s="19" t="n">
        <f aca="false">IF($B20="",0,SUMIFS(INCORRIDO!$C$6:$C$5005,INCORRIDO!$D$6:$D$5005,$B20,INCORRIDO!$E$6:$E$5005,AU$7)+IF(AU$7&gt;PARAMETROS!$C$12,IF($H20&gt;0,$G20*CURVA!AU20/$H20,0)*AU$6,0))</f>
        <v>0</v>
      </c>
      <c r="AV20" s="19" t="n">
        <f aca="false">IF($B20="",0,SUMIFS(INCORRIDO!$C$6:$C$5005,INCORRIDO!$D$6:$D$5005,$B20,INCORRIDO!$E$6:$E$5005,AV$7)+IF(AV$7&gt;PARAMETROS!$C$12,IF($H20&gt;0,$G20*CURVA!AV20/$H20,0)*AV$6,0))</f>
        <v>0</v>
      </c>
      <c r="AW20" s="19" t="n">
        <f aca="false">IF($B20="",0,SUMIFS(INCORRIDO!$C$6:$C$5005,INCORRIDO!$D$6:$D$5005,$B20,INCORRIDO!$E$6:$E$5005,AW$7)+IF(AW$7&gt;PARAMETROS!$C$12,IF($H20&gt;0,$G20*CURVA!AW20/$H20,0)*AW$6,0))</f>
        <v>0</v>
      </c>
      <c r="AX20" s="19" t="n">
        <f aca="false">IF($B20="",0,SUMIFS(INCORRIDO!$C$6:$C$5005,INCORRIDO!$D$6:$D$5005,$B20,INCORRIDO!$E$6:$E$5005,AX$7)+IF(AX$7&gt;PARAMETROS!$C$12,IF($H20&gt;0,$G20*CURVA!AX20/$H20,0)*AX$6,0))</f>
        <v>0</v>
      </c>
      <c r="AY20" s="19" t="n">
        <f aca="false">IF($B20="",0,SUMIFS(INCORRIDO!$C$6:$C$5005,INCORRIDO!$D$6:$D$5005,$B20,INCORRIDO!$E$6:$E$5005,AY$7)+IF(AY$7&gt;PARAMETROS!$C$12,IF($H20&gt;0,$G20*CURVA!AY20/$H20,0)*AY$6,0))</f>
        <v>0</v>
      </c>
      <c r="AZ20" s="19" t="n">
        <f aca="false">IF($B20="",0,SUMIFS(INCORRIDO!$C$6:$C$5005,INCORRIDO!$D$6:$D$5005,$B20,INCORRIDO!$E$6:$E$5005,AZ$7)+IF(AZ$7&gt;PARAMETROS!$C$12,IF($H20&gt;0,$G20*CURVA!AZ20/$H20,0)*AZ$6,0))</f>
        <v>0</v>
      </c>
      <c r="BA20" s="19" t="n">
        <f aca="false">IF($B20="",0,SUMIFS(INCORRIDO!$C$6:$C$5005,INCORRIDO!$D$6:$D$5005,$B20,INCORRIDO!$E$6:$E$5005,BA$7)+IF(BA$7&gt;PARAMETROS!$C$12,IF($H20&gt;0,$G20*CURVA!BA20/$H20,0)*BA$6,0))</f>
        <v>0</v>
      </c>
      <c r="BB20" s="19" t="n">
        <f aca="false">IF($B20="",0,SUMIFS(INCORRIDO!$C$6:$C$5005,INCORRIDO!$D$6:$D$5005,$B20,INCORRIDO!$E$6:$E$5005,BB$7)+IF(BB$7&gt;PARAMETROS!$C$12,IF($H20&gt;0,$G20*CURVA!BB20/$H20,0)*BB$6,0))</f>
        <v>0</v>
      </c>
      <c r="BC20" s="19" t="n">
        <f aca="false">IF($B20="",0,SUMIFS(INCORRIDO!$C$6:$C$5005,INCORRIDO!$D$6:$D$5005,$B20,INCORRIDO!$E$6:$E$5005,BC$7)+IF(BC$7&gt;PARAMETROS!$C$12,IF($H20&gt;0,$G20*CURVA!BC20/$H20,0)*BC$6,0))</f>
        <v>0</v>
      </c>
      <c r="BD20" s="19" t="n">
        <f aca="false">IF($B20="",0,SUMIFS(INCORRIDO!$C$6:$C$5005,INCORRIDO!$D$6:$D$5005,$B20,INCORRIDO!$E$6:$E$5005,BD$7)+IF(BD$7&gt;PARAMETROS!$C$12,IF($H20&gt;0,$G20*CURVA!BD20/$H20,0)*BD$6,0))</f>
        <v>0</v>
      </c>
      <c r="BE20" s="19" t="n">
        <f aca="false">IF($B20="",0,SUMIFS(INCORRIDO!$C$6:$C$5005,INCORRIDO!$D$6:$D$5005,$B20,INCORRIDO!$E$6:$E$5005,BE$7)+IF(BE$7&gt;PARAMETROS!$C$12,IF($H20&gt;0,$G20*CURVA!BE20/$H20,0)*BE$6,0))</f>
        <v>0</v>
      </c>
      <c r="BF20" s="19" t="n">
        <f aca="false">IF($B20="",0,SUMIFS(INCORRIDO!$C$6:$C$5005,INCORRIDO!$D$6:$D$5005,$B20,INCORRIDO!$E$6:$E$5005,BF$7)+IF(BF$7&gt;PARAMETROS!$C$12,IF($H20&gt;0,$G20*CURVA!BF20/$H20,0)*BF$6,0))</f>
        <v>0</v>
      </c>
      <c r="BG20" s="19" t="n">
        <f aca="false">IF($B20="",0,SUMIFS(INCORRIDO!$C$6:$C$5005,INCORRIDO!$D$6:$D$5005,$B20,INCORRIDO!$E$6:$E$5005,BG$7)+IF(BG$7&gt;PARAMETROS!$C$12,IF($H20&gt;0,$G20*CURVA!BG20/$H20,0)*BG$6,0))</f>
        <v>0</v>
      </c>
      <c r="BH20" s="19" t="n">
        <f aca="false">IF($B20="",0,SUMIFS(INCORRIDO!$C$6:$C$5005,INCORRIDO!$D$6:$D$5005,$B20,INCORRIDO!$E$6:$E$5005,BH$7)+IF(BH$7&gt;PARAMETROS!$C$12,IF($H20&gt;0,$G20*CURVA!BH20/$H20,0)*BH$6,0))</f>
        <v>0</v>
      </c>
      <c r="BI20" s="19" t="n">
        <f aca="false">IF($B20="",0,SUMIFS(INCORRIDO!$C$6:$C$5005,INCORRIDO!$D$6:$D$5005,$B20,INCORRIDO!$E$6:$E$5005,BI$7)+IF(BI$7&gt;PARAMETROS!$C$12,IF($H20&gt;0,$G20*CURVA!BI20/$H20,0)*BI$6,0))</f>
        <v>0</v>
      </c>
      <c r="BJ20" s="19" t="n">
        <f aca="false">IF($B20="",0,SUMIFS(INCORRIDO!$C$6:$C$5005,INCORRIDO!$D$6:$D$5005,$B20,INCORRIDO!$E$6:$E$5005,BJ$7)+IF(BJ$7&gt;PARAMETROS!$C$12,IF($H20&gt;0,$G20*CURVA!BJ20/$H20,0)*BJ$6,0))</f>
        <v>0</v>
      </c>
      <c r="BK20" s="19" t="n">
        <f aca="false">IF($B20="",0,SUMIFS(INCORRIDO!$C$6:$C$5005,INCORRIDO!$D$6:$D$5005,$B20,INCORRIDO!$E$6:$E$5005,BK$7)+IF(BK$7&gt;PARAMETROS!$C$12,IF($H20&gt;0,$G20*CURVA!BK20/$H20,0)*BK$6,0))</f>
        <v>0</v>
      </c>
      <c r="BL20" s="19" t="n">
        <f aca="false">IF($B20="",0,SUMIFS(INCORRIDO!$C$6:$C$5005,INCORRIDO!$D$6:$D$5005,$B20,INCORRIDO!$E$6:$E$5005,BL$7)+IF(BL$7&gt;PARAMETROS!$C$12,IF($H20&gt;0,$G20*CURVA!BL20/$H20,0)*BL$6,0))</f>
        <v>0</v>
      </c>
      <c r="BM20" s="19" t="n">
        <f aca="false">IF($B20="",0,SUMIFS(INCORRIDO!$C$6:$C$5005,INCORRIDO!$D$6:$D$5005,$B20,INCORRIDO!$E$6:$E$5005,BM$7)+IF(BM$7&gt;PARAMETROS!$C$12,IF($H20&gt;0,$G20*CURVA!BM20/$H20,0)*BM$6,0))</f>
        <v>0</v>
      </c>
      <c r="BN20" s="19" t="n">
        <f aca="false">IF($B20="",0,SUMIFS(INCORRIDO!$C$6:$C$5005,INCORRIDO!$D$6:$D$5005,$B20,INCORRIDO!$E$6:$E$5005,BN$7)+IF(BN$7&gt;PARAMETROS!$C$12,IF($H20&gt;0,$G20*CURVA!BN20/$H20,0)*BN$6,0))</f>
        <v>0</v>
      </c>
      <c r="BO20" s="19" t="n">
        <f aca="false">IF($B20="",0,SUMIFS(INCORRIDO!$C$6:$C$5005,INCORRIDO!$D$6:$D$5005,$B20,INCORRIDO!$E$6:$E$5005,BO$7)+IF(BO$7&gt;PARAMETROS!$C$12,IF($H20&gt;0,$G20*CURVA!BO20/$H20,0)*BO$6,0))</f>
        <v>0</v>
      </c>
      <c r="BP20" s="19" t="n">
        <f aca="false">IF($B20="",0,SUMIFS(INCORRIDO!$C$6:$C$5005,INCORRIDO!$D$6:$D$5005,$B20,INCORRIDO!$E$6:$E$5005,BP$7)+IF(BP$7&gt;PARAMETROS!$C$12,IF($H20&gt;0,$G20*CURVA!BP20/$H20,0)*BP$6,0))</f>
        <v>0</v>
      </c>
      <c r="BQ20" s="19" t="n">
        <f aca="false">IF($B20="",0,SUMIFS(INCORRIDO!$C$6:$C$5005,INCORRIDO!$D$6:$D$5005,$B20,INCORRIDO!$E$6:$E$5005,BQ$7)+IF(BQ$7&gt;PARAMETROS!$C$12,IF($H20&gt;0,$G20*CURVA!BQ20/$H20,0)*BQ$6,0))</f>
        <v>0</v>
      </c>
      <c r="BR20" s="19" t="n">
        <f aca="false">IF($B20="",0,SUMIFS(INCORRIDO!$C$6:$C$5005,INCORRIDO!$D$6:$D$5005,$B20,INCORRIDO!$E$6:$E$5005,BR$7)+IF(BR$7&gt;PARAMETROS!$C$12,IF($H20&gt;0,$G20*CURVA!BR20/$H20,0)*BR$6,0))</f>
        <v>0</v>
      </c>
      <c r="BS20" s="19" t="n">
        <f aca="false">IF($B20="",0,SUMIFS(INCORRIDO!$C$6:$C$5005,INCORRIDO!$D$6:$D$5005,$B20,INCORRIDO!$E$6:$E$5005,BS$7)+IF(BS$7&gt;PARAMETROS!$C$12,IF($H20&gt;0,$G20*CURVA!BS20/$H20,0)*BS$6,0))</f>
        <v>0</v>
      </c>
      <c r="BT20" s="19" t="n">
        <f aca="false">IF($B20="",0,SUMIFS(INCORRIDO!$C$6:$C$5005,INCORRIDO!$D$6:$D$5005,$B20,INCORRIDO!$E$6:$E$5005,BT$7)+IF(BT$7&gt;PARAMETROS!$C$12,IF($H20&gt;0,$G20*CURVA!BT20/$H20,0)*BT$6,0))</f>
        <v>0</v>
      </c>
      <c r="BU20" s="19" t="n">
        <f aca="false">IF($B20="",0,SUMIFS(INCORRIDO!$C$6:$C$5005,INCORRIDO!$D$6:$D$5005,$B20,INCORRIDO!$E$6:$E$5005,BU$7)+IF(BU$7&gt;PARAMETROS!$C$12,IF($H20&gt;0,$G20*CURVA!BU20/$H20,0)*BU$6,0))</f>
        <v>0</v>
      </c>
      <c r="BV20" s="19" t="n">
        <f aca="false">IF($B20="",0,SUMIFS(INCORRIDO!$C$6:$C$5005,INCORRIDO!$D$6:$D$5005,$B20,INCORRIDO!$E$6:$E$5005,BV$7)+IF(BV$7&gt;PARAMETROS!$C$12,IF($H20&gt;0,$G20*CURVA!BV20/$H20,0)*BV$6,0))</f>
        <v>0</v>
      </c>
      <c r="BW20" s="19" t="n">
        <f aca="false">IF($B20="",0,SUMIFS(INCORRIDO!$C$6:$C$5005,INCORRIDO!$D$6:$D$5005,$B20,INCORRIDO!$E$6:$E$5005,BW$7)+IF(BW$7&gt;PARAMETROS!$C$12,IF($H20&gt;0,$G20*CURVA!BW20/$H20,0)*BW$6,0))</f>
        <v>0</v>
      </c>
      <c r="BX20" s="19" t="n">
        <f aca="false">IF($B20="",0,SUMIFS(INCORRIDO!$C$6:$C$5005,INCORRIDO!$D$6:$D$5005,$B20,INCORRIDO!$E$6:$E$5005,BX$7)+IF(BX$7&gt;PARAMETROS!$C$12,IF($H20&gt;0,$G20*CURVA!BX20/$H20,0)*BX$6,0))</f>
        <v>0</v>
      </c>
      <c r="BY20" s="19" t="n">
        <f aca="false">IF($B20="",0,SUMIFS(INCORRIDO!$C$6:$C$5005,INCORRIDO!$D$6:$D$5005,$B20,INCORRIDO!$E$6:$E$5005,BY$7)+IF(BY$7&gt;PARAMETROS!$C$12,IF($H20&gt;0,$G20*CURVA!BY20/$H20,0)*BY$6,0))</f>
        <v>0</v>
      </c>
      <c r="BZ20" s="19" t="n">
        <f aca="false">IF($B20="",0,SUMIFS(INCORRIDO!$C$6:$C$5005,INCORRIDO!$D$6:$D$5005,$B20,INCORRIDO!$E$6:$E$5005,BZ$7)+IF(BZ$7&gt;PARAMETROS!$C$12,IF($H20&gt;0,$G20*CURVA!BZ20/$H20,0)*BZ$6,0))</f>
        <v>0</v>
      </c>
      <c r="CA20" s="19" t="n">
        <f aca="false">IF($B20="",0,SUMIFS(INCORRIDO!$C$6:$C$5005,INCORRIDO!$D$6:$D$5005,$B20,INCORRIDO!$E$6:$E$5005,CA$7)+IF(CA$7&gt;PARAMETROS!$C$12,IF($H20&gt;0,$G20*CURVA!CA20/$H20,0)*CA$6,0))</f>
        <v>0</v>
      </c>
      <c r="CB20" s="19" t="n">
        <f aca="false">IF($B20="",0,SUMIFS(INCORRIDO!$C$6:$C$5005,INCORRIDO!$D$6:$D$5005,$B20,INCORRIDO!$E$6:$E$5005,CB$7)+IF(CB$7&gt;PARAMETROS!$C$12,IF($H20&gt;0,$G20*CURVA!CB20/$H20,0)*CB$6,0))</f>
        <v>0</v>
      </c>
      <c r="CC20" s="19" t="n">
        <f aca="false">IF($B20="",0,SUMIFS(INCORRIDO!$C$6:$C$5005,INCORRIDO!$D$6:$D$5005,$B20,INCORRIDO!$E$6:$E$5005,CC$7)+IF(CC$7&gt;PARAMETROS!$C$12,IF($H20&gt;0,$G20*CURVA!CC20/$H20,0)*CC$6,0))</f>
        <v>0</v>
      </c>
    </row>
    <row r="21" customFormat="false" ht="15" hidden="false" customHeight="false" outlineLevel="0" collapsed="false">
      <c r="A21" s="31" t="str">
        <f aca="false">IF(ORCAMENTO!A19="","",ORCAMENTO!A19)</f>
        <v>14</v>
      </c>
      <c r="B21" s="31" t="str">
        <f aca="false">IF(ORCAMENTO!B19="","",ORCAMENTO!B19)</f>
        <v>TERRAPLENAGEM</v>
      </c>
      <c r="C21" s="31" t="str">
        <f aca="false">IF(ORCAMENTO!C19="","",ORCAMENTO!C19)</f>
        <v>INFRAESTRUTURA</v>
      </c>
      <c r="D21" s="32" t="n">
        <f aca="false">IF($B21="",0,ORCAMENTO!E19)</f>
        <v>1293873.46</v>
      </c>
      <c r="E21" s="19" t="n">
        <f aca="false">IF($B21="",0,SUMIFS(INCORRIDO!$C$6:$C$5005,INCORRIDO!$D$6:$D$5005,$B21,INCORRIDO!$E$6:$E$5005,"&lt;="&amp;PARAMETROS!$C$12))</f>
        <v>938478.8</v>
      </c>
      <c r="F21" s="19" t="n">
        <f aca="false">IF($B21="",0,SUMIFS(INCORRIDO!$C$6:$C$5005,INCORRIDO!$D$6:$D$5005,$B21,INCORRIDO!$E$6:$E$5005,"&gt;"&amp;PARAMETROS!$C$12))</f>
        <v>103653.51</v>
      </c>
      <c r="G21" s="19" t="n">
        <f aca="false">MAX(0,D21-E21-F21)</f>
        <v>251741.15</v>
      </c>
      <c r="H21" s="32" t="n">
        <f aca="false">CURVA!H21</f>
        <v>251741.15</v>
      </c>
      <c r="I21" s="19" t="n">
        <f aca="false">SUM(J21:CC21)</f>
        <v>1293873.46</v>
      </c>
      <c r="J21" s="19" t="n">
        <f aca="false">IF($B21="",0,SUMIFS(INCORRIDO!$C$6:$C$5005,INCORRIDO!$D$6:$D$5005,$B21,INCORRIDO!$E$6:$E$5005,"&lt;="&amp;J$7)+IF(J$7&gt;PARAMETROS!$C$12,IF($H21&gt;0,$G21*CURVA!J21/$H21,0)*J$6,0))</f>
        <v>0</v>
      </c>
      <c r="K21" s="19" t="n">
        <f aca="false">IF($B21="",0,SUMIFS(INCORRIDO!$C$6:$C$5005,INCORRIDO!$D$6:$D$5005,$B21,INCORRIDO!$E$6:$E$5005,K$7)+IF(K$7&gt;PARAMETROS!$C$12,IF($H21&gt;0,$G21*CURVA!K21/$H21,0)*K$6,0))</f>
        <v>0</v>
      </c>
      <c r="L21" s="19" t="n">
        <f aca="false">IF($B21="",0,SUMIFS(INCORRIDO!$C$6:$C$5005,INCORRIDO!$D$6:$D$5005,$B21,INCORRIDO!$E$6:$E$5005,L$7)+IF(L$7&gt;PARAMETROS!$C$12,IF($H21&gt;0,$G21*CURVA!L21/$H21,0)*L$6,0))</f>
        <v>0</v>
      </c>
      <c r="M21" s="19" t="n">
        <f aca="false">IF($B21="",0,SUMIFS(INCORRIDO!$C$6:$C$5005,INCORRIDO!$D$6:$D$5005,$B21,INCORRIDO!$E$6:$E$5005,M$7)+IF(M$7&gt;PARAMETROS!$C$12,IF($H21&gt;0,$G21*CURVA!M21/$H21,0)*M$6,0))</f>
        <v>0</v>
      </c>
      <c r="N21" s="19" t="n">
        <f aca="false">IF($B21="",0,SUMIFS(INCORRIDO!$C$6:$C$5005,INCORRIDO!$D$6:$D$5005,$B21,INCORRIDO!$E$6:$E$5005,N$7)+IF(N$7&gt;PARAMETROS!$C$12,IF($H21&gt;0,$G21*CURVA!N21/$H21,0)*N$6,0))</f>
        <v>0</v>
      </c>
      <c r="O21" s="19" t="n">
        <f aca="false">IF($B21="",0,SUMIFS(INCORRIDO!$C$6:$C$5005,INCORRIDO!$D$6:$D$5005,$B21,INCORRIDO!$E$6:$E$5005,O$7)+IF(O$7&gt;PARAMETROS!$C$12,IF($H21&gt;0,$G21*CURVA!O21/$H21,0)*O$6,0))</f>
        <v>0</v>
      </c>
      <c r="P21" s="19" t="n">
        <f aca="false">IF($B21="",0,SUMIFS(INCORRIDO!$C$6:$C$5005,INCORRIDO!$D$6:$D$5005,$B21,INCORRIDO!$E$6:$E$5005,P$7)+IF(P$7&gt;PARAMETROS!$C$12,IF($H21&gt;0,$G21*CURVA!P21/$H21,0)*P$6,0))</f>
        <v>0</v>
      </c>
      <c r="Q21" s="19" t="n">
        <f aca="false">IF($B21="",0,SUMIFS(INCORRIDO!$C$6:$C$5005,INCORRIDO!$D$6:$D$5005,$B21,INCORRIDO!$E$6:$E$5005,Q$7)+IF(Q$7&gt;PARAMETROS!$C$12,IF($H21&gt;0,$G21*CURVA!Q21/$H21,0)*Q$6,0))</f>
        <v>0</v>
      </c>
      <c r="R21" s="19" t="n">
        <f aca="false">IF($B21="",0,SUMIFS(INCORRIDO!$C$6:$C$5005,INCORRIDO!$D$6:$D$5005,$B21,INCORRIDO!$E$6:$E$5005,R$7)+IF(R$7&gt;PARAMETROS!$C$12,IF($H21&gt;0,$G21*CURVA!R21/$H21,0)*R$6,0))</f>
        <v>0</v>
      </c>
      <c r="S21" s="19" t="n">
        <f aca="false">IF($B21="",0,SUMIFS(INCORRIDO!$C$6:$C$5005,INCORRIDO!$D$6:$D$5005,$B21,INCORRIDO!$E$6:$E$5005,S$7)+IF(S$7&gt;PARAMETROS!$C$12,IF($H21&gt;0,$G21*CURVA!S21/$H21,0)*S$6,0))</f>
        <v>0</v>
      </c>
      <c r="T21" s="19" t="n">
        <f aca="false">IF($B21="",0,SUMIFS(INCORRIDO!$C$6:$C$5005,INCORRIDO!$D$6:$D$5005,$B21,INCORRIDO!$E$6:$E$5005,T$7)+IF(T$7&gt;PARAMETROS!$C$12,IF($H21&gt;0,$G21*CURVA!T21/$H21,0)*T$6,0))</f>
        <v>0</v>
      </c>
      <c r="U21" s="19" t="n">
        <f aca="false">IF($B21="",0,SUMIFS(INCORRIDO!$C$6:$C$5005,INCORRIDO!$D$6:$D$5005,$B21,INCORRIDO!$E$6:$E$5005,U$7)+IF(U$7&gt;PARAMETROS!$C$12,IF($H21&gt;0,$G21*CURVA!U21/$H21,0)*U$6,0))</f>
        <v>3866</v>
      </c>
      <c r="V21" s="19" t="n">
        <f aca="false">IF($B21="",0,SUMIFS(INCORRIDO!$C$6:$C$5005,INCORRIDO!$D$6:$D$5005,$B21,INCORRIDO!$E$6:$E$5005,V$7)+IF(V$7&gt;PARAMETROS!$C$12,IF($H21&gt;0,$G21*CURVA!V21/$H21,0)*V$6,0))</f>
        <v>58166.5</v>
      </c>
      <c r="W21" s="19" t="n">
        <f aca="false">IF($B21="",0,SUMIFS(INCORRIDO!$C$6:$C$5005,INCORRIDO!$D$6:$D$5005,$B21,INCORRIDO!$E$6:$E$5005,W$7)+IF(W$7&gt;PARAMETROS!$C$12,IF($H21&gt;0,$G21*CURVA!W21/$H21,0)*W$6,0))</f>
        <v>21398.48</v>
      </c>
      <c r="X21" s="19" t="n">
        <f aca="false">IF($B21="",0,SUMIFS(INCORRIDO!$C$6:$C$5005,INCORRIDO!$D$6:$D$5005,$B21,INCORRIDO!$E$6:$E$5005,X$7)+IF(X$7&gt;PARAMETROS!$C$12,IF($H21&gt;0,$G21*CURVA!X21/$H21,0)*X$6,0))</f>
        <v>104829.66</v>
      </c>
      <c r="Y21" s="19" t="n">
        <f aca="false">IF($B21="",0,SUMIFS(INCORRIDO!$C$6:$C$5005,INCORRIDO!$D$6:$D$5005,$B21,INCORRIDO!$E$6:$E$5005,Y$7)+IF(Y$7&gt;PARAMETROS!$C$12,IF($H21&gt;0,$G21*CURVA!Y21/$H21,0)*Y$6,0))</f>
        <v>21701.49</v>
      </c>
      <c r="Z21" s="19" t="n">
        <f aca="false">IF($B21="",0,SUMIFS(INCORRIDO!$C$6:$C$5005,INCORRIDO!$D$6:$D$5005,$B21,INCORRIDO!$E$6:$E$5005,Z$7)+IF(Z$7&gt;PARAMETROS!$C$12,IF($H21&gt;0,$G21*CURVA!Z21/$H21,0)*Z$6,0))</f>
        <v>203306.37</v>
      </c>
      <c r="AA21" s="19" t="n">
        <f aca="false">IF($B21="",0,SUMIFS(INCORRIDO!$C$6:$C$5005,INCORRIDO!$D$6:$D$5005,$B21,INCORRIDO!$E$6:$E$5005,AA$7)+IF(AA$7&gt;PARAMETROS!$C$12,IF($H21&gt;0,$G21*CURVA!AA21/$H21,0)*AA$6,0))</f>
        <v>269416.54</v>
      </c>
      <c r="AB21" s="19" t="n">
        <f aca="false">IF($B21="",0,SUMIFS(INCORRIDO!$C$6:$C$5005,INCORRIDO!$D$6:$D$5005,$B21,INCORRIDO!$E$6:$E$5005,AB$7)+IF(AB$7&gt;PARAMETROS!$C$12,IF($H21&gt;0,$G21*CURVA!AB21/$H21,0)*AB$6,0))</f>
        <v>202541.18</v>
      </c>
      <c r="AC21" s="19" t="n">
        <f aca="false">IF($B21="",0,SUMIFS(INCORRIDO!$C$6:$C$5005,INCORRIDO!$D$6:$D$5005,$B21,INCORRIDO!$E$6:$E$5005,AC$7)+IF(AC$7&gt;PARAMETROS!$C$12,IF($H21&gt;0,$G21*CURVA!AC21/$H21,0)*AC$6,0))</f>
        <v>53252.58</v>
      </c>
      <c r="AD21" s="19" t="n">
        <f aca="false">IF($B21="",0,SUMIFS(INCORRIDO!$C$6:$C$5005,INCORRIDO!$D$6:$D$5005,$B21,INCORRIDO!$E$6:$E$5005,AD$7)+IF(AD$7&gt;PARAMETROS!$C$12,IF($H21&gt;0,$G21*CURVA!AD21/$H21,0)*AD$6,0))</f>
        <v>0</v>
      </c>
      <c r="AE21" s="19" t="n">
        <f aca="false">IF($B21="",0,SUMIFS(INCORRIDO!$C$6:$C$5005,INCORRIDO!$D$6:$D$5005,$B21,INCORRIDO!$E$6:$E$5005,AE$7)+IF(AE$7&gt;PARAMETROS!$C$12,IF($H21&gt;0,$G21*CURVA!AE21/$H21,0)*AE$6,0))</f>
        <v>150529.63</v>
      </c>
      <c r="AF21" s="19" t="n">
        <f aca="false">IF($B21="",0,SUMIFS(INCORRIDO!$C$6:$C$5005,INCORRIDO!$D$6:$D$5005,$B21,INCORRIDO!$E$6:$E$5005,AF$7)+IF(AF$7&gt;PARAMETROS!$C$12,IF($H21&gt;0,$G21*CURVA!AF21/$H21,0)*AF$6,0))</f>
        <v>75000</v>
      </c>
      <c r="AG21" s="19" t="n">
        <f aca="false">IF($B21="",0,SUMIFS(INCORRIDO!$C$6:$C$5005,INCORRIDO!$D$6:$D$5005,$B21,INCORRIDO!$E$6:$E$5005,AG$7)+IF(AG$7&gt;PARAMETROS!$C$12,IF($H21&gt;0,$G21*CURVA!AG21/$H21,0)*AG$6,0))</f>
        <v>75000</v>
      </c>
      <c r="AH21" s="19" t="n">
        <f aca="false">IF($B21="",0,SUMIFS(INCORRIDO!$C$6:$C$5005,INCORRIDO!$D$6:$D$5005,$B21,INCORRIDO!$E$6:$E$5005,AH$7)+IF(AH$7&gt;PARAMETROS!$C$12,IF($H21&gt;0,$G21*CURVA!AH21/$H21,0)*AH$6,0))</f>
        <v>0</v>
      </c>
      <c r="AI21" s="19" t="n">
        <f aca="false">IF($B21="",0,SUMIFS(INCORRIDO!$C$6:$C$5005,INCORRIDO!$D$6:$D$5005,$B21,INCORRIDO!$E$6:$E$5005,AI$7)+IF(AI$7&gt;PARAMETROS!$C$12,IF($H21&gt;0,$G21*CURVA!AI21/$H21,0)*AI$6,0))</f>
        <v>0</v>
      </c>
      <c r="AJ21" s="19" t="n">
        <f aca="false">IF($B21="",0,SUMIFS(INCORRIDO!$C$6:$C$5005,INCORRIDO!$D$6:$D$5005,$B21,INCORRIDO!$E$6:$E$5005,AJ$7)+IF(AJ$7&gt;PARAMETROS!$C$12,IF($H21&gt;0,$G21*CURVA!AJ21/$H21,0)*AJ$6,0))</f>
        <v>0</v>
      </c>
      <c r="AK21" s="19" t="n">
        <f aca="false">IF($B21="",0,SUMIFS(INCORRIDO!$C$6:$C$5005,INCORRIDO!$D$6:$D$5005,$B21,INCORRIDO!$E$6:$E$5005,AK$7)+IF(AK$7&gt;PARAMETROS!$C$12,IF($H21&gt;0,$G21*CURVA!AK21/$H21,0)*AK$6,0))</f>
        <v>2100</v>
      </c>
      <c r="AL21" s="19" t="n">
        <f aca="false">IF($B21="",0,SUMIFS(INCORRIDO!$C$6:$C$5005,INCORRIDO!$D$6:$D$5005,$B21,INCORRIDO!$E$6:$E$5005,AL$7)+IF(AL$7&gt;PARAMETROS!$C$12,IF($H21&gt;0,$G21*CURVA!AL21/$H21,0)*AL$6,0))</f>
        <v>52765.03</v>
      </c>
      <c r="AM21" s="19" t="n">
        <f aca="false">IF($B21="",0,SUMIFS(INCORRIDO!$C$6:$C$5005,INCORRIDO!$D$6:$D$5005,$B21,INCORRIDO!$E$6:$E$5005,AM$7)+IF(AM$7&gt;PARAMETROS!$C$12,IF($H21&gt;0,$G21*CURVA!AM21/$H21,0)*AM$6,0))</f>
        <v>0</v>
      </c>
      <c r="AN21" s="19" t="n">
        <f aca="false">IF($B21="",0,SUMIFS(INCORRIDO!$C$6:$C$5005,INCORRIDO!$D$6:$D$5005,$B21,INCORRIDO!$E$6:$E$5005,AN$7)+IF(AN$7&gt;PARAMETROS!$C$12,IF($H21&gt;0,$G21*CURVA!AN21/$H21,0)*AN$6,0))</f>
        <v>0</v>
      </c>
      <c r="AO21" s="19" t="n">
        <f aca="false">IF($B21="",0,SUMIFS(INCORRIDO!$C$6:$C$5005,INCORRIDO!$D$6:$D$5005,$B21,INCORRIDO!$E$6:$E$5005,AO$7)+IF(AO$7&gt;PARAMETROS!$C$12,IF($H21&gt;0,$G21*CURVA!AO21/$H21,0)*AO$6,0))</f>
        <v>0</v>
      </c>
      <c r="AP21" s="19" t="n">
        <f aca="false">IF($B21="",0,SUMIFS(INCORRIDO!$C$6:$C$5005,INCORRIDO!$D$6:$D$5005,$B21,INCORRIDO!$E$6:$E$5005,AP$7)+IF(AP$7&gt;PARAMETROS!$C$12,IF($H21&gt;0,$G21*CURVA!AP21/$H21,0)*AP$6,0))</f>
        <v>0</v>
      </c>
      <c r="AQ21" s="19" t="n">
        <f aca="false">IF($B21="",0,SUMIFS(INCORRIDO!$C$6:$C$5005,INCORRIDO!$D$6:$D$5005,$B21,INCORRIDO!$E$6:$E$5005,AQ$7)+IF(AQ$7&gt;PARAMETROS!$C$12,IF($H21&gt;0,$G21*CURVA!AQ21/$H21,0)*AQ$6,0))</f>
        <v>0</v>
      </c>
      <c r="AR21" s="19" t="n">
        <f aca="false">IF($B21="",0,SUMIFS(INCORRIDO!$C$6:$C$5005,INCORRIDO!$D$6:$D$5005,$B21,INCORRIDO!$E$6:$E$5005,AR$7)+IF(AR$7&gt;PARAMETROS!$C$12,IF($H21&gt;0,$G21*CURVA!AR21/$H21,0)*AR$6,0))</f>
        <v>0</v>
      </c>
      <c r="AS21" s="19" t="n">
        <f aca="false">IF($B21="",0,SUMIFS(INCORRIDO!$C$6:$C$5005,INCORRIDO!$D$6:$D$5005,$B21,INCORRIDO!$E$6:$E$5005,AS$7)+IF(AS$7&gt;PARAMETROS!$C$12,IF($H21&gt;0,$G21*CURVA!AS21/$H21,0)*AS$6,0))</f>
        <v>0</v>
      </c>
      <c r="AT21" s="19" t="n">
        <f aca="false">IF($B21="",0,SUMIFS(INCORRIDO!$C$6:$C$5005,INCORRIDO!$D$6:$D$5005,$B21,INCORRIDO!$E$6:$E$5005,AT$7)+IF(AT$7&gt;PARAMETROS!$C$12,IF($H21&gt;0,$G21*CURVA!AT21/$H21,0)*AT$6,0))</f>
        <v>0</v>
      </c>
      <c r="AU21" s="19" t="n">
        <f aca="false">IF($B21="",0,SUMIFS(INCORRIDO!$C$6:$C$5005,INCORRIDO!$D$6:$D$5005,$B21,INCORRIDO!$E$6:$E$5005,AU$7)+IF(AU$7&gt;PARAMETROS!$C$12,IF($H21&gt;0,$G21*CURVA!AU21/$H21,0)*AU$6,0))</f>
        <v>0</v>
      </c>
      <c r="AV21" s="19" t="n">
        <f aca="false">IF($B21="",0,SUMIFS(INCORRIDO!$C$6:$C$5005,INCORRIDO!$D$6:$D$5005,$B21,INCORRIDO!$E$6:$E$5005,AV$7)+IF(AV$7&gt;PARAMETROS!$C$12,IF($H21&gt;0,$G21*CURVA!AV21/$H21,0)*AV$6,0))</f>
        <v>0</v>
      </c>
      <c r="AW21" s="19" t="n">
        <f aca="false">IF($B21="",0,SUMIFS(INCORRIDO!$C$6:$C$5005,INCORRIDO!$D$6:$D$5005,$B21,INCORRIDO!$E$6:$E$5005,AW$7)+IF(AW$7&gt;PARAMETROS!$C$12,IF($H21&gt;0,$G21*CURVA!AW21/$H21,0)*AW$6,0))</f>
        <v>0</v>
      </c>
      <c r="AX21" s="19" t="n">
        <f aca="false">IF($B21="",0,SUMIFS(INCORRIDO!$C$6:$C$5005,INCORRIDO!$D$6:$D$5005,$B21,INCORRIDO!$E$6:$E$5005,AX$7)+IF(AX$7&gt;PARAMETROS!$C$12,IF($H21&gt;0,$G21*CURVA!AX21/$H21,0)*AX$6,0))</f>
        <v>0</v>
      </c>
      <c r="AY21" s="19" t="n">
        <f aca="false">IF($B21="",0,SUMIFS(INCORRIDO!$C$6:$C$5005,INCORRIDO!$D$6:$D$5005,$B21,INCORRIDO!$E$6:$E$5005,AY$7)+IF(AY$7&gt;PARAMETROS!$C$12,IF($H21&gt;0,$G21*CURVA!AY21/$H21,0)*AY$6,0))</f>
        <v>0</v>
      </c>
      <c r="AZ21" s="19" t="n">
        <f aca="false">IF($B21="",0,SUMIFS(INCORRIDO!$C$6:$C$5005,INCORRIDO!$D$6:$D$5005,$B21,INCORRIDO!$E$6:$E$5005,AZ$7)+IF(AZ$7&gt;PARAMETROS!$C$12,IF($H21&gt;0,$G21*CURVA!AZ21/$H21,0)*AZ$6,0))</f>
        <v>0</v>
      </c>
      <c r="BA21" s="19" t="n">
        <f aca="false">IF($B21="",0,SUMIFS(INCORRIDO!$C$6:$C$5005,INCORRIDO!$D$6:$D$5005,$B21,INCORRIDO!$E$6:$E$5005,BA$7)+IF(BA$7&gt;PARAMETROS!$C$12,IF($H21&gt;0,$G21*CURVA!BA21/$H21,0)*BA$6,0))</f>
        <v>0</v>
      </c>
      <c r="BB21" s="19" t="n">
        <f aca="false">IF($B21="",0,SUMIFS(INCORRIDO!$C$6:$C$5005,INCORRIDO!$D$6:$D$5005,$B21,INCORRIDO!$E$6:$E$5005,BB$7)+IF(BB$7&gt;PARAMETROS!$C$12,IF($H21&gt;0,$G21*CURVA!BB21/$H21,0)*BB$6,0))</f>
        <v>0</v>
      </c>
      <c r="BC21" s="19" t="n">
        <f aca="false">IF($B21="",0,SUMIFS(INCORRIDO!$C$6:$C$5005,INCORRIDO!$D$6:$D$5005,$B21,INCORRIDO!$E$6:$E$5005,BC$7)+IF(BC$7&gt;PARAMETROS!$C$12,IF($H21&gt;0,$G21*CURVA!BC21/$H21,0)*BC$6,0))</f>
        <v>0</v>
      </c>
      <c r="BD21" s="19" t="n">
        <f aca="false">IF($B21="",0,SUMIFS(INCORRIDO!$C$6:$C$5005,INCORRIDO!$D$6:$D$5005,$B21,INCORRIDO!$E$6:$E$5005,BD$7)+IF(BD$7&gt;PARAMETROS!$C$12,IF($H21&gt;0,$G21*CURVA!BD21/$H21,0)*BD$6,0))</f>
        <v>0</v>
      </c>
      <c r="BE21" s="19" t="n">
        <f aca="false">IF($B21="",0,SUMIFS(INCORRIDO!$C$6:$C$5005,INCORRIDO!$D$6:$D$5005,$B21,INCORRIDO!$E$6:$E$5005,BE$7)+IF(BE$7&gt;PARAMETROS!$C$12,IF($H21&gt;0,$G21*CURVA!BE21/$H21,0)*BE$6,0))</f>
        <v>0</v>
      </c>
      <c r="BF21" s="19" t="n">
        <f aca="false">IF($B21="",0,SUMIFS(INCORRIDO!$C$6:$C$5005,INCORRIDO!$D$6:$D$5005,$B21,INCORRIDO!$E$6:$E$5005,BF$7)+IF(BF$7&gt;PARAMETROS!$C$12,IF($H21&gt;0,$G21*CURVA!BF21/$H21,0)*BF$6,0))</f>
        <v>0</v>
      </c>
      <c r="BG21" s="19" t="n">
        <f aca="false">IF($B21="",0,SUMIFS(INCORRIDO!$C$6:$C$5005,INCORRIDO!$D$6:$D$5005,$B21,INCORRIDO!$E$6:$E$5005,BG$7)+IF(BG$7&gt;PARAMETROS!$C$12,IF($H21&gt;0,$G21*CURVA!BG21/$H21,0)*BG$6,0))</f>
        <v>0</v>
      </c>
      <c r="BH21" s="19" t="n">
        <f aca="false">IF($B21="",0,SUMIFS(INCORRIDO!$C$6:$C$5005,INCORRIDO!$D$6:$D$5005,$B21,INCORRIDO!$E$6:$E$5005,BH$7)+IF(BH$7&gt;PARAMETROS!$C$12,IF($H21&gt;0,$G21*CURVA!BH21/$H21,0)*BH$6,0))</f>
        <v>0</v>
      </c>
      <c r="BI21" s="19" t="n">
        <f aca="false">IF($B21="",0,SUMIFS(INCORRIDO!$C$6:$C$5005,INCORRIDO!$D$6:$D$5005,$B21,INCORRIDO!$E$6:$E$5005,BI$7)+IF(BI$7&gt;PARAMETROS!$C$12,IF($H21&gt;0,$G21*CURVA!BI21/$H21,0)*BI$6,0))</f>
        <v>0</v>
      </c>
      <c r="BJ21" s="19" t="n">
        <f aca="false">IF($B21="",0,SUMIFS(INCORRIDO!$C$6:$C$5005,INCORRIDO!$D$6:$D$5005,$B21,INCORRIDO!$E$6:$E$5005,BJ$7)+IF(BJ$7&gt;PARAMETROS!$C$12,IF($H21&gt;0,$G21*CURVA!BJ21/$H21,0)*BJ$6,0))</f>
        <v>0</v>
      </c>
      <c r="BK21" s="19" t="n">
        <f aca="false">IF($B21="",0,SUMIFS(INCORRIDO!$C$6:$C$5005,INCORRIDO!$D$6:$D$5005,$B21,INCORRIDO!$E$6:$E$5005,BK$7)+IF(BK$7&gt;PARAMETROS!$C$12,IF($H21&gt;0,$G21*CURVA!BK21/$H21,0)*BK$6,0))</f>
        <v>0</v>
      </c>
      <c r="BL21" s="19" t="n">
        <f aca="false">IF($B21="",0,SUMIFS(INCORRIDO!$C$6:$C$5005,INCORRIDO!$D$6:$D$5005,$B21,INCORRIDO!$E$6:$E$5005,BL$7)+IF(BL$7&gt;PARAMETROS!$C$12,IF($H21&gt;0,$G21*CURVA!BL21/$H21,0)*BL$6,0))</f>
        <v>0</v>
      </c>
      <c r="BM21" s="19" t="n">
        <f aca="false">IF($B21="",0,SUMIFS(INCORRIDO!$C$6:$C$5005,INCORRIDO!$D$6:$D$5005,$B21,INCORRIDO!$E$6:$E$5005,BM$7)+IF(BM$7&gt;PARAMETROS!$C$12,IF($H21&gt;0,$G21*CURVA!BM21/$H21,0)*BM$6,0))</f>
        <v>0</v>
      </c>
      <c r="BN21" s="19" t="n">
        <f aca="false">IF($B21="",0,SUMIFS(INCORRIDO!$C$6:$C$5005,INCORRIDO!$D$6:$D$5005,$B21,INCORRIDO!$E$6:$E$5005,BN$7)+IF(BN$7&gt;PARAMETROS!$C$12,IF($H21&gt;0,$G21*CURVA!BN21/$H21,0)*BN$6,0))</f>
        <v>0</v>
      </c>
      <c r="BO21" s="19" t="n">
        <f aca="false">IF($B21="",0,SUMIFS(INCORRIDO!$C$6:$C$5005,INCORRIDO!$D$6:$D$5005,$B21,INCORRIDO!$E$6:$E$5005,BO$7)+IF(BO$7&gt;PARAMETROS!$C$12,IF($H21&gt;0,$G21*CURVA!BO21/$H21,0)*BO$6,0))</f>
        <v>0</v>
      </c>
      <c r="BP21" s="19" t="n">
        <f aca="false">IF($B21="",0,SUMIFS(INCORRIDO!$C$6:$C$5005,INCORRIDO!$D$6:$D$5005,$B21,INCORRIDO!$E$6:$E$5005,BP$7)+IF(BP$7&gt;PARAMETROS!$C$12,IF($H21&gt;0,$G21*CURVA!BP21/$H21,0)*BP$6,0))</f>
        <v>0</v>
      </c>
      <c r="BQ21" s="19" t="n">
        <f aca="false">IF($B21="",0,SUMIFS(INCORRIDO!$C$6:$C$5005,INCORRIDO!$D$6:$D$5005,$B21,INCORRIDO!$E$6:$E$5005,BQ$7)+IF(BQ$7&gt;PARAMETROS!$C$12,IF($H21&gt;0,$G21*CURVA!BQ21/$H21,0)*BQ$6,0))</f>
        <v>0</v>
      </c>
      <c r="BR21" s="19" t="n">
        <f aca="false">IF($B21="",0,SUMIFS(INCORRIDO!$C$6:$C$5005,INCORRIDO!$D$6:$D$5005,$B21,INCORRIDO!$E$6:$E$5005,BR$7)+IF(BR$7&gt;PARAMETROS!$C$12,IF($H21&gt;0,$G21*CURVA!BR21/$H21,0)*BR$6,0))</f>
        <v>0</v>
      </c>
      <c r="BS21" s="19" t="n">
        <f aca="false">IF($B21="",0,SUMIFS(INCORRIDO!$C$6:$C$5005,INCORRIDO!$D$6:$D$5005,$B21,INCORRIDO!$E$6:$E$5005,BS$7)+IF(BS$7&gt;PARAMETROS!$C$12,IF($H21&gt;0,$G21*CURVA!BS21/$H21,0)*BS$6,0))</f>
        <v>0</v>
      </c>
      <c r="BT21" s="19" t="n">
        <f aca="false">IF($B21="",0,SUMIFS(INCORRIDO!$C$6:$C$5005,INCORRIDO!$D$6:$D$5005,$B21,INCORRIDO!$E$6:$E$5005,BT$7)+IF(BT$7&gt;PARAMETROS!$C$12,IF($H21&gt;0,$G21*CURVA!BT21/$H21,0)*BT$6,0))</f>
        <v>0</v>
      </c>
      <c r="BU21" s="19" t="n">
        <f aca="false">IF($B21="",0,SUMIFS(INCORRIDO!$C$6:$C$5005,INCORRIDO!$D$6:$D$5005,$B21,INCORRIDO!$E$6:$E$5005,BU$7)+IF(BU$7&gt;PARAMETROS!$C$12,IF($H21&gt;0,$G21*CURVA!BU21/$H21,0)*BU$6,0))</f>
        <v>0</v>
      </c>
      <c r="BV21" s="19" t="n">
        <f aca="false">IF($B21="",0,SUMIFS(INCORRIDO!$C$6:$C$5005,INCORRIDO!$D$6:$D$5005,$B21,INCORRIDO!$E$6:$E$5005,BV$7)+IF(BV$7&gt;PARAMETROS!$C$12,IF($H21&gt;0,$G21*CURVA!BV21/$H21,0)*BV$6,0))</f>
        <v>0</v>
      </c>
      <c r="BW21" s="19" t="n">
        <f aca="false">IF($B21="",0,SUMIFS(INCORRIDO!$C$6:$C$5005,INCORRIDO!$D$6:$D$5005,$B21,INCORRIDO!$E$6:$E$5005,BW$7)+IF(BW$7&gt;PARAMETROS!$C$12,IF($H21&gt;0,$G21*CURVA!BW21/$H21,0)*BW$6,0))</f>
        <v>0</v>
      </c>
      <c r="BX21" s="19" t="n">
        <f aca="false">IF($B21="",0,SUMIFS(INCORRIDO!$C$6:$C$5005,INCORRIDO!$D$6:$D$5005,$B21,INCORRIDO!$E$6:$E$5005,BX$7)+IF(BX$7&gt;PARAMETROS!$C$12,IF($H21&gt;0,$G21*CURVA!BX21/$H21,0)*BX$6,0))</f>
        <v>0</v>
      </c>
      <c r="BY21" s="19" t="n">
        <f aca="false">IF($B21="",0,SUMIFS(INCORRIDO!$C$6:$C$5005,INCORRIDO!$D$6:$D$5005,$B21,INCORRIDO!$E$6:$E$5005,BY$7)+IF(BY$7&gt;PARAMETROS!$C$12,IF($H21&gt;0,$G21*CURVA!BY21/$H21,0)*BY$6,0))</f>
        <v>0</v>
      </c>
      <c r="BZ21" s="19" t="n">
        <f aca="false">IF($B21="",0,SUMIFS(INCORRIDO!$C$6:$C$5005,INCORRIDO!$D$6:$D$5005,$B21,INCORRIDO!$E$6:$E$5005,BZ$7)+IF(BZ$7&gt;PARAMETROS!$C$12,IF($H21&gt;0,$G21*CURVA!BZ21/$H21,0)*BZ$6,0))</f>
        <v>0</v>
      </c>
      <c r="CA21" s="19" t="n">
        <f aca="false">IF($B21="",0,SUMIFS(INCORRIDO!$C$6:$C$5005,INCORRIDO!$D$6:$D$5005,$B21,INCORRIDO!$E$6:$E$5005,CA$7)+IF(CA$7&gt;PARAMETROS!$C$12,IF($H21&gt;0,$G21*CURVA!CA21/$H21,0)*CA$6,0))</f>
        <v>0</v>
      </c>
      <c r="CB21" s="19" t="n">
        <f aca="false">IF($B21="",0,SUMIFS(INCORRIDO!$C$6:$C$5005,INCORRIDO!$D$6:$D$5005,$B21,INCORRIDO!$E$6:$E$5005,CB$7)+IF(CB$7&gt;PARAMETROS!$C$12,IF($H21&gt;0,$G21*CURVA!CB21/$H21,0)*CB$6,0))</f>
        <v>0</v>
      </c>
      <c r="CC21" s="19" t="n">
        <f aca="false">IF($B21="",0,SUMIFS(INCORRIDO!$C$6:$C$5005,INCORRIDO!$D$6:$D$5005,$B21,INCORRIDO!$E$6:$E$5005,CC$7)+IF(CC$7&gt;PARAMETROS!$C$12,IF($H21&gt;0,$G21*CURVA!CC21/$H21,0)*CC$6,0))</f>
        <v>0</v>
      </c>
    </row>
    <row r="22" customFormat="false" ht="15" hidden="false" customHeight="false" outlineLevel="0" collapsed="false">
      <c r="A22" s="31" t="str">
        <f aca="false">IF(ORCAMENTO!A20="","",ORCAMENTO!A20)</f>
        <v>15</v>
      </c>
      <c r="B22" s="31" t="str">
        <f aca="false">IF(ORCAMENTO!B20="","",ORCAMENTO!B20)</f>
        <v>FUNDAÇÃO PROFUNDA</v>
      </c>
      <c r="C22" s="31" t="str">
        <f aca="false">IF(ORCAMENTO!C20="","",ORCAMENTO!C20)</f>
        <v>INFRAESTRUTURA</v>
      </c>
      <c r="D22" s="32" t="n">
        <f aca="false">IF($B22="",0,ORCAMENTO!E20)</f>
        <v>7012914.12</v>
      </c>
      <c r="E22" s="19" t="n">
        <f aca="false">IF($B22="",0,SUMIFS(INCORRIDO!$C$6:$C$5005,INCORRIDO!$D$6:$D$5005,$B22,INCORRIDO!$E$6:$E$5005,"&lt;="&amp;PARAMETROS!$C$12))</f>
        <v>6665911.69</v>
      </c>
      <c r="F22" s="19" t="n">
        <f aca="false">IF($B22="",0,SUMIFS(INCORRIDO!$C$6:$C$5005,INCORRIDO!$D$6:$D$5005,$B22,INCORRIDO!$E$6:$E$5005,"&gt;"&amp;PARAMETROS!$C$12))</f>
        <v>118408.66</v>
      </c>
      <c r="G22" s="19" t="n">
        <f aca="false">MAX(0,D22-E22-F22)</f>
        <v>228593.77</v>
      </c>
      <c r="H22" s="32" t="n">
        <f aca="false">CURVA!H22</f>
        <v>0</v>
      </c>
      <c r="I22" s="19" t="n">
        <f aca="false">SUM(J22:CC22)</f>
        <v>6784320.35</v>
      </c>
      <c r="J22" s="19" t="n">
        <f aca="false">IF($B22="",0,SUMIFS(INCORRIDO!$C$6:$C$5005,INCORRIDO!$D$6:$D$5005,$B22,INCORRIDO!$E$6:$E$5005,"&lt;="&amp;J$7)+IF(J$7&gt;PARAMETROS!$C$12,IF($H22&gt;0,$G22*CURVA!J22/$H22,0)*J$6,0))</f>
        <v>0</v>
      </c>
      <c r="K22" s="19" t="n">
        <f aca="false">IF($B22="",0,SUMIFS(INCORRIDO!$C$6:$C$5005,INCORRIDO!$D$6:$D$5005,$B22,INCORRIDO!$E$6:$E$5005,K$7)+IF(K$7&gt;PARAMETROS!$C$12,IF($H22&gt;0,$G22*CURVA!K22/$H22,0)*K$6,0))</f>
        <v>0</v>
      </c>
      <c r="L22" s="19" t="n">
        <f aca="false">IF($B22="",0,SUMIFS(INCORRIDO!$C$6:$C$5005,INCORRIDO!$D$6:$D$5005,$B22,INCORRIDO!$E$6:$E$5005,L$7)+IF(L$7&gt;PARAMETROS!$C$12,IF($H22&gt;0,$G22*CURVA!L22/$H22,0)*L$6,0))</f>
        <v>0</v>
      </c>
      <c r="M22" s="19" t="n">
        <f aca="false">IF($B22="",0,SUMIFS(INCORRIDO!$C$6:$C$5005,INCORRIDO!$D$6:$D$5005,$B22,INCORRIDO!$E$6:$E$5005,M$7)+IF(M$7&gt;PARAMETROS!$C$12,IF($H22&gt;0,$G22*CURVA!M22/$H22,0)*M$6,0))</f>
        <v>0</v>
      </c>
      <c r="N22" s="19" t="n">
        <f aca="false">IF($B22="",0,SUMIFS(INCORRIDO!$C$6:$C$5005,INCORRIDO!$D$6:$D$5005,$B22,INCORRIDO!$E$6:$E$5005,N$7)+IF(N$7&gt;PARAMETROS!$C$12,IF($H22&gt;0,$G22*CURVA!N22/$H22,0)*N$6,0))</f>
        <v>0</v>
      </c>
      <c r="O22" s="19" t="n">
        <f aca="false">IF($B22="",0,SUMIFS(INCORRIDO!$C$6:$C$5005,INCORRIDO!$D$6:$D$5005,$B22,INCORRIDO!$E$6:$E$5005,O$7)+IF(O$7&gt;PARAMETROS!$C$12,IF($H22&gt;0,$G22*CURVA!O22/$H22,0)*O$6,0))</f>
        <v>0</v>
      </c>
      <c r="P22" s="19" t="n">
        <f aca="false">IF($B22="",0,SUMIFS(INCORRIDO!$C$6:$C$5005,INCORRIDO!$D$6:$D$5005,$B22,INCORRIDO!$E$6:$E$5005,P$7)+IF(P$7&gt;PARAMETROS!$C$12,IF($H22&gt;0,$G22*CURVA!P22/$H22,0)*P$6,0))</f>
        <v>0</v>
      </c>
      <c r="Q22" s="19" t="n">
        <f aca="false">IF($B22="",0,SUMIFS(INCORRIDO!$C$6:$C$5005,INCORRIDO!$D$6:$D$5005,$B22,INCORRIDO!$E$6:$E$5005,Q$7)+IF(Q$7&gt;PARAMETROS!$C$12,IF($H22&gt;0,$G22*CURVA!Q22/$H22,0)*Q$6,0))</f>
        <v>0</v>
      </c>
      <c r="R22" s="19" t="n">
        <f aca="false">IF($B22="",0,SUMIFS(INCORRIDO!$C$6:$C$5005,INCORRIDO!$D$6:$D$5005,$B22,INCORRIDO!$E$6:$E$5005,R$7)+IF(R$7&gt;PARAMETROS!$C$12,IF($H22&gt;0,$G22*CURVA!R22/$H22,0)*R$6,0))</f>
        <v>1930</v>
      </c>
      <c r="S22" s="19" t="n">
        <f aca="false">IF($B22="",0,SUMIFS(INCORRIDO!$C$6:$C$5005,INCORRIDO!$D$6:$D$5005,$B22,INCORRIDO!$E$6:$E$5005,S$7)+IF(S$7&gt;PARAMETROS!$C$12,IF($H22&gt;0,$G22*CURVA!S22/$H22,0)*S$6,0))</f>
        <v>145877.57</v>
      </c>
      <c r="T22" s="19" t="n">
        <f aca="false">IF($B22="",0,SUMIFS(INCORRIDO!$C$6:$C$5005,INCORRIDO!$D$6:$D$5005,$B22,INCORRIDO!$E$6:$E$5005,T$7)+IF(T$7&gt;PARAMETROS!$C$12,IF($H22&gt;0,$G22*CURVA!T22/$H22,0)*T$6,0))</f>
        <v>521095.71</v>
      </c>
      <c r="U22" s="19" t="n">
        <f aca="false">IF($B22="",0,SUMIFS(INCORRIDO!$C$6:$C$5005,INCORRIDO!$D$6:$D$5005,$B22,INCORRIDO!$E$6:$E$5005,U$7)+IF(U$7&gt;PARAMETROS!$C$12,IF($H22&gt;0,$G22*CURVA!U22/$H22,0)*U$6,0))</f>
        <v>1121245.41</v>
      </c>
      <c r="V22" s="19" t="n">
        <f aca="false">IF($B22="",0,SUMIFS(INCORRIDO!$C$6:$C$5005,INCORRIDO!$D$6:$D$5005,$B22,INCORRIDO!$E$6:$E$5005,V$7)+IF(V$7&gt;PARAMETROS!$C$12,IF($H22&gt;0,$G22*CURVA!V22/$H22,0)*V$6,0))</f>
        <v>887025.56</v>
      </c>
      <c r="W22" s="19" t="n">
        <f aca="false">IF($B22="",0,SUMIFS(INCORRIDO!$C$6:$C$5005,INCORRIDO!$D$6:$D$5005,$B22,INCORRIDO!$E$6:$E$5005,W$7)+IF(W$7&gt;PARAMETROS!$C$12,IF($H22&gt;0,$G22*CURVA!W22/$H22,0)*W$6,0))</f>
        <v>1371139.53</v>
      </c>
      <c r="X22" s="19" t="n">
        <f aca="false">IF($B22="",0,SUMIFS(INCORRIDO!$C$6:$C$5005,INCORRIDO!$D$6:$D$5005,$B22,INCORRIDO!$E$6:$E$5005,X$7)+IF(X$7&gt;PARAMETROS!$C$12,IF($H22&gt;0,$G22*CURVA!X22/$H22,0)*X$6,0))</f>
        <v>644213.9</v>
      </c>
      <c r="Y22" s="19" t="n">
        <f aca="false">IF($B22="",0,SUMIFS(INCORRIDO!$C$6:$C$5005,INCORRIDO!$D$6:$D$5005,$B22,INCORRIDO!$E$6:$E$5005,Y$7)+IF(Y$7&gt;PARAMETROS!$C$12,IF($H22&gt;0,$G22*CURVA!Y22/$H22,0)*Y$6,0))</f>
        <v>1191477.33</v>
      </c>
      <c r="Z22" s="19" t="n">
        <f aca="false">IF($B22="",0,SUMIFS(INCORRIDO!$C$6:$C$5005,INCORRIDO!$D$6:$D$5005,$B22,INCORRIDO!$E$6:$E$5005,Z$7)+IF(Z$7&gt;PARAMETROS!$C$12,IF($H22&gt;0,$G22*CURVA!Z22/$H22,0)*Z$6,0))</f>
        <v>606377.66</v>
      </c>
      <c r="AA22" s="19" t="n">
        <f aca="false">IF($B22="",0,SUMIFS(INCORRIDO!$C$6:$C$5005,INCORRIDO!$D$6:$D$5005,$B22,INCORRIDO!$E$6:$E$5005,AA$7)+IF(AA$7&gt;PARAMETROS!$C$12,IF($H22&gt;0,$G22*CURVA!AA22/$H22,0)*AA$6,0))</f>
        <v>43774.24</v>
      </c>
      <c r="AB22" s="19" t="n">
        <f aca="false">IF($B22="",0,SUMIFS(INCORRIDO!$C$6:$C$5005,INCORRIDO!$D$6:$D$5005,$B22,INCORRIDO!$E$6:$E$5005,AB$7)+IF(AB$7&gt;PARAMETROS!$C$12,IF($H22&gt;0,$G22*CURVA!AB22/$H22,0)*AB$6,0))</f>
        <v>15692.87</v>
      </c>
      <c r="AC22" s="19" t="n">
        <f aca="false">IF($B22="",0,SUMIFS(INCORRIDO!$C$6:$C$5005,INCORRIDO!$D$6:$D$5005,$B22,INCORRIDO!$E$6:$E$5005,AC$7)+IF(AC$7&gt;PARAMETROS!$C$12,IF($H22&gt;0,$G22*CURVA!AC22/$H22,0)*AC$6,0))</f>
        <v>78401.44</v>
      </c>
      <c r="AD22" s="19" t="n">
        <f aca="false">IF($B22="",0,SUMIFS(INCORRIDO!$C$6:$C$5005,INCORRIDO!$D$6:$D$5005,$B22,INCORRIDO!$E$6:$E$5005,AD$7)+IF(AD$7&gt;PARAMETROS!$C$12,IF($H22&gt;0,$G22*CURVA!AD22/$H22,0)*AD$6,0))</f>
        <v>37660.47</v>
      </c>
      <c r="AE22" s="19" t="n">
        <f aca="false">IF($B22="",0,SUMIFS(INCORRIDO!$C$6:$C$5005,INCORRIDO!$D$6:$D$5005,$B22,INCORRIDO!$E$6:$E$5005,AE$7)+IF(AE$7&gt;PARAMETROS!$C$12,IF($H22&gt;0,$G22*CURVA!AE22/$H22,0)*AE$6,0))</f>
        <v>59840.33</v>
      </c>
      <c r="AF22" s="19" t="n">
        <f aca="false">IF($B22="",0,SUMIFS(INCORRIDO!$C$6:$C$5005,INCORRIDO!$D$6:$D$5005,$B22,INCORRIDO!$E$6:$E$5005,AF$7)+IF(AF$7&gt;PARAMETROS!$C$12,IF($H22&gt;0,$G22*CURVA!AF22/$H22,0)*AF$6,0))</f>
        <v>34528.89</v>
      </c>
      <c r="AG22" s="19" t="n">
        <f aca="false">IF($B22="",0,SUMIFS(INCORRIDO!$C$6:$C$5005,INCORRIDO!$D$6:$D$5005,$B22,INCORRIDO!$E$6:$E$5005,AG$7)+IF(AG$7&gt;PARAMETROS!$C$12,IF($H22&gt;0,$G22*CURVA!AG22/$H22,0)*AG$6,0))</f>
        <v>6125.68</v>
      </c>
      <c r="AH22" s="19" t="n">
        <f aca="false">IF($B22="",0,SUMIFS(INCORRIDO!$C$6:$C$5005,INCORRIDO!$D$6:$D$5005,$B22,INCORRIDO!$E$6:$E$5005,AH$7)+IF(AH$7&gt;PARAMETROS!$C$12,IF($H22&gt;0,$G22*CURVA!AH22/$H22,0)*AH$6,0))</f>
        <v>5768</v>
      </c>
      <c r="AI22" s="19" t="n">
        <f aca="false">IF($B22="",0,SUMIFS(INCORRIDO!$C$6:$C$5005,INCORRIDO!$D$6:$D$5005,$B22,INCORRIDO!$E$6:$E$5005,AI$7)+IF(AI$7&gt;PARAMETROS!$C$12,IF($H22&gt;0,$G22*CURVA!AI22/$H22,0)*AI$6,0))</f>
        <v>0</v>
      </c>
      <c r="AJ22" s="19" t="n">
        <f aca="false">IF($B22="",0,SUMIFS(INCORRIDO!$C$6:$C$5005,INCORRIDO!$D$6:$D$5005,$B22,INCORRIDO!$E$6:$E$5005,AJ$7)+IF(AJ$7&gt;PARAMETROS!$C$12,IF($H22&gt;0,$G22*CURVA!AJ22/$H22,0)*AJ$6,0))</f>
        <v>2828</v>
      </c>
      <c r="AK22" s="19" t="n">
        <f aca="false">IF($B22="",0,SUMIFS(INCORRIDO!$C$6:$C$5005,INCORRIDO!$D$6:$D$5005,$B22,INCORRIDO!$E$6:$E$5005,AK$7)+IF(AK$7&gt;PARAMETROS!$C$12,IF($H22&gt;0,$G22*CURVA!AK22/$H22,0)*AK$6,0))</f>
        <v>7273.76</v>
      </c>
      <c r="AL22" s="19" t="n">
        <f aca="false">IF($B22="",0,SUMIFS(INCORRIDO!$C$6:$C$5005,INCORRIDO!$D$6:$D$5005,$B22,INCORRIDO!$E$6:$E$5005,AL$7)+IF(AL$7&gt;PARAMETROS!$C$12,IF($H22&gt;0,$G22*CURVA!AL22/$H22,0)*AL$6,0))</f>
        <v>0</v>
      </c>
      <c r="AM22" s="19" t="n">
        <f aca="false">IF($B22="",0,SUMIFS(INCORRIDO!$C$6:$C$5005,INCORRIDO!$D$6:$D$5005,$B22,INCORRIDO!$E$6:$E$5005,AM$7)+IF(AM$7&gt;PARAMETROS!$C$12,IF($H22&gt;0,$G22*CURVA!AM22/$H22,0)*AM$6,0))</f>
        <v>0</v>
      </c>
      <c r="AN22" s="19" t="n">
        <f aca="false">IF($B22="",0,SUMIFS(INCORRIDO!$C$6:$C$5005,INCORRIDO!$D$6:$D$5005,$B22,INCORRIDO!$E$6:$E$5005,AN$7)+IF(AN$7&gt;PARAMETROS!$C$12,IF($H22&gt;0,$G22*CURVA!AN22/$H22,0)*AN$6,0))</f>
        <v>0</v>
      </c>
      <c r="AO22" s="19" t="n">
        <f aca="false">IF($B22="",0,SUMIFS(INCORRIDO!$C$6:$C$5005,INCORRIDO!$D$6:$D$5005,$B22,INCORRIDO!$E$6:$E$5005,AO$7)+IF(AO$7&gt;PARAMETROS!$C$12,IF($H22&gt;0,$G22*CURVA!AO22/$H22,0)*AO$6,0))</f>
        <v>0</v>
      </c>
      <c r="AP22" s="19" t="n">
        <f aca="false">IF($B22="",0,SUMIFS(INCORRIDO!$C$6:$C$5005,INCORRIDO!$D$6:$D$5005,$B22,INCORRIDO!$E$6:$E$5005,AP$7)+IF(AP$7&gt;PARAMETROS!$C$12,IF($H22&gt;0,$G22*CURVA!AP22/$H22,0)*AP$6,0))</f>
        <v>0</v>
      </c>
      <c r="AQ22" s="19" t="n">
        <f aca="false">IF($B22="",0,SUMIFS(INCORRIDO!$C$6:$C$5005,INCORRIDO!$D$6:$D$5005,$B22,INCORRIDO!$E$6:$E$5005,AQ$7)+IF(AQ$7&gt;PARAMETROS!$C$12,IF($H22&gt;0,$G22*CURVA!AQ22/$H22,0)*AQ$6,0))</f>
        <v>0</v>
      </c>
      <c r="AR22" s="19" t="n">
        <f aca="false">IF($B22="",0,SUMIFS(INCORRIDO!$C$6:$C$5005,INCORRIDO!$D$6:$D$5005,$B22,INCORRIDO!$E$6:$E$5005,AR$7)+IF(AR$7&gt;PARAMETROS!$C$12,IF($H22&gt;0,$G22*CURVA!AR22/$H22,0)*AR$6,0))</f>
        <v>0</v>
      </c>
      <c r="AS22" s="19" t="n">
        <f aca="false">IF($B22="",0,SUMIFS(INCORRIDO!$C$6:$C$5005,INCORRIDO!$D$6:$D$5005,$B22,INCORRIDO!$E$6:$E$5005,AS$7)+IF(AS$7&gt;PARAMETROS!$C$12,IF($H22&gt;0,$G22*CURVA!AS22/$H22,0)*AS$6,0))</f>
        <v>0</v>
      </c>
      <c r="AT22" s="19" t="n">
        <f aca="false">IF($B22="",0,SUMIFS(INCORRIDO!$C$6:$C$5005,INCORRIDO!$D$6:$D$5005,$B22,INCORRIDO!$E$6:$E$5005,AT$7)+IF(AT$7&gt;PARAMETROS!$C$12,IF($H22&gt;0,$G22*CURVA!AT22/$H22,0)*AT$6,0))</f>
        <v>0</v>
      </c>
      <c r="AU22" s="19" t="n">
        <f aca="false">IF($B22="",0,SUMIFS(INCORRIDO!$C$6:$C$5005,INCORRIDO!$D$6:$D$5005,$B22,INCORRIDO!$E$6:$E$5005,AU$7)+IF(AU$7&gt;PARAMETROS!$C$12,IF($H22&gt;0,$G22*CURVA!AU22/$H22,0)*AU$6,0))</f>
        <v>0</v>
      </c>
      <c r="AV22" s="19" t="n">
        <f aca="false">IF($B22="",0,SUMIFS(INCORRIDO!$C$6:$C$5005,INCORRIDO!$D$6:$D$5005,$B22,INCORRIDO!$E$6:$E$5005,AV$7)+IF(AV$7&gt;PARAMETROS!$C$12,IF($H22&gt;0,$G22*CURVA!AV22/$H22,0)*AV$6,0))</f>
        <v>0</v>
      </c>
      <c r="AW22" s="19" t="n">
        <f aca="false">IF($B22="",0,SUMIFS(INCORRIDO!$C$6:$C$5005,INCORRIDO!$D$6:$D$5005,$B22,INCORRIDO!$E$6:$E$5005,AW$7)+IF(AW$7&gt;PARAMETROS!$C$12,IF($H22&gt;0,$G22*CURVA!AW22/$H22,0)*AW$6,0))</f>
        <v>0</v>
      </c>
      <c r="AX22" s="19" t="n">
        <f aca="false">IF($B22="",0,SUMIFS(INCORRIDO!$C$6:$C$5005,INCORRIDO!$D$6:$D$5005,$B22,INCORRIDO!$E$6:$E$5005,AX$7)+IF(AX$7&gt;PARAMETROS!$C$12,IF($H22&gt;0,$G22*CURVA!AX22/$H22,0)*AX$6,0))</f>
        <v>0</v>
      </c>
      <c r="AY22" s="19" t="n">
        <f aca="false">IF($B22="",0,SUMIFS(INCORRIDO!$C$6:$C$5005,INCORRIDO!$D$6:$D$5005,$B22,INCORRIDO!$E$6:$E$5005,AY$7)+IF(AY$7&gt;PARAMETROS!$C$12,IF($H22&gt;0,$G22*CURVA!AY22/$H22,0)*AY$6,0))</f>
        <v>0</v>
      </c>
      <c r="AZ22" s="19" t="n">
        <f aca="false">IF($B22="",0,SUMIFS(INCORRIDO!$C$6:$C$5005,INCORRIDO!$D$6:$D$5005,$B22,INCORRIDO!$E$6:$E$5005,AZ$7)+IF(AZ$7&gt;PARAMETROS!$C$12,IF($H22&gt;0,$G22*CURVA!AZ22/$H22,0)*AZ$6,0))</f>
        <v>0</v>
      </c>
      <c r="BA22" s="19" t="n">
        <f aca="false">IF($B22="",0,SUMIFS(INCORRIDO!$C$6:$C$5005,INCORRIDO!$D$6:$D$5005,$B22,INCORRIDO!$E$6:$E$5005,BA$7)+IF(BA$7&gt;PARAMETROS!$C$12,IF($H22&gt;0,$G22*CURVA!BA22/$H22,0)*BA$6,0))</f>
        <v>2044</v>
      </c>
      <c r="BB22" s="19" t="n">
        <f aca="false">IF($B22="",0,SUMIFS(INCORRIDO!$C$6:$C$5005,INCORRIDO!$D$6:$D$5005,$B22,INCORRIDO!$E$6:$E$5005,BB$7)+IF(BB$7&gt;PARAMETROS!$C$12,IF($H22&gt;0,$G22*CURVA!BB22/$H22,0)*BB$6,0))</f>
        <v>0</v>
      </c>
      <c r="BC22" s="19" t="n">
        <f aca="false">IF($B22="",0,SUMIFS(INCORRIDO!$C$6:$C$5005,INCORRIDO!$D$6:$D$5005,$B22,INCORRIDO!$E$6:$E$5005,BC$7)+IF(BC$7&gt;PARAMETROS!$C$12,IF($H22&gt;0,$G22*CURVA!BC22/$H22,0)*BC$6,0))</f>
        <v>0</v>
      </c>
      <c r="BD22" s="19" t="n">
        <f aca="false">IF($B22="",0,SUMIFS(INCORRIDO!$C$6:$C$5005,INCORRIDO!$D$6:$D$5005,$B22,INCORRIDO!$E$6:$E$5005,BD$7)+IF(BD$7&gt;PARAMETROS!$C$12,IF($H22&gt;0,$G22*CURVA!BD22/$H22,0)*BD$6,0))</f>
        <v>0</v>
      </c>
      <c r="BE22" s="19" t="n">
        <f aca="false">IF($B22="",0,SUMIFS(INCORRIDO!$C$6:$C$5005,INCORRIDO!$D$6:$D$5005,$B22,INCORRIDO!$E$6:$E$5005,BE$7)+IF(BE$7&gt;PARAMETROS!$C$12,IF($H22&gt;0,$G22*CURVA!BE22/$H22,0)*BE$6,0))</f>
        <v>0</v>
      </c>
      <c r="BF22" s="19" t="n">
        <f aca="false">IF($B22="",0,SUMIFS(INCORRIDO!$C$6:$C$5005,INCORRIDO!$D$6:$D$5005,$B22,INCORRIDO!$E$6:$E$5005,BF$7)+IF(BF$7&gt;PARAMETROS!$C$12,IF($H22&gt;0,$G22*CURVA!BF22/$H22,0)*BF$6,0))</f>
        <v>0</v>
      </c>
      <c r="BG22" s="19" t="n">
        <f aca="false">IF($B22="",0,SUMIFS(INCORRIDO!$C$6:$C$5005,INCORRIDO!$D$6:$D$5005,$B22,INCORRIDO!$E$6:$E$5005,BG$7)+IF(BG$7&gt;PARAMETROS!$C$12,IF($H22&gt;0,$G22*CURVA!BG22/$H22,0)*BG$6,0))</f>
        <v>0</v>
      </c>
      <c r="BH22" s="19" t="n">
        <f aca="false">IF($B22="",0,SUMIFS(INCORRIDO!$C$6:$C$5005,INCORRIDO!$D$6:$D$5005,$B22,INCORRIDO!$E$6:$E$5005,BH$7)+IF(BH$7&gt;PARAMETROS!$C$12,IF($H22&gt;0,$G22*CURVA!BH22/$H22,0)*BH$6,0))</f>
        <v>0</v>
      </c>
      <c r="BI22" s="19" t="n">
        <f aca="false">IF($B22="",0,SUMIFS(INCORRIDO!$C$6:$C$5005,INCORRIDO!$D$6:$D$5005,$B22,INCORRIDO!$E$6:$E$5005,BI$7)+IF(BI$7&gt;PARAMETROS!$C$12,IF($H22&gt;0,$G22*CURVA!BI22/$H22,0)*BI$6,0))</f>
        <v>0</v>
      </c>
      <c r="BJ22" s="19" t="n">
        <f aca="false">IF($B22="",0,SUMIFS(INCORRIDO!$C$6:$C$5005,INCORRIDO!$D$6:$D$5005,$B22,INCORRIDO!$E$6:$E$5005,BJ$7)+IF(BJ$7&gt;PARAMETROS!$C$12,IF($H22&gt;0,$G22*CURVA!BJ22/$H22,0)*BJ$6,0))</f>
        <v>0</v>
      </c>
      <c r="BK22" s="19" t="n">
        <f aca="false">IF($B22="",0,SUMIFS(INCORRIDO!$C$6:$C$5005,INCORRIDO!$D$6:$D$5005,$B22,INCORRIDO!$E$6:$E$5005,BK$7)+IF(BK$7&gt;PARAMETROS!$C$12,IF($H22&gt;0,$G22*CURVA!BK22/$H22,0)*BK$6,0))</f>
        <v>0</v>
      </c>
      <c r="BL22" s="19" t="n">
        <f aca="false">IF($B22="",0,SUMIFS(INCORRIDO!$C$6:$C$5005,INCORRIDO!$D$6:$D$5005,$B22,INCORRIDO!$E$6:$E$5005,BL$7)+IF(BL$7&gt;PARAMETROS!$C$12,IF($H22&gt;0,$G22*CURVA!BL22/$H22,0)*BL$6,0))</f>
        <v>0</v>
      </c>
      <c r="BM22" s="19" t="n">
        <f aca="false">IF($B22="",0,SUMIFS(INCORRIDO!$C$6:$C$5005,INCORRIDO!$D$6:$D$5005,$B22,INCORRIDO!$E$6:$E$5005,BM$7)+IF(BM$7&gt;PARAMETROS!$C$12,IF($H22&gt;0,$G22*CURVA!BM22/$H22,0)*BM$6,0))</f>
        <v>0</v>
      </c>
      <c r="BN22" s="19" t="n">
        <f aca="false">IF($B22="",0,SUMIFS(INCORRIDO!$C$6:$C$5005,INCORRIDO!$D$6:$D$5005,$B22,INCORRIDO!$E$6:$E$5005,BN$7)+IF(BN$7&gt;PARAMETROS!$C$12,IF($H22&gt;0,$G22*CURVA!BN22/$H22,0)*BN$6,0))</f>
        <v>0</v>
      </c>
      <c r="BO22" s="19" t="n">
        <f aca="false">IF($B22="",0,SUMIFS(INCORRIDO!$C$6:$C$5005,INCORRIDO!$D$6:$D$5005,$B22,INCORRIDO!$E$6:$E$5005,BO$7)+IF(BO$7&gt;PARAMETROS!$C$12,IF($H22&gt;0,$G22*CURVA!BO22/$H22,0)*BO$6,0))</f>
        <v>0</v>
      </c>
      <c r="BP22" s="19" t="n">
        <f aca="false">IF($B22="",0,SUMIFS(INCORRIDO!$C$6:$C$5005,INCORRIDO!$D$6:$D$5005,$B22,INCORRIDO!$E$6:$E$5005,BP$7)+IF(BP$7&gt;PARAMETROS!$C$12,IF($H22&gt;0,$G22*CURVA!BP22/$H22,0)*BP$6,0))</f>
        <v>0</v>
      </c>
      <c r="BQ22" s="19" t="n">
        <f aca="false">IF($B22="",0,SUMIFS(INCORRIDO!$C$6:$C$5005,INCORRIDO!$D$6:$D$5005,$B22,INCORRIDO!$E$6:$E$5005,BQ$7)+IF(BQ$7&gt;PARAMETROS!$C$12,IF($H22&gt;0,$G22*CURVA!BQ22/$H22,0)*BQ$6,0))</f>
        <v>0</v>
      </c>
      <c r="BR22" s="19" t="n">
        <f aca="false">IF($B22="",0,SUMIFS(INCORRIDO!$C$6:$C$5005,INCORRIDO!$D$6:$D$5005,$B22,INCORRIDO!$E$6:$E$5005,BR$7)+IF(BR$7&gt;PARAMETROS!$C$12,IF($H22&gt;0,$G22*CURVA!BR22/$H22,0)*BR$6,0))</f>
        <v>0</v>
      </c>
      <c r="BS22" s="19" t="n">
        <f aca="false">IF($B22="",0,SUMIFS(INCORRIDO!$C$6:$C$5005,INCORRIDO!$D$6:$D$5005,$B22,INCORRIDO!$E$6:$E$5005,BS$7)+IF(BS$7&gt;PARAMETROS!$C$12,IF($H22&gt;0,$G22*CURVA!BS22/$H22,0)*BS$6,0))</f>
        <v>0</v>
      </c>
      <c r="BT22" s="19" t="n">
        <f aca="false">IF($B22="",0,SUMIFS(INCORRIDO!$C$6:$C$5005,INCORRIDO!$D$6:$D$5005,$B22,INCORRIDO!$E$6:$E$5005,BT$7)+IF(BT$7&gt;PARAMETROS!$C$12,IF($H22&gt;0,$G22*CURVA!BT22/$H22,0)*BT$6,0))</f>
        <v>0</v>
      </c>
      <c r="BU22" s="19" t="n">
        <f aca="false">IF($B22="",0,SUMIFS(INCORRIDO!$C$6:$C$5005,INCORRIDO!$D$6:$D$5005,$B22,INCORRIDO!$E$6:$E$5005,BU$7)+IF(BU$7&gt;PARAMETROS!$C$12,IF($H22&gt;0,$G22*CURVA!BU22/$H22,0)*BU$6,0))</f>
        <v>0</v>
      </c>
      <c r="BV22" s="19" t="n">
        <f aca="false">IF($B22="",0,SUMIFS(INCORRIDO!$C$6:$C$5005,INCORRIDO!$D$6:$D$5005,$B22,INCORRIDO!$E$6:$E$5005,BV$7)+IF(BV$7&gt;PARAMETROS!$C$12,IF($H22&gt;0,$G22*CURVA!BV22/$H22,0)*BV$6,0))</f>
        <v>0</v>
      </c>
      <c r="BW22" s="19" t="n">
        <f aca="false">IF($B22="",0,SUMIFS(INCORRIDO!$C$6:$C$5005,INCORRIDO!$D$6:$D$5005,$B22,INCORRIDO!$E$6:$E$5005,BW$7)+IF(BW$7&gt;PARAMETROS!$C$12,IF($H22&gt;0,$G22*CURVA!BW22/$H22,0)*BW$6,0))</f>
        <v>0</v>
      </c>
      <c r="BX22" s="19" t="n">
        <f aca="false">IF($B22="",0,SUMIFS(INCORRIDO!$C$6:$C$5005,INCORRIDO!$D$6:$D$5005,$B22,INCORRIDO!$E$6:$E$5005,BX$7)+IF(BX$7&gt;PARAMETROS!$C$12,IF($H22&gt;0,$G22*CURVA!BX22/$H22,0)*BX$6,0))</f>
        <v>0</v>
      </c>
      <c r="BY22" s="19" t="n">
        <f aca="false">IF($B22="",0,SUMIFS(INCORRIDO!$C$6:$C$5005,INCORRIDO!$D$6:$D$5005,$B22,INCORRIDO!$E$6:$E$5005,BY$7)+IF(BY$7&gt;PARAMETROS!$C$12,IF($H22&gt;0,$G22*CURVA!BY22/$H22,0)*BY$6,0))</f>
        <v>0</v>
      </c>
      <c r="BZ22" s="19" t="n">
        <f aca="false">IF($B22="",0,SUMIFS(INCORRIDO!$C$6:$C$5005,INCORRIDO!$D$6:$D$5005,$B22,INCORRIDO!$E$6:$E$5005,BZ$7)+IF(BZ$7&gt;PARAMETROS!$C$12,IF($H22&gt;0,$G22*CURVA!BZ22/$H22,0)*BZ$6,0))</f>
        <v>0</v>
      </c>
      <c r="CA22" s="19" t="n">
        <f aca="false">IF($B22="",0,SUMIFS(INCORRIDO!$C$6:$C$5005,INCORRIDO!$D$6:$D$5005,$B22,INCORRIDO!$E$6:$E$5005,CA$7)+IF(CA$7&gt;PARAMETROS!$C$12,IF($H22&gt;0,$G22*CURVA!CA22/$H22,0)*CA$6,0))</f>
        <v>0</v>
      </c>
      <c r="CB22" s="19" t="n">
        <f aca="false">IF($B22="",0,SUMIFS(INCORRIDO!$C$6:$C$5005,INCORRIDO!$D$6:$D$5005,$B22,INCORRIDO!$E$6:$E$5005,CB$7)+IF(CB$7&gt;PARAMETROS!$C$12,IF($H22&gt;0,$G22*CURVA!CB22/$H22,0)*CB$6,0))</f>
        <v>0</v>
      </c>
      <c r="CC22" s="19" t="n">
        <f aca="false">IF($B22="",0,SUMIFS(INCORRIDO!$C$6:$C$5005,INCORRIDO!$D$6:$D$5005,$B22,INCORRIDO!$E$6:$E$5005,CC$7)+IF(CC$7&gt;PARAMETROS!$C$12,IF($H22&gt;0,$G22*CURVA!CC22/$H22,0)*CC$6,0))</f>
        <v>0</v>
      </c>
    </row>
    <row r="23" customFormat="false" ht="15" hidden="false" customHeight="false" outlineLevel="0" collapsed="false">
      <c r="A23" s="31" t="str">
        <f aca="false">IF(ORCAMENTO!A21="","",ORCAMENTO!A21)</f>
        <v>16</v>
      </c>
      <c r="B23" s="31" t="str">
        <f aca="false">IF(ORCAMENTO!B21="","",ORCAMENTO!B21)</f>
        <v>FUNDAÇÃO SUPERFICIAL</v>
      </c>
      <c r="C23" s="31" t="str">
        <f aca="false">IF(ORCAMENTO!C21="","",ORCAMENTO!C21)</f>
        <v>INFRAESTRUTURA</v>
      </c>
      <c r="D23" s="32" t="n">
        <f aca="false">IF($B23="",0,ORCAMENTO!E21)</f>
        <v>4346500.29</v>
      </c>
      <c r="E23" s="19" t="n">
        <f aca="false">IF($B23="",0,SUMIFS(INCORRIDO!$C$6:$C$5005,INCORRIDO!$D$6:$D$5005,$B23,INCORRIDO!$E$6:$E$5005,"&lt;="&amp;PARAMETROS!$C$12))</f>
        <v>2977491.19</v>
      </c>
      <c r="F23" s="19" t="n">
        <f aca="false">IF($B23="",0,SUMIFS(INCORRIDO!$C$6:$C$5005,INCORRIDO!$D$6:$D$5005,$B23,INCORRIDO!$E$6:$E$5005,"&gt;"&amp;PARAMETROS!$C$12))</f>
        <v>101043.06</v>
      </c>
      <c r="G23" s="19" t="n">
        <f aca="false">MAX(0,D23-E23-F23)</f>
        <v>1267966.04</v>
      </c>
      <c r="H23" s="32" t="n">
        <f aca="false">CURVA!H23</f>
        <v>1267966.05</v>
      </c>
      <c r="I23" s="19" t="n">
        <f aca="false">SUM(J23:CC23)</f>
        <v>4346500.29</v>
      </c>
      <c r="J23" s="19" t="n">
        <f aca="false">IF($B23="",0,SUMIFS(INCORRIDO!$C$6:$C$5005,INCORRIDO!$D$6:$D$5005,$B23,INCORRIDO!$E$6:$E$5005,"&lt;="&amp;J$7)+IF(J$7&gt;PARAMETROS!$C$12,IF($H23&gt;0,$G23*CURVA!J23/$H23,0)*J$6,0))</f>
        <v>0</v>
      </c>
      <c r="K23" s="19" t="n">
        <f aca="false">IF($B23="",0,SUMIFS(INCORRIDO!$C$6:$C$5005,INCORRIDO!$D$6:$D$5005,$B23,INCORRIDO!$E$6:$E$5005,K$7)+IF(K$7&gt;PARAMETROS!$C$12,IF($H23&gt;0,$G23*CURVA!K23/$H23,0)*K$6,0))</f>
        <v>0</v>
      </c>
      <c r="L23" s="19" t="n">
        <f aca="false">IF($B23="",0,SUMIFS(INCORRIDO!$C$6:$C$5005,INCORRIDO!$D$6:$D$5005,$B23,INCORRIDO!$E$6:$E$5005,L$7)+IF(L$7&gt;PARAMETROS!$C$12,IF($H23&gt;0,$G23*CURVA!L23/$H23,0)*L$6,0))</f>
        <v>0</v>
      </c>
      <c r="M23" s="19" t="n">
        <f aca="false">IF($B23="",0,SUMIFS(INCORRIDO!$C$6:$C$5005,INCORRIDO!$D$6:$D$5005,$B23,INCORRIDO!$E$6:$E$5005,M$7)+IF(M$7&gt;PARAMETROS!$C$12,IF($H23&gt;0,$G23*CURVA!M23/$H23,0)*M$6,0))</f>
        <v>0</v>
      </c>
      <c r="N23" s="19" t="n">
        <f aca="false">IF($B23="",0,SUMIFS(INCORRIDO!$C$6:$C$5005,INCORRIDO!$D$6:$D$5005,$B23,INCORRIDO!$E$6:$E$5005,N$7)+IF(N$7&gt;PARAMETROS!$C$12,IF($H23&gt;0,$G23*CURVA!N23/$H23,0)*N$6,0))</f>
        <v>0</v>
      </c>
      <c r="O23" s="19" t="n">
        <f aca="false">IF($B23="",0,SUMIFS(INCORRIDO!$C$6:$C$5005,INCORRIDO!$D$6:$D$5005,$B23,INCORRIDO!$E$6:$E$5005,O$7)+IF(O$7&gt;PARAMETROS!$C$12,IF($H23&gt;0,$G23*CURVA!O23/$H23,0)*O$6,0))</f>
        <v>0</v>
      </c>
      <c r="P23" s="19" t="n">
        <f aca="false">IF($B23="",0,SUMIFS(INCORRIDO!$C$6:$C$5005,INCORRIDO!$D$6:$D$5005,$B23,INCORRIDO!$E$6:$E$5005,P$7)+IF(P$7&gt;PARAMETROS!$C$12,IF($H23&gt;0,$G23*CURVA!P23/$H23,0)*P$6,0))</f>
        <v>0</v>
      </c>
      <c r="Q23" s="19" t="n">
        <f aca="false">IF($B23="",0,SUMIFS(INCORRIDO!$C$6:$C$5005,INCORRIDO!$D$6:$D$5005,$B23,INCORRIDO!$E$6:$E$5005,Q$7)+IF(Q$7&gt;PARAMETROS!$C$12,IF($H23&gt;0,$G23*CURVA!Q23/$H23,0)*Q$6,0))</f>
        <v>0</v>
      </c>
      <c r="R23" s="19" t="n">
        <f aca="false">IF($B23="",0,SUMIFS(INCORRIDO!$C$6:$C$5005,INCORRIDO!$D$6:$D$5005,$B23,INCORRIDO!$E$6:$E$5005,R$7)+IF(R$7&gt;PARAMETROS!$C$12,IF($H23&gt;0,$G23*CURVA!R23/$H23,0)*R$6,0))</f>
        <v>0</v>
      </c>
      <c r="S23" s="19" t="n">
        <f aca="false">IF($B23="",0,SUMIFS(INCORRIDO!$C$6:$C$5005,INCORRIDO!$D$6:$D$5005,$B23,INCORRIDO!$E$6:$E$5005,S$7)+IF(S$7&gt;PARAMETROS!$C$12,IF($H23&gt;0,$G23*CURVA!S23/$H23,0)*S$6,0))</f>
        <v>0</v>
      </c>
      <c r="T23" s="19" t="n">
        <f aca="false">IF($B23="",0,SUMIFS(INCORRIDO!$C$6:$C$5005,INCORRIDO!$D$6:$D$5005,$B23,INCORRIDO!$E$6:$E$5005,T$7)+IF(T$7&gt;PARAMETROS!$C$12,IF($H23&gt;0,$G23*CURVA!T23/$H23,0)*T$6,0))</f>
        <v>0</v>
      </c>
      <c r="U23" s="19" t="n">
        <f aca="false">IF($B23="",0,SUMIFS(INCORRIDO!$C$6:$C$5005,INCORRIDO!$D$6:$D$5005,$B23,INCORRIDO!$E$6:$E$5005,U$7)+IF(U$7&gt;PARAMETROS!$C$12,IF($H23&gt;0,$G23*CURVA!U23/$H23,0)*U$6,0))</f>
        <v>0</v>
      </c>
      <c r="V23" s="19" t="n">
        <f aca="false">IF($B23="",0,SUMIFS(INCORRIDO!$C$6:$C$5005,INCORRIDO!$D$6:$D$5005,$B23,INCORRIDO!$E$6:$E$5005,V$7)+IF(V$7&gt;PARAMETROS!$C$12,IF($H23&gt;0,$G23*CURVA!V23/$H23,0)*V$6,0))</f>
        <v>0</v>
      </c>
      <c r="W23" s="19" t="n">
        <f aca="false">IF($B23="",0,SUMIFS(INCORRIDO!$C$6:$C$5005,INCORRIDO!$D$6:$D$5005,$B23,INCORRIDO!$E$6:$E$5005,W$7)+IF(W$7&gt;PARAMETROS!$C$12,IF($H23&gt;0,$G23*CURVA!W23/$H23,0)*W$6,0))</f>
        <v>0</v>
      </c>
      <c r="X23" s="19" t="n">
        <f aca="false">IF($B23="",0,SUMIFS(INCORRIDO!$C$6:$C$5005,INCORRIDO!$D$6:$D$5005,$B23,INCORRIDO!$E$6:$E$5005,X$7)+IF(X$7&gt;PARAMETROS!$C$12,IF($H23&gt;0,$G23*CURVA!X23/$H23,0)*X$6,0))</f>
        <v>0</v>
      </c>
      <c r="Y23" s="19" t="n">
        <f aca="false">IF($B23="",0,SUMIFS(INCORRIDO!$C$6:$C$5005,INCORRIDO!$D$6:$D$5005,$B23,INCORRIDO!$E$6:$E$5005,Y$7)+IF(Y$7&gt;PARAMETROS!$C$12,IF($H23&gt;0,$G23*CURVA!Y23/$H23,0)*Y$6,0))</f>
        <v>0</v>
      </c>
      <c r="Z23" s="19" t="n">
        <f aca="false">IF($B23="",0,SUMIFS(INCORRIDO!$C$6:$C$5005,INCORRIDO!$D$6:$D$5005,$B23,INCORRIDO!$E$6:$E$5005,Z$7)+IF(Z$7&gt;PARAMETROS!$C$12,IF($H23&gt;0,$G23*CURVA!Z23/$H23,0)*Z$6,0))</f>
        <v>20138.34</v>
      </c>
      <c r="AA23" s="19" t="n">
        <f aca="false">IF($B23="",0,SUMIFS(INCORRIDO!$C$6:$C$5005,INCORRIDO!$D$6:$D$5005,$B23,INCORRIDO!$E$6:$E$5005,AA$7)+IF(AA$7&gt;PARAMETROS!$C$12,IF($H23&gt;0,$G23*CURVA!AA23/$H23,0)*AA$6,0))</f>
        <v>304245.22</v>
      </c>
      <c r="AB23" s="19" t="n">
        <f aca="false">IF($B23="",0,SUMIFS(INCORRIDO!$C$6:$C$5005,INCORRIDO!$D$6:$D$5005,$B23,INCORRIDO!$E$6:$E$5005,AB$7)+IF(AB$7&gt;PARAMETROS!$C$12,IF($H23&gt;0,$G23*CURVA!AB23/$H23,0)*AB$6,0))</f>
        <v>700460.71</v>
      </c>
      <c r="AC23" s="19" t="n">
        <f aca="false">IF($B23="",0,SUMIFS(INCORRIDO!$C$6:$C$5005,INCORRIDO!$D$6:$D$5005,$B23,INCORRIDO!$E$6:$E$5005,AC$7)+IF(AC$7&gt;PARAMETROS!$C$12,IF($H23&gt;0,$G23*CURVA!AC23/$H23,0)*AC$6,0))</f>
        <v>1471948.09</v>
      </c>
      <c r="AD23" s="19" t="n">
        <f aca="false">IF($B23="",0,SUMIFS(INCORRIDO!$C$6:$C$5005,INCORRIDO!$D$6:$D$5005,$B23,INCORRIDO!$E$6:$E$5005,AD$7)+IF(AD$7&gt;PARAMETROS!$C$12,IF($H23&gt;0,$G23*CURVA!AD23/$H23,0)*AD$6,0))</f>
        <v>480698.83</v>
      </c>
      <c r="AE23" s="19" t="n">
        <f aca="false">IF($B23="",0,SUMIFS(INCORRIDO!$C$6:$C$5005,INCORRIDO!$D$6:$D$5005,$B23,INCORRIDO!$E$6:$E$5005,AE$7)+IF(AE$7&gt;PARAMETROS!$C$12,IF($H23&gt;0,$G23*CURVA!AE23/$H23,0)*AE$6,0))</f>
        <v>50605.81</v>
      </c>
      <c r="AF23" s="19" t="n">
        <f aca="false">IF($B23="",0,SUMIFS(INCORRIDO!$C$6:$C$5005,INCORRIDO!$D$6:$D$5005,$B23,INCORRIDO!$E$6:$E$5005,AF$7)+IF(AF$7&gt;PARAMETROS!$C$12,IF($H23&gt;0,$G23*CURVA!AF23/$H23,0)*AF$6,0))</f>
        <v>49999.9996056677</v>
      </c>
      <c r="AG23" s="19" t="n">
        <f aca="false">IF($B23="",0,SUMIFS(INCORRIDO!$C$6:$C$5005,INCORRIDO!$D$6:$D$5005,$B23,INCORRIDO!$E$6:$E$5005,AG$7)+IF(AG$7&gt;PARAMETROS!$C$12,IF($H23&gt;0,$G23*CURVA!AG23/$H23,0)*AG$6,0))</f>
        <v>50713.9796056677</v>
      </c>
      <c r="AH23" s="19" t="n">
        <f aca="false">IF($B23="",0,SUMIFS(INCORRIDO!$C$6:$C$5005,INCORRIDO!$D$6:$D$5005,$B23,INCORRIDO!$E$6:$E$5005,AH$7)+IF(AH$7&gt;PARAMETROS!$C$12,IF($H23&gt;0,$G23*CURVA!AH23/$H23,0)*AH$6,0))</f>
        <v>19229.11</v>
      </c>
      <c r="AI23" s="19" t="n">
        <f aca="false">IF($B23="",0,SUMIFS(INCORRIDO!$C$6:$C$5005,INCORRIDO!$D$6:$D$5005,$B23,INCORRIDO!$E$6:$E$5005,AI$7)+IF(AI$7&gt;PARAMETROS!$C$12,IF($H23&gt;0,$G23*CURVA!AI23/$H23,0)*AI$6,0))</f>
        <v>22778.61</v>
      </c>
      <c r="AJ23" s="19" t="n">
        <f aca="false">IF($B23="",0,SUMIFS(INCORRIDO!$C$6:$C$5005,INCORRIDO!$D$6:$D$5005,$B23,INCORRIDO!$E$6:$E$5005,AJ$7)+IF(AJ$7&gt;PARAMETROS!$C$12,IF($H23&gt;0,$G23*CURVA!AJ23/$H23,0)*AJ$6,0))</f>
        <v>2356.48</v>
      </c>
      <c r="AK23" s="19" t="n">
        <f aca="false">IF($B23="",0,SUMIFS(INCORRIDO!$C$6:$C$5005,INCORRIDO!$D$6:$D$5005,$B23,INCORRIDO!$E$6:$E$5005,AK$7)+IF(AK$7&gt;PARAMETROS!$C$12,IF($H23&gt;0,$G23*CURVA!AK23/$H23,0)*AK$6,0))</f>
        <v>2007.28</v>
      </c>
      <c r="AL23" s="19" t="n">
        <f aca="false">IF($B23="",0,SUMIFS(INCORRIDO!$C$6:$C$5005,INCORRIDO!$D$6:$D$5005,$B23,INCORRIDO!$E$6:$E$5005,AL$7)+IF(AL$7&gt;PARAMETROS!$C$12,IF($H23&gt;0,$G23*CURVA!AL23/$H23,0)*AL$6,0))</f>
        <v>249999.998028338</v>
      </c>
      <c r="AM23" s="19" t="n">
        <f aca="false">IF($B23="",0,SUMIFS(INCORRIDO!$C$6:$C$5005,INCORRIDO!$D$6:$D$5005,$B23,INCORRIDO!$E$6:$E$5005,AM$7)+IF(AM$7&gt;PARAMETROS!$C$12,IF($H23&gt;0,$G23*CURVA!AM23/$H23,0)*AM$6,0))</f>
        <v>249999.998028338</v>
      </c>
      <c r="AN23" s="19" t="n">
        <f aca="false">IF($B23="",0,SUMIFS(INCORRIDO!$C$6:$C$5005,INCORRIDO!$D$6:$D$5005,$B23,INCORRIDO!$E$6:$E$5005,AN$7)+IF(AN$7&gt;PARAMETROS!$C$12,IF($H23&gt;0,$G23*CURVA!AN23/$H23,0)*AN$6,0))</f>
        <v>199999.998422671</v>
      </c>
      <c r="AO23" s="19" t="n">
        <f aca="false">IF($B23="",0,SUMIFS(INCORRIDO!$C$6:$C$5005,INCORRIDO!$D$6:$D$5005,$B23,INCORRIDO!$E$6:$E$5005,AO$7)+IF(AO$7&gt;PARAMETROS!$C$12,IF($H23&gt;0,$G23*CURVA!AO23/$H23,0)*AO$6,0))</f>
        <v>124999.999014169</v>
      </c>
      <c r="AP23" s="19" t="n">
        <f aca="false">IF($B23="",0,SUMIFS(INCORRIDO!$C$6:$C$5005,INCORRIDO!$D$6:$D$5005,$B23,INCORRIDO!$E$6:$E$5005,AP$7)+IF(AP$7&gt;PARAMETROS!$C$12,IF($H23&gt;0,$G23*CURVA!AP23/$H23,0)*AP$6,0))</f>
        <v>0</v>
      </c>
      <c r="AQ23" s="19" t="n">
        <f aca="false">IF($B23="",0,SUMIFS(INCORRIDO!$C$6:$C$5005,INCORRIDO!$D$6:$D$5005,$B23,INCORRIDO!$E$6:$E$5005,AQ$7)+IF(AQ$7&gt;PARAMETROS!$C$12,IF($H23&gt;0,$G23*CURVA!AQ23/$H23,0)*AQ$6,0))</f>
        <v>0</v>
      </c>
      <c r="AR23" s="19" t="n">
        <f aca="false">IF($B23="",0,SUMIFS(INCORRIDO!$C$6:$C$5005,INCORRIDO!$D$6:$D$5005,$B23,INCORRIDO!$E$6:$E$5005,AR$7)+IF(AR$7&gt;PARAMETROS!$C$12,IF($H23&gt;0,$G23*CURVA!AR23/$H23,0)*AR$6,0))</f>
        <v>0</v>
      </c>
      <c r="AS23" s="19" t="n">
        <f aca="false">IF($B23="",0,SUMIFS(INCORRIDO!$C$6:$C$5005,INCORRIDO!$D$6:$D$5005,$B23,INCORRIDO!$E$6:$E$5005,AS$7)+IF(AS$7&gt;PARAMETROS!$C$12,IF($H23&gt;0,$G23*CURVA!AS23/$H23,0)*AS$6,0))</f>
        <v>92971.3692667677</v>
      </c>
      <c r="AT23" s="19" t="n">
        <f aca="false">IF($B23="",0,SUMIFS(INCORRIDO!$C$6:$C$5005,INCORRIDO!$D$6:$D$5005,$B23,INCORRIDO!$E$6:$E$5005,AT$7)+IF(AT$7&gt;PARAMETROS!$C$12,IF($H23&gt;0,$G23*CURVA!AT23/$H23,0)*AT$6,0))</f>
        <v>0</v>
      </c>
      <c r="AU23" s="19" t="n">
        <f aca="false">IF($B23="",0,SUMIFS(INCORRIDO!$C$6:$C$5005,INCORRIDO!$D$6:$D$5005,$B23,INCORRIDO!$E$6:$E$5005,AU$7)+IF(AU$7&gt;PARAMETROS!$C$12,IF($H23&gt;0,$G23*CURVA!AU23/$H23,0)*AU$6,0))</f>
        <v>0</v>
      </c>
      <c r="AV23" s="19" t="n">
        <f aca="false">IF($B23="",0,SUMIFS(INCORRIDO!$C$6:$C$5005,INCORRIDO!$D$6:$D$5005,$B23,INCORRIDO!$E$6:$E$5005,AV$7)+IF(AV$7&gt;PARAMETROS!$C$12,IF($H23&gt;0,$G23*CURVA!AV23/$H23,0)*AV$6,0))</f>
        <v>0</v>
      </c>
      <c r="AW23" s="19" t="n">
        <f aca="false">IF($B23="",0,SUMIFS(INCORRIDO!$C$6:$C$5005,INCORRIDO!$D$6:$D$5005,$B23,INCORRIDO!$E$6:$E$5005,AW$7)+IF(AW$7&gt;PARAMETROS!$C$12,IF($H23&gt;0,$G23*CURVA!AW23/$H23,0)*AW$6,0))</f>
        <v>124999.999014169</v>
      </c>
      <c r="AX23" s="19" t="n">
        <f aca="false">IF($B23="",0,SUMIFS(INCORRIDO!$C$6:$C$5005,INCORRIDO!$D$6:$D$5005,$B23,INCORRIDO!$E$6:$E$5005,AX$7)+IF(AX$7&gt;PARAMETROS!$C$12,IF($H23&gt;0,$G23*CURVA!AX23/$H23,0)*AX$6,0))</f>
        <v>124994.679014211</v>
      </c>
      <c r="AY23" s="19" t="n">
        <f aca="false">IF($B23="",0,SUMIFS(INCORRIDO!$C$6:$C$5005,INCORRIDO!$D$6:$D$5005,$B23,INCORRIDO!$E$6:$E$5005,AY$7)+IF(AY$7&gt;PARAMETROS!$C$12,IF($H23&gt;0,$G23*CURVA!AY23/$H23,0)*AY$6,0))</f>
        <v>0</v>
      </c>
      <c r="AZ23" s="19" t="n">
        <f aca="false">IF($B23="",0,SUMIFS(INCORRIDO!$C$6:$C$5005,INCORRIDO!$D$6:$D$5005,$B23,INCORRIDO!$E$6:$E$5005,AZ$7)+IF(AZ$7&gt;PARAMETROS!$C$12,IF($H23&gt;0,$G23*CURVA!AZ23/$H23,0)*AZ$6,0))</f>
        <v>0</v>
      </c>
      <c r="BA23" s="19" t="n">
        <f aca="false">IF($B23="",0,SUMIFS(INCORRIDO!$C$6:$C$5005,INCORRIDO!$D$6:$D$5005,$B23,INCORRIDO!$E$6:$E$5005,BA$7)+IF(BA$7&gt;PARAMETROS!$C$12,IF($H23&gt;0,$G23*CURVA!BA23/$H23,0)*BA$6,0))</f>
        <v>3351.79</v>
      </c>
      <c r="BB23" s="19" t="n">
        <f aca="false">IF($B23="",0,SUMIFS(INCORRIDO!$C$6:$C$5005,INCORRIDO!$D$6:$D$5005,$B23,INCORRIDO!$E$6:$E$5005,BB$7)+IF(BB$7&gt;PARAMETROS!$C$12,IF($H23&gt;0,$G23*CURVA!BB23/$H23,0)*BB$6,0))</f>
        <v>0</v>
      </c>
      <c r="BC23" s="19" t="n">
        <f aca="false">IF($B23="",0,SUMIFS(INCORRIDO!$C$6:$C$5005,INCORRIDO!$D$6:$D$5005,$B23,INCORRIDO!$E$6:$E$5005,BC$7)+IF(BC$7&gt;PARAMETROS!$C$12,IF($H23&gt;0,$G23*CURVA!BC23/$H23,0)*BC$6,0))</f>
        <v>0</v>
      </c>
      <c r="BD23" s="19" t="n">
        <f aca="false">IF($B23="",0,SUMIFS(INCORRIDO!$C$6:$C$5005,INCORRIDO!$D$6:$D$5005,$B23,INCORRIDO!$E$6:$E$5005,BD$7)+IF(BD$7&gt;PARAMETROS!$C$12,IF($H23&gt;0,$G23*CURVA!BD23/$H23,0)*BD$6,0))</f>
        <v>0</v>
      </c>
      <c r="BE23" s="19" t="n">
        <f aca="false">IF($B23="",0,SUMIFS(INCORRIDO!$C$6:$C$5005,INCORRIDO!$D$6:$D$5005,$B23,INCORRIDO!$E$6:$E$5005,BE$7)+IF(BE$7&gt;PARAMETROS!$C$12,IF($H23&gt;0,$G23*CURVA!BE23/$H23,0)*BE$6,0))</f>
        <v>0</v>
      </c>
      <c r="BF23" s="19" t="n">
        <f aca="false">IF($B23="",0,SUMIFS(INCORRIDO!$C$6:$C$5005,INCORRIDO!$D$6:$D$5005,$B23,INCORRIDO!$E$6:$E$5005,BF$7)+IF(BF$7&gt;PARAMETROS!$C$12,IF($H23&gt;0,$G23*CURVA!BF23/$H23,0)*BF$6,0))</f>
        <v>0</v>
      </c>
      <c r="BG23" s="19" t="n">
        <f aca="false">IF($B23="",0,SUMIFS(INCORRIDO!$C$6:$C$5005,INCORRIDO!$D$6:$D$5005,$B23,INCORRIDO!$E$6:$E$5005,BG$7)+IF(BG$7&gt;PARAMETROS!$C$12,IF($H23&gt;0,$G23*CURVA!BG23/$H23,0)*BG$6,0))</f>
        <v>0</v>
      </c>
      <c r="BH23" s="19" t="n">
        <f aca="false">IF($B23="",0,SUMIFS(INCORRIDO!$C$6:$C$5005,INCORRIDO!$D$6:$D$5005,$B23,INCORRIDO!$E$6:$E$5005,BH$7)+IF(BH$7&gt;PARAMETROS!$C$12,IF($H23&gt;0,$G23*CURVA!BH23/$H23,0)*BH$6,0))</f>
        <v>0</v>
      </c>
      <c r="BI23" s="19" t="n">
        <f aca="false">IF($B23="",0,SUMIFS(INCORRIDO!$C$6:$C$5005,INCORRIDO!$D$6:$D$5005,$B23,INCORRIDO!$E$6:$E$5005,BI$7)+IF(BI$7&gt;PARAMETROS!$C$12,IF($H23&gt;0,$G23*CURVA!BI23/$H23,0)*BI$6,0))</f>
        <v>0</v>
      </c>
      <c r="BJ23" s="19" t="n">
        <f aca="false">IF($B23="",0,SUMIFS(INCORRIDO!$C$6:$C$5005,INCORRIDO!$D$6:$D$5005,$B23,INCORRIDO!$E$6:$E$5005,BJ$7)+IF(BJ$7&gt;PARAMETROS!$C$12,IF($H23&gt;0,$G23*CURVA!BJ23/$H23,0)*BJ$6,0))</f>
        <v>0</v>
      </c>
      <c r="BK23" s="19" t="n">
        <f aca="false">IF($B23="",0,SUMIFS(INCORRIDO!$C$6:$C$5005,INCORRIDO!$D$6:$D$5005,$B23,INCORRIDO!$E$6:$E$5005,BK$7)+IF(BK$7&gt;PARAMETROS!$C$12,IF($H23&gt;0,$G23*CURVA!BK23/$H23,0)*BK$6,0))</f>
        <v>0</v>
      </c>
      <c r="BL23" s="19" t="n">
        <f aca="false">IF($B23="",0,SUMIFS(INCORRIDO!$C$6:$C$5005,INCORRIDO!$D$6:$D$5005,$B23,INCORRIDO!$E$6:$E$5005,BL$7)+IF(BL$7&gt;PARAMETROS!$C$12,IF($H23&gt;0,$G23*CURVA!BL23/$H23,0)*BL$6,0))</f>
        <v>0</v>
      </c>
      <c r="BM23" s="19" t="n">
        <f aca="false">IF($B23="",0,SUMIFS(INCORRIDO!$C$6:$C$5005,INCORRIDO!$D$6:$D$5005,$B23,INCORRIDO!$E$6:$E$5005,BM$7)+IF(BM$7&gt;PARAMETROS!$C$12,IF($H23&gt;0,$G23*CURVA!BM23/$H23,0)*BM$6,0))</f>
        <v>0</v>
      </c>
      <c r="BN23" s="19" t="n">
        <f aca="false">IF($B23="",0,SUMIFS(INCORRIDO!$C$6:$C$5005,INCORRIDO!$D$6:$D$5005,$B23,INCORRIDO!$E$6:$E$5005,BN$7)+IF(BN$7&gt;PARAMETROS!$C$12,IF($H23&gt;0,$G23*CURVA!BN23/$H23,0)*BN$6,0))</f>
        <v>0</v>
      </c>
      <c r="BO23" s="19" t="n">
        <f aca="false">IF($B23="",0,SUMIFS(INCORRIDO!$C$6:$C$5005,INCORRIDO!$D$6:$D$5005,$B23,INCORRIDO!$E$6:$E$5005,BO$7)+IF(BO$7&gt;PARAMETROS!$C$12,IF($H23&gt;0,$G23*CURVA!BO23/$H23,0)*BO$6,0))</f>
        <v>0</v>
      </c>
      <c r="BP23" s="19" t="n">
        <f aca="false">IF($B23="",0,SUMIFS(INCORRIDO!$C$6:$C$5005,INCORRIDO!$D$6:$D$5005,$B23,INCORRIDO!$E$6:$E$5005,BP$7)+IF(BP$7&gt;PARAMETROS!$C$12,IF($H23&gt;0,$G23*CURVA!BP23/$H23,0)*BP$6,0))</f>
        <v>0</v>
      </c>
      <c r="BQ23" s="19" t="n">
        <f aca="false">IF($B23="",0,SUMIFS(INCORRIDO!$C$6:$C$5005,INCORRIDO!$D$6:$D$5005,$B23,INCORRIDO!$E$6:$E$5005,BQ$7)+IF(BQ$7&gt;PARAMETROS!$C$12,IF($H23&gt;0,$G23*CURVA!BQ23/$H23,0)*BQ$6,0))</f>
        <v>0</v>
      </c>
      <c r="BR23" s="19" t="n">
        <f aca="false">IF($B23="",0,SUMIFS(INCORRIDO!$C$6:$C$5005,INCORRIDO!$D$6:$D$5005,$B23,INCORRIDO!$E$6:$E$5005,BR$7)+IF(BR$7&gt;PARAMETROS!$C$12,IF($H23&gt;0,$G23*CURVA!BR23/$H23,0)*BR$6,0))</f>
        <v>0</v>
      </c>
      <c r="BS23" s="19" t="n">
        <f aca="false">IF($B23="",0,SUMIFS(INCORRIDO!$C$6:$C$5005,INCORRIDO!$D$6:$D$5005,$B23,INCORRIDO!$E$6:$E$5005,BS$7)+IF(BS$7&gt;PARAMETROS!$C$12,IF($H23&gt;0,$G23*CURVA!BS23/$H23,0)*BS$6,0))</f>
        <v>0</v>
      </c>
      <c r="BT23" s="19" t="n">
        <f aca="false">IF($B23="",0,SUMIFS(INCORRIDO!$C$6:$C$5005,INCORRIDO!$D$6:$D$5005,$B23,INCORRIDO!$E$6:$E$5005,BT$7)+IF(BT$7&gt;PARAMETROS!$C$12,IF($H23&gt;0,$G23*CURVA!BT23/$H23,0)*BT$6,0))</f>
        <v>0</v>
      </c>
      <c r="BU23" s="19" t="n">
        <f aca="false">IF($B23="",0,SUMIFS(INCORRIDO!$C$6:$C$5005,INCORRIDO!$D$6:$D$5005,$B23,INCORRIDO!$E$6:$E$5005,BU$7)+IF(BU$7&gt;PARAMETROS!$C$12,IF($H23&gt;0,$G23*CURVA!BU23/$H23,0)*BU$6,0))</f>
        <v>0</v>
      </c>
      <c r="BV23" s="19" t="n">
        <f aca="false">IF($B23="",0,SUMIFS(INCORRIDO!$C$6:$C$5005,INCORRIDO!$D$6:$D$5005,$B23,INCORRIDO!$E$6:$E$5005,BV$7)+IF(BV$7&gt;PARAMETROS!$C$12,IF($H23&gt;0,$G23*CURVA!BV23/$H23,0)*BV$6,0))</f>
        <v>0</v>
      </c>
      <c r="BW23" s="19" t="n">
        <f aca="false">IF($B23="",0,SUMIFS(INCORRIDO!$C$6:$C$5005,INCORRIDO!$D$6:$D$5005,$B23,INCORRIDO!$E$6:$E$5005,BW$7)+IF(BW$7&gt;PARAMETROS!$C$12,IF($H23&gt;0,$G23*CURVA!BW23/$H23,0)*BW$6,0))</f>
        <v>0</v>
      </c>
      <c r="BX23" s="19" t="n">
        <f aca="false">IF($B23="",0,SUMIFS(INCORRIDO!$C$6:$C$5005,INCORRIDO!$D$6:$D$5005,$B23,INCORRIDO!$E$6:$E$5005,BX$7)+IF(BX$7&gt;PARAMETROS!$C$12,IF($H23&gt;0,$G23*CURVA!BX23/$H23,0)*BX$6,0))</f>
        <v>0</v>
      </c>
      <c r="BY23" s="19" t="n">
        <f aca="false">IF($B23="",0,SUMIFS(INCORRIDO!$C$6:$C$5005,INCORRIDO!$D$6:$D$5005,$B23,INCORRIDO!$E$6:$E$5005,BY$7)+IF(BY$7&gt;PARAMETROS!$C$12,IF($H23&gt;0,$G23*CURVA!BY23/$H23,0)*BY$6,0))</f>
        <v>0</v>
      </c>
      <c r="BZ23" s="19" t="n">
        <f aca="false">IF($B23="",0,SUMIFS(INCORRIDO!$C$6:$C$5005,INCORRIDO!$D$6:$D$5005,$B23,INCORRIDO!$E$6:$E$5005,BZ$7)+IF(BZ$7&gt;PARAMETROS!$C$12,IF($H23&gt;0,$G23*CURVA!BZ23/$H23,0)*BZ$6,0))</f>
        <v>0</v>
      </c>
      <c r="CA23" s="19" t="n">
        <f aca="false">IF($B23="",0,SUMIFS(INCORRIDO!$C$6:$C$5005,INCORRIDO!$D$6:$D$5005,$B23,INCORRIDO!$E$6:$E$5005,CA$7)+IF(CA$7&gt;PARAMETROS!$C$12,IF($H23&gt;0,$G23*CURVA!CA23/$H23,0)*CA$6,0))</f>
        <v>0</v>
      </c>
      <c r="CB23" s="19" t="n">
        <f aca="false">IF($B23="",0,SUMIFS(INCORRIDO!$C$6:$C$5005,INCORRIDO!$D$6:$D$5005,$B23,INCORRIDO!$E$6:$E$5005,CB$7)+IF(CB$7&gt;PARAMETROS!$C$12,IF($H23&gt;0,$G23*CURVA!CB23/$H23,0)*CB$6,0))</f>
        <v>0</v>
      </c>
      <c r="CC23" s="19" t="n">
        <f aca="false">IF($B23="",0,SUMIFS(INCORRIDO!$C$6:$C$5005,INCORRIDO!$D$6:$D$5005,$B23,INCORRIDO!$E$6:$E$5005,CC$7)+IF(CC$7&gt;PARAMETROS!$C$12,IF($H23&gt;0,$G23*CURVA!CC23/$H23,0)*CC$6,0))</f>
        <v>0</v>
      </c>
    </row>
    <row r="24" customFormat="false" ht="15" hidden="false" customHeight="false" outlineLevel="0" collapsed="false">
      <c r="A24" s="31" t="str">
        <f aca="false">IF(ORCAMENTO!A22="","",ORCAMENTO!A22)</f>
        <v>17</v>
      </c>
      <c r="B24" s="31" t="str">
        <f aca="false">IF(ORCAMENTO!B22="","",ORCAMENTO!B22)</f>
        <v>ESTRUTURA EM CONCRETO ARMADO</v>
      </c>
      <c r="C24" s="31" t="str">
        <f aca="false">IF(ORCAMENTO!C22="","",ORCAMENTO!C22)</f>
        <v>ESTRUTURA</v>
      </c>
      <c r="D24" s="32" t="n">
        <f aca="false">IF($B24="",0,ORCAMENTO!E22)</f>
        <v>26850931.32</v>
      </c>
      <c r="E24" s="19" t="n">
        <f aca="false">IF($B24="",0,SUMIFS(INCORRIDO!$C$6:$C$5005,INCORRIDO!$D$6:$D$5005,$B24,INCORRIDO!$E$6:$E$5005,"&lt;="&amp;PARAMETROS!$C$12))</f>
        <v>992146.57</v>
      </c>
      <c r="F24" s="19" t="n">
        <f aca="false">IF($B24="",0,SUMIFS(INCORRIDO!$C$6:$C$5005,INCORRIDO!$D$6:$D$5005,$B24,INCORRIDO!$E$6:$E$5005,"&gt;"&amp;PARAMETROS!$C$12))</f>
        <v>2085487.01</v>
      </c>
      <c r="G24" s="19" t="n">
        <f aca="false">MAX(0,D24-E24-F24)</f>
        <v>23773297.74</v>
      </c>
      <c r="H24" s="32" t="n">
        <f aca="false">CURVA!H24</f>
        <v>23773297.72</v>
      </c>
      <c r="I24" s="19" t="n">
        <f aca="false">SUM(J24:CC24)</f>
        <v>26850931.32</v>
      </c>
      <c r="J24" s="19" t="n">
        <f aca="false">IF($B24="",0,SUMIFS(INCORRIDO!$C$6:$C$5005,INCORRIDO!$D$6:$D$5005,$B24,INCORRIDO!$E$6:$E$5005,"&lt;="&amp;J$7)+IF(J$7&gt;PARAMETROS!$C$12,IF($H24&gt;0,$G24*CURVA!J24/$H24,0)*J$6,0))</f>
        <v>0</v>
      </c>
      <c r="K24" s="19" t="n">
        <f aca="false">IF($B24="",0,SUMIFS(INCORRIDO!$C$6:$C$5005,INCORRIDO!$D$6:$D$5005,$B24,INCORRIDO!$E$6:$E$5005,K$7)+IF(K$7&gt;PARAMETROS!$C$12,IF($H24&gt;0,$G24*CURVA!K24/$H24,0)*K$6,0))</f>
        <v>0</v>
      </c>
      <c r="L24" s="19" t="n">
        <f aca="false">IF($B24="",0,SUMIFS(INCORRIDO!$C$6:$C$5005,INCORRIDO!$D$6:$D$5005,$B24,INCORRIDO!$E$6:$E$5005,L$7)+IF(L$7&gt;PARAMETROS!$C$12,IF($H24&gt;0,$G24*CURVA!L24/$H24,0)*L$6,0))</f>
        <v>0</v>
      </c>
      <c r="M24" s="19" t="n">
        <f aca="false">IF($B24="",0,SUMIFS(INCORRIDO!$C$6:$C$5005,INCORRIDO!$D$6:$D$5005,$B24,INCORRIDO!$E$6:$E$5005,M$7)+IF(M$7&gt;PARAMETROS!$C$12,IF($H24&gt;0,$G24*CURVA!M24/$H24,0)*M$6,0))</f>
        <v>0</v>
      </c>
      <c r="N24" s="19" t="n">
        <f aca="false">IF($B24="",0,SUMIFS(INCORRIDO!$C$6:$C$5005,INCORRIDO!$D$6:$D$5005,$B24,INCORRIDO!$E$6:$E$5005,N$7)+IF(N$7&gt;PARAMETROS!$C$12,IF($H24&gt;0,$G24*CURVA!N24/$H24,0)*N$6,0))</f>
        <v>0</v>
      </c>
      <c r="O24" s="19" t="n">
        <f aca="false">IF($B24="",0,SUMIFS(INCORRIDO!$C$6:$C$5005,INCORRIDO!$D$6:$D$5005,$B24,INCORRIDO!$E$6:$E$5005,O$7)+IF(O$7&gt;PARAMETROS!$C$12,IF($H24&gt;0,$G24*CURVA!O24/$H24,0)*O$6,0))</f>
        <v>0</v>
      </c>
      <c r="P24" s="19" t="n">
        <f aca="false">IF($B24="",0,SUMIFS(INCORRIDO!$C$6:$C$5005,INCORRIDO!$D$6:$D$5005,$B24,INCORRIDO!$E$6:$E$5005,P$7)+IF(P$7&gt;PARAMETROS!$C$12,IF($H24&gt;0,$G24*CURVA!P24/$H24,0)*P$6,0))</f>
        <v>0</v>
      </c>
      <c r="Q24" s="19" t="n">
        <f aca="false">IF($B24="",0,SUMIFS(INCORRIDO!$C$6:$C$5005,INCORRIDO!$D$6:$D$5005,$B24,INCORRIDO!$E$6:$E$5005,Q$7)+IF(Q$7&gt;PARAMETROS!$C$12,IF($H24&gt;0,$G24*CURVA!Q24/$H24,0)*Q$6,0))</f>
        <v>0</v>
      </c>
      <c r="R24" s="19" t="n">
        <f aca="false">IF($B24="",0,SUMIFS(INCORRIDO!$C$6:$C$5005,INCORRIDO!$D$6:$D$5005,$B24,INCORRIDO!$E$6:$E$5005,R$7)+IF(R$7&gt;PARAMETROS!$C$12,IF($H24&gt;0,$G24*CURVA!R24/$H24,0)*R$6,0))</f>
        <v>0</v>
      </c>
      <c r="S24" s="19" t="n">
        <f aca="false">IF($B24="",0,SUMIFS(INCORRIDO!$C$6:$C$5005,INCORRIDO!$D$6:$D$5005,$B24,INCORRIDO!$E$6:$E$5005,S$7)+IF(S$7&gt;PARAMETROS!$C$12,IF($H24&gt;0,$G24*CURVA!S24/$H24,0)*S$6,0))</f>
        <v>0</v>
      </c>
      <c r="T24" s="19" t="n">
        <f aca="false">IF($B24="",0,SUMIFS(INCORRIDO!$C$6:$C$5005,INCORRIDO!$D$6:$D$5005,$B24,INCORRIDO!$E$6:$E$5005,T$7)+IF(T$7&gt;PARAMETROS!$C$12,IF($H24&gt;0,$G24*CURVA!T24/$H24,0)*T$6,0))</f>
        <v>0</v>
      </c>
      <c r="U24" s="19" t="n">
        <f aca="false">IF($B24="",0,SUMIFS(INCORRIDO!$C$6:$C$5005,INCORRIDO!$D$6:$D$5005,$B24,INCORRIDO!$E$6:$E$5005,U$7)+IF(U$7&gt;PARAMETROS!$C$12,IF($H24&gt;0,$G24*CURVA!U24/$H24,0)*U$6,0))</f>
        <v>0</v>
      </c>
      <c r="V24" s="19" t="n">
        <f aca="false">IF($B24="",0,SUMIFS(INCORRIDO!$C$6:$C$5005,INCORRIDO!$D$6:$D$5005,$B24,INCORRIDO!$E$6:$E$5005,V$7)+IF(V$7&gt;PARAMETROS!$C$12,IF($H24&gt;0,$G24*CURVA!V24/$H24,0)*V$6,0))</f>
        <v>0</v>
      </c>
      <c r="W24" s="19" t="n">
        <f aca="false">IF($B24="",0,SUMIFS(INCORRIDO!$C$6:$C$5005,INCORRIDO!$D$6:$D$5005,$B24,INCORRIDO!$E$6:$E$5005,W$7)+IF(W$7&gt;PARAMETROS!$C$12,IF($H24&gt;0,$G24*CURVA!W24/$H24,0)*W$6,0))</f>
        <v>0</v>
      </c>
      <c r="X24" s="19" t="n">
        <f aca="false">IF($B24="",0,SUMIFS(INCORRIDO!$C$6:$C$5005,INCORRIDO!$D$6:$D$5005,$B24,INCORRIDO!$E$6:$E$5005,X$7)+IF(X$7&gt;PARAMETROS!$C$12,IF($H24&gt;0,$G24*CURVA!X24/$H24,0)*X$6,0))</f>
        <v>0</v>
      </c>
      <c r="Y24" s="19" t="n">
        <f aca="false">IF($B24="",0,SUMIFS(INCORRIDO!$C$6:$C$5005,INCORRIDO!$D$6:$D$5005,$B24,INCORRIDO!$E$6:$E$5005,Y$7)+IF(Y$7&gt;PARAMETROS!$C$12,IF($H24&gt;0,$G24*CURVA!Y24/$H24,0)*Y$6,0))</f>
        <v>0</v>
      </c>
      <c r="Z24" s="19" t="n">
        <f aca="false">IF($B24="",0,SUMIFS(INCORRIDO!$C$6:$C$5005,INCORRIDO!$D$6:$D$5005,$B24,INCORRIDO!$E$6:$E$5005,Z$7)+IF(Z$7&gt;PARAMETROS!$C$12,IF($H24&gt;0,$G24*CURVA!Z24/$H24,0)*Z$6,0))</f>
        <v>0</v>
      </c>
      <c r="AA24" s="19" t="n">
        <f aca="false">IF($B24="",0,SUMIFS(INCORRIDO!$C$6:$C$5005,INCORRIDO!$D$6:$D$5005,$B24,INCORRIDO!$E$6:$E$5005,AA$7)+IF(AA$7&gt;PARAMETROS!$C$12,IF($H24&gt;0,$G24*CURVA!AA24/$H24,0)*AA$6,0))</f>
        <v>22233.82</v>
      </c>
      <c r="AB24" s="19" t="n">
        <f aca="false">IF($B24="",0,SUMIFS(INCORRIDO!$C$6:$C$5005,INCORRIDO!$D$6:$D$5005,$B24,INCORRIDO!$E$6:$E$5005,AB$7)+IF(AB$7&gt;PARAMETROS!$C$12,IF($H24&gt;0,$G24*CURVA!AB24/$H24,0)*AB$6,0))</f>
        <v>49774.54</v>
      </c>
      <c r="AC24" s="19" t="n">
        <f aca="false">IF($B24="",0,SUMIFS(INCORRIDO!$C$6:$C$5005,INCORRIDO!$D$6:$D$5005,$B24,INCORRIDO!$E$6:$E$5005,AC$7)+IF(AC$7&gt;PARAMETROS!$C$12,IF($H24&gt;0,$G24*CURVA!AC24/$H24,0)*AC$6,0))</f>
        <v>269581.19</v>
      </c>
      <c r="AD24" s="19" t="n">
        <f aca="false">IF($B24="",0,SUMIFS(INCORRIDO!$C$6:$C$5005,INCORRIDO!$D$6:$D$5005,$B24,INCORRIDO!$E$6:$E$5005,AD$7)+IF(AD$7&gt;PARAMETROS!$C$12,IF($H24&gt;0,$G24*CURVA!AD24/$H24,0)*AD$6,0))</f>
        <v>650557.02</v>
      </c>
      <c r="AE24" s="19" t="n">
        <f aca="false">IF($B24="",0,SUMIFS(INCORRIDO!$C$6:$C$5005,INCORRIDO!$D$6:$D$5005,$B24,INCORRIDO!$E$6:$E$5005,AE$7)+IF(AE$7&gt;PARAMETROS!$C$12,IF($H24&gt;0,$G24*CURVA!AE24/$H24,0)*AE$6,0))</f>
        <v>1271174.77</v>
      </c>
      <c r="AF24" s="19" t="n">
        <f aca="false">IF($B24="",0,SUMIFS(INCORRIDO!$C$6:$C$5005,INCORRIDO!$D$6:$D$5005,$B24,INCORRIDO!$E$6:$E$5005,AF$7)+IF(AF$7&gt;PARAMETROS!$C$12,IF($H24&gt;0,$G24*CURVA!AF24/$H24,0)*AF$6,0))</f>
        <v>909721.78057793</v>
      </c>
      <c r="AG24" s="19" t="n">
        <f aca="false">IF($B24="",0,SUMIFS(INCORRIDO!$C$6:$C$5005,INCORRIDO!$D$6:$D$5005,$B24,INCORRIDO!$E$6:$E$5005,AG$7)+IF(AG$7&gt;PARAMETROS!$C$12,IF($H24&gt;0,$G24*CURVA!AG24/$H24,0)*AG$6,0))</f>
        <v>1612542.620881</v>
      </c>
      <c r="AH24" s="19" t="n">
        <f aca="false">IF($B24="",0,SUMIFS(INCORRIDO!$C$6:$C$5005,INCORRIDO!$D$6:$D$5005,$B24,INCORRIDO!$E$6:$E$5005,AH$7)+IF(AH$7&gt;PARAMETROS!$C$12,IF($H24&gt;0,$G24*CURVA!AH24/$H24,0)*AH$6,0))</f>
        <v>1620508.1513633</v>
      </c>
      <c r="AI24" s="19" t="n">
        <f aca="false">IF($B24="",0,SUMIFS(INCORRIDO!$C$6:$C$5005,INCORRIDO!$D$6:$D$5005,$B24,INCORRIDO!$E$6:$E$5005,AI$7)+IF(AI$7&gt;PARAMETROS!$C$12,IF($H24&gt;0,$G24*CURVA!AI24/$H24,0)*AI$6,0))</f>
        <v>1912666.93160909</v>
      </c>
      <c r="AJ24" s="19" t="n">
        <f aca="false">IF($B24="",0,SUMIFS(INCORRIDO!$C$6:$C$5005,INCORRIDO!$D$6:$D$5005,$B24,INCORRIDO!$E$6:$E$5005,AJ$7)+IF(AJ$7&gt;PARAMETROS!$C$12,IF($H24&gt;0,$G24*CURVA!AJ24/$H24,0)*AJ$6,0))</f>
        <v>1716911.7814444</v>
      </c>
      <c r="AK24" s="19" t="n">
        <f aca="false">IF($B24="",0,SUMIFS(INCORRIDO!$C$6:$C$5005,INCORRIDO!$D$6:$D$5005,$B24,INCORRIDO!$E$6:$E$5005,AK$7)+IF(AK$7&gt;PARAMETROS!$C$12,IF($H24&gt;0,$G24*CURVA!AK24/$H24,0)*AK$6,0))</f>
        <v>1732384.31145039</v>
      </c>
      <c r="AL24" s="19" t="n">
        <f aca="false">IF($B24="",0,SUMIFS(INCORRIDO!$C$6:$C$5005,INCORRIDO!$D$6:$D$5005,$B24,INCORRIDO!$E$6:$E$5005,AL$7)+IF(AL$7&gt;PARAMETROS!$C$12,IF($H24&gt;0,$G24*CURVA!AL24/$H24,0)*AL$6,0))</f>
        <v>1240873.84104392</v>
      </c>
      <c r="AM24" s="19" t="n">
        <f aca="false">IF($B24="",0,SUMIFS(INCORRIDO!$C$6:$C$5005,INCORRIDO!$D$6:$D$5005,$B24,INCORRIDO!$E$6:$E$5005,AM$7)+IF(AM$7&gt;PARAMETROS!$C$12,IF($H24&gt;0,$G24*CURVA!AM24/$H24,0)*AM$6,0))</f>
        <v>1377375.67115876</v>
      </c>
      <c r="AN24" s="19" t="n">
        <f aca="false">IF($B24="",0,SUMIFS(INCORRIDO!$C$6:$C$5005,INCORRIDO!$D$6:$D$5005,$B24,INCORRIDO!$E$6:$E$5005,AN$7)+IF(AN$7&gt;PARAMETROS!$C$12,IF($H24&gt;0,$G24*CURVA!AN24/$H24,0)*AN$6,0))</f>
        <v>1690022.90142178</v>
      </c>
      <c r="AO24" s="19" t="n">
        <f aca="false">IF($B24="",0,SUMIFS(INCORRIDO!$C$6:$C$5005,INCORRIDO!$D$6:$D$5005,$B24,INCORRIDO!$E$6:$E$5005,AO$7)+IF(AO$7&gt;PARAMETROS!$C$12,IF($H24&gt;0,$G24*CURVA!AO24/$H24,0)*AO$6,0))</f>
        <v>1533152.88128981</v>
      </c>
      <c r="AP24" s="19" t="n">
        <f aca="false">IF($B24="",0,SUMIFS(INCORRIDO!$C$6:$C$5005,INCORRIDO!$D$6:$D$5005,$B24,INCORRIDO!$E$6:$E$5005,AP$7)+IF(AP$7&gt;PARAMETROS!$C$12,IF($H24&gt;0,$G24*CURVA!AP24/$H24,0)*AP$6,0))</f>
        <v>1541765.80129706</v>
      </c>
      <c r="AQ24" s="19" t="n">
        <f aca="false">IF($B24="",0,SUMIFS(INCORRIDO!$C$6:$C$5005,INCORRIDO!$D$6:$D$5005,$B24,INCORRIDO!$E$6:$E$5005,AQ$7)+IF(AQ$7&gt;PARAMETROS!$C$12,IF($H24&gt;0,$G24*CURVA!AQ24/$H24,0)*AQ$6,0))</f>
        <v>1266058.13106511</v>
      </c>
      <c r="AR24" s="19" t="n">
        <f aca="false">IF($B24="",0,SUMIFS(INCORRIDO!$C$6:$C$5005,INCORRIDO!$D$6:$D$5005,$B24,INCORRIDO!$E$6:$E$5005,AR$7)+IF(AR$7&gt;PARAMETROS!$C$12,IF($H24&gt;0,$G24*CURVA!AR24/$H24,0)*AR$6,0))</f>
        <v>1261900.44106161</v>
      </c>
      <c r="AS24" s="19" t="n">
        <f aca="false">IF($B24="",0,SUMIFS(INCORRIDO!$C$6:$C$5005,INCORRIDO!$D$6:$D$5005,$B24,INCORRIDO!$E$6:$E$5005,AS$7)+IF(AS$7&gt;PARAMETROS!$C$12,IF($H24&gt;0,$G24*CURVA!AS24/$H24,0)*AS$6,0))</f>
        <v>1261551.82106132</v>
      </c>
      <c r="AT24" s="19" t="n">
        <f aca="false">IF($B24="",0,SUMIFS(INCORRIDO!$C$6:$C$5005,INCORRIDO!$D$6:$D$5005,$B24,INCORRIDO!$E$6:$E$5005,AT$7)+IF(AT$7&gt;PARAMETROS!$C$12,IF($H24&gt;0,$G24*CURVA!AT24/$H24,0)*AT$6,0))</f>
        <v>1261500.17106127</v>
      </c>
      <c r="AU24" s="19" t="n">
        <f aca="false">IF($B24="",0,SUMIFS(INCORRIDO!$C$6:$C$5005,INCORRIDO!$D$6:$D$5005,$B24,INCORRIDO!$E$6:$E$5005,AU$7)+IF(AU$7&gt;PARAMETROS!$C$12,IF($H24&gt;0,$G24*CURVA!AU24/$H24,0)*AU$6,0))</f>
        <v>374755.370315274</v>
      </c>
      <c r="AV24" s="19" t="n">
        <f aca="false">IF($B24="",0,SUMIFS(INCORRIDO!$C$6:$C$5005,INCORRIDO!$D$6:$D$5005,$B24,INCORRIDO!$E$6:$E$5005,AV$7)+IF(AV$7&gt;PARAMETROS!$C$12,IF($H24&gt;0,$G24*CURVA!AV24/$H24,0)*AV$6,0))</f>
        <v>374517.080315074</v>
      </c>
      <c r="AW24" s="19" t="n">
        <f aca="false">IF($B24="",0,SUMIFS(INCORRIDO!$C$6:$C$5005,INCORRIDO!$D$6:$D$5005,$B24,INCORRIDO!$E$6:$E$5005,AW$7)+IF(AW$7&gt;PARAMETROS!$C$12,IF($H24&gt;0,$G24*CURVA!AW24/$H24,0)*AW$6,0))</f>
        <v>361591.020304199</v>
      </c>
      <c r="AX24" s="19" t="n">
        <f aca="false">IF($B24="",0,SUMIFS(INCORRIDO!$C$6:$C$5005,INCORRIDO!$D$6:$D$5005,$B24,INCORRIDO!$E$6:$E$5005,AX$7)+IF(AX$7&gt;PARAMETROS!$C$12,IF($H24&gt;0,$G24*CURVA!AX24/$H24,0)*AX$6,0))</f>
        <v>340999.310286876</v>
      </c>
      <c r="AY24" s="19" t="n">
        <f aca="false">IF($B24="",0,SUMIFS(INCORRIDO!$C$6:$C$5005,INCORRIDO!$D$6:$D$5005,$B24,INCORRIDO!$E$6:$E$5005,AY$7)+IF(AY$7&gt;PARAMETROS!$C$12,IF($H24&gt;0,$G24*CURVA!AY24/$H24,0)*AY$6,0))</f>
        <v>0</v>
      </c>
      <c r="AZ24" s="19" t="n">
        <f aca="false">IF($B24="",0,SUMIFS(INCORRIDO!$C$6:$C$5005,INCORRIDO!$D$6:$D$5005,$B24,INCORRIDO!$E$6:$E$5005,AZ$7)+IF(AZ$7&gt;PARAMETROS!$C$12,IF($H24&gt;0,$G24*CURVA!AZ24/$H24,0)*AZ$6,0))</f>
        <v>0</v>
      </c>
      <c r="BA24" s="19" t="n">
        <f aca="false">IF($B24="",0,SUMIFS(INCORRIDO!$C$6:$C$5005,INCORRIDO!$D$6:$D$5005,$B24,INCORRIDO!$E$6:$E$5005,BA$7)+IF(BA$7&gt;PARAMETROS!$C$12,IF($H24&gt;0,$G24*CURVA!BA24/$H24,0)*BA$6,0))</f>
        <v>14261.17</v>
      </c>
      <c r="BB24" s="19" t="n">
        <f aca="false">IF($B24="",0,SUMIFS(INCORRIDO!$C$6:$C$5005,INCORRIDO!$D$6:$D$5005,$B24,INCORRIDO!$E$6:$E$5005,BB$7)+IF(BB$7&gt;PARAMETROS!$C$12,IF($H24&gt;0,$G24*CURVA!BB24/$H24,0)*BB$6,0))</f>
        <v>0</v>
      </c>
      <c r="BC24" s="19" t="n">
        <f aca="false">IF($B24="",0,SUMIFS(INCORRIDO!$C$6:$C$5005,INCORRIDO!$D$6:$D$5005,$B24,INCORRIDO!$E$6:$E$5005,BC$7)+IF(BC$7&gt;PARAMETROS!$C$12,IF($H24&gt;0,$G24*CURVA!BC24/$H24,0)*BC$6,0))</f>
        <v>0</v>
      </c>
      <c r="BD24" s="19" t="n">
        <f aca="false">IF($B24="",0,SUMIFS(INCORRIDO!$C$6:$C$5005,INCORRIDO!$D$6:$D$5005,$B24,INCORRIDO!$E$6:$E$5005,BD$7)+IF(BD$7&gt;PARAMETROS!$C$12,IF($H24&gt;0,$G24*CURVA!BD24/$H24,0)*BD$6,0))</f>
        <v>0</v>
      </c>
      <c r="BE24" s="19" t="n">
        <f aca="false">IF($B24="",0,SUMIFS(INCORRIDO!$C$6:$C$5005,INCORRIDO!$D$6:$D$5005,$B24,INCORRIDO!$E$6:$E$5005,BE$7)+IF(BE$7&gt;PARAMETROS!$C$12,IF($H24&gt;0,$G24*CURVA!BE24/$H24,0)*BE$6,0))</f>
        <v>88.5</v>
      </c>
      <c r="BF24" s="19" t="n">
        <f aca="false">IF($B24="",0,SUMIFS(INCORRIDO!$C$6:$C$5005,INCORRIDO!$D$6:$D$5005,$B24,INCORRIDO!$E$6:$E$5005,BF$7)+IF(BF$7&gt;PARAMETROS!$C$12,IF($H24&gt;0,$G24*CURVA!BF24/$H24,0)*BF$6,0))</f>
        <v>0</v>
      </c>
      <c r="BG24" s="19" t="n">
        <f aca="false">IF($B24="",0,SUMIFS(INCORRIDO!$C$6:$C$5005,INCORRIDO!$D$6:$D$5005,$B24,INCORRIDO!$E$6:$E$5005,BG$7)+IF(BG$7&gt;PARAMETROS!$C$12,IF($H24&gt;0,$G24*CURVA!BG24/$H24,0)*BG$6,0))</f>
        <v>0</v>
      </c>
      <c r="BH24" s="19" t="n">
        <f aca="false">IF($B24="",0,SUMIFS(INCORRIDO!$C$6:$C$5005,INCORRIDO!$D$6:$D$5005,$B24,INCORRIDO!$E$6:$E$5005,BH$7)+IF(BH$7&gt;PARAMETROS!$C$12,IF($H24&gt;0,$G24*CURVA!BH24/$H24,0)*BH$6,0))</f>
        <v>1182460.29099182</v>
      </c>
      <c r="BI24" s="19" t="n">
        <f aca="false">IF($B24="",0,SUMIFS(INCORRIDO!$C$6:$C$5005,INCORRIDO!$D$6:$D$5005,$B24,INCORRIDO!$E$6:$E$5005,BI$7)+IF(BI$7&gt;PARAMETROS!$C$12,IF($H24&gt;0,$G24*CURVA!BI24/$H24,0)*BI$6,0))</f>
        <v>0</v>
      </c>
      <c r="BJ24" s="19" t="n">
        <f aca="false">IF($B24="",0,SUMIFS(INCORRIDO!$C$6:$C$5005,INCORRIDO!$D$6:$D$5005,$B24,INCORRIDO!$E$6:$E$5005,BJ$7)+IF(BJ$7&gt;PARAMETROS!$C$12,IF($H24&gt;0,$G24*CURVA!BJ24/$H24,0)*BJ$6,0))</f>
        <v>0</v>
      </c>
      <c r="BK24" s="19" t="n">
        <f aca="false">IF($B24="",0,SUMIFS(INCORRIDO!$C$6:$C$5005,INCORRIDO!$D$6:$D$5005,$B24,INCORRIDO!$E$6:$E$5005,BK$7)+IF(BK$7&gt;PARAMETROS!$C$12,IF($H24&gt;0,$G24*CURVA!BK24/$H24,0)*BK$6,0))</f>
        <v>0</v>
      </c>
      <c r="BL24" s="19" t="n">
        <f aca="false">IF($B24="",0,SUMIFS(INCORRIDO!$C$6:$C$5005,INCORRIDO!$D$6:$D$5005,$B24,INCORRIDO!$E$6:$E$5005,BL$7)+IF(BL$7&gt;PARAMETROS!$C$12,IF($H24&gt;0,$G24*CURVA!BL24/$H24,0)*BL$6,0))</f>
        <v>0</v>
      </c>
      <c r="BM24" s="19" t="n">
        <f aca="false">IF($B24="",0,SUMIFS(INCORRIDO!$C$6:$C$5005,INCORRIDO!$D$6:$D$5005,$B24,INCORRIDO!$E$6:$E$5005,BM$7)+IF(BM$7&gt;PARAMETROS!$C$12,IF($H24&gt;0,$G24*CURVA!BM24/$H24,0)*BM$6,0))</f>
        <v>0</v>
      </c>
      <c r="BN24" s="19" t="n">
        <f aca="false">IF($B24="",0,SUMIFS(INCORRIDO!$C$6:$C$5005,INCORRIDO!$D$6:$D$5005,$B24,INCORRIDO!$E$6:$E$5005,BN$7)+IF(BN$7&gt;PARAMETROS!$C$12,IF($H24&gt;0,$G24*CURVA!BN24/$H24,0)*BN$6,0))</f>
        <v>0</v>
      </c>
      <c r="BO24" s="19" t="n">
        <f aca="false">IF($B24="",0,SUMIFS(INCORRIDO!$C$6:$C$5005,INCORRIDO!$D$6:$D$5005,$B24,INCORRIDO!$E$6:$E$5005,BO$7)+IF(BO$7&gt;PARAMETROS!$C$12,IF($H24&gt;0,$G24*CURVA!BO24/$H24,0)*BO$6,0))</f>
        <v>0</v>
      </c>
      <c r="BP24" s="19" t="n">
        <f aca="false">IF($B24="",0,SUMIFS(INCORRIDO!$C$6:$C$5005,INCORRIDO!$D$6:$D$5005,$B24,INCORRIDO!$E$6:$E$5005,BP$7)+IF(BP$7&gt;PARAMETROS!$C$12,IF($H24&gt;0,$G24*CURVA!BP24/$H24,0)*BP$6,0))</f>
        <v>0</v>
      </c>
      <c r="BQ24" s="19" t="n">
        <f aca="false">IF($B24="",0,SUMIFS(INCORRIDO!$C$6:$C$5005,INCORRIDO!$D$6:$D$5005,$B24,INCORRIDO!$E$6:$E$5005,BQ$7)+IF(BQ$7&gt;PARAMETROS!$C$12,IF($H24&gt;0,$G24*CURVA!BQ24/$H24,0)*BQ$6,0))</f>
        <v>0</v>
      </c>
      <c r="BR24" s="19" t="n">
        <f aca="false">IF($B24="",0,SUMIFS(INCORRIDO!$C$6:$C$5005,INCORRIDO!$D$6:$D$5005,$B24,INCORRIDO!$E$6:$E$5005,BR$7)+IF(BR$7&gt;PARAMETROS!$C$12,IF($H24&gt;0,$G24*CURVA!BR24/$H24,0)*BR$6,0))</f>
        <v>0</v>
      </c>
      <c r="BS24" s="19" t="n">
        <f aca="false">IF($B24="",0,SUMIFS(INCORRIDO!$C$6:$C$5005,INCORRIDO!$D$6:$D$5005,$B24,INCORRIDO!$E$6:$E$5005,BS$7)+IF(BS$7&gt;PARAMETROS!$C$12,IF($H24&gt;0,$G24*CURVA!BS24/$H24,0)*BS$6,0))</f>
        <v>0</v>
      </c>
      <c r="BT24" s="19" t="n">
        <f aca="false">IF($B24="",0,SUMIFS(INCORRIDO!$C$6:$C$5005,INCORRIDO!$D$6:$D$5005,$B24,INCORRIDO!$E$6:$E$5005,BT$7)+IF(BT$7&gt;PARAMETROS!$C$12,IF($H24&gt;0,$G24*CURVA!BT24/$H24,0)*BT$6,0))</f>
        <v>0</v>
      </c>
      <c r="BU24" s="19" t="n">
        <f aca="false">IF($B24="",0,SUMIFS(INCORRIDO!$C$6:$C$5005,INCORRIDO!$D$6:$D$5005,$B24,INCORRIDO!$E$6:$E$5005,BU$7)+IF(BU$7&gt;PARAMETROS!$C$12,IF($H24&gt;0,$G24*CURVA!BU24/$H24,0)*BU$6,0))</f>
        <v>0</v>
      </c>
      <c r="BV24" s="19" t="n">
        <f aca="false">IF($B24="",0,SUMIFS(INCORRIDO!$C$6:$C$5005,INCORRIDO!$D$6:$D$5005,$B24,INCORRIDO!$E$6:$E$5005,BV$7)+IF(BV$7&gt;PARAMETROS!$C$12,IF($H24&gt;0,$G24*CURVA!BV24/$H24,0)*BV$6,0))</f>
        <v>0</v>
      </c>
      <c r="BW24" s="19" t="n">
        <f aca="false">IF($B24="",0,SUMIFS(INCORRIDO!$C$6:$C$5005,INCORRIDO!$D$6:$D$5005,$B24,INCORRIDO!$E$6:$E$5005,BW$7)+IF(BW$7&gt;PARAMETROS!$C$12,IF($H24&gt;0,$G24*CURVA!BW24/$H24,0)*BW$6,0))</f>
        <v>0</v>
      </c>
      <c r="BX24" s="19" t="n">
        <f aca="false">IF($B24="",0,SUMIFS(INCORRIDO!$C$6:$C$5005,INCORRIDO!$D$6:$D$5005,$B24,INCORRIDO!$E$6:$E$5005,BX$7)+IF(BX$7&gt;PARAMETROS!$C$12,IF($H24&gt;0,$G24*CURVA!BX24/$H24,0)*BX$6,0))</f>
        <v>0</v>
      </c>
      <c r="BY24" s="19" t="n">
        <f aca="false">IF($B24="",0,SUMIFS(INCORRIDO!$C$6:$C$5005,INCORRIDO!$D$6:$D$5005,$B24,INCORRIDO!$E$6:$E$5005,BY$7)+IF(BY$7&gt;PARAMETROS!$C$12,IF($H24&gt;0,$G24*CURVA!BY24/$H24,0)*BY$6,0))</f>
        <v>0</v>
      </c>
      <c r="BZ24" s="19" t="n">
        <f aca="false">IF($B24="",0,SUMIFS(INCORRIDO!$C$6:$C$5005,INCORRIDO!$D$6:$D$5005,$B24,INCORRIDO!$E$6:$E$5005,BZ$7)+IF(BZ$7&gt;PARAMETROS!$C$12,IF($H24&gt;0,$G24*CURVA!BZ24/$H24,0)*BZ$6,0))</f>
        <v>0</v>
      </c>
      <c r="CA24" s="19" t="n">
        <f aca="false">IF($B24="",0,SUMIFS(INCORRIDO!$C$6:$C$5005,INCORRIDO!$D$6:$D$5005,$B24,INCORRIDO!$E$6:$E$5005,CA$7)+IF(CA$7&gt;PARAMETROS!$C$12,IF($H24&gt;0,$G24*CURVA!CA24/$H24,0)*CA$6,0))</f>
        <v>0</v>
      </c>
      <c r="CB24" s="19" t="n">
        <f aca="false">IF($B24="",0,SUMIFS(INCORRIDO!$C$6:$C$5005,INCORRIDO!$D$6:$D$5005,$B24,INCORRIDO!$E$6:$E$5005,CB$7)+IF(CB$7&gt;PARAMETROS!$C$12,IF($H24&gt;0,$G24*CURVA!CB24/$H24,0)*CB$6,0))</f>
        <v>0</v>
      </c>
      <c r="CC24" s="19" t="n">
        <f aca="false">IF($B24="",0,SUMIFS(INCORRIDO!$C$6:$C$5005,INCORRIDO!$D$6:$D$5005,$B24,INCORRIDO!$E$6:$E$5005,CC$7)+IF(CC$7&gt;PARAMETROS!$C$12,IF($H24&gt;0,$G24*CURVA!CC24/$H24,0)*CC$6,0))</f>
        <v>0</v>
      </c>
    </row>
    <row r="25" customFormat="false" ht="15" hidden="false" customHeight="false" outlineLevel="0" collapsed="false">
      <c r="A25" s="31" t="str">
        <f aca="false">IF(ORCAMENTO!A23="","",ORCAMENTO!A23)</f>
        <v>18</v>
      </c>
      <c r="B25" s="31" t="str">
        <f aca="false">IF(ORCAMENTO!B23="","",ORCAMENTO!B23)</f>
        <v>ALVENARIA</v>
      </c>
      <c r="C25" s="31" t="str">
        <f aca="false">IF(ORCAMENTO!C23="","",ORCAMENTO!C23)</f>
        <v>SISTEMAS E VEDAÇÕES</v>
      </c>
      <c r="D25" s="32" t="n">
        <f aca="false">IF($B25="",0,ORCAMENTO!E23)</f>
        <v>6245482.98</v>
      </c>
      <c r="E25" s="19" t="n">
        <f aca="false">IF($B25="",0,SUMIFS(INCORRIDO!$C$6:$C$5005,INCORRIDO!$D$6:$D$5005,$B25,INCORRIDO!$E$6:$E$5005,"&lt;="&amp;PARAMETROS!$C$12))</f>
        <v>0</v>
      </c>
      <c r="F25" s="19" t="n">
        <f aca="false">IF($B25="",0,SUMIFS(INCORRIDO!$C$6:$C$5005,INCORRIDO!$D$6:$D$5005,$B25,INCORRIDO!$E$6:$E$5005,"&gt;"&amp;PARAMETROS!$C$12))</f>
        <v>0</v>
      </c>
      <c r="G25" s="19" t="n">
        <f aca="false">MAX(0,D25-E25-F25)</f>
        <v>6245482.98</v>
      </c>
      <c r="H25" s="32" t="n">
        <f aca="false">CURVA!H25</f>
        <v>6245482.95</v>
      </c>
      <c r="I25" s="19" t="n">
        <f aca="false">SUM(J25:CC25)</f>
        <v>6245482.98</v>
      </c>
      <c r="J25" s="19" t="n">
        <f aca="false">IF($B25="",0,SUMIFS(INCORRIDO!$C$6:$C$5005,INCORRIDO!$D$6:$D$5005,$B25,INCORRIDO!$E$6:$E$5005,"&lt;="&amp;J$7)+IF(J$7&gt;PARAMETROS!$C$12,IF($H25&gt;0,$G25*CURVA!J25/$H25,0)*J$6,0))</f>
        <v>0</v>
      </c>
      <c r="K25" s="19" t="n">
        <f aca="false">IF($B25="",0,SUMIFS(INCORRIDO!$C$6:$C$5005,INCORRIDO!$D$6:$D$5005,$B25,INCORRIDO!$E$6:$E$5005,K$7)+IF(K$7&gt;PARAMETROS!$C$12,IF($H25&gt;0,$G25*CURVA!K25/$H25,0)*K$6,0))</f>
        <v>0</v>
      </c>
      <c r="L25" s="19" t="n">
        <f aca="false">IF($B25="",0,SUMIFS(INCORRIDO!$C$6:$C$5005,INCORRIDO!$D$6:$D$5005,$B25,INCORRIDO!$E$6:$E$5005,L$7)+IF(L$7&gt;PARAMETROS!$C$12,IF($H25&gt;0,$G25*CURVA!L25/$H25,0)*L$6,0))</f>
        <v>0</v>
      </c>
      <c r="M25" s="19" t="n">
        <f aca="false">IF($B25="",0,SUMIFS(INCORRIDO!$C$6:$C$5005,INCORRIDO!$D$6:$D$5005,$B25,INCORRIDO!$E$6:$E$5005,M$7)+IF(M$7&gt;PARAMETROS!$C$12,IF($H25&gt;0,$G25*CURVA!M25/$H25,0)*M$6,0))</f>
        <v>0</v>
      </c>
      <c r="N25" s="19" t="n">
        <f aca="false">IF($B25="",0,SUMIFS(INCORRIDO!$C$6:$C$5005,INCORRIDO!$D$6:$D$5005,$B25,INCORRIDO!$E$6:$E$5005,N$7)+IF(N$7&gt;PARAMETROS!$C$12,IF($H25&gt;0,$G25*CURVA!N25/$H25,0)*N$6,0))</f>
        <v>0</v>
      </c>
      <c r="O25" s="19" t="n">
        <f aca="false">IF($B25="",0,SUMIFS(INCORRIDO!$C$6:$C$5005,INCORRIDO!$D$6:$D$5005,$B25,INCORRIDO!$E$6:$E$5005,O$7)+IF(O$7&gt;PARAMETROS!$C$12,IF($H25&gt;0,$G25*CURVA!O25/$H25,0)*O$6,0))</f>
        <v>0</v>
      </c>
      <c r="P25" s="19" t="n">
        <f aca="false">IF($B25="",0,SUMIFS(INCORRIDO!$C$6:$C$5005,INCORRIDO!$D$6:$D$5005,$B25,INCORRIDO!$E$6:$E$5005,P$7)+IF(P$7&gt;PARAMETROS!$C$12,IF($H25&gt;0,$G25*CURVA!P25/$H25,0)*P$6,0))</f>
        <v>0</v>
      </c>
      <c r="Q25" s="19" t="n">
        <f aca="false">IF($B25="",0,SUMIFS(INCORRIDO!$C$6:$C$5005,INCORRIDO!$D$6:$D$5005,$B25,INCORRIDO!$E$6:$E$5005,Q$7)+IF(Q$7&gt;PARAMETROS!$C$12,IF($H25&gt;0,$G25*CURVA!Q25/$H25,0)*Q$6,0))</f>
        <v>0</v>
      </c>
      <c r="R25" s="19" t="n">
        <f aca="false">IF($B25="",0,SUMIFS(INCORRIDO!$C$6:$C$5005,INCORRIDO!$D$6:$D$5005,$B25,INCORRIDO!$E$6:$E$5005,R$7)+IF(R$7&gt;PARAMETROS!$C$12,IF($H25&gt;0,$G25*CURVA!R25/$H25,0)*R$6,0))</f>
        <v>0</v>
      </c>
      <c r="S25" s="19" t="n">
        <f aca="false">IF($B25="",0,SUMIFS(INCORRIDO!$C$6:$C$5005,INCORRIDO!$D$6:$D$5005,$B25,INCORRIDO!$E$6:$E$5005,S$7)+IF(S$7&gt;PARAMETROS!$C$12,IF($H25&gt;0,$G25*CURVA!S25/$H25,0)*S$6,0))</f>
        <v>0</v>
      </c>
      <c r="T25" s="19" t="n">
        <f aca="false">IF($B25="",0,SUMIFS(INCORRIDO!$C$6:$C$5005,INCORRIDO!$D$6:$D$5005,$B25,INCORRIDO!$E$6:$E$5005,T$7)+IF(T$7&gt;PARAMETROS!$C$12,IF($H25&gt;0,$G25*CURVA!T25/$H25,0)*T$6,0))</f>
        <v>0</v>
      </c>
      <c r="U25" s="19" t="n">
        <f aca="false">IF($B25="",0,SUMIFS(INCORRIDO!$C$6:$C$5005,INCORRIDO!$D$6:$D$5005,$B25,INCORRIDO!$E$6:$E$5005,U$7)+IF(U$7&gt;PARAMETROS!$C$12,IF($H25&gt;0,$G25*CURVA!U25/$H25,0)*U$6,0))</f>
        <v>0</v>
      </c>
      <c r="V25" s="19" t="n">
        <f aca="false">IF($B25="",0,SUMIFS(INCORRIDO!$C$6:$C$5005,INCORRIDO!$D$6:$D$5005,$B25,INCORRIDO!$E$6:$E$5005,V$7)+IF(V$7&gt;PARAMETROS!$C$12,IF($H25&gt;0,$G25*CURVA!V25/$H25,0)*V$6,0))</f>
        <v>0</v>
      </c>
      <c r="W25" s="19" t="n">
        <f aca="false">IF($B25="",0,SUMIFS(INCORRIDO!$C$6:$C$5005,INCORRIDO!$D$6:$D$5005,$B25,INCORRIDO!$E$6:$E$5005,W$7)+IF(W$7&gt;PARAMETROS!$C$12,IF($H25&gt;0,$G25*CURVA!W25/$H25,0)*W$6,0))</f>
        <v>0</v>
      </c>
      <c r="X25" s="19" t="n">
        <f aca="false">IF($B25="",0,SUMIFS(INCORRIDO!$C$6:$C$5005,INCORRIDO!$D$6:$D$5005,$B25,INCORRIDO!$E$6:$E$5005,X$7)+IF(X$7&gt;PARAMETROS!$C$12,IF($H25&gt;0,$G25*CURVA!X25/$H25,0)*X$6,0))</f>
        <v>0</v>
      </c>
      <c r="Y25" s="19" t="n">
        <f aca="false">IF($B25="",0,SUMIFS(INCORRIDO!$C$6:$C$5005,INCORRIDO!$D$6:$D$5005,$B25,INCORRIDO!$E$6:$E$5005,Y$7)+IF(Y$7&gt;PARAMETROS!$C$12,IF($H25&gt;0,$G25*CURVA!Y25/$H25,0)*Y$6,0))</f>
        <v>0</v>
      </c>
      <c r="Z25" s="19" t="n">
        <f aca="false">IF($B25="",0,SUMIFS(INCORRIDO!$C$6:$C$5005,INCORRIDO!$D$6:$D$5005,$B25,INCORRIDO!$E$6:$E$5005,Z$7)+IF(Z$7&gt;PARAMETROS!$C$12,IF($H25&gt;0,$G25*CURVA!Z25/$H25,0)*Z$6,0))</f>
        <v>0</v>
      </c>
      <c r="AA25" s="19" t="n">
        <f aca="false">IF($B25="",0,SUMIFS(INCORRIDO!$C$6:$C$5005,INCORRIDO!$D$6:$D$5005,$B25,INCORRIDO!$E$6:$E$5005,AA$7)+IF(AA$7&gt;PARAMETROS!$C$12,IF($H25&gt;0,$G25*CURVA!AA25/$H25,0)*AA$6,0))</f>
        <v>0</v>
      </c>
      <c r="AB25" s="19" t="n">
        <f aca="false">IF($B25="",0,SUMIFS(INCORRIDO!$C$6:$C$5005,INCORRIDO!$D$6:$D$5005,$B25,INCORRIDO!$E$6:$E$5005,AB$7)+IF(AB$7&gt;PARAMETROS!$C$12,IF($H25&gt;0,$G25*CURVA!AB25/$H25,0)*AB$6,0))</f>
        <v>0</v>
      </c>
      <c r="AC25" s="19" t="n">
        <f aca="false">IF($B25="",0,SUMIFS(INCORRIDO!$C$6:$C$5005,INCORRIDO!$D$6:$D$5005,$B25,INCORRIDO!$E$6:$E$5005,AC$7)+IF(AC$7&gt;PARAMETROS!$C$12,IF($H25&gt;0,$G25*CURVA!AC25/$H25,0)*AC$6,0))</f>
        <v>0</v>
      </c>
      <c r="AD25" s="19" t="n">
        <f aca="false">IF($B25="",0,SUMIFS(INCORRIDO!$C$6:$C$5005,INCORRIDO!$D$6:$D$5005,$B25,INCORRIDO!$E$6:$E$5005,AD$7)+IF(AD$7&gt;PARAMETROS!$C$12,IF($H25&gt;0,$G25*CURVA!AD25/$H25,0)*AD$6,0))</f>
        <v>0</v>
      </c>
      <c r="AE25" s="19" t="n">
        <f aca="false">IF($B25="",0,SUMIFS(INCORRIDO!$C$6:$C$5005,INCORRIDO!$D$6:$D$5005,$B25,INCORRIDO!$E$6:$E$5005,AE$7)+IF(AE$7&gt;PARAMETROS!$C$12,IF($H25&gt;0,$G25*CURVA!AE25/$H25,0)*AE$6,0))</f>
        <v>0</v>
      </c>
      <c r="AF25" s="19" t="n">
        <f aca="false">IF($B25="",0,SUMIFS(INCORRIDO!$C$6:$C$5005,INCORRIDO!$D$6:$D$5005,$B25,INCORRIDO!$E$6:$E$5005,AF$7)+IF(AF$7&gt;PARAMETROS!$C$12,IF($H25&gt;0,$G25*CURVA!AF25/$H25,0)*AF$6,0))</f>
        <v>0</v>
      </c>
      <c r="AG25" s="19" t="n">
        <f aca="false">IF($B25="",0,SUMIFS(INCORRIDO!$C$6:$C$5005,INCORRIDO!$D$6:$D$5005,$B25,INCORRIDO!$E$6:$E$5005,AG$7)+IF(AG$7&gt;PARAMETROS!$C$12,IF($H25&gt;0,$G25*CURVA!AG25/$H25,0)*AG$6,0))</f>
        <v>0</v>
      </c>
      <c r="AH25" s="19" t="n">
        <f aca="false">IF($B25="",0,SUMIFS(INCORRIDO!$C$6:$C$5005,INCORRIDO!$D$6:$D$5005,$B25,INCORRIDO!$E$6:$E$5005,AH$7)+IF(AH$7&gt;PARAMETROS!$C$12,IF($H25&gt;0,$G25*CURVA!AH25/$H25,0)*AH$6,0))</f>
        <v>0</v>
      </c>
      <c r="AI25" s="19" t="n">
        <f aca="false">IF($B25="",0,SUMIFS(INCORRIDO!$C$6:$C$5005,INCORRIDO!$D$6:$D$5005,$B25,INCORRIDO!$E$6:$E$5005,AI$7)+IF(AI$7&gt;PARAMETROS!$C$12,IF($H25&gt;0,$G25*CURVA!AI25/$H25,0)*AI$6,0))</f>
        <v>0</v>
      </c>
      <c r="AJ25" s="19" t="n">
        <f aca="false">IF($B25="",0,SUMIFS(INCORRIDO!$C$6:$C$5005,INCORRIDO!$D$6:$D$5005,$B25,INCORRIDO!$E$6:$E$5005,AJ$7)+IF(AJ$7&gt;PARAMETROS!$C$12,IF($H25&gt;0,$G25*CURVA!AJ25/$H25,0)*AJ$6,0))</f>
        <v>0</v>
      </c>
      <c r="AK25" s="19" t="n">
        <f aca="false">IF($B25="",0,SUMIFS(INCORRIDO!$C$6:$C$5005,INCORRIDO!$D$6:$D$5005,$B25,INCORRIDO!$E$6:$E$5005,AK$7)+IF(AK$7&gt;PARAMETROS!$C$12,IF($H25&gt;0,$G25*CURVA!AK25/$H25,0)*AK$6,0))</f>
        <v>0</v>
      </c>
      <c r="AL25" s="19" t="n">
        <f aca="false">IF($B25="",0,SUMIFS(INCORRIDO!$C$6:$C$5005,INCORRIDO!$D$6:$D$5005,$B25,INCORRIDO!$E$6:$E$5005,AL$7)+IF(AL$7&gt;PARAMETROS!$C$12,IF($H25&gt;0,$G25*CURVA!AL25/$H25,0)*AL$6,0))</f>
        <v>70130.9803368722</v>
      </c>
      <c r="AM25" s="19" t="n">
        <f aca="false">IF($B25="",0,SUMIFS(INCORRIDO!$C$6:$C$5005,INCORRIDO!$D$6:$D$5005,$B25,INCORRIDO!$E$6:$E$5005,AM$7)+IF(AM$7&gt;PARAMETROS!$C$12,IF($H25&gt;0,$G25*CURVA!AM25/$H25,0)*AM$6,0))</f>
        <v>134575.67064643</v>
      </c>
      <c r="AN25" s="19" t="n">
        <f aca="false">IF($B25="",0,SUMIFS(INCORRIDO!$C$6:$C$5005,INCORRIDO!$D$6:$D$5005,$B25,INCORRIDO!$E$6:$E$5005,AN$7)+IF(AN$7&gt;PARAMETROS!$C$12,IF($H25&gt;0,$G25*CURVA!AN25/$H25,0)*AN$6,0))</f>
        <v>221133.72106221</v>
      </c>
      <c r="AO25" s="19" t="n">
        <f aca="false">IF($B25="",0,SUMIFS(INCORRIDO!$C$6:$C$5005,INCORRIDO!$D$6:$D$5005,$B25,INCORRIDO!$E$6:$E$5005,AO$7)+IF(AO$7&gt;PARAMETROS!$C$12,IF($H25&gt;0,$G25*CURVA!AO25/$H25,0)*AO$6,0))</f>
        <v>416363.211999989</v>
      </c>
      <c r="AP25" s="19" t="n">
        <f aca="false">IF($B25="",0,SUMIFS(INCORRIDO!$C$6:$C$5005,INCORRIDO!$D$6:$D$5005,$B25,INCORRIDO!$E$6:$E$5005,AP$7)+IF(AP$7&gt;PARAMETROS!$C$12,IF($H25&gt;0,$G25*CURVA!AP25/$H25,0)*AP$6,0))</f>
        <v>387299.921860384</v>
      </c>
      <c r="AQ25" s="19" t="n">
        <f aca="false">IF($B25="",0,SUMIFS(INCORRIDO!$C$6:$C$5005,INCORRIDO!$D$6:$D$5005,$B25,INCORRIDO!$E$6:$E$5005,AQ$7)+IF(AQ$7&gt;PARAMETROS!$C$12,IF($H25&gt;0,$G25*CURVA!AQ25/$H25,0)*AQ$6,0))</f>
        <v>545884.39262214</v>
      </c>
      <c r="AR25" s="19" t="n">
        <f aca="false">IF($B25="",0,SUMIFS(INCORRIDO!$C$6:$C$5005,INCORRIDO!$D$6:$D$5005,$B25,INCORRIDO!$E$6:$E$5005,AR$7)+IF(AR$7&gt;PARAMETROS!$C$12,IF($H25&gt;0,$G25*CURVA!AR25/$H25,0)*AR$6,0))</f>
        <v>564206.902710152</v>
      </c>
      <c r="AS25" s="19" t="n">
        <f aca="false">IF($B25="",0,SUMIFS(INCORRIDO!$C$6:$C$5005,INCORRIDO!$D$6:$D$5005,$B25,INCORRIDO!$E$6:$E$5005,AS$7)+IF(AS$7&gt;PARAMETROS!$C$12,IF($H25&gt;0,$G25*CURVA!AS25/$H25,0)*AS$6,0))</f>
        <v>634337.883047024</v>
      </c>
      <c r="AT25" s="19" t="n">
        <f aca="false">IF($B25="",0,SUMIFS(INCORRIDO!$C$6:$C$5005,INCORRIDO!$D$6:$D$5005,$B25,INCORRIDO!$E$6:$E$5005,AT$7)+IF(AT$7&gt;PARAMETROS!$C$12,IF($H25&gt;0,$G25*CURVA!AT25/$H25,0)*AT$6,0))</f>
        <v>680460.063268571</v>
      </c>
      <c r="AU25" s="19" t="n">
        <f aca="false">IF($B25="",0,SUMIFS(INCORRIDO!$C$6:$C$5005,INCORRIDO!$D$6:$D$5005,$B25,INCORRIDO!$E$6:$E$5005,AU$7)+IF(AU$7&gt;PARAMETROS!$C$12,IF($H25&gt;0,$G25*CURVA!AU25/$H25,0)*AU$6,0))</f>
        <v>484598.762327756</v>
      </c>
      <c r="AV25" s="19" t="n">
        <f aca="false">IF($B25="",0,SUMIFS(INCORRIDO!$C$6:$C$5005,INCORRIDO!$D$6:$D$5005,$B25,INCORRIDO!$E$6:$E$5005,AV$7)+IF(AV$7&gt;PARAMETROS!$C$12,IF($H25&gt;0,$G25*CURVA!AV25/$H25,0)*AV$6,0))</f>
        <v>518716.54249164</v>
      </c>
      <c r="AW25" s="19" t="n">
        <f aca="false">IF($B25="",0,SUMIFS(INCORRIDO!$C$6:$C$5005,INCORRIDO!$D$6:$D$5005,$B25,INCORRIDO!$E$6:$E$5005,AW$7)+IF(AW$7&gt;PARAMETROS!$C$12,IF($H25&gt;0,$G25*CURVA!AW25/$H25,0)*AW$6,0))</f>
        <v>434685.722088</v>
      </c>
      <c r="AX25" s="19" t="n">
        <f aca="false">IF($B25="",0,SUMIFS(INCORRIDO!$C$6:$C$5005,INCORRIDO!$D$6:$D$5005,$B25,INCORRIDO!$E$6:$E$5005,AX$7)+IF(AX$7&gt;PARAMETROS!$C$12,IF($H25&gt;0,$G25*CURVA!AX25/$H25,0)*AX$6,0))</f>
        <v>521875.592506815</v>
      </c>
      <c r="AY25" s="19" t="n">
        <f aca="false">IF($B25="",0,SUMIFS(INCORRIDO!$C$6:$C$5005,INCORRIDO!$D$6:$D$5005,$B25,INCORRIDO!$E$6:$E$5005,AY$7)+IF(AY$7&gt;PARAMETROS!$C$12,IF($H25&gt;0,$G25*CURVA!AY25/$H25,0)*AY$6,0))</f>
        <v>272310.391308035</v>
      </c>
      <c r="AZ25" s="19" t="n">
        <f aca="false">IF($B25="",0,SUMIFS(INCORRIDO!$C$6:$C$5005,INCORRIDO!$D$6:$D$5005,$B25,INCORRIDO!$E$6:$E$5005,AZ$7)+IF(AZ$7&gt;PARAMETROS!$C$12,IF($H25&gt;0,$G25*CURVA!AZ25/$H25,0)*AZ$6,0))</f>
        <v>237560.801141117</v>
      </c>
      <c r="BA25" s="19" t="n">
        <f aca="false">IF($B25="",0,SUMIFS(INCORRIDO!$C$6:$C$5005,INCORRIDO!$D$6:$D$5005,$B25,INCORRIDO!$E$6:$E$5005,BA$7)+IF(BA$7&gt;PARAMETROS!$C$12,IF($H25&gt;0,$G25*CURVA!BA25/$H25,0)*BA$6,0))</f>
        <v>69499.1703338373</v>
      </c>
      <c r="BB25" s="19" t="n">
        <f aca="false">IF($B25="",0,SUMIFS(INCORRIDO!$C$6:$C$5005,INCORRIDO!$D$6:$D$5005,$B25,INCORRIDO!$E$6:$E$5005,BB$7)+IF(BB$7&gt;PARAMETROS!$C$12,IF($H25&gt;0,$G25*CURVA!BB25/$H25,0)*BB$6,0))</f>
        <v>51843.2502490276</v>
      </c>
      <c r="BC25" s="19" t="n">
        <f aca="false">IF($B25="",0,SUMIFS(INCORRIDO!$C$6:$C$5005,INCORRIDO!$D$6:$D$5005,$B25,INCORRIDO!$E$6:$E$5005,BC$7)+IF(BC$7&gt;PARAMETROS!$C$12,IF($H25&gt;0,$G25*CURVA!BC25/$H25,0)*BC$6,0))</f>
        <v>0</v>
      </c>
      <c r="BD25" s="19" t="n">
        <f aca="false">IF($B25="",0,SUMIFS(INCORRIDO!$C$6:$C$5005,INCORRIDO!$D$6:$D$5005,$B25,INCORRIDO!$E$6:$E$5005,BD$7)+IF(BD$7&gt;PARAMETROS!$C$12,IF($H25&gt;0,$G25*CURVA!BD25/$H25,0)*BD$6,0))</f>
        <v>0</v>
      </c>
      <c r="BE25" s="19" t="n">
        <f aca="false">IF($B25="",0,SUMIFS(INCORRIDO!$C$6:$C$5005,INCORRIDO!$D$6:$D$5005,$B25,INCORRIDO!$E$6:$E$5005,BE$7)+IF(BE$7&gt;PARAMETROS!$C$12,IF($H25&gt;0,$G25*CURVA!BE25/$H25,0)*BE$6,0))</f>
        <v>0</v>
      </c>
      <c r="BF25" s="19" t="n">
        <f aca="false">IF($B25="",0,SUMIFS(INCORRIDO!$C$6:$C$5005,INCORRIDO!$D$6:$D$5005,$B25,INCORRIDO!$E$6:$E$5005,BF$7)+IF(BF$7&gt;PARAMETROS!$C$12,IF($H25&gt;0,$G25*CURVA!BF25/$H25,0)*BF$6,0))</f>
        <v>0</v>
      </c>
      <c r="BG25" s="19" t="n">
        <f aca="false">IF($B25="",0,SUMIFS(INCORRIDO!$C$6:$C$5005,INCORRIDO!$D$6:$D$5005,$B25,INCORRIDO!$E$6:$E$5005,BG$7)+IF(BG$7&gt;PARAMETROS!$C$12,IF($H25&gt;0,$G25*CURVA!BG25/$H25,0)*BG$6,0))</f>
        <v>0</v>
      </c>
      <c r="BH25" s="19" t="n">
        <f aca="false">IF($B25="",0,SUMIFS(INCORRIDO!$C$6:$C$5005,INCORRIDO!$D$6:$D$5005,$B25,INCORRIDO!$E$6:$E$5005,BH$7)+IF(BH$7&gt;PARAMETROS!$C$12,IF($H25&gt;0,$G25*CURVA!BH25/$H25,0)*BH$6,0))</f>
        <v>0</v>
      </c>
      <c r="BI25" s="19" t="n">
        <f aca="false">IF($B25="",0,SUMIFS(INCORRIDO!$C$6:$C$5005,INCORRIDO!$D$6:$D$5005,$B25,INCORRIDO!$E$6:$E$5005,BI$7)+IF(BI$7&gt;PARAMETROS!$C$12,IF($H25&gt;0,$G25*CURVA!BI25/$H25,0)*BI$6,0))</f>
        <v>0</v>
      </c>
      <c r="BJ25" s="19" t="n">
        <f aca="false">IF($B25="",0,SUMIFS(INCORRIDO!$C$6:$C$5005,INCORRIDO!$D$6:$D$5005,$B25,INCORRIDO!$E$6:$E$5005,BJ$7)+IF(BJ$7&gt;PARAMETROS!$C$12,IF($H25&gt;0,$G25*CURVA!BJ25/$H25,0)*BJ$6,0))</f>
        <v>0</v>
      </c>
      <c r="BK25" s="19" t="n">
        <f aca="false">IF($B25="",0,SUMIFS(INCORRIDO!$C$6:$C$5005,INCORRIDO!$D$6:$D$5005,$B25,INCORRIDO!$E$6:$E$5005,BK$7)+IF(BK$7&gt;PARAMETROS!$C$12,IF($H25&gt;0,$G25*CURVA!BK25/$H25,0)*BK$6,0))</f>
        <v>0</v>
      </c>
      <c r="BL25" s="19" t="n">
        <f aca="false">IF($B25="",0,SUMIFS(INCORRIDO!$C$6:$C$5005,INCORRIDO!$D$6:$D$5005,$B25,INCORRIDO!$E$6:$E$5005,BL$7)+IF(BL$7&gt;PARAMETROS!$C$12,IF($H25&gt;0,$G25*CURVA!BL25/$H25,0)*BL$6,0))</f>
        <v>0</v>
      </c>
      <c r="BM25" s="19" t="n">
        <f aca="false">IF($B25="",0,SUMIFS(INCORRIDO!$C$6:$C$5005,INCORRIDO!$D$6:$D$5005,$B25,INCORRIDO!$E$6:$E$5005,BM$7)+IF(BM$7&gt;PARAMETROS!$C$12,IF($H25&gt;0,$G25*CURVA!BM25/$H25,0)*BM$6,0))</f>
        <v>0</v>
      </c>
      <c r="BN25" s="19" t="n">
        <f aca="false">IF($B25="",0,SUMIFS(INCORRIDO!$C$6:$C$5005,INCORRIDO!$D$6:$D$5005,$B25,INCORRIDO!$E$6:$E$5005,BN$7)+IF(BN$7&gt;PARAMETROS!$C$12,IF($H25&gt;0,$G25*CURVA!BN25/$H25,0)*BN$6,0))</f>
        <v>0</v>
      </c>
      <c r="BO25" s="19" t="n">
        <f aca="false">IF($B25="",0,SUMIFS(INCORRIDO!$C$6:$C$5005,INCORRIDO!$D$6:$D$5005,$B25,INCORRIDO!$E$6:$E$5005,BO$7)+IF(BO$7&gt;PARAMETROS!$C$12,IF($H25&gt;0,$G25*CURVA!BO25/$H25,0)*BO$6,0))</f>
        <v>0</v>
      </c>
      <c r="BP25" s="19" t="n">
        <f aca="false">IF($B25="",0,SUMIFS(INCORRIDO!$C$6:$C$5005,INCORRIDO!$D$6:$D$5005,$B25,INCORRIDO!$E$6:$E$5005,BP$7)+IF(BP$7&gt;PARAMETROS!$C$12,IF($H25&gt;0,$G25*CURVA!BP25/$H25,0)*BP$6,0))</f>
        <v>0</v>
      </c>
      <c r="BQ25" s="19" t="n">
        <f aca="false">IF($B25="",0,SUMIFS(INCORRIDO!$C$6:$C$5005,INCORRIDO!$D$6:$D$5005,$B25,INCORRIDO!$E$6:$E$5005,BQ$7)+IF(BQ$7&gt;PARAMETROS!$C$12,IF($H25&gt;0,$G25*CURVA!BQ25/$H25,0)*BQ$6,0))</f>
        <v>0</v>
      </c>
      <c r="BR25" s="19" t="n">
        <f aca="false">IF($B25="",0,SUMIFS(INCORRIDO!$C$6:$C$5005,INCORRIDO!$D$6:$D$5005,$B25,INCORRIDO!$E$6:$E$5005,BR$7)+IF(BR$7&gt;PARAMETROS!$C$12,IF($H25&gt;0,$G25*CURVA!BR25/$H25,0)*BR$6,0))</f>
        <v>0</v>
      </c>
      <c r="BS25" s="19" t="n">
        <f aca="false">IF($B25="",0,SUMIFS(INCORRIDO!$C$6:$C$5005,INCORRIDO!$D$6:$D$5005,$B25,INCORRIDO!$E$6:$E$5005,BS$7)+IF(BS$7&gt;PARAMETROS!$C$12,IF($H25&gt;0,$G25*CURVA!BS25/$H25,0)*BS$6,0))</f>
        <v>0</v>
      </c>
      <c r="BT25" s="19" t="n">
        <f aca="false">IF($B25="",0,SUMIFS(INCORRIDO!$C$6:$C$5005,INCORRIDO!$D$6:$D$5005,$B25,INCORRIDO!$E$6:$E$5005,BT$7)+IF(BT$7&gt;PARAMETROS!$C$12,IF($H25&gt;0,$G25*CURVA!BT25/$H25,0)*BT$6,0))</f>
        <v>0</v>
      </c>
      <c r="BU25" s="19" t="n">
        <f aca="false">IF($B25="",0,SUMIFS(INCORRIDO!$C$6:$C$5005,INCORRIDO!$D$6:$D$5005,$B25,INCORRIDO!$E$6:$E$5005,BU$7)+IF(BU$7&gt;PARAMETROS!$C$12,IF($H25&gt;0,$G25*CURVA!BU25/$H25,0)*BU$6,0))</f>
        <v>0</v>
      </c>
      <c r="BV25" s="19" t="n">
        <f aca="false">IF($B25="",0,SUMIFS(INCORRIDO!$C$6:$C$5005,INCORRIDO!$D$6:$D$5005,$B25,INCORRIDO!$E$6:$E$5005,BV$7)+IF(BV$7&gt;PARAMETROS!$C$12,IF($H25&gt;0,$G25*CURVA!BV25/$H25,0)*BV$6,0))</f>
        <v>0</v>
      </c>
      <c r="BW25" s="19" t="n">
        <f aca="false">IF($B25="",0,SUMIFS(INCORRIDO!$C$6:$C$5005,INCORRIDO!$D$6:$D$5005,$B25,INCORRIDO!$E$6:$E$5005,BW$7)+IF(BW$7&gt;PARAMETROS!$C$12,IF($H25&gt;0,$G25*CURVA!BW25/$H25,0)*BW$6,0))</f>
        <v>0</v>
      </c>
      <c r="BX25" s="19" t="n">
        <f aca="false">IF($B25="",0,SUMIFS(INCORRIDO!$C$6:$C$5005,INCORRIDO!$D$6:$D$5005,$B25,INCORRIDO!$E$6:$E$5005,BX$7)+IF(BX$7&gt;PARAMETROS!$C$12,IF($H25&gt;0,$G25*CURVA!BX25/$H25,0)*BX$6,0))</f>
        <v>0</v>
      </c>
      <c r="BY25" s="19" t="n">
        <f aca="false">IF($B25="",0,SUMIFS(INCORRIDO!$C$6:$C$5005,INCORRIDO!$D$6:$D$5005,$B25,INCORRIDO!$E$6:$E$5005,BY$7)+IF(BY$7&gt;PARAMETROS!$C$12,IF($H25&gt;0,$G25*CURVA!BY25/$H25,0)*BY$6,0))</f>
        <v>0</v>
      </c>
      <c r="BZ25" s="19" t="n">
        <f aca="false">IF($B25="",0,SUMIFS(INCORRIDO!$C$6:$C$5005,INCORRIDO!$D$6:$D$5005,$B25,INCORRIDO!$E$6:$E$5005,BZ$7)+IF(BZ$7&gt;PARAMETROS!$C$12,IF($H25&gt;0,$G25*CURVA!BZ25/$H25,0)*BZ$6,0))</f>
        <v>0</v>
      </c>
      <c r="CA25" s="19" t="n">
        <f aca="false">IF($B25="",0,SUMIFS(INCORRIDO!$C$6:$C$5005,INCORRIDO!$D$6:$D$5005,$B25,INCORRIDO!$E$6:$E$5005,CA$7)+IF(CA$7&gt;PARAMETROS!$C$12,IF($H25&gt;0,$G25*CURVA!CA25/$H25,0)*CA$6,0))</f>
        <v>0</v>
      </c>
      <c r="CB25" s="19" t="n">
        <f aca="false">IF($B25="",0,SUMIFS(INCORRIDO!$C$6:$C$5005,INCORRIDO!$D$6:$D$5005,$B25,INCORRIDO!$E$6:$E$5005,CB$7)+IF(CB$7&gt;PARAMETROS!$C$12,IF($H25&gt;0,$G25*CURVA!CB25/$H25,0)*CB$6,0))</f>
        <v>0</v>
      </c>
      <c r="CC25" s="19" t="n">
        <f aca="false">IF($B25="",0,SUMIFS(INCORRIDO!$C$6:$C$5005,INCORRIDO!$D$6:$D$5005,$B25,INCORRIDO!$E$6:$E$5005,CC$7)+IF(CC$7&gt;PARAMETROS!$C$12,IF($H25&gt;0,$G25*CURVA!CC25/$H25,0)*CC$6,0))</f>
        <v>0</v>
      </c>
    </row>
    <row r="26" customFormat="false" ht="15" hidden="false" customHeight="false" outlineLevel="0" collapsed="false">
      <c r="A26" s="31" t="str">
        <f aca="false">IF(ORCAMENTO!A24="","",ORCAMENTO!A24)</f>
        <v>19</v>
      </c>
      <c r="B26" s="31" t="str">
        <f aca="false">IF(ORCAMENTO!B24="","",ORCAMENTO!B24)</f>
        <v>IMPERMEABILIZAÇÃO</v>
      </c>
      <c r="C26" s="31" t="str">
        <f aca="false">IF(ORCAMENTO!C24="","",ORCAMENTO!C24)</f>
        <v>SISTEMAS E VEDAÇÕES</v>
      </c>
      <c r="D26" s="32" t="n">
        <f aca="false">IF($B26="",0,ORCAMENTO!E24)</f>
        <v>4139097.74</v>
      </c>
      <c r="E26" s="19" t="n">
        <f aca="false">IF($B26="",0,SUMIFS(INCORRIDO!$C$6:$C$5005,INCORRIDO!$D$6:$D$5005,$B26,INCORRIDO!$E$6:$E$5005,"&lt;="&amp;PARAMETROS!$C$12))</f>
        <v>0</v>
      </c>
      <c r="F26" s="19" t="n">
        <f aca="false">IF($B26="",0,SUMIFS(INCORRIDO!$C$6:$C$5005,INCORRIDO!$D$6:$D$5005,$B26,INCORRIDO!$E$6:$E$5005,"&gt;"&amp;PARAMETROS!$C$12))</f>
        <v>0</v>
      </c>
      <c r="G26" s="19" t="n">
        <f aca="false">MAX(0,D26-E26-F26)</f>
        <v>4139097.74</v>
      </c>
      <c r="H26" s="32" t="n">
        <f aca="false">CURVA!H26</f>
        <v>4139097.73</v>
      </c>
      <c r="I26" s="19" t="n">
        <f aca="false">SUM(J26:CC26)</f>
        <v>4139097.74</v>
      </c>
      <c r="J26" s="19" t="n">
        <f aca="false">IF($B26="",0,SUMIFS(INCORRIDO!$C$6:$C$5005,INCORRIDO!$D$6:$D$5005,$B26,INCORRIDO!$E$6:$E$5005,"&lt;="&amp;J$7)+IF(J$7&gt;PARAMETROS!$C$12,IF($H26&gt;0,$G26*CURVA!J26/$H26,0)*J$6,0))</f>
        <v>0</v>
      </c>
      <c r="K26" s="19" t="n">
        <f aca="false">IF($B26="",0,SUMIFS(INCORRIDO!$C$6:$C$5005,INCORRIDO!$D$6:$D$5005,$B26,INCORRIDO!$E$6:$E$5005,K$7)+IF(K$7&gt;PARAMETROS!$C$12,IF($H26&gt;0,$G26*CURVA!K26/$H26,0)*K$6,0))</f>
        <v>0</v>
      </c>
      <c r="L26" s="19" t="n">
        <f aca="false">IF($B26="",0,SUMIFS(INCORRIDO!$C$6:$C$5005,INCORRIDO!$D$6:$D$5005,$B26,INCORRIDO!$E$6:$E$5005,L$7)+IF(L$7&gt;PARAMETROS!$C$12,IF($H26&gt;0,$G26*CURVA!L26/$H26,0)*L$6,0))</f>
        <v>0</v>
      </c>
      <c r="M26" s="19" t="n">
        <f aca="false">IF($B26="",0,SUMIFS(INCORRIDO!$C$6:$C$5005,INCORRIDO!$D$6:$D$5005,$B26,INCORRIDO!$E$6:$E$5005,M$7)+IF(M$7&gt;PARAMETROS!$C$12,IF($H26&gt;0,$G26*CURVA!M26/$H26,0)*M$6,0))</f>
        <v>0</v>
      </c>
      <c r="N26" s="19" t="n">
        <f aca="false">IF($B26="",0,SUMIFS(INCORRIDO!$C$6:$C$5005,INCORRIDO!$D$6:$D$5005,$B26,INCORRIDO!$E$6:$E$5005,N$7)+IF(N$7&gt;PARAMETROS!$C$12,IF($H26&gt;0,$G26*CURVA!N26/$H26,0)*N$6,0))</f>
        <v>0</v>
      </c>
      <c r="O26" s="19" t="n">
        <f aca="false">IF($B26="",0,SUMIFS(INCORRIDO!$C$6:$C$5005,INCORRIDO!$D$6:$D$5005,$B26,INCORRIDO!$E$6:$E$5005,O$7)+IF(O$7&gt;PARAMETROS!$C$12,IF($H26&gt;0,$G26*CURVA!O26/$H26,0)*O$6,0))</f>
        <v>0</v>
      </c>
      <c r="P26" s="19" t="n">
        <f aca="false">IF($B26="",0,SUMIFS(INCORRIDO!$C$6:$C$5005,INCORRIDO!$D$6:$D$5005,$B26,INCORRIDO!$E$6:$E$5005,P$7)+IF(P$7&gt;PARAMETROS!$C$12,IF($H26&gt;0,$G26*CURVA!P26/$H26,0)*P$6,0))</f>
        <v>0</v>
      </c>
      <c r="Q26" s="19" t="n">
        <f aca="false">IF($B26="",0,SUMIFS(INCORRIDO!$C$6:$C$5005,INCORRIDO!$D$6:$D$5005,$B26,INCORRIDO!$E$6:$E$5005,Q$7)+IF(Q$7&gt;PARAMETROS!$C$12,IF($H26&gt;0,$G26*CURVA!Q26/$H26,0)*Q$6,0))</f>
        <v>0</v>
      </c>
      <c r="R26" s="19" t="n">
        <f aca="false">IF($B26="",0,SUMIFS(INCORRIDO!$C$6:$C$5005,INCORRIDO!$D$6:$D$5005,$B26,INCORRIDO!$E$6:$E$5005,R$7)+IF(R$7&gt;PARAMETROS!$C$12,IF($H26&gt;0,$G26*CURVA!R26/$H26,0)*R$6,0))</f>
        <v>0</v>
      </c>
      <c r="S26" s="19" t="n">
        <f aca="false">IF($B26="",0,SUMIFS(INCORRIDO!$C$6:$C$5005,INCORRIDO!$D$6:$D$5005,$B26,INCORRIDO!$E$6:$E$5005,S$7)+IF(S$7&gt;PARAMETROS!$C$12,IF($H26&gt;0,$G26*CURVA!S26/$H26,0)*S$6,0))</f>
        <v>0</v>
      </c>
      <c r="T26" s="19" t="n">
        <f aca="false">IF($B26="",0,SUMIFS(INCORRIDO!$C$6:$C$5005,INCORRIDO!$D$6:$D$5005,$B26,INCORRIDO!$E$6:$E$5005,T$7)+IF(T$7&gt;PARAMETROS!$C$12,IF($H26&gt;0,$G26*CURVA!T26/$H26,0)*T$6,0))</f>
        <v>0</v>
      </c>
      <c r="U26" s="19" t="n">
        <f aca="false">IF($B26="",0,SUMIFS(INCORRIDO!$C$6:$C$5005,INCORRIDO!$D$6:$D$5005,$B26,INCORRIDO!$E$6:$E$5005,U$7)+IF(U$7&gt;PARAMETROS!$C$12,IF($H26&gt;0,$G26*CURVA!U26/$H26,0)*U$6,0))</f>
        <v>0</v>
      </c>
      <c r="V26" s="19" t="n">
        <f aca="false">IF($B26="",0,SUMIFS(INCORRIDO!$C$6:$C$5005,INCORRIDO!$D$6:$D$5005,$B26,INCORRIDO!$E$6:$E$5005,V$7)+IF(V$7&gt;PARAMETROS!$C$12,IF($H26&gt;0,$G26*CURVA!V26/$H26,0)*V$6,0))</f>
        <v>0</v>
      </c>
      <c r="W26" s="19" t="n">
        <f aca="false">IF($B26="",0,SUMIFS(INCORRIDO!$C$6:$C$5005,INCORRIDO!$D$6:$D$5005,$B26,INCORRIDO!$E$6:$E$5005,W$7)+IF(W$7&gt;PARAMETROS!$C$12,IF($H26&gt;0,$G26*CURVA!W26/$H26,0)*W$6,0))</f>
        <v>0</v>
      </c>
      <c r="X26" s="19" t="n">
        <f aca="false">IF($B26="",0,SUMIFS(INCORRIDO!$C$6:$C$5005,INCORRIDO!$D$6:$D$5005,$B26,INCORRIDO!$E$6:$E$5005,X$7)+IF(X$7&gt;PARAMETROS!$C$12,IF($H26&gt;0,$G26*CURVA!X26/$H26,0)*X$6,0))</f>
        <v>0</v>
      </c>
      <c r="Y26" s="19" t="n">
        <f aca="false">IF($B26="",0,SUMIFS(INCORRIDO!$C$6:$C$5005,INCORRIDO!$D$6:$D$5005,$B26,INCORRIDO!$E$6:$E$5005,Y$7)+IF(Y$7&gt;PARAMETROS!$C$12,IF($H26&gt;0,$G26*CURVA!Y26/$H26,0)*Y$6,0))</f>
        <v>0</v>
      </c>
      <c r="Z26" s="19" t="n">
        <f aca="false">IF($B26="",0,SUMIFS(INCORRIDO!$C$6:$C$5005,INCORRIDO!$D$6:$D$5005,$B26,INCORRIDO!$E$6:$E$5005,Z$7)+IF(Z$7&gt;PARAMETROS!$C$12,IF($H26&gt;0,$G26*CURVA!Z26/$H26,0)*Z$6,0))</f>
        <v>0</v>
      </c>
      <c r="AA26" s="19" t="n">
        <f aca="false">IF($B26="",0,SUMIFS(INCORRIDO!$C$6:$C$5005,INCORRIDO!$D$6:$D$5005,$B26,INCORRIDO!$E$6:$E$5005,AA$7)+IF(AA$7&gt;PARAMETROS!$C$12,IF($H26&gt;0,$G26*CURVA!AA26/$H26,0)*AA$6,0))</f>
        <v>0</v>
      </c>
      <c r="AB26" s="19" t="n">
        <f aca="false">IF($B26="",0,SUMIFS(INCORRIDO!$C$6:$C$5005,INCORRIDO!$D$6:$D$5005,$B26,INCORRIDO!$E$6:$E$5005,AB$7)+IF(AB$7&gt;PARAMETROS!$C$12,IF($H26&gt;0,$G26*CURVA!AB26/$H26,0)*AB$6,0))</f>
        <v>0</v>
      </c>
      <c r="AC26" s="19" t="n">
        <f aca="false">IF($B26="",0,SUMIFS(INCORRIDO!$C$6:$C$5005,INCORRIDO!$D$6:$D$5005,$B26,INCORRIDO!$E$6:$E$5005,AC$7)+IF(AC$7&gt;PARAMETROS!$C$12,IF($H26&gt;0,$G26*CURVA!AC26/$H26,0)*AC$6,0))</f>
        <v>0</v>
      </c>
      <c r="AD26" s="19" t="n">
        <f aca="false">IF($B26="",0,SUMIFS(INCORRIDO!$C$6:$C$5005,INCORRIDO!$D$6:$D$5005,$B26,INCORRIDO!$E$6:$E$5005,AD$7)+IF(AD$7&gt;PARAMETROS!$C$12,IF($H26&gt;0,$G26*CURVA!AD26/$H26,0)*AD$6,0))</f>
        <v>0</v>
      </c>
      <c r="AE26" s="19" t="n">
        <f aca="false">IF($B26="",0,SUMIFS(INCORRIDO!$C$6:$C$5005,INCORRIDO!$D$6:$D$5005,$B26,INCORRIDO!$E$6:$E$5005,AE$7)+IF(AE$7&gt;PARAMETROS!$C$12,IF($H26&gt;0,$G26*CURVA!AE26/$H26,0)*AE$6,0))</f>
        <v>0</v>
      </c>
      <c r="AF26" s="19" t="n">
        <f aca="false">IF($B26="",0,SUMIFS(INCORRIDO!$C$6:$C$5005,INCORRIDO!$D$6:$D$5005,$B26,INCORRIDO!$E$6:$E$5005,AF$7)+IF(AF$7&gt;PARAMETROS!$C$12,IF($H26&gt;0,$G26*CURVA!AF26/$H26,0)*AF$6,0))</f>
        <v>0</v>
      </c>
      <c r="AG26" s="19" t="n">
        <f aca="false">IF($B26="",0,SUMIFS(INCORRIDO!$C$6:$C$5005,INCORRIDO!$D$6:$D$5005,$B26,INCORRIDO!$E$6:$E$5005,AG$7)+IF(AG$7&gt;PARAMETROS!$C$12,IF($H26&gt;0,$G26*CURVA!AG26/$H26,0)*AG$6,0))</f>
        <v>0</v>
      </c>
      <c r="AH26" s="19" t="n">
        <f aca="false">IF($B26="",0,SUMIFS(INCORRIDO!$C$6:$C$5005,INCORRIDO!$D$6:$D$5005,$B26,INCORRIDO!$E$6:$E$5005,AH$7)+IF(AH$7&gt;PARAMETROS!$C$12,IF($H26&gt;0,$G26*CURVA!AH26/$H26,0)*AH$6,0))</f>
        <v>0</v>
      </c>
      <c r="AI26" s="19" t="n">
        <f aca="false">IF($B26="",0,SUMIFS(INCORRIDO!$C$6:$C$5005,INCORRIDO!$D$6:$D$5005,$B26,INCORRIDO!$E$6:$E$5005,AI$7)+IF(AI$7&gt;PARAMETROS!$C$12,IF($H26&gt;0,$G26*CURVA!AI26/$H26,0)*AI$6,0))</f>
        <v>0</v>
      </c>
      <c r="AJ26" s="19" t="n">
        <f aca="false">IF($B26="",0,SUMIFS(INCORRIDO!$C$6:$C$5005,INCORRIDO!$D$6:$D$5005,$B26,INCORRIDO!$E$6:$E$5005,AJ$7)+IF(AJ$7&gt;PARAMETROS!$C$12,IF($H26&gt;0,$G26*CURVA!AJ26/$H26,0)*AJ$6,0))</f>
        <v>0</v>
      </c>
      <c r="AK26" s="19" t="n">
        <f aca="false">IF($B26="",0,SUMIFS(INCORRIDO!$C$6:$C$5005,INCORRIDO!$D$6:$D$5005,$B26,INCORRIDO!$E$6:$E$5005,AK$7)+IF(AK$7&gt;PARAMETROS!$C$12,IF($H26&gt;0,$G26*CURVA!AK26/$H26,0)*AK$6,0))</f>
        <v>0</v>
      </c>
      <c r="AL26" s="19" t="n">
        <f aca="false">IF($B26="",0,SUMIFS(INCORRIDO!$C$6:$C$5005,INCORRIDO!$D$6:$D$5005,$B26,INCORRIDO!$E$6:$E$5005,AL$7)+IF(AL$7&gt;PARAMETROS!$C$12,IF($H26&gt;0,$G26*CURVA!AL26/$H26,0)*AL$6,0))</f>
        <v>0</v>
      </c>
      <c r="AM26" s="19" t="n">
        <f aca="false">IF($B26="",0,SUMIFS(INCORRIDO!$C$6:$C$5005,INCORRIDO!$D$6:$D$5005,$B26,INCORRIDO!$E$6:$E$5005,AM$7)+IF(AM$7&gt;PARAMETROS!$C$12,IF($H26&gt;0,$G26*CURVA!AM26/$H26,0)*AM$6,0))</f>
        <v>0</v>
      </c>
      <c r="AN26" s="19" t="n">
        <f aca="false">IF($B26="",0,SUMIFS(INCORRIDO!$C$6:$C$5005,INCORRIDO!$D$6:$D$5005,$B26,INCORRIDO!$E$6:$E$5005,AN$7)+IF(AN$7&gt;PARAMETROS!$C$12,IF($H26&gt;0,$G26*CURVA!AN26/$H26,0)*AN$6,0))</f>
        <v>0</v>
      </c>
      <c r="AO26" s="19" t="n">
        <f aca="false">IF($B26="",0,SUMIFS(INCORRIDO!$C$6:$C$5005,INCORRIDO!$D$6:$D$5005,$B26,INCORRIDO!$E$6:$E$5005,AO$7)+IF(AO$7&gt;PARAMETROS!$C$12,IF($H26&gt;0,$G26*CURVA!AO26/$H26,0)*AO$6,0))</f>
        <v>0</v>
      </c>
      <c r="AP26" s="19" t="n">
        <f aca="false">IF($B26="",0,SUMIFS(INCORRIDO!$C$6:$C$5005,INCORRIDO!$D$6:$D$5005,$B26,INCORRIDO!$E$6:$E$5005,AP$7)+IF(AP$7&gt;PARAMETROS!$C$12,IF($H26&gt;0,$G26*CURVA!AP26/$H26,0)*AP$6,0))</f>
        <v>0</v>
      </c>
      <c r="AQ26" s="19" t="n">
        <f aca="false">IF($B26="",0,SUMIFS(INCORRIDO!$C$6:$C$5005,INCORRIDO!$D$6:$D$5005,$B26,INCORRIDO!$E$6:$E$5005,AQ$7)+IF(AQ$7&gt;PARAMETROS!$C$12,IF($H26&gt;0,$G26*CURVA!AQ26/$H26,0)*AQ$6,0))</f>
        <v>166232.940401616</v>
      </c>
      <c r="AR26" s="19" t="n">
        <f aca="false">IF($B26="",0,SUMIFS(INCORRIDO!$C$6:$C$5005,INCORRIDO!$D$6:$D$5005,$B26,INCORRIDO!$E$6:$E$5005,AR$7)+IF(AR$7&gt;PARAMETROS!$C$12,IF($H26&gt;0,$G26*CURVA!AR26/$H26,0)*AR$6,0))</f>
        <v>232391.140561454</v>
      </c>
      <c r="AS26" s="19" t="n">
        <f aca="false">IF($B26="",0,SUMIFS(INCORRIDO!$C$6:$C$5005,INCORRIDO!$D$6:$D$5005,$B26,INCORRIDO!$E$6:$E$5005,AS$7)+IF(AS$7&gt;PARAMETROS!$C$12,IF($H26&gt;0,$G26*CURVA!AS26/$H26,0)*AS$6,0))</f>
        <v>221504.350535151</v>
      </c>
      <c r="AT26" s="19" t="n">
        <f aca="false">IF($B26="",0,SUMIFS(INCORRIDO!$C$6:$C$5005,INCORRIDO!$D$6:$D$5005,$B26,INCORRIDO!$E$6:$E$5005,AT$7)+IF(AT$7&gt;PARAMETROS!$C$12,IF($H26&gt;0,$G26*CURVA!AT26/$H26,0)*AT$6,0))</f>
        <v>421235.121017698</v>
      </c>
      <c r="AU26" s="19" t="n">
        <f aca="false">IF($B26="",0,SUMIFS(INCORRIDO!$C$6:$C$5005,INCORRIDO!$D$6:$D$5005,$B26,INCORRIDO!$E$6:$E$5005,AU$7)+IF(AU$7&gt;PARAMETROS!$C$12,IF($H26&gt;0,$G26*CURVA!AU26/$H26,0)*AU$6,0))</f>
        <v>177119.740427919</v>
      </c>
      <c r="AV26" s="19" t="n">
        <f aca="false">IF($B26="",0,SUMIFS(INCORRIDO!$C$6:$C$5005,INCORRIDO!$D$6:$D$5005,$B26,INCORRIDO!$E$6:$E$5005,AV$7)+IF(AV$7&gt;PARAMETROS!$C$12,IF($H26&gt;0,$G26*CURVA!AV26/$H26,0)*AV$6,0))</f>
        <v>332465.890803233</v>
      </c>
      <c r="AW26" s="19" t="n">
        <f aca="false">IF($B26="",0,SUMIFS(INCORRIDO!$C$6:$C$5005,INCORRIDO!$D$6:$D$5005,$B26,INCORRIDO!$E$6:$E$5005,AW$7)+IF(AW$7&gt;PARAMETROS!$C$12,IF($H26&gt;0,$G26*CURVA!AW26/$H26,0)*AW$6,0))</f>
        <v>232391.140561454</v>
      </c>
      <c r="AX26" s="19" t="n">
        <f aca="false">IF($B26="",0,SUMIFS(INCORRIDO!$C$6:$C$5005,INCORRIDO!$D$6:$D$5005,$B26,INCORRIDO!$E$6:$E$5005,AX$7)+IF(AX$7&gt;PARAMETROS!$C$12,IF($H26&gt;0,$G26*CURVA!AX26/$H26,0)*AX$6,0))</f>
        <v>574068.931386942</v>
      </c>
      <c r="AY26" s="19" t="n">
        <f aca="false">IF($B26="",0,SUMIFS(INCORRIDO!$C$6:$C$5005,INCORRIDO!$D$6:$D$5005,$B26,INCORRIDO!$E$6:$E$5005,AY$7)+IF(AY$7&gt;PARAMETROS!$C$12,IF($H26&gt;0,$G26*CURVA!AY26/$H26,0)*AY$6,0))</f>
        <v>359682.870868989</v>
      </c>
      <c r="AZ26" s="19" t="n">
        <f aca="false">IF($B26="",0,SUMIFS(INCORRIDO!$C$6:$C$5005,INCORRIDO!$D$6:$D$5005,$B26,INCORRIDO!$E$6:$E$5005,AZ$7)+IF(AZ$7&gt;PARAMETROS!$C$12,IF($H26&gt;0,$G26*CURVA!AZ26/$H26,0)*AZ$6,0))</f>
        <v>430865.741040965</v>
      </c>
      <c r="BA26" s="19" t="n">
        <f aca="false">IF($B26="",0,SUMIFS(INCORRIDO!$C$6:$C$5005,INCORRIDO!$D$6:$D$5005,$B26,INCORRIDO!$E$6:$E$5005,BA$7)+IF(BA$7&gt;PARAMETROS!$C$12,IF($H26&gt;0,$G26*CURVA!BA26/$H26,0)*BA$6,0))</f>
        <v>621803.331502268</v>
      </c>
      <c r="BB26" s="19" t="n">
        <f aca="false">IF($B26="",0,SUMIFS(INCORRIDO!$C$6:$C$5005,INCORRIDO!$D$6:$D$5005,$B26,INCORRIDO!$E$6:$E$5005,BB$7)+IF(BB$7&gt;PARAMETROS!$C$12,IF($H26&gt;0,$G26*CURVA!BB26/$H26,0)*BB$6,0))</f>
        <v>317810.590767826</v>
      </c>
      <c r="BC26" s="19" t="n">
        <f aca="false">IF($B26="",0,SUMIFS(INCORRIDO!$C$6:$C$5005,INCORRIDO!$D$6:$D$5005,$B26,INCORRIDO!$E$6:$E$5005,BC$7)+IF(BC$7&gt;PARAMETROS!$C$12,IF($H26&gt;0,$G26*CURVA!BC26/$H26,0)*BC$6,0))</f>
        <v>40639.1600981836</v>
      </c>
      <c r="BD26" s="19" t="n">
        <f aca="false">IF($B26="",0,SUMIFS(INCORRIDO!$C$6:$C$5005,INCORRIDO!$D$6:$D$5005,$B26,INCORRIDO!$E$6:$E$5005,BD$7)+IF(BD$7&gt;PARAMETROS!$C$12,IF($H26&gt;0,$G26*CURVA!BD26/$H26,0)*BD$6,0))</f>
        <v>10886.7900263023</v>
      </c>
      <c r="BE26" s="19" t="n">
        <f aca="false">IF($B26="",0,SUMIFS(INCORRIDO!$C$6:$C$5005,INCORRIDO!$D$6:$D$5005,$B26,INCORRIDO!$E$6:$E$5005,BE$7)+IF(BE$7&gt;PARAMETROS!$C$12,IF($H26&gt;0,$G26*CURVA!BE26/$H26,0)*BE$6,0))</f>
        <v>0</v>
      </c>
      <c r="BF26" s="19" t="n">
        <f aca="false">IF($B26="",0,SUMIFS(INCORRIDO!$C$6:$C$5005,INCORRIDO!$D$6:$D$5005,$B26,INCORRIDO!$E$6:$E$5005,BF$7)+IF(BF$7&gt;PARAMETROS!$C$12,IF($H26&gt;0,$G26*CURVA!BF26/$H26,0)*BF$6,0))</f>
        <v>0</v>
      </c>
      <c r="BG26" s="19" t="n">
        <f aca="false">IF($B26="",0,SUMIFS(INCORRIDO!$C$6:$C$5005,INCORRIDO!$D$6:$D$5005,$B26,INCORRIDO!$E$6:$E$5005,BG$7)+IF(BG$7&gt;PARAMETROS!$C$12,IF($H26&gt;0,$G26*CURVA!BG26/$H26,0)*BG$6,0))</f>
        <v>0</v>
      </c>
      <c r="BH26" s="19" t="n">
        <f aca="false">IF($B26="",0,SUMIFS(INCORRIDO!$C$6:$C$5005,INCORRIDO!$D$6:$D$5005,$B26,INCORRIDO!$E$6:$E$5005,BH$7)+IF(BH$7&gt;PARAMETROS!$C$12,IF($H26&gt;0,$G26*CURVA!BH26/$H26,0)*BH$6,0))</f>
        <v>0</v>
      </c>
      <c r="BI26" s="19" t="n">
        <f aca="false">IF($B26="",0,SUMIFS(INCORRIDO!$C$6:$C$5005,INCORRIDO!$D$6:$D$5005,$B26,INCORRIDO!$E$6:$E$5005,BI$7)+IF(BI$7&gt;PARAMETROS!$C$12,IF($H26&gt;0,$G26*CURVA!BI26/$H26,0)*BI$6,0))</f>
        <v>0</v>
      </c>
      <c r="BJ26" s="19" t="n">
        <f aca="false">IF($B26="",0,SUMIFS(INCORRIDO!$C$6:$C$5005,INCORRIDO!$D$6:$D$5005,$B26,INCORRIDO!$E$6:$E$5005,BJ$7)+IF(BJ$7&gt;PARAMETROS!$C$12,IF($H26&gt;0,$G26*CURVA!BJ26/$H26,0)*BJ$6,0))</f>
        <v>0</v>
      </c>
      <c r="BK26" s="19" t="n">
        <f aca="false">IF($B26="",0,SUMIFS(INCORRIDO!$C$6:$C$5005,INCORRIDO!$D$6:$D$5005,$B26,INCORRIDO!$E$6:$E$5005,BK$7)+IF(BK$7&gt;PARAMETROS!$C$12,IF($H26&gt;0,$G26*CURVA!BK26/$H26,0)*BK$6,0))</f>
        <v>0</v>
      </c>
      <c r="BL26" s="19" t="n">
        <f aca="false">IF($B26="",0,SUMIFS(INCORRIDO!$C$6:$C$5005,INCORRIDO!$D$6:$D$5005,$B26,INCORRIDO!$E$6:$E$5005,BL$7)+IF(BL$7&gt;PARAMETROS!$C$12,IF($H26&gt;0,$G26*CURVA!BL26/$H26,0)*BL$6,0))</f>
        <v>0</v>
      </c>
      <c r="BM26" s="19" t="n">
        <f aca="false">IF($B26="",0,SUMIFS(INCORRIDO!$C$6:$C$5005,INCORRIDO!$D$6:$D$5005,$B26,INCORRIDO!$E$6:$E$5005,BM$7)+IF(BM$7&gt;PARAMETROS!$C$12,IF($H26&gt;0,$G26*CURVA!BM26/$H26,0)*BM$6,0))</f>
        <v>0</v>
      </c>
      <c r="BN26" s="19" t="n">
        <f aca="false">IF($B26="",0,SUMIFS(INCORRIDO!$C$6:$C$5005,INCORRIDO!$D$6:$D$5005,$B26,INCORRIDO!$E$6:$E$5005,BN$7)+IF(BN$7&gt;PARAMETROS!$C$12,IF($H26&gt;0,$G26*CURVA!BN26/$H26,0)*BN$6,0))</f>
        <v>0</v>
      </c>
      <c r="BO26" s="19" t="n">
        <f aca="false">IF($B26="",0,SUMIFS(INCORRIDO!$C$6:$C$5005,INCORRIDO!$D$6:$D$5005,$B26,INCORRIDO!$E$6:$E$5005,BO$7)+IF(BO$7&gt;PARAMETROS!$C$12,IF($H26&gt;0,$G26*CURVA!BO26/$H26,0)*BO$6,0))</f>
        <v>0</v>
      </c>
      <c r="BP26" s="19" t="n">
        <f aca="false">IF($B26="",0,SUMIFS(INCORRIDO!$C$6:$C$5005,INCORRIDO!$D$6:$D$5005,$B26,INCORRIDO!$E$6:$E$5005,BP$7)+IF(BP$7&gt;PARAMETROS!$C$12,IF($H26&gt;0,$G26*CURVA!BP26/$H26,0)*BP$6,0))</f>
        <v>0</v>
      </c>
      <c r="BQ26" s="19" t="n">
        <f aca="false">IF($B26="",0,SUMIFS(INCORRIDO!$C$6:$C$5005,INCORRIDO!$D$6:$D$5005,$B26,INCORRIDO!$E$6:$E$5005,BQ$7)+IF(BQ$7&gt;PARAMETROS!$C$12,IF($H26&gt;0,$G26*CURVA!BQ26/$H26,0)*BQ$6,0))</f>
        <v>0</v>
      </c>
      <c r="BR26" s="19" t="n">
        <f aca="false">IF($B26="",0,SUMIFS(INCORRIDO!$C$6:$C$5005,INCORRIDO!$D$6:$D$5005,$B26,INCORRIDO!$E$6:$E$5005,BR$7)+IF(BR$7&gt;PARAMETROS!$C$12,IF($H26&gt;0,$G26*CURVA!BR26/$H26,0)*BR$6,0))</f>
        <v>0</v>
      </c>
      <c r="BS26" s="19" t="n">
        <f aca="false">IF($B26="",0,SUMIFS(INCORRIDO!$C$6:$C$5005,INCORRIDO!$D$6:$D$5005,$B26,INCORRIDO!$E$6:$E$5005,BS$7)+IF(BS$7&gt;PARAMETROS!$C$12,IF($H26&gt;0,$G26*CURVA!BS26/$H26,0)*BS$6,0))</f>
        <v>0</v>
      </c>
      <c r="BT26" s="19" t="n">
        <f aca="false">IF($B26="",0,SUMIFS(INCORRIDO!$C$6:$C$5005,INCORRIDO!$D$6:$D$5005,$B26,INCORRIDO!$E$6:$E$5005,BT$7)+IF(BT$7&gt;PARAMETROS!$C$12,IF($H26&gt;0,$G26*CURVA!BT26/$H26,0)*BT$6,0))</f>
        <v>0</v>
      </c>
      <c r="BU26" s="19" t="n">
        <f aca="false">IF($B26="",0,SUMIFS(INCORRIDO!$C$6:$C$5005,INCORRIDO!$D$6:$D$5005,$B26,INCORRIDO!$E$6:$E$5005,BU$7)+IF(BU$7&gt;PARAMETROS!$C$12,IF($H26&gt;0,$G26*CURVA!BU26/$H26,0)*BU$6,0))</f>
        <v>0</v>
      </c>
      <c r="BV26" s="19" t="n">
        <f aca="false">IF($B26="",0,SUMIFS(INCORRIDO!$C$6:$C$5005,INCORRIDO!$D$6:$D$5005,$B26,INCORRIDO!$E$6:$E$5005,BV$7)+IF(BV$7&gt;PARAMETROS!$C$12,IF($H26&gt;0,$G26*CURVA!BV26/$H26,0)*BV$6,0))</f>
        <v>0</v>
      </c>
      <c r="BW26" s="19" t="n">
        <f aca="false">IF($B26="",0,SUMIFS(INCORRIDO!$C$6:$C$5005,INCORRIDO!$D$6:$D$5005,$B26,INCORRIDO!$E$6:$E$5005,BW$7)+IF(BW$7&gt;PARAMETROS!$C$12,IF($H26&gt;0,$G26*CURVA!BW26/$H26,0)*BW$6,0))</f>
        <v>0</v>
      </c>
      <c r="BX26" s="19" t="n">
        <f aca="false">IF($B26="",0,SUMIFS(INCORRIDO!$C$6:$C$5005,INCORRIDO!$D$6:$D$5005,$B26,INCORRIDO!$E$6:$E$5005,BX$7)+IF(BX$7&gt;PARAMETROS!$C$12,IF($H26&gt;0,$G26*CURVA!BX26/$H26,0)*BX$6,0))</f>
        <v>0</v>
      </c>
      <c r="BY26" s="19" t="n">
        <f aca="false">IF($B26="",0,SUMIFS(INCORRIDO!$C$6:$C$5005,INCORRIDO!$D$6:$D$5005,$B26,INCORRIDO!$E$6:$E$5005,BY$7)+IF(BY$7&gt;PARAMETROS!$C$12,IF($H26&gt;0,$G26*CURVA!BY26/$H26,0)*BY$6,0))</f>
        <v>0</v>
      </c>
      <c r="BZ26" s="19" t="n">
        <f aca="false">IF($B26="",0,SUMIFS(INCORRIDO!$C$6:$C$5005,INCORRIDO!$D$6:$D$5005,$B26,INCORRIDO!$E$6:$E$5005,BZ$7)+IF(BZ$7&gt;PARAMETROS!$C$12,IF($H26&gt;0,$G26*CURVA!BZ26/$H26,0)*BZ$6,0))</f>
        <v>0</v>
      </c>
      <c r="CA26" s="19" t="n">
        <f aca="false">IF($B26="",0,SUMIFS(INCORRIDO!$C$6:$C$5005,INCORRIDO!$D$6:$D$5005,$B26,INCORRIDO!$E$6:$E$5005,CA$7)+IF(CA$7&gt;PARAMETROS!$C$12,IF($H26&gt;0,$G26*CURVA!CA26/$H26,0)*CA$6,0))</f>
        <v>0</v>
      </c>
      <c r="CB26" s="19" t="n">
        <f aca="false">IF($B26="",0,SUMIFS(INCORRIDO!$C$6:$C$5005,INCORRIDO!$D$6:$D$5005,$B26,INCORRIDO!$E$6:$E$5005,CB$7)+IF(CB$7&gt;PARAMETROS!$C$12,IF($H26&gt;0,$G26*CURVA!CB26/$H26,0)*CB$6,0))</f>
        <v>0</v>
      </c>
      <c r="CC26" s="19" t="n">
        <f aca="false">IF($B26="",0,SUMIFS(INCORRIDO!$C$6:$C$5005,INCORRIDO!$D$6:$D$5005,$B26,INCORRIDO!$E$6:$E$5005,CC$7)+IF(CC$7&gt;PARAMETROS!$C$12,IF($H26&gt;0,$G26*CURVA!CC26/$H26,0)*CC$6,0))</f>
        <v>0</v>
      </c>
    </row>
    <row r="27" customFormat="false" ht="15" hidden="false" customHeight="false" outlineLevel="0" collapsed="false">
      <c r="A27" s="31" t="str">
        <f aca="false">IF(ORCAMENTO!A25="","",ORCAMENTO!A25)</f>
        <v>20</v>
      </c>
      <c r="B27" s="31" t="str">
        <f aca="false">IF(ORCAMENTO!B25="","",ORCAMENTO!B25)</f>
        <v>INSTALAÇÕES ELÉTRICAS</v>
      </c>
      <c r="C27" s="31" t="str">
        <f aca="false">IF(ORCAMENTO!C25="","",ORCAMENTO!C25)</f>
        <v>SISTEMAS E VEDAÇÕES</v>
      </c>
      <c r="D27" s="32" t="n">
        <f aca="false">IF($B27="",0,ORCAMENTO!E25)</f>
        <v>11595096.01</v>
      </c>
      <c r="E27" s="19" t="n">
        <f aca="false">IF($B27="",0,SUMIFS(INCORRIDO!$C$6:$C$5005,INCORRIDO!$D$6:$D$5005,$B27,INCORRIDO!$E$6:$E$5005,"&lt;="&amp;PARAMETROS!$C$12))</f>
        <v>321362.48</v>
      </c>
      <c r="F27" s="19" t="n">
        <f aca="false">IF($B27="",0,SUMIFS(INCORRIDO!$C$6:$C$5005,INCORRIDO!$D$6:$D$5005,$B27,INCORRIDO!$E$6:$E$5005,"&gt;"&amp;PARAMETROS!$C$12))</f>
        <v>4679.03</v>
      </c>
      <c r="G27" s="19" t="n">
        <f aca="false">MAX(0,D27-E27-F27)</f>
        <v>11269054.5</v>
      </c>
      <c r="H27" s="32" t="n">
        <f aca="false">CURVA!H27</f>
        <v>11269054.48</v>
      </c>
      <c r="I27" s="19" t="n">
        <f aca="false">SUM(J27:CC27)</f>
        <v>11595096.01</v>
      </c>
      <c r="J27" s="19" t="n">
        <f aca="false">IF($B27="",0,SUMIFS(INCORRIDO!$C$6:$C$5005,INCORRIDO!$D$6:$D$5005,$B27,INCORRIDO!$E$6:$E$5005,"&lt;="&amp;J$7)+IF(J$7&gt;PARAMETROS!$C$12,IF($H27&gt;0,$G27*CURVA!J27/$H27,0)*J$6,0))</f>
        <v>0</v>
      </c>
      <c r="K27" s="19" t="n">
        <f aca="false">IF($B27="",0,SUMIFS(INCORRIDO!$C$6:$C$5005,INCORRIDO!$D$6:$D$5005,$B27,INCORRIDO!$E$6:$E$5005,K$7)+IF(K$7&gt;PARAMETROS!$C$12,IF($H27&gt;0,$G27*CURVA!K27/$H27,0)*K$6,0))</f>
        <v>0</v>
      </c>
      <c r="L27" s="19" t="n">
        <f aca="false">IF($B27="",0,SUMIFS(INCORRIDO!$C$6:$C$5005,INCORRIDO!$D$6:$D$5005,$B27,INCORRIDO!$E$6:$E$5005,L$7)+IF(L$7&gt;PARAMETROS!$C$12,IF($H27&gt;0,$G27*CURVA!L27/$H27,0)*L$6,0))</f>
        <v>0</v>
      </c>
      <c r="M27" s="19" t="n">
        <f aca="false">IF($B27="",0,SUMIFS(INCORRIDO!$C$6:$C$5005,INCORRIDO!$D$6:$D$5005,$B27,INCORRIDO!$E$6:$E$5005,M$7)+IF(M$7&gt;PARAMETROS!$C$12,IF($H27&gt;0,$G27*CURVA!M27/$H27,0)*M$6,0))</f>
        <v>0</v>
      </c>
      <c r="N27" s="19" t="n">
        <f aca="false">IF($B27="",0,SUMIFS(INCORRIDO!$C$6:$C$5005,INCORRIDO!$D$6:$D$5005,$B27,INCORRIDO!$E$6:$E$5005,N$7)+IF(N$7&gt;PARAMETROS!$C$12,IF($H27&gt;0,$G27*CURVA!N27/$H27,0)*N$6,0))</f>
        <v>0</v>
      </c>
      <c r="O27" s="19" t="n">
        <f aca="false">IF($B27="",0,SUMIFS(INCORRIDO!$C$6:$C$5005,INCORRIDO!$D$6:$D$5005,$B27,INCORRIDO!$E$6:$E$5005,O$7)+IF(O$7&gt;PARAMETROS!$C$12,IF($H27&gt;0,$G27*CURVA!O27/$H27,0)*O$6,0))</f>
        <v>0</v>
      </c>
      <c r="P27" s="19" t="n">
        <f aca="false">IF($B27="",0,SUMIFS(INCORRIDO!$C$6:$C$5005,INCORRIDO!$D$6:$D$5005,$B27,INCORRIDO!$E$6:$E$5005,P$7)+IF(P$7&gt;PARAMETROS!$C$12,IF($H27&gt;0,$G27*CURVA!P27/$H27,0)*P$6,0))</f>
        <v>0</v>
      </c>
      <c r="Q27" s="19" t="n">
        <f aca="false">IF($B27="",0,SUMIFS(INCORRIDO!$C$6:$C$5005,INCORRIDO!$D$6:$D$5005,$B27,INCORRIDO!$E$6:$E$5005,Q$7)+IF(Q$7&gt;PARAMETROS!$C$12,IF($H27&gt;0,$G27*CURVA!Q27/$H27,0)*Q$6,0))</f>
        <v>0</v>
      </c>
      <c r="R27" s="19" t="n">
        <f aca="false">IF($B27="",0,SUMIFS(INCORRIDO!$C$6:$C$5005,INCORRIDO!$D$6:$D$5005,$B27,INCORRIDO!$E$6:$E$5005,R$7)+IF(R$7&gt;PARAMETROS!$C$12,IF($H27&gt;0,$G27*CURVA!R27/$H27,0)*R$6,0))</f>
        <v>0</v>
      </c>
      <c r="S27" s="19" t="n">
        <f aca="false">IF($B27="",0,SUMIFS(INCORRIDO!$C$6:$C$5005,INCORRIDO!$D$6:$D$5005,$B27,INCORRIDO!$E$6:$E$5005,S$7)+IF(S$7&gt;PARAMETROS!$C$12,IF($H27&gt;0,$G27*CURVA!S27/$H27,0)*S$6,0))</f>
        <v>0</v>
      </c>
      <c r="T27" s="19" t="n">
        <f aca="false">IF($B27="",0,SUMIFS(INCORRIDO!$C$6:$C$5005,INCORRIDO!$D$6:$D$5005,$B27,INCORRIDO!$E$6:$E$5005,T$7)+IF(T$7&gt;PARAMETROS!$C$12,IF($H27&gt;0,$G27*CURVA!T27/$H27,0)*T$6,0))</f>
        <v>2235.2</v>
      </c>
      <c r="U27" s="19" t="n">
        <f aca="false">IF($B27="",0,SUMIFS(INCORRIDO!$C$6:$C$5005,INCORRIDO!$D$6:$D$5005,$B27,INCORRIDO!$E$6:$E$5005,U$7)+IF(U$7&gt;PARAMETROS!$C$12,IF($H27&gt;0,$G27*CURVA!U27/$H27,0)*U$6,0))</f>
        <v>0</v>
      </c>
      <c r="V27" s="19" t="n">
        <f aca="false">IF($B27="",0,SUMIFS(INCORRIDO!$C$6:$C$5005,INCORRIDO!$D$6:$D$5005,$B27,INCORRIDO!$E$6:$E$5005,V$7)+IF(V$7&gt;PARAMETROS!$C$12,IF($H27&gt;0,$G27*CURVA!V27/$H27,0)*V$6,0))</f>
        <v>0</v>
      </c>
      <c r="W27" s="19" t="n">
        <f aca="false">IF($B27="",0,SUMIFS(INCORRIDO!$C$6:$C$5005,INCORRIDO!$D$6:$D$5005,$B27,INCORRIDO!$E$6:$E$5005,W$7)+IF(W$7&gt;PARAMETROS!$C$12,IF($H27&gt;0,$G27*CURVA!W27/$H27,0)*W$6,0))</f>
        <v>0</v>
      </c>
      <c r="X27" s="19" t="n">
        <f aca="false">IF($B27="",0,SUMIFS(INCORRIDO!$C$6:$C$5005,INCORRIDO!$D$6:$D$5005,$B27,INCORRIDO!$E$6:$E$5005,X$7)+IF(X$7&gt;PARAMETROS!$C$12,IF($H27&gt;0,$G27*CURVA!X27/$H27,0)*X$6,0))</f>
        <v>0</v>
      </c>
      <c r="Y27" s="19" t="n">
        <f aca="false">IF($B27="",0,SUMIFS(INCORRIDO!$C$6:$C$5005,INCORRIDO!$D$6:$D$5005,$B27,INCORRIDO!$E$6:$E$5005,Y$7)+IF(Y$7&gt;PARAMETROS!$C$12,IF($H27&gt;0,$G27*CURVA!Y27/$H27,0)*Y$6,0))</f>
        <v>0</v>
      </c>
      <c r="Z27" s="19" t="n">
        <f aca="false">IF($B27="",0,SUMIFS(INCORRIDO!$C$6:$C$5005,INCORRIDO!$D$6:$D$5005,$B27,INCORRIDO!$E$6:$E$5005,Z$7)+IF(Z$7&gt;PARAMETROS!$C$12,IF($H27&gt;0,$G27*CURVA!Z27/$H27,0)*Z$6,0))</f>
        <v>209001.57</v>
      </c>
      <c r="AA27" s="19" t="n">
        <f aca="false">IF($B27="",0,SUMIFS(INCORRIDO!$C$6:$C$5005,INCORRIDO!$D$6:$D$5005,$B27,INCORRIDO!$E$6:$E$5005,AA$7)+IF(AA$7&gt;PARAMETROS!$C$12,IF($H27&gt;0,$G27*CURVA!AA27/$H27,0)*AA$6,0))</f>
        <v>3214.66</v>
      </c>
      <c r="AB27" s="19" t="n">
        <f aca="false">IF($B27="",0,SUMIFS(INCORRIDO!$C$6:$C$5005,INCORRIDO!$D$6:$D$5005,$B27,INCORRIDO!$E$6:$E$5005,AB$7)+IF(AB$7&gt;PARAMETROS!$C$12,IF($H27&gt;0,$G27*CURVA!AB27/$H27,0)*AB$6,0))</f>
        <v>94109.06</v>
      </c>
      <c r="AC27" s="19" t="n">
        <f aca="false">IF($B27="",0,SUMIFS(INCORRIDO!$C$6:$C$5005,INCORRIDO!$D$6:$D$5005,$B27,INCORRIDO!$E$6:$E$5005,AC$7)+IF(AC$7&gt;PARAMETROS!$C$12,IF($H27&gt;0,$G27*CURVA!AC27/$H27,0)*AC$6,0))</f>
        <v>6139.34</v>
      </c>
      <c r="AD27" s="19" t="n">
        <f aca="false">IF($B27="",0,SUMIFS(INCORRIDO!$C$6:$C$5005,INCORRIDO!$D$6:$D$5005,$B27,INCORRIDO!$E$6:$E$5005,AD$7)+IF(AD$7&gt;PARAMETROS!$C$12,IF($H27&gt;0,$G27*CURVA!AD27/$H27,0)*AD$6,0))</f>
        <v>6662.65</v>
      </c>
      <c r="AE27" s="19" t="n">
        <f aca="false">IF($B27="",0,SUMIFS(INCORRIDO!$C$6:$C$5005,INCORRIDO!$D$6:$D$5005,$B27,INCORRIDO!$E$6:$E$5005,AE$7)+IF(AE$7&gt;PARAMETROS!$C$12,IF($H27&gt;0,$G27*CURVA!AE27/$H27,0)*AE$6,0))</f>
        <v>4679.03</v>
      </c>
      <c r="AF27" s="19" t="n">
        <f aca="false">IF($B27="",0,SUMIFS(INCORRIDO!$C$6:$C$5005,INCORRIDO!$D$6:$D$5005,$B27,INCORRIDO!$E$6:$E$5005,AF$7)+IF(AF$7&gt;PARAMETROS!$C$12,IF($H27&gt;0,$G27*CURVA!AF27/$H27,0)*AF$6,0))</f>
        <v>7000.0000124234</v>
      </c>
      <c r="AG27" s="19" t="n">
        <f aca="false">IF($B27="",0,SUMIFS(INCORRIDO!$C$6:$C$5005,INCORRIDO!$D$6:$D$5005,$B27,INCORRIDO!$E$6:$E$5005,AG$7)+IF(AG$7&gt;PARAMETROS!$C$12,IF($H27&gt;0,$G27*CURVA!AG27/$H27,0)*AG$6,0))</f>
        <v>7000.0000124234</v>
      </c>
      <c r="AH27" s="19" t="n">
        <f aca="false">IF($B27="",0,SUMIFS(INCORRIDO!$C$6:$C$5005,INCORRIDO!$D$6:$D$5005,$B27,INCORRIDO!$E$6:$E$5005,AH$7)+IF(AH$7&gt;PARAMETROS!$C$12,IF($H27&gt;0,$G27*CURVA!AH27/$H27,0)*AH$6,0))</f>
        <v>7000.0000124234</v>
      </c>
      <c r="AI27" s="19" t="n">
        <f aca="false">IF($B27="",0,SUMIFS(INCORRIDO!$C$6:$C$5005,INCORRIDO!$D$6:$D$5005,$B27,INCORRIDO!$E$6:$E$5005,AI$7)+IF(AI$7&gt;PARAMETROS!$C$12,IF($H27&gt;0,$G27*CURVA!AI27/$H27,0)*AI$6,0))</f>
        <v>0</v>
      </c>
      <c r="AJ27" s="19" t="n">
        <f aca="false">IF($B27="",0,SUMIFS(INCORRIDO!$C$6:$C$5005,INCORRIDO!$D$6:$D$5005,$B27,INCORRIDO!$E$6:$E$5005,AJ$7)+IF(AJ$7&gt;PARAMETROS!$C$12,IF($H27&gt;0,$G27*CURVA!AJ27/$H27,0)*AJ$6,0))</f>
        <v>0</v>
      </c>
      <c r="AK27" s="19" t="n">
        <f aca="false">IF($B27="",0,SUMIFS(INCORRIDO!$C$6:$C$5005,INCORRIDO!$D$6:$D$5005,$B27,INCORRIDO!$E$6:$E$5005,AK$7)+IF(AK$7&gt;PARAMETROS!$C$12,IF($H27&gt;0,$G27*CURVA!AK27/$H27,0)*AK$6,0))</f>
        <v>104809.940186014</v>
      </c>
      <c r="AL27" s="19" t="n">
        <f aca="false">IF($B27="",0,SUMIFS(INCORRIDO!$C$6:$C$5005,INCORRIDO!$D$6:$D$5005,$B27,INCORRIDO!$E$6:$E$5005,AL$7)+IF(AL$7&gt;PARAMETROS!$C$12,IF($H27&gt;0,$G27*CURVA!AL27/$H27,0)*AL$6,0))</f>
        <v>88705.5701574321</v>
      </c>
      <c r="AM27" s="19" t="n">
        <f aca="false">IF($B27="",0,SUMIFS(INCORRIDO!$C$6:$C$5005,INCORRIDO!$D$6:$D$5005,$B27,INCORRIDO!$E$6:$E$5005,AM$7)+IF(AM$7&gt;PARAMETROS!$C$12,IF($H27&gt;0,$G27*CURVA!AM27/$H27,0)*AM$6,0))</f>
        <v>55797.5500990279</v>
      </c>
      <c r="AN27" s="19" t="n">
        <f aca="false">IF($B27="",0,SUMIFS(INCORRIDO!$C$6:$C$5005,INCORRIDO!$D$6:$D$5005,$B27,INCORRIDO!$E$6:$E$5005,AN$7)+IF(AN$7&gt;PARAMETROS!$C$12,IF($H27&gt;0,$G27*CURVA!AN27/$H27,0)*AN$6,0))</f>
        <v>82184.090145858</v>
      </c>
      <c r="AO27" s="19" t="n">
        <f aca="false">IF($B27="",0,SUMIFS(INCORRIDO!$C$6:$C$5005,INCORRIDO!$D$6:$D$5005,$B27,INCORRIDO!$E$6:$E$5005,AO$7)+IF(AO$7&gt;PARAMETROS!$C$12,IF($H27&gt;0,$G27*CURVA!AO27/$H27,0)*AO$6,0))</f>
        <v>81171.8301440615</v>
      </c>
      <c r="AP27" s="19" t="n">
        <f aca="false">IF($B27="",0,SUMIFS(INCORRIDO!$C$6:$C$5005,INCORRIDO!$D$6:$D$5005,$B27,INCORRIDO!$E$6:$E$5005,AP$7)+IF(AP$7&gt;PARAMETROS!$C$12,IF($H27&gt;0,$G27*CURVA!AP27/$H27,0)*AP$6,0))</f>
        <v>188717.890334931</v>
      </c>
      <c r="AQ27" s="19" t="n">
        <f aca="false">IF($B27="",0,SUMIFS(INCORRIDO!$C$6:$C$5005,INCORRIDO!$D$6:$D$5005,$B27,INCORRIDO!$E$6:$E$5005,AQ$7)+IF(AQ$7&gt;PARAMETROS!$C$12,IF($H27&gt;0,$G27*CURVA!AQ27/$H27,0)*AQ$6,0))</f>
        <v>212785.420377646</v>
      </c>
      <c r="AR27" s="19" t="n">
        <f aca="false">IF($B27="",0,SUMIFS(INCORRIDO!$C$6:$C$5005,INCORRIDO!$D$6:$D$5005,$B27,INCORRIDO!$E$6:$E$5005,AR$7)+IF(AR$7&gt;PARAMETROS!$C$12,IF($H27&gt;0,$G27*CURVA!AR27/$H27,0)*AR$6,0))</f>
        <v>257411.130456846</v>
      </c>
      <c r="AS27" s="19" t="n">
        <f aca="false">IF($B27="",0,SUMIFS(INCORRIDO!$C$6:$C$5005,INCORRIDO!$D$6:$D$5005,$B27,INCORRIDO!$E$6:$E$5005,AS$7)+IF(AS$7&gt;PARAMETROS!$C$12,IF($H27&gt;0,$G27*CURVA!AS27/$H27,0)*AS$6,0))</f>
        <v>535693.440950734</v>
      </c>
      <c r="AT27" s="19" t="n">
        <f aca="false">IF($B27="",0,SUMIFS(INCORRIDO!$C$6:$C$5005,INCORRIDO!$D$6:$D$5005,$B27,INCORRIDO!$E$6:$E$5005,AT$7)+IF(AT$7&gt;PARAMETROS!$C$12,IF($H27&gt;0,$G27*CURVA!AT27/$H27,0)*AT$6,0))</f>
        <v>467282.37082932</v>
      </c>
      <c r="AU27" s="19" t="n">
        <f aca="false">IF($B27="",0,SUMIFS(INCORRIDO!$C$6:$C$5005,INCORRIDO!$D$6:$D$5005,$B27,INCORRIDO!$E$6:$E$5005,AU$7)+IF(AU$7&gt;PARAMETROS!$C$12,IF($H27&gt;0,$G27*CURVA!AU27/$H27,0)*AU$6,0))</f>
        <v>626135.181111247</v>
      </c>
      <c r="AV27" s="19" t="n">
        <f aca="false">IF($B27="",0,SUMIFS(INCORRIDO!$C$6:$C$5005,INCORRIDO!$D$6:$D$5005,$B27,INCORRIDO!$E$6:$E$5005,AV$7)+IF(AV$7&gt;PARAMETROS!$C$12,IF($H27&gt;0,$G27*CURVA!AV27/$H27,0)*AV$6,0))</f>
        <v>673675.081195619</v>
      </c>
      <c r="AW27" s="19" t="n">
        <f aca="false">IF($B27="",0,SUMIFS(INCORRIDO!$C$6:$C$5005,INCORRIDO!$D$6:$D$5005,$B27,INCORRIDO!$E$6:$E$5005,AW$7)+IF(AW$7&gt;PARAMETROS!$C$12,IF($H27&gt;0,$G27*CURVA!AW27/$H27,0)*AW$6,0))</f>
        <v>1450546.51257439</v>
      </c>
      <c r="AX27" s="19" t="n">
        <f aca="false">IF($B27="",0,SUMIFS(INCORRIDO!$C$6:$C$5005,INCORRIDO!$D$6:$D$5005,$B27,INCORRIDO!$E$6:$E$5005,AX$7)+IF(AX$7&gt;PARAMETROS!$C$12,IF($H27&gt;0,$G27*CURVA!AX27/$H27,0)*AX$6,0))</f>
        <v>812816.231442563</v>
      </c>
      <c r="AY27" s="19" t="n">
        <f aca="false">IF($B27="",0,SUMIFS(INCORRIDO!$C$6:$C$5005,INCORRIDO!$D$6:$D$5005,$B27,INCORRIDO!$E$6:$E$5005,AY$7)+IF(AY$7&gt;PARAMETROS!$C$12,IF($H27&gt;0,$G27*CURVA!AY27/$H27,0)*AY$6,0))</f>
        <v>539171.960956907</v>
      </c>
      <c r="AZ27" s="19" t="n">
        <f aca="false">IF($B27="",0,SUMIFS(INCORRIDO!$C$6:$C$5005,INCORRIDO!$D$6:$D$5005,$B27,INCORRIDO!$E$6:$E$5005,AZ$7)+IF(AZ$7&gt;PARAMETROS!$C$12,IF($H27&gt;0,$G27*CURVA!AZ27/$H27,0)*AZ$6,0))</f>
        <v>863834.651533109</v>
      </c>
      <c r="BA27" s="19" t="n">
        <f aca="false">IF($B27="",0,SUMIFS(INCORRIDO!$C$6:$C$5005,INCORRIDO!$D$6:$D$5005,$B27,INCORRIDO!$E$6:$E$5005,BA$7)+IF(BA$7&gt;PARAMETROS!$C$12,IF($H27&gt;0,$G27*CURVA!BA27/$H27,0)*BA$6,0))</f>
        <v>813975.741444621</v>
      </c>
      <c r="BB27" s="19" t="n">
        <f aca="false">IF($B27="",0,SUMIFS(INCORRIDO!$C$6:$C$5005,INCORRIDO!$D$6:$D$5005,$B27,INCORRIDO!$E$6:$E$5005,BB$7)+IF(BB$7&gt;PARAMETROS!$C$12,IF($H27&gt;0,$G27*CURVA!BB27/$H27,0)*BB$6,0))</f>
        <v>542650.490963081</v>
      </c>
      <c r="BC27" s="19" t="n">
        <f aca="false">IF($B27="",0,SUMIFS(INCORRIDO!$C$6:$C$5005,INCORRIDO!$D$6:$D$5005,$B27,INCORRIDO!$E$6:$E$5005,BC$7)+IF(BC$7&gt;PARAMETROS!$C$12,IF($H27&gt;0,$G27*CURVA!BC27/$H27,0)*BC$6,0))</f>
        <v>743245.651319091</v>
      </c>
      <c r="BD27" s="19" t="n">
        <f aca="false">IF($B27="",0,SUMIFS(INCORRIDO!$C$6:$C$5005,INCORRIDO!$D$6:$D$5005,$B27,INCORRIDO!$E$6:$E$5005,BD$7)+IF(BD$7&gt;PARAMETROS!$C$12,IF($H27&gt;0,$G27*CURVA!BD27/$H27,0)*BD$6,0))</f>
        <v>164650.360292217</v>
      </c>
      <c r="BE27" s="19" t="n">
        <f aca="false">IF($B27="",0,SUMIFS(INCORRIDO!$C$6:$C$5005,INCORRIDO!$D$6:$D$5005,$B27,INCORRIDO!$E$6:$E$5005,BE$7)+IF(BE$7&gt;PARAMETROS!$C$12,IF($H27&gt;0,$G27*CURVA!BE27/$H27,0)*BE$6,0))</f>
        <v>441773.160784047</v>
      </c>
      <c r="BF27" s="19" t="n">
        <f aca="false">IF($B27="",0,SUMIFS(INCORRIDO!$C$6:$C$5005,INCORRIDO!$D$6:$D$5005,$B27,INCORRIDO!$E$6:$E$5005,BF$7)+IF(BF$7&gt;PARAMETROS!$C$12,IF($H27&gt;0,$G27*CURVA!BF27/$H27,0)*BF$6,0))</f>
        <v>288717.890512408</v>
      </c>
      <c r="BG27" s="19" t="n">
        <f aca="false">IF($B27="",0,SUMIFS(INCORRIDO!$C$6:$C$5005,INCORRIDO!$D$6:$D$5005,$B27,INCORRIDO!$E$6:$E$5005,BG$7)+IF(BG$7&gt;PARAMETROS!$C$12,IF($H27&gt;0,$G27*CURVA!BG27/$H27,0)*BG$6,0))</f>
        <v>154214.780273696</v>
      </c>
      <c r="BH27" s="19" t="n">
        <f aca="false">IF($B27="",0,SUMIFS(INCORRIDO!$C$6:$C$5005,INCORRIDO!$D$6:$D$5005,$B27,INCORRIDO!$E$6:$E$5005,BH$7)+IF(BH$7&gt;PARAMETROS!$C$12,IF($H27&gt;0,$G27*CURVA!BH27/$H27,0)*BH$6,0))</f>
        <v>336257.780596781</v>
      </c>
      <c r="BI27" s="19" t="n">
        <f aca="false">IF($B27="",0,SUMIFS(INCORRIDO!$C$6:$C$5005,INCORRIDO!$D$6:$D$5005,$B27,INCORRIDO!$E$6:$E$5005,BI$7)+IF(BI$7&gt;PARAMETROS!$C$12,IF($H27&gt;0,$G27*CURVA!BI27/$H27,0)*BI$6,0))</f>
        <v>721829.791281083</v>
      </c>
      <c r="BJ27" s="19" t="n">
        <f aca="false">IF($B27="",0,SUMIFS(INCORRIDO!$C$6:$C$5005,INCORRIDO!$D$6:$D$5005,$B27,INCORRIDO!$E$6:$E$5005,BJ$7)+IF(BJ$7&gt;PARAMETROS!$C$12,IF($H27&gt;0,$G27*CURVA!BJ27/$H27,0)*BJ$6,0))</f>
        <v>0</v>
      </c>
      <c r="BK27" s="19" t="n">
        <f aca="false">IF($B27="",0,SUMIFS(INCORRIDO!$C$6:$C$5005,INCORRIDO!$D$6:$D$5005,$B27,INCORRIDO!$E$6:$E$5005,BK$7)+IF(BK$7&gt;PARAMETROS!$C$12,IF($H27&gt;0,$G27*CURVA!BK27/$H27,0)*BK$6,0))</f>
        <v>0</v>
      </c>
      <c r="BL27" s="19" t="n">
        <f aca="false">IF($B27="",0,SUMIFS(INCORRIDO!$C$6:$C$5005,INCORRIDO!$D$6:$D$5005,$B27,INCORRIDO!$E$6:$E$5005,BL$7)+IF(BL$7&gt;PARAMETROS!$C$12,IF($H27&gt;0,$G27*CURVA!BL27/$H27,0)*BL$6,0))</f>
        <v>0</v>
      </c>
      <c r="BM27" s="19" t="n">
        <f aca="false">IF($B27="",0,SUMIFS(INCORRIDO!$C$6:$C$5005,INCORRIDO!$D$6:$D$5005,$B27,INCORRIDO!$E$6:$E$5005,BM$7)+IF(BM$7&gt;PARAMETROS!$C$12,IF($H27&gt;0,$G27*CURVA!BM27/$H27,0)*BM$6,0))</f>
        <v>0</v>
      </c>
      <c r="BN27" s="19" t="n">
        <f aca="false">IF($B27="",0,SUMIFS(INCORRIDO!$C$6:$C$5005,INCORRIDO!$D$6:$D$5005,$B27,INCORRIDO!$E$6:$E$5005,BN$7)+IF(BN$7&gt;PARAMETROS!$C$12,IF($H27&gt;0,$G27*CURVA!BN27/$H27,0)*BN$6,0))</f>
        <v>0</v>
      </c>
      <c r="BO27" s="19" t="n">
        <f aca="false">IF($B27="",0,SUMIFS(INCORRIDO!$C$6:$C$5005,INCORRIDO!$D$6:$D$5005,$B27,INCORRIDO!$E$6:$E$5005,BO$7)+IF(BO$7&gt;PARAMETROS!$C$12,IF($H27&gt;0,$G27*CURVA!BO27/$H27,0)*BO$6,0))</f>
        <v>0</v>
      </c>
      <c r="BP27" s="19" t="n">
        <f aca="false">IF($B27="",0,SUMIFS(INCORRIDO!$C$6:$C$5005,INCORRIDO!$D$6:$D$5005,$B27,INCORRIDO!$E$6:$E$5005,BP$7)+IF(BP$7&gt;PARAMETROS!$C$12,IF($H27&gt;0,$G27*CURVA!BP27/$H27,0)*BP$6,0))</f>
        <v>0</v>
      </c>
      <c r="BQ27" s="19" t="n">
        <f aca="false">IF($B27="",0,SUMIFS(INCORRIDO!$C$6:$C$5005,INCORRIDO!$D$6:$D$5005,$B27,INCORRIDO!$E$6:$E$5005,BQ$7)+IF(BQ$7&gt;PARAMETROS!$C$12,IF($H27&gt;0,$G27*CURVA!BQ27/$H27,0)*BQ$6,0))</f>
        <v>0</v>
      </c>
      <c r="BR27" s="19" t="n">
        <f aca="false">IF($B27="",0,SUMIFS(INCORRIDO!$C$6:$C$5005,INCORRIDO!$D$6:$D$5005,$B27,INCORRIDO!$E$6:$E$5005,BR$7)+IF(BR$7&gt;PARAMETROS!$C$12,IF($H27&gt;0,$G27*CURVA!BR27/$H27,0)*BR$6,0))</f>
        <v>0</v>
      </c>
      <c r="BS27" s="19" t="n">
        <f aca="false">IF($B27="",0,SUMIFS(INCORRIDO!$C$6:$C$5005,INCORRIDO!$D$6:$D$5005,$B27,INCORRIDO!$E$6:$E$5005,BS$7)+IF(BS$7&gt;PARAMETROS!$C$12,IF($H27&gt;0,$G27*CURVA!BS27/$H27,0)*BS$6,0))</f>
        <v>0</v>
      </c>
      <c r="BT27" s="19" t="n">
        <f aca="false">IF($B27="",0,SUMIFS(INCORRIDO!$C$6:$C$5005,INCORRIDO!$D$6:$D$5005,$B27,INCORRIDO!$E$6:$E$5005,BT$7)+IF(BT$7&gt;PARAMETROS!$C$12,IF($H27&gt;0,$G27*CURVA!BT27/$H27,0)*BT$6,0))</f>
        <v>0</v>
      </c>
      <c r="BU27" s="19" t="n">
        <f aca="false">IF($B27="",0,SUMIFS(INCORRIDO!$C$6:$C$5005,INCORRIDO!$D$6:$D$5005,$B27,INCORRIDO!$E$6:$E$5005,BU$7)+IF(BU$7&gt;PARAMETROS!$C$12,IF($H27&gt;0,$G27*CURVA!BU27/$H27,0)*BU$6,0))</f>
        <v>0</v>
      </c>
      <c r="BV27" s="19" t="n">
        <f aca="false">IF($B27="",0,SUMIFS(INCORRIDO!$C$6:$C$5005,INCORRIDO!$D$6:$D$5005,$B27,INCORRIDO!$E$6:$E$5005,BV$7)+IF(BV$7&gt;PARAMETROS!$C$12,IF($H27&gt;0,$G27*CURVA!BV27/$H27,0)*BV$6,0))</f>
        <v>0</v>
      </c>
      <c r="BW27" s="19" t="n">
        <f aca="false">IF($B27="",0,SUMIFS(INCORRIDO!$C$6:$C$5005,INCORRIDO!$D$6:$D$5005,$B27,INCORRIDO!$E$6:$E$5005,BW$7)+IF(BW$7&gt;PARAMETROS!$C$12,IF($H27&gt;0,$G27*CURVA!BW27/$H27,0)*BW$6,0))</f>
        <v>0</v>
      </c>
      <c r="BX27" s="19" t="n">
        <f aca="false">IF($B27="",0,SUMIFS(INCORRIDO!$C$6:$C$5005,INCORRIDO!$D$6:$D$5005,$B27,INCORRIDO!$E$6:$E$5005,BX$7)+IF(BX$7&gt;PARAMETROS!$C$12,IF($H27&gt;0,$G27*CURVA!BX27/$H27,0)*BX$6,0))</f>
        <v>0</v>
      </c>
      <c r="BY27" s="19" t="n">
        <f aca="false">IF($B27="",0,SUMIFS(INCORRIDO!$C$6:$C$5005,INCORRIDO!$D$6:$D$5005,$B27,INCORRIDO!$E$6:$E$5005,BY$7)+IF(BY$7&gt;PARAMETROS!$C$12,IF($H27&gt;0,$G27*CURVA!BY27/$H27,0)*BY$6,0))</f>
        <v>0</v>
      </c>
      <c r="BZ27" s="19" t="n">
        <f aca="false">IF($B27="",0,SUMIFS(INCORRIDO!$C$6:$C$5005,INCORRIDO!$D$6:$D$5005,$B27,INCORRIDO!$E$6:$E$5005,BZ$7)+IF(BZ$7&gt;PARAMETROS!$C$12,IF($H27&gt;0,$G27*CURVA!BZ27/$H27,0)*BZ$6,0))</f>
        <v>0</v>
      </c>
      <c r="CA27" s="19" t="n">
        <f aca="false">IF($B27="",0,SUMIFS(INCORRIDO!$C$6:$C$5005,INCORRIDO!$D$6:$D$5005,$B27,INCORRIDO!$E$6:$E$5005,CA$7)+IF(CA$7&gt;PARAMETROS!$C$12,IF($H27&gt;0,$G27*CURVA!CA27/$H27,0)*CA$6,0))</f>
        <v>0</v>
      </c>
      <c r="CB27" s="19" t="n">
        <f aca="false">IF($B27="",0,SUMIFS(INCORRIDO!$C$6:$C$5005,INCORRIDO!$D$6:$D$5005,$B27,INCORRIDO!$E$6:$E$5005,CB$7)+IF(CB$7&gt;PARAMETROS!$C$12,IF($H27&gt;0,$G27*CURVA!CB27/$H27,0)*CB$6,0))</f>
        <v>0</v>
      </c>
      <c r="CC27" s="19" t="n">
        <f aca="false">IF($B27="",0,SUMIFS(INCORRIDO!$C$6:$C$5005,INCORRIDO!$D$6:$D$5005,$B27,INCORRIDO!$E$6:$E$5005,CC$7)+IF(CC$7&gt;PARAMETROS!$C$12,IF($H27&gt;0,$G27*CURVA!CC27/$H27,0)*CC$6,0))</f>
        <v>0</v>
      </c>
    </row>
    <row r="28" customFormat="false" ht="15" hidden="false" customHeight="false" outlineLevel="0" collapsed="false">
      <c r="A28" s="31" t="str">
        <f aca="false">IF(ORCAMENTO!A26="","",ORCAMENTO!A26)</f>
        <v>21</v>
      </c>
      <c r="B28" s="31" t="str">
        <f aca="false">IF(ORCAMENTO!B26="","",ORCAMENTO!B26)</f>
        <v>INSTALAÇÕES HIDROSANITÁRIAS</v>
      </c>
      <c r="C28" s="31" t="str">
        <f aca="false">IF(ORCAMENTO!C26="","",ORCAMENTO!C26)</f>
        <v>SISTEMAS E VEDAÇÕES</v>
      </c>
      <c r="D28" s="32" t="n">
        <f aca="false">IF($B28="",0,ORCAMENTO!E26)</f>
        <v>7769655.06</v>
      </c>
      <c r="E28" s="19" t="n">
        <f aca="false">IF($B28="",0,SUMIFS(INCORRIDO!$C$6:$C$5005,INCORRIDO!$D$6:$D$5005,$B28,INCORRIDO!$E$6:$E$5005,"&lt;="&amp;PARAMETROS!$C$12))</f>
        <v>0</v>
      </c>
      <c r="F28" s="19" t="n">
        <f aca="false">IF($B28="",0,SUMIFS(INCORRIDO!$C$6:$C$5005,INCORRIDO!$D$6:$D$5005,$B28,INCORRIDO!$E$6:$E$5005,"&gt;"&amp;PARAMETROS!$C$12))</f>
        <v>27930</v>
      </c>
      <c r="G28" s="19" t="n">
        <f aca="false">MAX(0,D28-E28-F28)</f>
        <v>7741725.06</v>
      </c>
      <c r="H28" s="32" t="n">
        <f aca="false">CURVA!H28</f>
        <v>7741725.07</v>
      </c>
      <c r="I28" s="19" t="n">
        <f aca="false">SUM(J28:CC28)</f>
        <v>7769655.06</v>
      </c>
      <c r="J28" s="19" t="n">
        <f aca="false">IF($B28="",0,SUMIFS(INCORRIDO!$C$6:$C$5005,INCORRIDO!$D$6:$D$5005,$B28,INCORRIDO!$E$6:$E$5005,"&lt;="&amp;J$7)+IF(J$7&gt;PARAMETROS!$C$12,IF($H28&gt;0,$G28*CURVA!J28/$H28,0)*J$6,0))</f>
        <v>0</v>
      </c>
      <c r="K28" s="19" t="n">
        <f aca="false">IF($B28="",0,SUMIFS(INCORRIDO!$C$6:$C$5005,INCORRIDO!$D$6:$D$5005,$B28,INCORRIDO!$E$6:$E$5005,K$7)+IF(K$7&gt;PARAMETROS!$C$12,IF($H28&gt;0,$G28*CURVA!K28/$H28,0)*K$6,0))</f>
        <v>0</v>
      </c>
      <c r="L28" s="19" t="n">
        <f aca="false">IF($B28="",0,SUMIFS(INCORRIDO!$C$6:$C$5005,INCORRIDO!$D$6:$D$5005,$B28,INCORRIDO!$E$6:$E$5005,L$7)+IF(L$7&gt;PARAMETROS!$C$12,IF($H28&gt;0,$G28*CURVA!L28/$H28,0)*L$6,0))</f>
        <v>0</v>
      </c>
      <c r="M28" s="19" t="n">
        <f aca="false">IF($B28="",0,SUMIFS(INCORRIDO!$C$6:$C$5005,INCORRIDO!$D$6:$D$5005,$B28,INCORRIDO!$E$6:$E$5005,M$7)+IF(M$7&gt;PARAMETROS!$C$12,IF($H28&gt;0,$G28*CURVA!M28/$H28,0)*M$6,0))</f>
        <v>0</v>
      </c>
      <c r="N28" s="19" t="n">
        <f aca="false">IF($B28="",0,SUMIFS(INCORRIDO!$C$6:$C$5005,INCORRIDO!$D$6:$D$5005,$B28,INCORRIDO!$E$6:$E$5005,N$7)+IF(N$7&gt;PARAMETROS!$C$12,IF($H28&gt;0,$G28*CURVA!N28/$H28,0)*N$6,0))</f>
        <v>0</v>
      </c>
      <c r="O28" s="19" t="n">
        <f aca="false">IF($B28="",0,SUMIFS(INCORRIDO!$C$6:$C$5005,INCORRIDO!$D$6:$D$5005,$B28,INCORRIDO!$E$6:$E$5005,O$7)+IF(O$7&gt;PARAMETROS!$C$12,IF($H28&gt;0,$G28*CURVA!O28/$H28,0)*O$6,0))</f>
        <v>0</v>
      </c>
      <c r="P28" s="19" t="n">
        <f aca="false">IF($B28="",0,SUMIFS(INCORRIDO!$C$6:$C$5005,INCORRIDO!$D$6:$D$5005,$B28,INCORRIDO!$E$6:$E$5005,P$7)+IF(P$7&gt;PARAMETROS!$C$12,IF($H28&gt;0,$G28*CURVA!P28/$H28,0)*P$6,0))</f>
        <v>0</v>
      </c>
      <c r="Q28" s="19" t="n">
        <f aca="false">IF($B28="",0,SUMIFS(INCORRIDO!$C$6:$C$5005,INCORRIDO!$D$6:$D$5005,$B28,INCORRIDO!$E$6:$E$5005,Q$7)+IF(Q$7&gt;PARAMETROS!$C$12,IF($H28&gt;0,$G28*CURVA!Q28/$H28,0)*Q$6,0))</f>
        <v>0</v>
      </c>
      <c r="R28" s="19" t="n">
        <f aca="false">IF($B28="",0,SUMIFS(INCORRIDO!$C$6:$C$5005,INCORRIDO!$D$6:$D$5005,$B28,INCORRIDO!$E$6:$E$5005,R$7)+IF(R$7&gt;PARAMETROS!$C$12,IF($H28&gt;0,$G28*CURVA!R28/$H28,0)*R$6,0))</f>
        <v>0</v>
      </c>
      <c r="S28" s="19" t="n">
        <f aca="false">IF($B28="",0,SUMIFS(INCORRIDO!$C$6:$C$5005,INCORRIDO!$D$6:$D$5005,$B28,INCORRIDO!$E$6:$E$5005,S$7)+IF(S$7&gt;PARAMETROS!$C$12,IF($H28&gt;0,$G28*CURVA!S28/$H28,0)*S$6,0))</f>
        <v>0</v>
      </c>
      <c r="T28" s="19" t="n">
        <f aca="false">IF($B28="",0,SUMIFS(INCORRIDO!$C$6:$C$5005,INCORRIDO!$D$6:$D$5005,$B28,INCORRIDO!$E$6:$E$5005,T$7)+IF(T$7&gt;PARAMETROS!$C$12,IF($H28&gt;0,$G28*CURVA!T28/$H28,0)*T$6,0))</f>
        <v>0</v>
      </c>
      <c r="U28" s="19" t="n">
        <f aca="false">IF($B28="",0,SUMIFS(INCORRIDO!$C$6:$C$5005,INCORRIDO!$D$6:$D$5005,$B28,INCORRIDO!$E$6:$E$5005,U$7)+IF(U$7&gt;PARAMETROS!$C$12,IF($H28&gt;0,$G28*CURVA!U28/$H28,0)*U$6,0))</f>
        <v>0</v>
      </c>
      <c r="V28" s="19" t="n">
        <f aca="false">IF($B28="",0,SUMIFS(INCORRIDO!$C$6:$C$5005,INCORRIDO!$D$6:$D$5005,$B28,INCORRIDO!$E$6:$E$5005,V$7)+IF(V$7&gt;PARAMETROS!$C$12,IF($H28&gt;0,$G28*CURVA!V28/$H28,0)*V$6,0))</f>
        <v>0</v>
      </c>
      <c r="W28" s="19" t="n">
        <f aca="false">IF($B28="",0,SUMIFS(INCORRIDO!$C$6:$C$5005,INCORRIDO!$D$6:$D$5005,$B28,INCORRIDO!$E$6:$E$5005,W$7)+IF(W$7&gt;PARAMETROS!$C$12,IF($H28&gt;0,$G28*CURVA!W28/$H28,0)*W$6,0))</f>
        <v>0</v>
      </c>
      <c r="X28" s="19" t="n">
        <f aca="false">IF($B28="",0,SUMIFS(INCORRIDO!$C$6:$C$5005,INCORRIDO!$D$6:$D$5005,$B28,INCORRIDO!$E$6:$E$5005,X$7)+IF(X$7&gt;PARAMETROS!$C$12,IF($H28&gt;0,$G28*CURVA!X28/$H28,0)*X$6,0))</f>
        <v>0</v>
      </c>
      <c r="Y28" s="19" t="n">
        <f aca="false">IF($B28="",0,SUMIFS(INCORRIDO!$C$6:$C$5005,INCORRIDO!$D$6:$D$5005,$B28,INCORRIDO!$E$6:$E$5005,Y$7)+IF(Y$7&gt;PARAMETROS!$C$12,IF($H28&gt;0,$G28*CURVA!Y28/$H28,0)*Y$6,0))</f>
        <v>0</v>
      </c>
      <c r="Z28" s="19" t="n">
        <f aca="false">IF($B28="",0,SUMIFS(INCORRIDO!$C$6:$C$5005,INCORRIDO!$D$6:$D$5005,$B28,INCORRIDO!$E$6:$E$5005,Z$7)+IF(Z$7&gt;PARAMETROS!$C$12,IF($H28&gt;0,$G28*CURVA!Z28/$H28,0)*Z$6,0))</f>
        <v>0</v>
      </c>
      <c r="AA28" s="19" t="n">
        <f aca="false">IF($B28="",0,SUMIFS(INCORRIDO!$C$6:$C$5005,INCORRIDO!$D$6:$D$5005,$B28,INCORRIDO!$E$6:$E$5005,AA$7)+IF(AA$7&gt;PARAMETROS!$C$12,IF($H28&gt;0,$G28*CURVA!AA28/$H28,0)*AA$6,0))</f>
        <v>0</v>
      </c>
      <c r="AB28" s="19" t="n">
        <f aca="false">IF($B28="",0,SUMIFS(INCORRIDO!$C$6:$C$5005,INCORRIDO!$D$6:$D$5005,$B28,INCORRIDO!$E$6:$E$5005,AB$7)+IF(AB$7&gt;PARAMETROS!$C$12,IF($H28&gt;0,$G28*CURVA!AB28/$H28,0)*AB$6,0))</f>
        <v>0</v>
      </c>
      <c r="AC28" s="19" t="n">
        <f aca="false">IF($B28="",0,SUMIFS(INCORRIDO!$C$6:$C$5005,INCORRIDO!$D$6:$D$5005,$B28,INCORRIDO!$E$6:$E$5005,AC$7)+IF(AC$7&gt;PARAMETROS!$C$12,IF($H28&gt;0,$G28*CURVA!AC28/$H28,0)*AC$6,0))</f>
        <v>0</v>
      </c>
      <c r="AD28" s="19" t="n">
        <f aca="false">IF($B28="",0,SUMIFS(INCORRIDO!$C$6:$C$5005,INCORRIDO!$D$6:$D$5005,$B28,INCORRIDO!$E$6:$E$5005,AD$7)+IF(AD$7&gt;PARAMETROS!$C$12,IF($H28&gt;0,$G28*CURVA!AD28/$H28,0)*AD$6,0))</f>
        <v>0</v>
      </c>
      <c r="AE28" s="19" t="n">
        <f aca="false">IF($B28="",0,SUMIFS(INCORRIDO!$C$6:$C$5005,INCORRIDO!$D$6:$D$5005,$B28,INCORRIDO!$E$6:$E$5005,AE$7)+IF(AE$7&gt;PARAMETROS!$C$12,IF($H28&gt;0,$G28*CURVA!AE28/$H28,0)*AE$6,0))</f>
        <v>13965</v>
      </c>
      <c r="AF28" s="19" t="n">
        <f aca="false">IF($B28="",0,SUMIFS(INCORRIDO!$C$6:$C$5005,INCORRIDO!$D$6:$D$5005,$B28,INCORRIDO!$E$6:$E$5005,AF$7)+IF(AF$7&gt;PARAMETROS!$C$12,IF($H28&gt;0,$G28*CURVA!AF28/$H28,0)*AF$6,0))</f>
        <v>13965</v>
      </c>
      <c r="AG28" s="19" t="n">
        <f aca="false">IF($B28="",0,SUMIFS(INCORRIDO!$C$6:$C$5005,INCORRIDO!$D$6:$D$5005,$B28,INCORRIDO!$E$6:$E$5005,AG$7)+IF(AG$7&gt;PARAMETROS!$C$12,IF($H28&gt;0,$G28*CURVA!AG28/$H28,0)*AG$6,0))</f>
        <v>149999.999806245</v>
      </c>
      <c r="AH28" s="19" t="n">
        <f aca="false">IF($B28="",0,SUMIFS(INCORRIDO!$C$6:$C$5005,INCORRIDO!$D$6:$D$5005,$B28,INCORRIDO!$E$6:$E$5005,AH$7)+IF(AH$7&gt;PARAMETROS!$C$12,IF($H28&gt;0,$G28*CURVA!AH28/$H28,0)*AH$6,0))</f>
        <v>49999.9999354149</v>
      </c>
      <c r="AI28" s="19" t="n">
        <f aca="false">IF($B28="",0,SUMIFS(INCORRIDO!$C$6:$C$5005,INCORRIDO!$D$6:$D$5005,$B28,INCORRIDO!$E$6:$E$5005,AI$7)+IF(AI$7&gt;PARAMETROS!$C$12,IF($H28&gt;0,$G28*CURVA!AI28/$H28,0)*AI$6,0))</f>
        <v>49999.9999354149</v>
      </c>
      <c r="AJ28" s="19" t="n">
        <f aca="false">IF($B28="",0,SUMIFS(INCORRIDO!$C$6:$C$5005,INCORRIDO!$D$6:$D$5005,$B28,INCORRIDO!$E$6:$E$5005,AJ$7)+IF(AJ$7&gt;PARAMETROS!$C$12,IF($H28&gt;0,$G28*CURVA!AJ28/$H28,0)*AJ$6,0))</f>
        <v>69999.9999095809</v>
      </c>
      <c r="AK28" s="19" t="n">
        <f aca="false">IF($B28="",0,SUMIFS(INCORRIDO!$C$6:$C$5005,INCORRIDO!$D$6:$D$5005,$B28,INCORRIDO!$E$6:$E$5005,AK$7)+IF(AK$7&gt;PARAMETROS!$C$12,IF($H28&gt;0,$G28*CURVA!AK28/$H28,0)*AK$6,0))</f>
        <v>120258.029844662</v>
      </c>
      <c r="AL28" s="19" t="n">
        <f aca="false">IF($B28="",0,SUMIFS(INCORRIDO!$C$6:$C$5005,INCORRIDO!$D$6:$D$5005,$B28,INCORRIDO!$E$6:$E$5005,AL$7)+IF(AL$7&gt;PARAMETROS!$C$12,IF($H28&gt;0,$G28*CURVA!AL28/$H28,0)*AL$6,0))</f>
        <v>120258.029844662</v>
      </c>
      <c r="AM28" s="19" t="n">
        <f aca="false">IF($B28="",0,SUMIFS(INCORRIDO!$C$6:$C$5005,INCORRIDO!$D$6:$D$5005,$B28,INCORRIDO!$E$6:$E$5005,AM$7)+IF(AM$7&gt;PARAMETROS!$C$12,IF($H28&gt;0,$G28*CURVA!AM28/$H28,0)*AM$6,0))</f>
        <v>87246.0198873042</v>
      </c>
      <c r="AN28" s="19" t="n">
        <f aca="false">IF($B28="",0,SUMIFS(INCORRIDO!$C$6:$C$5005,INCORRIDO!$D$6:$D$5005,$B28,INCORRIDO!$E$6:$E$5005,AN$7)+IF(AN$7&gt;PARAMETROS!$C$12,IF($H28&gt;0,$G28*CURVA!AN28/$H28,0)*AN$6,0))</f>
        <v>3929.99999492361</v>
      </c>
      <c r="AO28" s="19" t="n">
        <f aca="false">IF($B28="",0,SUMIFS(INCORRIDO!$C$6:$C$5005,INCORRIDO!$D$6:$D$5005,$B28,INCORRIDO!$E$6:$E$5005,AO$7)+IF(AO$7&gt;PARAMETROS!$C$12,IF($H28&gt;0,$G28*CURVA!AO28/$H28,0)*AO$6,0))</f>
        <v>89604.0198842583</v>
      </c>
      <c r="AP28" s="19" t="n">
        <f aca="false">IF($B28="",0,SUMIFS(INCORRIDO!$C$6:$C$5005,INCORRIDO!$D$6:$D$5005,$B28,INCORRIDO!$E$6:$E$5005,AP$7)+IF(AP$7&gt;PARAMETROS!$C$12,IF($H28&gt;0,$G28*CURVA!AP28/$H28,0)*AP$6,0))</f>
        <v>109254.029858876</v>
      </c>
      <c r="AQ28" s="19" t="n">
        <f aca="false">IF($B28="",0,SUMIFS(INCORRIDO!$C$6:$C$5005,INCORRIDO!$D$6:$D$5005,$B28,INCORRIDO!$E$6:$E$5005,AQ$7)+IF(AQ$7&gt;PARAMETROS!$C$12,IF($H28&gt;0,$G28*CURVA!AQ28/$H28,0)*AQ$6,0))</f>
        <v>195714.049747196</v>
      </c>
      <c r="AR28" s="19" t="n">
        <f aca="false">IF($B28="",0,SUMIFS(INCORRIDO!$C$6:$C$5005,INCORRIDO!$D$6:$D$5005,$B28,INCORRIDO!$E$6:$E$5005,AR$7)+IF(AR$7&gt;PARAMETROS!$C$12,IF($H28&gt;0,$G28*CURVA!AR28/$H28,0)*AR$6,0))</f>
        <v>279816.059638561</v>
      </c>
      <c r="AS28" s="19" t="n">
        <f aca="false">IF($B28="",0,SUMIFS(INCORRIDO!$C$6:$C$5005,INCORRIDO!$D$6:$D$5005,$B28,INCORRIDO!$E$6:$E$5005,AS$7)+IF(AS$7&gt;PARAMETROS!$C$12,IF($H28&gt;0,$G28*CURVA!AS28/$H28,0)*AS$6,0))</f>
        <v>174492.039774608</v>
      </c>
      <c r="AT28" s="19" t="n">
        <f aca="false">IF($B28="",0,SUMIFS(INCORRIDO!$C$6:$C$5005,INCORRIDO!$D$6:$D$5005,$B28,INCORRIDO!$E$6:$E$5005,AT$7)+IF(AT$7&gt;PARAMETROS!$C$12,IF($H28&gt;0,$G28*CURVA!AT28/$H28,0)*AT$6,0))</f>
        <v>363132.079530942</v>
      </c>
      <c r="AU28" s="19" t="n">
        <f aca="false">IF($B28="",0,SUMIFS(INCORRIDO!$C$6:$C$5005,INCORRIDO!$D$6:$D$5005,$B28,INCORRIDO!$E$6:$E$5005,AU$7)+IF(AU$7&gt;PARAMETROS!$C$12,IF($H28&gt;0,$G28*CURVA!AU28/$H28,0)*AU$6,0))</f>
        <v>316758.069590843</v>
      </c>
      <c r="AV28" s="19" t="n">
        <f aca="false">IF($B28="",0,SUMIFS(INCORRIDO!$C$6:$C$5005,INCORRIDO!$D$6:$D$5005,$B28,INCORRIDO!$E$6:$E$5005,AV$7)+IF(AV$7&gt;PARAMETROS!$C$12,IF($H28&gt;0,$G28*CURVA!AV28/$H28,0)*AV$6,0))</f>
        <v>424440.09945175</v>
      </c>
      <c r="AW28" s="19" t="n">
        <f aca="false">IF($B28="",0,SUMIFS(INCORRIDO!$C$6:$C$5005,INCORRIDO!$D$6:$D$5005,$B28,INCORRIDO!$E$6:$E$5005,AW$7)+IF(AW$7&gt;PARAMETROS!$C$12,IF($H28&gt;0,$G28*CURVA!AW28/$H28,0)*AW$6,0))</f>
        <v>456666.109410124</v>
      </c>
      <c r="AX28" s="19" t="n">
        <f aca="false">IF($B28="",0,SUMIFS(INCORRIDO!$C$6:$C$5005,INCORRIDO!$D$6:$D$5005,$B28,INCORRIDO!$E$6:$E$5005,AX$7)+IF(AX$7&gt;PARAMETROS!$C$12,IF($H28&gt;0,$G28*CURVA!AX28/$H28,0)*AX$6,0))</f>
        <v>983286.228729887</v>
      </c>
      <c r="AY28" s="19" t="n">
        <f aca="false">IF($B28="",0,SUMIFS(INCORRIDO!$C$6:$C$5005,INCORRIDO!$D$6:$D$5005,$B28,INCORRIDO!$E$6:$E$5005,AY$7)+IF(AY$7&gt;PARAMETROS!$C$12,IF($H28&gt;0,$G28*CURVA!AY28/$H28,0)*AY$6,0))</f>
        <v>550986.12928829</v>
      </c>
      <c r="AZ28" s="19" t="n">
        <f aca="false">IF($B28="",0,SUMIFS(INCORRIDO!$C$6:$C$5005,INCORRIDO!$D$6:$D$5005,$B28,INCORRIDO!$E$6:$E$5005,AZ$7)+IF(AZ$7&gt;PARAMETROS!$C$12,IF($H28&gt;0,$G28*CURVA!AZ28/$H28,0)*AZ$6,0))</f>
        <v>365490.079527896</v>
      </c>
      <c r="BA28" s="19" t="n">
        <f aca="false">IF($B28="",0,SUMIFS(INCORRIDO!$C$6:$C$5005,INCORRIDO!$D$6:$D$5005,$B28,INCORRIDO!$E$6:$E$5005,BA$7)+IF(BA$7&gt;PARAMETROS!$C$12,IF($H28&gt;0,$G28*CURVA!BA28/$H28,0)*BA$6,0))</f>
        <v>585570.129243618</v>
      </c>
      <c r="BB28" s="19" t="n">
        <f aca="false">IF($B28="",0,SUMIFS(INCORRIDO!$C$6:$C$5005,INCORRIDO!$D$6:$D$5005,$B28,INCORRIDO!$E$6:$E$5005,BB$7)+IF(BB$7&gt;PARAMETROS!$C$12,IF($H28&gt;0,$G28*CURVA!BB28/$H28,0)*BB$6,0))</f>
        <v>551772.129287275</v>
      </c>
      <c r="BC28" s="19" t="n">
        <f aca="false">IF($B28="",0,SUMIFS(INCORRIDO!$C$6:$C$5005,INCORRIDO!$D$6:$D$5005,$B28,INCORRIDO!$E$6:$E$5005,BC$7)+IF(BC$7&gt;PARAMETROS!$C$12,IF($H28&gt;0,$G28*CURVA!BC28/$H28,0)*BC$6,0))</f>
        <v>367848.07952485</v>
      </c>
      <c r="BD28" s="19" t="n">
        <f aca="false">IF($B28="",0,SUMIFS(INCORRIDO!$C$6:$C$5005,INCORRIDO!$D$6:$D$5005,$B28,INCORRIDO!$E$6:$E$5005,BD$7)+IF(BD$7&gt;PARAMETROS!$C$12,IF($H28&gt;0,$G28*CURVA!BD28/$H28,0)*BD$6,0))</f>
        <v>503826.119349207</v>
      </c>
      <c r="BE28" s="19" t="n">
        <f aca="false">IF($B28="",0,SUMIFS(INCORRIDO!$C$6:$C$5005,INCORRIDO!$D$6:$D$5005,$B28,INCORRIDO!$E$6:$E$5005,BE$7)+IF(BE$7&gt;PARAMETROS!$C$12,IF($H28&gt;0,$G28*CURVA!BE28/$H28,0)*BE$6,0))</f>
        <v>111612.029855831</v>
      </c>
      <c r="BF28" s="19" t="n">
        <f aca="false">IF($B28="",0,SUMIFS(INCORRIDO!$C$6:$C$5005,INCORRIDO!$D$6:$D$5005,$B28,INCORRIDO!$E$6:$E$5005,BF$7)+IF(BF$7&gt;PARAMETROS!$C$12,IF($H28&gt;0,$G28*CURVA!BF28/$H28,0)*BF$6,0))</f>
        <v>299466.069613179</v>
      </c>
      <c r="BG28" s="19" t="n">
        <f aca="false">IF($B28="",0,SUMIFS(INCORRIDO!$C$6:$C$5005,INCORRIDO!$D$6:$D$5005,$B28,INCORRIDO!$E$6:$E$5005,BG$7)+IF(BG$7&gt;PARAMETROS!$C$12,IF($H28&gt;0,$G28*CURVA!BG28/$H28,0)*BG$6,0))</f>
        <v>195714.049747196</v>
      </c>
      <c r="BH28" s="19" t="n">
        <f aca="false">IF($B28="",0,SUMIFS(INCORRIDO!$C$6:$C$5005,INCORRIDO!$D$6:$D$5005,$B28,INCORRIDO!$E$6:$E$5005,BH$7)+IF(BH$7&gt;PARAMETROS!$C$12,IF($H28&gt;0,$G28*CURVA!BH28/$H28,0)*BH$6,0))</f>
        <v>104538.019864968</v>
      </c>
      <c r="BI28" s="19" t="n">
        <f aca="false">IF($B28="",0,SUMIFS(INCORRIDO!$C$6:$C$5005,INCORRIDO!$D$6:$D$5005,$B28,INCORRIDO!$E$6:$E$5005,BI$7)+IF(BI$7&gt;PARAMETROS!$C$12,IF($H28&gt;0,$G28*CURVA!BI28/$H28,0)*BI$6,0))</f>
        <v>60047.3599224367</v>
      </c>
      <c r="BJ28" s="19" t="n">
        <f aca="false">IF($B28="",0,SUMIFS(INCORRIDO!$C$6:$C$5005,INCORRIDO!$D$6:$D$5005,$B28,INCORRIDO!$E$6:$E$5005,BJ$7)+IF(BJ$7&gt;PARAMETROS!$C$12,IF($H28&gt;0,$G28*CURVA!BJ28/$H28,0)*BJ$6,0))</f>
        <v>0</v>
      </c>
      <c r="BK28" s="19" t="n">
        <f aca="false">IF($B28="",0,SUMIFS(INCORRIDO!$C$6:$C$5005,INCORRIDO!$D$6:$D$5005,$B28,INCORRIDO!$E$6:$E$5005,BK$7)+IF(BK$7&gt;PARAMETROS!$C$12,IF($H28&gt;0,$G28*CURVA!BK28/$H28,0)*BK$6,0))</f>
        <v>0</v>
      </c>
      <c r="BL28" s="19" t="n">
        <f aca="false">IF($B28="",0,SUMIFS(INCORRIDO!$C$6:$C$5005,INCORRIDO!$D$6:$D$5005,$B28,INCORRIDO!$E$6:$E$5005,BL$7)+IF(BL$7&gt;PARAMETROS!$C$12,IF($H28&gt;0,$G28*CURVA!BL28/$H28,0)*BL$6,0))</f>
        <v>0</v>
      </c>
      <c r="BM28" s="19" t="n">
        <f aca="false">IF($B28="",0,SUMIFS(INCORRIDO!$C$6:$C$5005,INCORRIDO!$D$6:$D$5005,$B28,INCORRIDO!$E$6:$E$5005,BM$7)+IF(BM$7&gt;PARAMETROS!$C$12,IF($H28&gt;0,$G28*CURVA!BM28/$H28,0)*BM$6,0))</f>
        <v>0</v>
      </c>
      <c r="BN28" s="19" t="n">
        <f aca="false">IF($B28="",0,SUMIFS(INCORRIDO!$C$6:$C$5005,INCORRIDO!$D$6:$D$5005,$B28,INCORRIDO!$E$6:$E$5005,BN$7)+IF(BN$7&gt;PARAMETROS!$C$12,IF($H28&gt;0,$G28*CURVA!BN28/$H28,0)*BN$6,0))</f>
        <v>0</v>
      </c>
      <c r="BO28" s="19" t="n">
        <f aca="false">IF($B28="",0,SUMIFS(INCORRIDO!$C$6:$C$5005,INCORRIDO!$D$6:$D$5005,$B28,INCORRIDO!$E$6:$E$5005,BO$7)+IF(BO$7&gt;PARAMETROS!$C$12,IF($H28&gt;0,$G28*CURVA!BO28/$H28,0)*BO$6,0))</f>
        <v>0</v>
      </c>
      <c r="BP28" s="19" t="n">
        <f aca="false">IF($B28="",0,SUMIFS(INCORRIDO!$C$6:$C$5005,INCORRIDO!$D$6:$D$5005,$B28,INCORRIDO!$E$6:$E$5005,BP$7)+IF(BP$7&gt;PARAMETROS!$C$12,IF($H28&gt;0,$G28*CURVA!BP28/$H28,0)*BP$6,0))</f>
        <v>0</v>
      </c>
      <c r="BQ28" s="19" t="n">
        <f aca="false">IF($B28="",0,SUMIFS(INCORRIDO!$C$6:$C$5005,INCORRIDO!$D$6:$D$5005,$B28,INCORRIDO!$E$6:$E$5005,BQ$7)+IF(BQ$7&gt;PARAMETROS!$C$12,IF($H28&gt;0,$G28*CURVA!BQ28/$H28,0)*BQ$6,0))</f>
        <v>0</v>
      </c>
      <c r="BR28" s="19" t="n">
        <f aca="false">IF($B28="",0,SUMIFS(INCORRIDO!$C$6:$C$5005,INCORRIDO!$D$6:$D$5005,$B28,INCORRIDO!$E$6:$E$5005,BR$7)+IF(BR$7&gt;PARAMETROS!$C$12,IF($H28&gt;0,$G28*CURVA!BR28/$H28,0)*BR$6,0))</f>
        <v>0</v>
      </c>
      <c r="BS28" s="19" t="n">
        <f aca="false">IF($B28="",0,SUMIFS(INCORRIDO!$C$6:$C$5005,INCORRIDO!$D$6:$D$5005,$B28,INCORRIDO!$E$6:$E$5005,BS$7)+IF(BS$7&gt;PARAMETROS!$C$12,IF($H28&gt;0,$G28*CURVA!BS28/$H28,0)*BS$6,0))</f>
        <v>0</v>
      </c>
      <c r="BT28" s="19" t="n">
        <f aca="false">IF($B28="",0,SUMIFS(INCORRIDO!$C$6:$C$5005,INCORRIDO!$D$6:$D$5005,$B28,INCORRIDO!$E$6:$E$5005,BT$7)+IF(BT$7&gt;PARAMETROS!$C$12,IF($H28&gt;0,$G28*CURVA!BT28/$H28,0)*BT$6,0))</f>
        <v>0</v>
      </c>
      <c r="BU28" s="19" t="n">
        <f aca="false">IF($B28="",0,SUMIFS(INCORRIDO!$C$6:$C$5005,INCORRIDO!$D$6:$D$5005,$B28,INCORRIDO!$E$6:$E$5005,BU$7)+IF(BU$7&gt;PARAMETROS!$C$12,IF($H28&gt;0,$G28*CURVA!BU28/$H28,0)*BU$6,0))</f>
        <v>0</v>
      </c>
      <c r="BV28" s="19" t="n">
        <f aca="false">IF($B28="",0,SUMIFS(INCORRIDO!$C$6:$C$5005,INCORRIDO!$D$6:$D$5005,$B28,INCORRIDO!$E$6:$E$5005,BV$7)+IF(BV$7&gt;PARAMETROS!$C$12,IF($H28&gt;0,$G28*CURVA!BV28/$H28,0)*BV$6,0))</f>
        <v>0</v>
      </c>
      <c r="BW28" s="19" t="n">
        <f aca="false">IF($B28="",0,SUMIFS(INCORRIDO!$C$6:$C$5005,INCORRIDO!$D$6:$D$5005,$B28,INCORRIDO!$E$6:$E$5005,BW$7)+IF(BW$7&gt;PARAMETROS!$C$12,IF($H28&gt;0,$G28*CURVA!BW28/$H28,0)*BW$6,0))</f>
        <v>0</v>
      </c>
      <c r="BX28" s="19" t="n">
        <f aca="false">IF($B28="",0,SUMIFS(INCORRIDO!$C$6:$C$5005,INCORRIDO!$D$6:$D$5005,$B28,INCORRIDO!$E$6:$E$5005,BX$7)+IF(BX$7&gt;PARAMETROS!$C$12,IF($H28&gt;0,$G28*CURVA!BX28/$H28,0)*BX$6,0))</f>
        <v>0</v>
      </c>
      <c r="BY28" s="19" t="n">
        <f aca="false">IF($B28="",0,SUMIFS(INCORRIDO!$C$6:$C$5005,INCORRIDO!$D$6:$D$5005,$B28,INCORRIDO!$E$6:$E$5005,BY$7)+IF(BY$7&gt;PARAMETROS!$C$12,IF($H28&gt;0,$G28*CURVA!BY28/$H28,0)*BY$6,0))</f>
        <v>0</v>
      </c>
      <c r="BZ28" s="19" t="n">
        <f aca="false">IF($B28="",0,SUMIFS(INCORRIDO!$C$6:$C$5005,INCORRIDO!$D$6:$D$5005,$B28,INCORRIDO!$E$6:$E$5005,BZ$7)+IF(BZ$7&gt;PARAMETROS!$C$12,IF($H28&gt;0,$G28*CURVA!BZ28/$H28,0)*BZ$6,0))</f>
        <v>0</v>
      </c>
      <c r="CA28" s="19" t="n">
        <f aca="false">IF($B28="",0,SUMIFS(INCORRIDO!$C$6:$C$5005,INCORRIDO!$D$6:$D$5005,$B28,INCORRIDO!$E$6:$E$5005,CA$7)+IF(CA$7&gt;PARAMETROS!$C$12,IF($H28&gt;0,$G28*CURVA!CA28/$H28,0)*CA$6,0))</f>
        <v>0</v>
      </c>
      <c r="CB28" s="19" t="n">
        <f aca="false">IF($B28="",0,SUMIFS(INCORRIDO!$C$6:$C$5005,INCORRIDO!$D$6:$D$5005,$B28,INCORRIDO!$E$6:$E$5005,CB$7)+IF(CB$7&gt;PARAMETROS!$C$12,IF($H28&gt;0,$G28*CURVA!CB28/$H28,0)*CB$6,0))</f>
        <v>0</v>
      </c>
      <c r="CC28" s="19" t="n">
        <f aca="false">IF($B28="",0,SUMIFS(INCORRIDO!$C$6:$C$5005,INCORRIDO!$D$6:$D$5005,$B28,INCORRIDO!$E$6:$E$5005,CC$7)+IF(CC$7&gt;PARAMETROS!$C$12,IF($H28&gt;0,$G28*CURVA!CC28/$H28,0)*CC$6,0))</f>
        <v>0</v>
      </c>
    </row>
    <row r="29" customFormat="false" ht="15" hidden="false" customHeight="false" outlineLevel="0" collapsed="false">
      <c r="A29" s="31" t="str">
        <f aca="false">IF(ORCAMENTO!A27="","",ORCAMENTO!A27)</f>
        <v>22</v>
      </c>
      <c r="B29" s="31" t="str">
        <f aca="false">IF(ORCAMENTO!B27="","",ORCAMENTO!B27)</f>
        <v>INSTALAÇÕES COMBATE INCÊNDIO</v>
      </c>
      <c r="C29" s="31" t="str">
        <f aca="false">IF(ORCAMENTO!C27="","",ORCAMENTO!C27)</f>
        <v>SISTEMAS E VEDAÇÕES</v>
      </c>
      <c r="D29" s="32" t="n">
        <f aca="false">IF($B29="",0,ORCAMENTO!E27)</f>
        <v>823490.46</v>
      </c>
      <c r="E29" s="19" t="n">
        <f aca="false">IF($B29="",0,SUMIFS(INCORRIDO!$C$6:$C$5005,INCORRIDO!$D$6:$D$5005,$B29,INCORRIDO!$E$6:$E$5005,"&lt;="&amp;PARAMETROS!$C$12))</f>
        <v>0</v>
      </c>
      <c r="F29" s="19" t="n">
        <f aca="false">IF($B29="",0,SUMIFS(INCORRIDO!$C$6:$C$5005,INCORRIDO!$D$6:$D$5005,$B29,INCORRIDO!$E$6:$E$5005,"&gt;"&amp;PARAMETROS!$C$12))</f>
        <v>0</v>
      </c>
      <c r="G29" s="19" t="n">
        <f aca="false">MAX(0,D29-E29-F29)</f>
        <v>823490.46</v>
      </c>
      <c r="H29" s="32" t="n">
        <f aca="false">CURVA!H29</f>
        <v>823490.46</v>
      </c>
      <c r="I29" s="19" t="n">
        <f aca="false">SUM(J29:CC29)</f>
        <v>823490.46</v>
      </c>
      <c r="J29" s="19" t="n">
        <f aca="false">IF($B29="",0,SUMIFS(INCORRIDO!$C$6:$C$5005,INCORRIDO!$D$6:$D$5005,$B29,INCORRIDO!$E$6:$E$5005,"&lt;="&amp;J$7)+IF(J$7&gt;PARAMETROS!$C$12,IF($H29&gt;0,$G29*CURVA!J29/$H29,0)*J$6,0))</f>
        <v>0</v>
      </c>
      <c r="K29" s="19" t="n">
        <f aca="false">IF($B29="",0,SUMIFS(INCORRIDO!$C$6:$C$5005,INCORRIDO!$D$6:$D$5005,$B29,INCORRIDO!$E$6:$E$5005,K$7)+IF(K$7&gt;PARAMETROS!$C$12,IF($H29&gt;0,$G29*CURVA!K29/$H29,0)*K$6,0))</f>
        <v>0</v>
      </c>
      <c r="L29" s="19" t="n">
        <f aca="false">IF($B29="",0,SUMIFS(INCORRIDO!$C$6:$C$5005,INCORRIDO!$D$6:$D$5005,$B29,INCORRIDO!$E$6:$E$5005,L$7)+IF(L$7&gt;PARAMETROS!$C$12,IF($H29&gt;0,$G29*CURVA!L29/$H29,0)*L$6,0))</f>
        <v>0</v>
      </c>
      <c r="M29" s="19" t="n">
        <f aca="false">IF($B29="",0,SUMIFS(INCORRIDO!$C$6:$C$5005,INCORRIDO!$D$6:$D$5005,$B29,INCORRIDO!$E$6:$E$5005,M$7)+IF(M$7&gt;PARAMETROS!$C$12,IF($H29&gt;0,$G29*CURVA!M29/$H29,0)*M$6,0))</f>
        <v>0</v>
      </c>
      <c r="N29" s="19" t="n">
        <f aca="false">IF($B29="",0,SUMIFS(INCORRIDO!$C$6:$C$5005,INCORRIDO!$D$6:$D$5005,$B29,INCORRIDO!$E$6:$E$5005,N$7)+IF(N$7&gt;PARAMETROS!$C$12,IF($H29&gt;0,$G29*CURVA!N29/$H29,0)*N$6,0))</f>
        <v>0</v>
      </c>
      <c r="O29" s="19" t="n">
        <f aca="false">IF($B29="",0,SUMIFS(INCORRIDO!$C$6:$C$5005,INCORRIDO!$D$6:$D$5005,$B29,INCORRIDO!$E$6:$E$5005,O$7)+IF(O$7&gt;PARAMETROS!$C$12,IF($H29&gt;0,$G29*CURVA!O29/$H29,0)*O$6,0))</f>
        <v>0</v>
      </c>
      <c r="P29" s="19" t="n">
        <f aca="false">IF($B29="",0,SUMIFS(INCORRIDO!$C$6:$C$5005,INCORRIDO!$D$6:$D$5005,$B29,INCORRIDO!$E$6:$E$5005,P$7)+IF(P$7&gt;PARAMETROS!$C$12,IF($H29&gt;0,$G29*CURVA!P29/$H29,0)*P$6,0))</f>
        <v>0</v>
      </c>
      <c r="Q29" s="19" t="n">
        <f aca="false">IF($B29="",0,SUMIFS(INCORRIDO!$C$6:$C$5005,INCORRIDO!$D$6:$D$5005,$B29,INCORRIDO!$E$6:$E$5005,Q$7)+IF(Q$7&gt;PARAMETROS!$C$12,IF($H29&gt;0,$G29*CURVA!Q29/$H29,0)*Q$6,0))</f>
        <v>0</v>
      </c>
      <c r="R29" s="19" t="n">
        <f aca="false">IF($B29="",0,SUMIFS(INCORRIDO!$C$6:$C$5005,INCORRIDO!$D$6:$D$5005,$B29,INCORRIDO!$E$6:$E$5005,R$7)+IF(R$7&gt;PARAMETROS!$C$12,IF($H29&gt;0,$G29*CURVA!R29/$H29,0)*R$6,0))</f>
        <v>0</v>
      </c>
      <c r="S29" s="19" t="n">
        <f aca="false">IF($B29="",0,SUMIFS(INCORRIDO!$C$6:$C$5005,INCORRIDO!$D$6:$D$5005,$B29,INCORRIDO!$E$6:$E$5005,S$7)+IF(S$7&gt;PARAMETROS!$C$12,IF($H29&gt;0,$G29*CURVA!S29/$H29,0)*S$6,0))</f>
        <v>0</v>
      </c>
      <c r="T29" s="19" t="n">
        <f aca="false">IF($B29="",0,SUMIFS(INCORRIDO!$C$6:$C$5005,INCORRIDO!$D$6:$D$5005,$B29,INCORRIDO!$E$6:$E$5005,T$7)+IF(T$7&gt;PARAMETROS!$C$12,IF($H29&gt;0,$G29*CURVA!T29/$H29,0)*T$6,0))</f>
        <v>0</v>
      </c>
      <c r="U29" s="19" t="n">
        <f aca="false">IF($B29="",0,SUMIFS(INCORRIDO!$C$6:$C$5005,INCORRIDO!$D$6:$D$5005,$B29,INCORRIDO!$E$6:$E$5005,U$7)+IF(U$7&gt;PARAMETROS!$C$12,IF($H29&gt;0,$G29*CURVA!U29/$H29,0)*U$6,0))</f>
        <v>0</v>
      </c>
      <c r="V29" s="19" t="n">
        <f aca="false">IF($B29="",0,SUMIFS(INCORRIDO!$C$6:$C$5005,INCORRIDO!$D$6:$D$5005,$B29,INCORRIDO!$E$6:$E$5005,V$7)+IF(V$7&gt;PARAMETROS!$C$12,IF($H29&gt;0,$G29*CURVA!V29/$H29,0)*V$6,0))</f>
        <v>0</v>
      </c>
      <c r="W29" s="19" t="n">
        <f aca="false">IF($B29="",0,SUMIFS(INCORRIDO!$C$6:$C$5005,INCORRIDO!$D$6:$D$5005,$B29,INCORRIDO!$E$6:$E$5005,W$7)+IF(W$7&gt;PARAMETROS!$C$12,IF($H29&gt;0,$G29*CURVA!W29/$H29,0)*W$6,0))</f>
        <v>0</v>
      </c>
      <c r="X29" s="19" t="n">
        <f aca="false">IF($B29="",0,SUMIFS(INCORRIDO!$C$6:$C$5005,INCORRIDO!$D$6:$D$5005,$B29,INCORRIDO!$E$6:$E$5005,X$7)+IF(X$7&gt;PARAMETROS!$C$12,IF($H29&gt;0,$G29*CURVA!X29/$H29,0)*X$6,0))</f>
        <v>0</v>
      </c>
      <c r="Y29" s="19" t="n">
        <f aca="false">IF($B29="",0,SUMIFS(INCORRIDO!$C$6:$C$5005,INCORRIDO!$D$6:$D$5005,$B29,INCORRIDO!$E$6:$E$5005,Y$7)+IF(Y$7&gt;PARAMETROS!$C$12,IF($H29&gt;0,$G29*CURVA!Y29/$H29,0)*Y$6,0))</f>
        <v>0</v>
      </c>
      <c r="Z29" s="19" t="n">
        <f aca="false">IF($B29="",0,SUMIFS(INCORRIDO!$C$6:$C$5005,INCORRIDO!$D$6:$D$5005,$B29,INCORRIDO!$E$6:$E$5005,Z$7)+IF(Z$7&gt;PARAMETROS!$C$12,IF($H29&gt;0,$G29*CURVA!Z29/$H29,0)*Z$6,0))</f>
        <v>0</v>
      </c>
      <c r="AA29" s="19" t="n">
        <f aca="false">IF($B29="",0,SUMIFS(INCORRIDO!$C$6:$C$5005,INCORRIDO!$D$6:$D$5005,$B29,INCORRIDO!$E$6:$E$5005,AA$7)+IF(AA$7&gt;PARAMETROS!$C$12,IF($H29&gt;0,$G29*CURVA!AA29/$H29,0)*AA$6,0))</f>
        <v>0</v>
      </c>
      <c r="AB29" s="19" t="n">
        <f aca="false">IF($B29="",0,SUMIFS(INCORRIDO!$C$6:$C$5005,INCORRIDO!$D$6:$D$5005,$B29,INCORRIDO!$E$6:$E$5005,AB$7)+IF(AB$7&gt;PARAMETROS!$C$12,IF($H29&gt;0,$G29*CURVA!AB29/$H29,0)*AB$6,0))</f>
        <v>0</v>
      </c>
      <c r="AC29" s="19" t="n">
        <f aca="false">IF($B29="",0,SUMIFS(INCORRIDO!$C$6:$C$5005,INCORRIDO!$D$6:$D$5005,$B29,INCORRIDO!$E$6:$E$5005,AC$7)+IF(AC$7&gt;PARAMETROS!$C$12,IF($H29&gt;0,$G29*CURVA!AC29/$H29,0)*AC$6,0))</f>
        <v>0</v>
      </c>
      <c r="AD29" s="19" t="n">
        <f aca="false">IF($B29="",0,SUMIFS(INCORRIDO!$C$6:$C$5005,INCORRIDO!$D$6:$D$5005,$B29,INCORRIDO!$E$6:$E$5005,AD$7)+IF(AD$7&gt;PARAMETROS!$C$12,IF($H29&gt;0,$G29*CURVA!AD29/$H29,0)*AD$6,0))</f>
        <v>0</v>
      </c>
      <c r="AE29" s="19" t="n">
        <f aca="false">IF($B29="",0,SUMIFS(INCORRIDO!$C$6:$C$5005,INCORRIDO!$D$6:$D$5005,$B29,INCORRIDO!$E$6:$E$5005,AE$7)+IF(AE$7&gt;PARAMETROS!$C$12,IF($H29&gt;0,$G29*CURVA!AE29/$H29,0)*AE$6,0))</f>
        <v>0</v>
      </c>
      <c r="AF29" s="19" t="n">
        <f aca="false">IF($B29="",0,SUMIFS(INCORRIDO!$C$6:$C$5005,INCORRIDO!$D$6:$D$5005,$B29,INCORRIDO!$E$6:$E$5005,AF$7)+IF(AF$7&gt;PARAMETROS!$C$12,IF($H29&gt;0,$G29*CURVA!AF29/$H29,0)*AF$6,0))</f>
        <v>0</v>
      </c>
      <c r="AG29" s="19" t="n">
        <f aca="false">IF($B29="",0,SUMIFS(INCORRIDO!$C$6:$C$5005,INCORRIDO!$D$6:$D$5005,$B29,INCORRIDO!$E$6:$E$5005,AG$7)+IF(AG$7&gt;PARAMETROS!$C$12,IF($H29&gt;0,$G29*CURVA!AG29/$H29,0)*AG$6,0))</f>
        <v>0</v>
      </c>
      <c r="AH29" s="19" t="n">
        <f aca="false">IF($B29="",0,SUMIFS(INCORRIDO!$C$6:$C$5005,INCORRIDO!$D$6:$D$5005,$B29,INCORRIDO!$E$6:$E$5005,AH$7)+IF(AH$7&gt;PARAMETROS!$C$12,IF($H29&gt;0,$G29*CURVA!AH29/$H29,0)*AH$6,0))</f>
        <v>0</v>
      </c>
      <c r="AI29" s="19" t="n">
        <f aca="false">IF($B29="",0,SUMIFS(INCORRIDO!$C$6:$C$5005,INCORRIDO!$D$6:$D$5005,$B29,INCORRIDO!$E$6:$E$5005,AI$7)+IF(AI$7&gt;PARAMETROS!$C$12,IF($H29&gt;0,$G29*CURVA!AI29/$H29,0)*AI$6,0))</f>
        <v>0</v>
      </c>
      <c r="AJ29" s="19" t="n">
        <f aca="false">IF($B29="",0,SUMIFS(INCORRIDO!$C$6:$C$5005,INCORRIDO!$D$6:$D$5005,$B29,INCORRIDO!$E$6:$E$5005,AJ$7)+IF(AJ$7&gt;PARAMETROS!$C$12,IF($H29&gt;0,$G29*CURVA!AJ29/$H29,0)*AJ$6,0))</f>
        <v>0</v>
      </c>
      <c r="AK29" s="19" t="n">
        <f aca="false">IF($B29="",0,SUMIFS(INCORRIDO!$C$6:$C$5005,INCORRIDO!$D$6:$D$5005,$B29,INCORRIDO!$E$6:$E$5005,AK$7)+IF(AK$7&gt;PARAMETROS!$C$12,IF($H29&gt;0,$G29*CURVA!AK29/$H29,0)*AK$6,0))</f>
        <v>0</v>
      </c>
      <c r="AL29" s="19" t="n">
        <f aca="false">IF($B29="",0,SUMIFS(INCORRIDO!$C$6:$C$5005,INCORRIDO!$D$6:$D$5005,$B29,INCORRIDO!$E$6:$E$5005,AL$7)+IF(AL$7&gt;PARAMETROS!$C$12,IF($H29&gt;0,$G29*CURVA!AL29/$H29,0)*AL$6,0))</f>
        <v>4858.59</v>
      </c>
      <c r="AM29" s="19" t="n">
        <f aca="false">IF($B29="",0,SUMIFS(INCORRIDO!$C$6:$C$5005,INCORRIDO!$D$6:$D$5005,$B29,INCORRIDO!$E$6:$E$5005,AM$7)+IF(AM$7&gt;PARAMETROS!$C$12,IF($H29&gt;0,$G29*CURVA!AM29/$H29,0)*AM$6,0))</f>
        <v>51303.46</v>
      </c>
      <c r="AN29" s="19" t="n">
        <f aca="false">IF($B29="",0,SUMIFS(INCORRIDO!$C$6:$C$5005,INCORRIDO!$D$6:$D$5005,$B29,INCORRIDO!$E$6:$E$5005,AN$7)+IF(AN$7&gt;PARAMETROS!$C$12,IF($H29&gt;0,$G29*CURVA!AN29/$H29,0)*AN$6,0))</f>
        <v>48915.33</v>
      </c>
      <c r="AO29" s="19" t="n">
        <f aca="false">IF($B29="",0,SUMIFS(INCORRIDO!$C$6:$C$5005,INCORRIDO!$D$6:$D$5005,$B29,INCORRIDO!$E$6:$E$5005,AO$7)+IF(AO$7&gt;PARAMETROS!$C$12,IF($H29&gt;0,$G29*CURVA!AO29/$H29,0)*AO$6,0))</f>
        <v>53691.58</v>
      </c>
      <c r="AP29" s="19" t="n">
        <f aca="false">IF($B29="",0,SUMIFS(INCORRIDO!$C$6:$C$5005,INCORRIDO!$D$6:$D$5005,$B29,INCORRIDO!$E$6:$E$5005,AP$7)+IF(AP$7&gt;PARAMETROS!$C$12,IF($H29&gt;0,$G29*CURVA!AP29/$H29,0)*AP$6,0))</f>
        <v>57973.73</v>
      </c>
      <c r="AQ29" s="19" t="n">
        <f aca="false">IF($B29="",0,SUMIFS(INCORRIDO!$C$6:$C$5005,INCORRIDO!$D$6:$D$5005,$B29,INCORRIDO!$E$6:$E$5005,AQ$7)+IF(AQ$7&gt;PARAMETROS!$C$12,IF($H29&gt;0,$G29*CURVA!AQ29/$H29,0)*AQ$6,0))</f>
        <v>62667.62</v>
      </c>
      <c r="AR29" s="19" t="n">
        <f aca="false">IF($B29="",0,SUMIFS(INCORRIDO!$C$6:$C$5005,INCORRIDO!$D$6:$D$5005,$B29,INCORRIDO!$E$6:$E$5005,AR$7)+IF(AR$7&gt;PARAMETROS!$C$12,IF($H29&gt;0,$G29*CURVA!AR29/$H29,0)*AR$6,0))</f>
        <v>58632.52</v>
      </c>
      <c r="AS29" s="19" t="n">
        <f aca="false">IF($B29="",0,SUMIFS(INCORRIDO!$C$6:$C$5005,INCORRIDO!$D$6:$D$5005,$B29,INCORRIDO!$E$6:$E$5005,AS$7)+IF(AS$7&gt;PARAMETROS!$C$12,IF($H29&gt;0,$G29*CURVA!AS29/$H29,0)*AS$6,0))</f>
        <v>70490.78</v>
      </c>
      <c r="AT29" s="19" t="n">
        <f aca="false">IF($B29="",0,SUMIFS(INCORRIDO!$C$6:$C$5005,INCORRIDO!$D$6:$D$5005,$B29,INCORRIDO!$E$6:$E$5005,AT$7)+IF(AT$7&gt;PARAMETROS!$C$12,IF($H29&gt;0,$G29*CURVA!AT29/$H29,0)*AT$6,0))</f>
        <v>67773.27</v>
      </c>
      <c r="AU29" s="19" t="n">
        <f aca="false">IF($B29="",0,SUMIFS(INCORRIDO!$C$6:$C$5005,INCORRIDO!$D$6:$D$5005,$B29,INCORRIDO!$E$6:$E$5005,AU$7)+IF(AU$7&gt;PARAMETROS!$C$12,IF($H29&gt;0,$G29*CURVA!AU29/$H29,0)*AU$6,0))</f>
        <v>60444.2</v>
      </c>
      <c r="AV29" s="19" t="n">
        <f aca="false">IF($B29="",0,SUMIFS(INCORRIDO!$C$6:$C$5005,INCORRIDO!$D$6:$D$5005,$B29,INCORRIDO!$E$6:$E$5005,AV$7)+IF(AV$7&gt;PARAMETROS!$C$12,IF($H29&gt;0,$G29*CURVA!AV29/$H29,0)*AV$6,0))</f>
        <v>60526.55</v>
      </c>
      <c r="AW29" s="19" t="n">
        <f aca="false">IF($B29="",0,SUMIFS(INCORRIDO!$C$6:$C$5005,INCORRIDO!$D$6:$D$5005,$B29,INCORRIDO!$E$6:$E$5005,AW$7)+IF(AW$7&gt;PARAMETROS!$C$12,IF($H29&gt;0,$G29*CURVA!AW29/$H29,0)*AW$6,0))</f>
        <v>68349.71</v>
      </c>
      <c r="AX29" s="19" t="n">
        <f aca="false">IF($B29="",0,SUMIFS(INCORRIDO!$C$6:$C$5005,INCORRIDO!$D$6:$D$5005,$B29,INCORRIDO!$E$6:$E$5005,AX$7)+IF(AX$7&gt;PARAMETROS!$C$12,IF($H29&gt;0,$G29*CURVA!AX29/$H29,0)*AX$6,0))</f>
        <v>85807.71</v>
      </c>
      <c r="AY29" s="19" t="n">
        <f aca="false">IF($B29="",0,SUMIFS(INCORRIDO!$C$6:$C$5005,INCORRIDO!$D$6:$D$5005,$B29,INCORRIDO!$E$6:$E$5005,AY$7)+IF(AY$7&gt;PARAMETROS!$C$12,IF($H29&gt;0,$G29*CURVA!AY29/$H29,0)*AY$6,0))</f>
        <v>33186.67</v>
      </c>
      <c r="AZ29" s="19" t="n">
        <f aca="false">IF($B29="",0,SUMIFS(INCORRIDO!$C$6:$C$5005,INCORRIDO!$D$6:$D$5005,$B29,INCORRIDO!$E$6:$E$5005,AZ$7)+IF(AZ$7&gt;PARAMETROS!$C$12,IF($H29&gt;0,$G29*CURVA!AZ29/$H29,0)*AZ$6,0))</f>
        <v>7905.51</v>
      </c>
      <c r="BA29" s="19" t="n">
        <f aca="false">IF($B29="",0,SUMIFS(INCORRIDO!$C$6:$C$5005,INCORRIDO!$D$6:$D$5005,$B29,INCORRIDO!$E$6:$E$5005,BA$7)+IF(BA$7&gt;PARAMETROS!$C$12,IF($H29&gt;0,$G29*CURVA!BA29/$H29,0)*BA$6,0))</f>
        <v>15234.57</v>
      </c>
      <c r="BB29" s="19" t="n">
        <f aca="false">IF($B29="",0,SUMIFS(INCORRIDO!$C$6:$C$5005,INCORRIDO!$D$6:$D$5005,$B29,INCORRIDO!$E$6:$E$5005,BB$7)+IF(BB$7&gt;PARAMETROS!$C$12,IF($H29&gt;0,$G29*CURVA!BB29/$H29,0)*BB$6,0))</f>
        <v>2305.77</v>
      </c>
      <c r="BC29" s="19" t="n">
        <f aca="false">IF($B29="",0,SUMIFS(INCORRIDO!$C$6:$C$5005,INCORRIDO!$D$6:$D$5005,$B29,INCORRIDO!$E$6:$E$5005,BC$7)+IF(BC$7&gt;PARAMETROS!$C$12,IF($H29&gt;0,$G29*CURVA!BC29/$H29,0)*BC$6,0))</f>
        <v>2305.77</v>
      </c>
      <c r="BD29" s="19" t="n">
        <f aca="false">IF($B29="",0,SUMIFS(INCORRIDO!$C$6:$C$5005,INCORRIDO!$D$6:$D$5005,$B29,INCORRIDO!$E$6:$E$5005,BD$7)+IF(BD$7&gt;PARAMETROS!$C$12,IF($H29&gt;0,$G29*CURVA!BD29/$H29,0)*BD$6,0))</f>
        <v>2223.42</v>
      </c>
      <c r="BE29" s="19" t="n">
        <f aca="false">IF($B29="",0,SUMIFS(INCORRIDO!$C$6:$C$5005,INCORRIDO!$D$6:$D$5005,$B29,INCORRIDO!$E$6:$E$5005,BE$7)+IF(BE$7&gt;PARAMETROS!$C$12,IF($H29&gt;0,$G29*CURVA!BE29/$H29,0)*BE$6,0))</f>
        <v>2305.77</v>
      </c>
      <c r="BF29" s="19" t="n">
        <f aca="false">IF($B29="",0,SUMIFS(INCORRIDO!$C$6:$C$5005,INCORRIDO!$D$6:$D$5005,$B29,INCORRIDO!$E$6:$E$5005,BF$7)+IF(BF$7&gt;PARAMETROS!$C$12,IF($H29&gt;0,$G29*CURVA!BF29/$H29,0)*BF$6,0))</f>
        <v>2223.42</v>
      </c>
      <c r="BG29" s="19" t="n">
        <f aca="false">IF($B29="",0,SUMIFS(INCORRIDO!$C$6:$C$5005,INCORRIDO!$D$6:$D$5005,$B29,INCORRIDO!$E$6:$E$5005,BG$7)+IF(BG$7&gt;PARAMETROS!$C$12,IF($H29&gt;0,$G29*CURVA!BG29/$H29,0)*BG$6,0))</f>
        <v>1894.03</v>
      </c>
      <c r="BH29" s="19" t="n">
        <f aca="false">IF($B29="",0,SUMIFS(INCORRIDO!$C$6:$C$5005,INCORRIDO!$D$6:$D$5005,$B29,INCORRIDO!$E$6:$E$5005,BH$7)+IF(BH$7&gt;PARAMETROS!$C$12,IF($H29&gt;0,$G29*CURVA!BH29/$H29,0)*BH$6,0))</f>
        <v>2141.08</v>
      </c>
      <c r="BI29" s="19" t="n">
        <f aca="false">IF($B29="",0,SUMIFS(INCORRIDO!$C$6:$C$5005,INCORRIDO!$D$6:$D$5005,$B29,INCORRIDO!$E$6:$E$5005,BI$7)+IF(BI$7&gt;PARAMETROS!$C$12,IF($H29&gt;0,$G29*CURVA!BI29/$H29,0)*BI$6,0))</f>
        <v>329.4</v>
      </c>
      <c r="BJ29" s="19" t="n">
        <f aca="false">IF($B29="",0,SUMIFS(INCORRIDO!$C$6:$C$5005,INCORRIDO!$D$6:$D$5005,$B29,INCORRIDO!$E$6:$E$5005,BJ$7)+IF(BJ$7&gt;PARAMETROS!$C$12,IF($H29&gt;0,$G29*CURVA!BJ29/$H29,0)*BJ$6,0))</f>
        <v>0</v>
      </c>
      <c r="BK29" s="19" t="n">
        <f aca="false">IF($B29="",0,SUMIFS(INCORRIDO!$C$6:$C$5005,INCORRIDO!$D$6:$D$5005,$B29,INCORRIDO!$E$6:$E$5005,BK$7)+IF(BK$7&gt;PARAMETROS!$C$12,IF($H29&gt;0,$G29*CURVA!BK29/$H29,0)*BK$6,0))</f>
        <v>0</v>
      </c>
      <c r="BL29" s="19" t="n">
        <f aca="false">IF($B29="",0,SUMIFS(INCORRIDO!$C$6:$C$5005,INCORRIDO!$D$6:$D$5005,$B29,INCORRIDO!$E$6:$E$5005,BL$7)+IF(BL$7&gt;PARAMETROS!$C$12,IF($H29&gt;0,$G29*CURVA!BL29/$H29,0)*BL$6,0))</f>
        <v>0</v>
      </c>
      <c r="BM29" s="19" t="n">
        <f aca="false">IF($B29="",0,SUMIFS(INCORRIDO!$C$6:$C$5005,INCORRIDO!$D$6:$D$5005,$B29,INCORRIDO!$E$6:$E$5005,BM$7)+IF(BM$7&gt;PARAMETROS!$C$12,IF($H29&gt;0,$G29*CURVA!BM29/$H29,0)*BM$6,0))</f>
        <v>0</v>
      </c>
      <c r="BN29" s="19" t="n">
        <f aca="false">IF($B29="",0,SUMIFS(INCORRIDO!$C$6:$C$5005,INCORRIDO!$D$6:$D$5005,$B29,INCORRIDO!$E$6:$E$5005,BN$7)+IF(BN$7&gt;PARAMETROS!$C$12,IF($H29&gt;0,$G29*CURVA!BN29/$H29,0)*BN$6,0))</f>
        <v>0</v>
      </c>
      <c r="BO29" s="19" t="n">
        <f aca="false">IF($B29="",0,SUMIFS(INCORRIDO!$C$6:$C$5005,INCORRIDO!$D$6:$D$5005,$B29,INCORRIDO!$E$6:$E$5005,BO$7)+IF(BO$7&gt;PARAMETROS!$C$12,IF($H29&gt;0,$G29*CURVA!BO29/$H29,0)*BO$6,0))</f>
        <v>0</v>
      </c>
      <c r="BP29" s="19" t="n">
        <f aca="false">IF($B29="",0,SUMIFS(INCORRIDO!$C$6:$C$5005,INCORRIDO!$D$6:$D$5005,$B29,INCORRIDO!$E$6:$E$5005,BP$7)+IF(BP$7&gt;PARAMETROS!$C$12,IF($H29&gt;0,$G29*CURVA!BP29/$H29,0)*BP$6,0))</f>
        <v>0</v>
      </c>
      <c r="BQ29" s="19" t="n">
        <f aca="false">IF($B29="",0,SUMIFS(INCORRIDO!$C$6:$C$5005,INCORRIDO!$D$6:$D$5005,$B29,INCORRIDO!$E$6:$E$5005,BQ$7)+IF(BQ$7&gt;PARAMETROS!$C$12,IF($H29&gt;0,$G29*CURVA!BQ29/$H29,0)*BQ$6,0))</f>
        <v>0</v>
      </c>
      <c r="BR29" s="19" t="n">
        <f aca="false">IF($B29="",0,SUMIFS(INCORRIDO!$C$6:$C$5005,INCORRIDO!$D$6:$D$5005,$B29,INCORRIDO!$E$6:$E$5005,BR$7)+IF(BR$7&gt;PARAMETROS!$C$12,IF($H29&gt;0,$G29*CURVA!BR29/$H29,0)*BR$6,0))</f>
        <v>0</v>
      </c>
      <c r="BS29" s="19" t="n">
        <f aca="false">IF($B29="",0,SUMIFS(INCORRIDO!$C$6:$C$5005,INCORRIDO!$D$6:$D$5005,$B29,INCORRIDO!$E$6:$E$5005,BS$7)+IF(BS$7&gt;PARAMETROS!$C$12,IF($H29&gt;0,$G29*CURVA!BS29/$H29,0)*BS$6,0))</f>
        <v>0</v>
      </c>
      <c r="BT29" s="19" t="n">
        <f aca="false">IF($B29="",0,SUMIFS(INCORRIDO!$C$6:$C$5005,INCORRIDO!$D$6:$D$5005,$B29,INCORRIDO!$E$6:$E$5005,BT$7)+IF(BT$7&gt;PARAMETROS!$C$12,IF($H29&gt;0,$G29*CURVA!BT29/$H29,0)*BT$6,0))</f>
        <v>0</v>
      </c>
      <c r="BU29" s="19" t="n">
        <f aca="false">IF($B29="",0,SUMIFS(INCORRIDO!$C$6:$C$5005,INCORRIDO!$D$6:$D$5005,$B29,INCORRIDO!$E$6:$E$5005,BU$7)+IF(BU$7&gt;PARAMETROS!$C$12,IF($H29&gt;0,$G29*CURVA!BU29/$H29,0)*BU$6,0))</f>
        <v>0</v>
      </c>
      <c r="BV29" s="19" t="n">
        <f aca="false">IF($B29="",0,SUMIFS(INCORRIDO!$C$6:$C$5005,INCORRIDO!$D$6:$D$5005,$B29,INCORRIDO!$E$6:$E$5005,BV$7)+IF(BV$7&gt;PARAMETROS!$C$12,IF($H29&gt;0,$G29*CURVA!BV29/$H29,0)*BV$6,0))</f>
        <v>0</v>
      </c>
      <c r="BW29" s="19" t="n">
        <f aca="false">IF($B29="",0,SUMIFS(INCORRIDO!$C$6:$C$5005,INCORRIDO!$D$6:$D$5005,$B29,INCORRIDO!$E$6:$E$5005,BW$7)+IF(BW$7&gt;PARAMETROS!$C$12,IF($H29&gt;0,$G29*CURVA!BW29/$H29,0)*BW$6,0))</f>
        <v>0</v>
      </c>
      <c r="BX29" s="19" t="n">
        <f aca="false">IF($B29="",0,SUMIFS(INCORRIDO!$C$6:$C$5005,INCORRIDO!$D$6:$D$5005,$B29,INCORRIDO!$E$6:$E$5005,BX$7)+IF(BX$7&gt;PARAMETROS!$C$12,IF($H29&gt;0,$G29*CURVA!BX29/$H29,0)*BX$6,0))</f>
        <v>0</v>
      </c>
      <c r="BY29" s="19" t="n">
        <f aca="false">IF($B29="",0,SUMIFS(INCORRIDO!$C$6:$C$5005,INCORRIDO!$D$6:$D$5005,$B29,INCORRIDO!$E$6:$E$5005,BY$7)+IF(BY$7&gt;PARAMETROS!$C$12,IF($H29&gt;0,$G29*CURVA!BY29/$H29,0)*BY$6,0))</f>
        <v>0</v>
      </c>
      <c r="BZ29" s="19" t="n">
        <f aca="false">IF($B29="",0,SUMIFS(INCORRIDO!$C$6:$C$5005,INCORRIDO!$D$6:$D$5005,$B29,INCORRIDO!$E$6:$E$5005,BZ$7)+IF(BZ$7&gt;PARAMETROS!$C$12,IF($H29&gt;0,$G29*CURVA!BZ29/$H29,0)*BZ$6,0))</f>
        <v>0</v>
      </c>
      <c r="CA29" s="19" t="n">
        <f aca="false">IF($B29="",0,SUMIFS(INCORRIDO!$C$6:$C$5005,INCORRIDO!$D$6:$D$5005,$B29,INCORRIDO!$E$6:$E$5005,CA$7)+IF(CA$7&gt;PARAMETROS!$C$12,IF($H29&gt;0,$G29*CURVA!CA29/$H29,0)*CA$6,0))</f>
        <v>0</v>
      </c>
      <c r="CB29" s="19" t="n">
        <f aca="false">IF($B29="",0,SUMIFS(INCORRIDO!$C$6:$C$5005,INCORRIDO!$D$6:$D$5005,$B29,INCORRIDO!$E$6:$E$5005,CB$7)+IF(CB$7&gt;PARAMETROS!$C$12,IF($H29&gt;0,$G29*CURVA!CB29/$H29,0)*CB$6,0))</f>
        <v>0</v>
      </c>
      <c r="CC29" s="19" t="n">
        <f aca="false">IF($B29="",0,SUMIFS(INCORRIDO!$C$6:$C$5005,INCORRIDO!$D$6:$D$5005,$B29,INCORRIDO!$E$6:$E$5005,CC$7)+IF(CC$7&gt;PARAMETROS!$C$12,IF($H29&gt;0,$G29*CURVA!CC29/$H29,0)*CC$6,0))</f>
        <v>0</v>
      </c>
    </row>
    <row r="30" customFormat="false" ht="15" hidden="false" customHeight="false" outlineLevel="0" collapsed="false">
      <c r="A30" s="31" t="str">
        <f aca="false">IF(ORCAMENTO!A28="","",ORCAMENTO!A28)</f>
        <v>23</v>
      </c>
      <c r="B30" s="31" t="str">
        <f aca="false">IF(ORCAMENTO!B28="","",ORCAMENTO!B28)</f>
        <v>INSTALAÇÕES ESPECIAIS</v>
      </c>
      <c r="C30" s="31" t="str">
        <f aca="false">IF(ORCAMENTO!C28="","",ORCAMENTO!C28)</f>
        <v>SISTEMAS E VEDAÇÕES</v>
      </c>
      <c r="D30" s="32" t="n">
        <f aca="false">IF($B30="",0,ORCAMENTO!E28)</f>
        <v>2828799.66</v>
      </c>
      <c r="E30" s="19" t="n">
        <f aca="false">IF($B30="",0,SUMIFS(INCORRIDO!$C$6:$C$5005,INCORRIDO!$D$6:$D$5005,$B30,INCORRIDO!$E$6:$E$5005,"&lt;="&amp;PARAMETROS!$C$12))</f>
        <v>0</v>
      </c>
      <c r="F30" s="19" t="n">
        <f aca="false">IF($B30="",0,SUMIFS(INCORRIDO!$C$6:$C$5005,INCORRIDO!$D$6:$D$5005,$B30,INCORRIDO!$E$6:$E$5005,"&gt;"&amp;PARAMETROS!$C$12))</f>
        <v>0</v>
      </c>
      <c r="G30" s="19" t="n">
        <f aca="false">MAX(0,D30-E30-F30)</f>
        <v>2828799.66</v>
      </c>
      <c r="H30" s="32" t="n">
        <f aca="false">CURVA!H30</f>
        <v>2828799.65</v>
      </c>
      <c r="I30" s="19" t="n">
        <f aca="false">SUM(J30:CC30)</f>
        <v>2828799.66</v>
      </c>
      <c r="J30" s="19" t="n">
        <f aca="false">IF($B30="",0,SUMIFS(INCORRIDO!$C$6:$C$5005,INCORRIDO!$D$6:$D$5005,$B30,INCORRIDO!$E$6:$E$5005,"&lt;="&amp;J$7)+IF(J$7&gt;PARAMETROS!$C$12,IF($H30&gt;0,$G30*CURVA!J30/$H30,0)*J$6,0))</f>
        <v>0</v>
      </c>
      <c r="K30" s="19" t="n">
        <f aca="false">IF($B30="",0,SUMIFS(INCORRIDO!$C$6:$C$5005,INCORRIDO!$D$6:$D$5005,$B30,INCORRIDO!$E$6:$E$5005,K$7)+IF(K$7&gt;PARAMETROS!$C$12,IF($H30&gt;0,$G30*CURVA!K30/$H30,0)*K$6,0))</f>
        <v>0</v>
      </c>
      <c r="L30" s="19" t="n">
        <f aca="false">IF($B30="",0,SUMIFS(INCORRIDO!$C$6:$C$5005,INCORRIDO!$D$6:$D$5005,$B30,INCORRIDO!$E$6:$E$5005,L$7)+IF(L$7&gt;PARAMETROS!$C$12,IF($H30&gt;0,$G30*CURVA!L30/$H30,0)*L$6,0))</f>
        <v>0</v>
      </c>
      <c r="M30" s="19" t="n">
        <f aca="false">IF($B30="",0,SUMIFS(INCORRIDO!$C$6:$C$5005,INCORRIDO!$D$6:$D$5005,$B30,INCORRIDO!$E$6:$E$5005,M$7)+IF(M$7&gt;PARAMETROS!$C$12,IF($H30&gt;0,$G30*CURVA!M30/$H30,0)*M$6,0))</f>
        <v>0</v>
      </c>
      <c r="N30" s="19" t="n">
        <f aca="false">IF($B30="",0,SUMIFS(INCORRIDO!$C$6:$C$5005,INCORRIDO!$D$6:$D$5005,$B30,INCORRIDO!$E$6:$E$5005,N$7)+IF(N$7&gt;PARAMETROS!$C$12,IF($H30&gt;0,$G30*CURVA!N30/$H30,0)*N$6,0))</f>
        <v>0</v>
      </c>
      <c r="O30" s="19" t="n">
        <f aca="false">IF($B30="",0,SUMIFS(INCORRIDO!$C$6:$C$5005,INCORRIDO!$D$6:$D$5005,$B30,INCORRIDO!$E$6:$E$5005,O$7)+IF(O$7&gt;PARAMETROS!$C$12,IF($H30&gt;0,$G30*CURVA!O30/$H30,0)*O$6,0))</f>
        <v>0</v>
      </c>
      <c r="P30" s="19" t="n">
        <f aca="false">IF($B30="",0,SUMIFS(INCORRIDO!$C$6:$C$5005,INCORRIDO!$D$6:$D$5005,$B30,INCORRIDO!$E$6:$E$5005,P$7)+IF(P$7&gt;PARAMETROS!$C$12,IF($H30&gt;0,$G30*CURVA!P30/$H30,0)*P$6,0))</f>
        <v>0</v>
      </c>
      <c r="Q30" s="19" t="n">
        <f aca="false">IF($B30="",0,SUMIFS(INCORRIDO!$C$6:$C$5005,INCORRIDO!$D$6:$D$5005,$B30,INCORRIDO!$E$6:$E$5005,Q$7)+IF(Q$7&gt;PARAMETROS!$C$12,IF($H30&gt;0,$G30*CURVA!Q30/$H30,0)*Q$6,0))</f>
        <v>0</v>
      </c>
      <c r="R30" s="19" t="n">
        <f aca="false">IF($B30="",0,SUMIFS(INCORRIDO!$C$6:$C$5005,INCORRIDO!$D$6:$D$5005,$B30,INCORRIDO!$E$6:$E$5005,R$7)+IF(R$7&gt;PARAMETROS!$C$12,IF($H30&gt;0,$G30*CURVA!R30/$H30,0)*R$6,0))</f>
        <v>0</v>
      </c>
      <c r="S30" s="19" t="n">
        <f aca="false">IF($B30="",0,SUMIFS(INCORRIDO!$C$6:$C$5005,INCORRIDO!$D$6:$D$5005,$B30,INCORRIDO!$E$6:$E$5005,S$7)+IF(S$7&gt;PARAMETROS!$C$12,IF($H30&gt;0,$G30*CURVA!S30/$H30,0)*S$6,0))</f>
        <v>0</v>
      </c>
      <c r="T30" s="19" t="n">
        <f aca="false">IF($B30="",0,SUMIFS(INCORRIDO!$C$6:$C$5005,INCORRIDO!$D$6:$D$5005,$B30,INCORRIDO!$E$6:$E$5005,T$7)+IF(T$7&gt;PARAMETROS!$C$12,IF($H30&gt;0,$G30*CURVA!T30/$H30,0)*T$6,0))</f>
        <v>0</v>
      </c>
      <c r="U30" s="19" t="n">
        <f aca="false">IF($B30="",0,SUMIFS(INCORRIDO!$C$6:$C$5005,INCORRIDO!$D$6:$D$5005,$B30,INCORRIDO!$E$6:$E$5005,U$7)+IF(U$7&gt;PARAMETROS!$C$12,IF($H30&gt;0,$G30*CURVA!U30/$H30,0)*U$6,0))</f>
        <v>0</v>
      </c>
      <c r="V30" s="19" t="n">
        <f aca="false">IF($B30="",0,SUMIFS(INCORRIDO!$C$6:$C$5005,INCORRIDO!$D$6:$D$5005,$B30,INCORRIDO!$E$6:$E$5005,V$7)+IF(V$7&gt;PARAMETROS!$C$12,IF($H30&gt;0,$G30*CURVA!V30/$H30,0)*V$6,0))</f>
        <v>0</v>
      </c>
      <c r="W30" s="19" t="n">
        <f aca="false">IF($B30="",0,SUMIFS(INCORRIDO!$C$6:$C$5005,INCORRIDO!$D$6:$D$5005,$B30,INCORRIDO!$E$6:$E$5005,W$7)+IF(W$7&gt;PARAMETROS!$C$12,IF($H30&gt;0,$G30*CURVA!W30/$H30,0)*W$6,0))</f>
        <v>0</v>
      </c>
      <c r="X30" s="19" t="n">
        <f aca="false">IF($B30="",0,SUMIFS(INCORRIDO!$C$6:$C$5005,INCORRIDO!$D$6:$D$5005,$B30,INCORRIDO!$E$6:$E$5005,X$7)+IF(X$7&gt;PARAMETROS!$C$12,IF($H30&gt;0,$G30*CURVA!X30/$H30,0)*X$6,0))</f>
        <v>0</v>
      </c>
      <c r="Y30" s="19" t="n">
        <f aca="false">IF($B30="",0,SUMIFS(INCORRIDO!$C$6:$C$5005,INCORRIDO!$D$6:$D$5005,$B30,INCORRIDO!$E$6:$E$5005,Y$7)+IF(Y$7&gt;PARAMETROS!$C$12,IF($H30&gt;0,$G30*CURVA!Y30/$H30,0)*Y$6,0))</f>
        <v>0</v>
      </c>
      <c r="Z30" s="19" t="n">
        <f aca="false">IF($B30="",0,SUMIFS(INCORRIDO!$C$6:$C$5005,INCORRIDO!$D$6:$D$5005,$B30,INCORRIDO!$E$6:$E$5005,Z$7)+IF(Z$7&gt;PARAMETROS!$C$12,IF($H30&gt;0,$G30*CURVA!Z30/$H30,0)*Z$6,0))</f>
        <v>0</v>
      </c>
      <c r="AA30" s="19" t="n">
        <f aca="false">IF($B30="",0,SUMIFS(INCORRIDO!$C$6:$C$5005,INCORRIDO!$D$6:$D$5005,$B30,INCORRIDO!$E$6:$E$5005,AA$7)+IF(AA$7&gt;PARAMETROS!$C$12,IF($H30&gt;0,$G30*CURVA!AA30/$H30,0)*AA$6,0))</f>
        <v>0</v>
      </c>
      <c r="AB30" s="19" t="n">
        <f aca="false">IF($B30="",0,SUMIFS(INCORRIDO!$C$6:$C$5005,INCORRIDO!$D$6:$D$5005,$B30,INCORRIDO!$E$6:$E$5005,AB$7)+IF(AB$7&gt;PARAMETROS!$C$12,IF($H30&gt;0,$G30*CURVA!AB30/$H30,0)*AB$6,0))</f>
        <v>0</v>
      </c>
      <c r="AC30" s="19" t="n">
        <f aca="false">IF($B30="",0,SUMIFS(INCORRIDO!$C$6:$C$5005,INCORRIDO!$D$6:$D$5005,$B30,INCORRIDO!$E$6:$E$5005,AC$7)+IF(AC$7&gt;PARAMETROS!$C$12,IF($H30&gt;0,$G30*CURVA!AC30/$H30,0)*AC$6,0))</f>
        <v>0</v>
      </c>
      <c r="AD30" s="19" t="n">
        <f aca="false">IF($B30="",0,SUMIFS(INCORRIDO!$C$6:$C$5005,INCORRIDO!$D$6:$D$5005,$B30,INCORRIDO!$E$6:$E$5005,AD$7)+IF(AD$7&gt;PARAMETROS!$C$12,IF($H30&gt;0,$G30*CURVA!AD30/$H30,0)*AD$6,0))</f>
        <v>0</v>
      </c>
      <c r="AE30" s="19" t="n">
        <f aca="false">IF($B30="",0,SUMIFS(INCORRIDO!$C$6:$C$5005,INCORRIDO!$D$6:$D$5005,$B30,INCORRIDO!$E$6:$E$5005,AE$7)+IF(AE$7&gt;PARAMETROS!$C$12,IF($H30&gt;0,$G30*CURVA!AE30/$H30,0)*AE$6,0))</f>
        <v>0</v>
      </c>
      <c r="AF30" s="19" t="n">
        <f aca="false">IF($B30="",0,SUMIFS(INCORRIDO!$C$6:$C$5005,INCORRIDO!$D$6:$D$5005,$B30,INCORRIDO!$E$6:$E$5005,AF$7)+IF(AF$7&gt;PARAMETROS!$C$12,IF($H30&gt;0,$G30*CURVA!AF30/$H30,0)*AF$6,0))</f>
        <v>0</v>
      </c>
      <c r="AG30" s="19" t="n">
        <f aca="false">IF($B30="",0,SUMIFS(INCORRIDO!$C$6:$C$5005,INCORRIDO!$D$6:$D$5005,$B30,INCORRIDO!$E$6:$E$5005,AG$7)+IF(AG$7&gt;PARAMETROS!$C$12,IF($H30&gt;0,$G30*CURVA!AG30/$H30,0)*AG$6,0))</f>
        <v>0</v>
      </c>
      <c r="AH30" s="19" t="n">
        <f aca="false">IF($B30="",0,SUMIFS(INCORRIDO!$C$6:$C$5005,INCORRIDO!$D$6:$D$5005,$B30,INCORRIDO!$E$6:$E$5005,AH$7)+IF(AH$7&gt;PARAMETROS!$C$12,IF($H30&gt;0,$G30*CURVA!AH30/$H30,0)*AH$6,0))</f>
        <v>0</v>
      </c>
      <c r="AI30" s="19" t="n">
        <f aca="false">IF($B30="",0,SUMIFS(INCORRIDO!$C$6:$C$5005,INCORRIDO!$D$6:$D$5005,$B30,INCORRIDO!$E$6:$E$5005,AI$7)+IF(AI$7&gt;PARAMETROS!$C$12,IF($H30&gt;0,$G30*CURVA!AI30/$H30,0)*AI$6,0))</f>
        <v>0</v>
      </c>
      <c r="AJ30" s="19" t="n">
        <f aca="false">IF($B30="",0,SUMIFS(INCORRIDO!$C$6:$C$5005,INCORRIDO!$D$6:$D$5005,$B30,INCORRIDO!$E$6:$E$5005,AJ$7)+IF(AJ$7&gt;PARAMETROS!$C$12,IF($H30&gt;0,$G30*CURVA!AJ30/$H30,0)*AJ$6,0))</f>
        <v>0</v>
      </c>
      <c r="AK30" s="19" t="n">
        <f aca="false">IF($B30="",0,SUMIFS(INCORRIDO!$C$6:$C$5005,INCORRIDO!$D$6:$D$5005,$B30,INCORRIDO!$E$6:$E$5005,AK$7)+IF(AK$7&gt;PARAMETROS!$C$12,IF($H30&gt;0,$G30*CURVA!AK30/$H30,0)*AK$6,0))</f>
        <v>0</v>
      </c>
      <c r="AL30" s="19" t="n">
        <f aca="false">IF($B30="",0,SUMIFS(INCORRIDO!$C$6:$C$5005,INCORRIDO!$D$6:$D$5005,$B30,INCORRIDO!$E$6:$E$5005,AL$7)+IF(AL$7&gt;PARAMETROS!$C$12,IF($H30&gt;0,$G30*CURVA!AL30/$H30,0)*AL$6,0))</f>
        <v>0</v>
      </c>
      <c r="AM30" s="19" t="n">
        <f aca="false">IF($B30="",0,SUMIFS(INCORRIDO!$C$6:$C$5005,INCORRIDO!$D$6:$D$5005,$B30,INCORRIDO!$E$6:$E$5005,AM$7)+IF(AM$7&gt;PARAMETROS!$C$12,IF($H30&gt;0,$G30*CURVA!AM30/$H30,0)*AM$6,0))</f>
        <v>0</v>
      </c>
      <c r="AN30" s="19" t="n">
        <f aca="false">IF($B30="",0,SUMIFS(INCORRIDO!$C$6:$C$5005,INCORRIDO!$D$6:$D$5005,$B30,INCORRIDO!$E$6:$E$5005,AN$7)+IF(AN$7&gt;PARAMETROS!$C$12,IF($H30&gt;0,$G30*CURVA!AN30/$H30,0)*AN$6,0))</f>
        <v>0</v>
      </c>
      <c r="AO30" s="19" t="n">
        <f aca="false">IF($B30="",0,SUMIFS(INCORRIDO!$C$6:$C$5005,INCORRIDO!$D$6:$D$5005,$B30,INCORRIDO!$E$6:$E$5005,AO$7)+IF(AO$7&gt;PARAMETROS!$C$12,IF($H30&gt;0,$G30*CURVA!AO30/$H30,0)*AO$6,0))</f>
        <v>15275.520054</v>
      </c>
      <c r="AP30" s="19" t="n">
        <f aca="false">IF($B30="",0,SUMIFS(INCORRIDO!$C$6:$C$5005,INCORRIDO!$D$6:$D$5005,$B30,INCORRIDO!$E$6:$E$5005,AP$7)+IF(AP$7&gt;PARAMETROS!$C$12,IF($H30&gt;0,$G30*CURVA!AP30/$H30,0)*AP$6,0))</f>
        <v>96462.070341</v>
      </c>
      <c r="AQ30" s="19" t="n">
        <f aca="false">IF($B30="",0,SUMIFS(INCORRIDO!$C$6:$C$5005,INCORRIDO!$D$6:$D$5005,$B30,INCORRIDO!$E$6:$E$5005,AQ$7)+IF(AQ$7&gt;PARAMETROS!$C$12,IF($H30&gt;0,$G30*CURVA!AQ30/$H30,0)*AQ$6,0))</f>
        <v>145117.420513</v>
      </c>
      <c r="AR30" s="19" t="n">
        <f aca="false">IF($B30="",0,SUMIFS(INCORRIDO!$C$6:$C$5005,INCORRIDO!$D$6:$D$5005,$B30,INCORRIDO!$E$6:$E$5005,AR$7)+IF(AR$7&gt;PARAMETROS!$C$12,IF($H30&gt;0,$G30*CURVA!AR30/$H30,0)*AR$6,0))</f>
        <v>138894.060491</v>
      </c>
      <c r="AS30" s="19" t="n">
        <f aca="false">IF($B30="",0,SUMIFS(INCORRIDO!$C$6:$C$5005,INCORRIDO!$D$6:$D$5005,$B30,INCORRIDO!$E$6:$E$5005,AS$7)+IF(AS$7&gt;PARAMETROS!$C$12,IF($H30&gt;0,$G30*CURVA!AS30/$H30,0)*AS$6,0))</f>
        <v>143703.020508</v>
      </c>
      <c r="AT30" s="19" t="n">
        <f aca="false">IF($B30="",0,SUMIFS(INCORRIDO!$C$6:$C$5005,INCORRIDO!$D$6:$D$5005,$B30,INCORRIDO!$E$6:$E$5005,AT$7)+IF(AT$7&gt;PARAMETROS!$C$12,IF($H30&gt;0,$G30*CURVA!AT30/$H30,0)*AT$6,0))</f>
        <v>242711.010858</v>
      </c>
      <c r="AU30" s="19" t="n">
        <f aca="false">IF($B30="",0,SUMIFS(INCORRIDO!$C$6:$C$5005,INCORRIDO!$D$6:$D$5005,$B30,INCORRIDO!$E$6:$E$5005,AU$7)+IF(AU$7&gt;PARAMETROS!$C$12,IF($H30&gt;0,$G30*CURVA!AU30/$H30,0)*AU$6,0))</f>
        <v>167182.060591</v>
      </c>
      <c r="AV30" s="19" t="n">
        <f aca="false">IF($B30="",0,SUMIFS(INCORRIDO!$C$6:$C$5005,INCORRIDO!$D$6:$D$5005,$B30,INCORRIDO!$E$6:$E$5005,AV$7)+IF(AV$7&gt;PARAMETROS!$C$12,IF($H30&gt;0,$G30*CURVA!AV30/$H30,0)*AV$6,0))</f>
        <v>140591.340497</v>
      </c>
      <c r="AW30" s="19" t="n">
        <f aca="false">IF($B30="",0,SUMIFS(INCORRIDO!$C$6:$C$5005,INCORRIDO!$D$6:$D$5005,$B30,INCORRIDO!$E$6:$E$5005,AW$7)+IF(AW$7&gt;PARAMETROS!$C$12,IF($H30&gt;0,$G30*CURVA!AW30/$H30,0)*AW$6,0))</f>
        <v>140025.580495</v>
      </c>
      <c r="AX30" s="19" t="n">
        <f aca="false">IF($B30="",0,SUMIFS(INCORRIDO!$C$6:$C$5005,INCORRIDO!$D$6:$D$5005,$B30,INCORRIDO!$E$6:$E$5005,AX$7)+IF(AX$7&gt;PARAMETROS!$C$12,IF($H30&gt;0,$G30*CURVA!AX30/$H30,0)*AX$6,0))</f>
        <v>216403.170765</v>
      </c>
      <c r="AY30" s="19" t="n">
        <f aca="false">IF($B30="",0,SUMIFS(INCORRIDO!$C$6:$C$5005,INCORRIDO!$D$6:$D$5005,$B30,INCORRIDO!$E$6:$E$5005,AY$7)+IF(AY$7&gt;PARAMETROS!$C$12,IF($H30&gt;0,$G30*CURVA!AY30/$H30,0)*AY$6,0))</f>
        <v>153320.940542</v>
      </c>
      <c r="AZ30" s="19" t="n">
        <f aca="false">IF($B30="",0,SUMIFS(INCORRIDO!$C$6:$C$5005,INCORRIDO!$D$6:$D$5005,$B30,INCORRIDO!$E$6:$E$5005,AZ$7)+IF(AZ$7&gt;PARAMETROS!$C$12,IF($H30&gt;0,$G30*CURVA!AZ30/$H30,0)*AZ$6,0))</f>
        <v>121072.630428</v>
      </c>
      <c r="BA30" s="19" t="n">
        <f aca="false">IF($B30="",0,SUMIFS(INCORRIDO!$C$6:$C$5005,INCORRIDO!$D$6:$D$5005,$B30,INCORRIDO!$E$6:$E$5005,BA$7)+IF(BA$7&gt;PARAMETROS!$C$12,IF($H30&gt;0,$G30*CURVA!BA30/$H30,0)*BA$6,0))</f>
        <v>186135.020658</v>
      </c>
      <c r="BB30" s="19" t="n">
        <f aca="false">IF($B30="",0,SUMIFS(INCORRIDO!$C$6:$C$5005,INCORRIDO!$D$6:$D$5005,$B30,INCORRIDO!$E$6:$E$5005,BB$7)+IF(BB$7&gt;PARAMETROS!$C$12,IF($H30&gt;0,$G30*CURVA!BB30/$H30,0)*BB$6,0))</f>
        <v>138328.300489</v>
      </c>
      <c r="BC30" s="19" t="n">
        <f aca="false">IF($B30="",0,SUMIFS(INCORRIDO!$C$6:$C$5005,INCORRIDO!$D$6:$D$5005,$B30,INCORRIDO!$E$6:$E$5005,BC$7)+IF(BC$7&gt;PARAMETROS!$C$12,IF($H30&gt;0,$G30*CURVA!BC30/$H30,0)*BC$6,0))</f>
        <v>273262.050966</v>
      </c>
      <c r="BD30" s="19" t="n">
        <f aca="false">IF($B30="",0,SUMIFS(INCORRIDO!$C$6:$C$5005,INCORRIDO!$D$6:$D$5005,$B30,INCORRIDO!$E$6:$E$5005,BD$7)+IF(BD$7&gt;PARAMETROS!$C$12,IF($H30&gt;0,$G30*CURVA!BD30/$H30,0)*BD$6,0))</f>
        <v>155018.220548</v>
      </c>
      <c r="BE30" s="19" t="n">
        <f aca="false">IF($B30="",0,SUMIFS(INCORRIDO!$C$6:$C$5005,INCORRIDO!$D$6:$D$5005,$B30,INCORRIDO!$E$6:$E$5005,BE$7)+IF(BE$7&gt;PARAMETROS!$C$12,IF($H30&gt;0,$G30*CURVA!BE30/$H30,0)*BE$6,0))</f>
        <v>40451.840143</v>
      </c>
      <c r="BF30" s="19" t="n">
        <f aca="false">IF($B30="",0,SUMIFS(INCORRIDO!$C$6:$C$5005,INCORRIDO!$D$6:$D$5005,$B30,INCORRIDO!$E$6:$E$5005,BF$7)+IF(BF$7&gt;PARAMETROS!$C$12,IF($H30&gt;0,$G30*CURVA!BF30/$H30,0)*BF$6,0))</f>
        <v>79489.270281</v>
      </c>
      <c r="BG30" s="19" t="n">
        <f aca="false">IF($B30="",0,SUMIFS(INCORRIDO!$C$6:$C$5005,INCORRIDO!$D$6:$D$5005,$B30,INCORRIDO!$E$6:$E$5005,BG$7)+IF(BG$7&gt;PARAMETROS!$C$12,IF($H30&gt;0,$G30*CURVA!BG30/$H30,0)*BG$6,0))</f>
        <v>44129.270156</v>
      </c>
      <c r="BH30" s="19" t="n">
        <f aca="false">IF($B30="",0,SUMIFS(INCORRIDO!$C$6:$C$5005,INCORRIDO!$D$6:$D$5005,$B30,INCORRIDO!$E$6:$E$5005,BH$7)+IF(BH$7&gt;PARAMETROS!$C$12,IF($H30&gt;0,$G30*CURVA!BH30/$H30,0)*BH$6,0))</f>
        <v>95896.310339</v>
      </c>
      <c r="BI30" s="19" t="n">
        <f aca="false">IF($B30="",0,SUMIFS(INCORRIDO!$C$6:$C$5005,INCORRIDO!$D$6:$D$5005,$B30,INCORRIDO!$E$6:$E$5005,BI$7)+IF(BI$7&gt;PARAMETROS!$C$12,IF($H30&gt;0,$G30*CURVA!BI30/$H30,0)*BI$6,0))</f>
        <v>68174.070241</v>
      </c>
      <c r="BJ30" s="19" t="n">
        <f aca="false">IF($B30="",0,SUMIFS(INCORRIDO!$C$6:$C$5005,INCORRIDO!$D$6:$D$5005,$B30,INCORRIDO!$E$6:$E$5005,BJ$7)+IF(BJ$7&gt;PARAMETROS!$C$12,IF($H30&gt;0,$G30*CURVA!BJ30/$H30,0)*BJ$6,0))</f>
        <v>27156.480096</v>
      </c>
      <c r="BK30" s="19" t="n">
        <f aca="false">IF($B30="",0,SUMIFS(INCORRIDO!$C$6:$C$5005,INCORRIDO!$D$6:$D$5005,$B30,INCORRIDO!$E$6:$E$5005,BK$7)+IF(BK$7&gt;PARAMETROS!$C$12,IF($H30&gt;0,$G30*CURVA!BK30/$H30,0)*BK$6,0))</f>
        <v>0</v>
      </c>
      <c r="BL30" s="19" t="n">
        <f aca="false">IF($B30="",0,SUMIFS(INCORRIDO!$C$6:$C$5005,INCORRIDO!$D$6:$D$5005,$B30,INCORRIDO!$E$6:$E$5005,BL$7)+IF(BL$7&gt;PARAMETROS!$C$12,IF($H30&gt;0,$G30*CURVA!BL30/$H30,0)*BL$6,0))</f>
        <v>0</v>
      </c>
      <c r="BM30" s="19" t="n">
        <f aca="false">IF($B30="",0,SUMIFS(INCORRIDO!$C$6:$C$5005,INCORRIDO!$D$6:$D$5005,$B30,INCORRIDO!$E$6:$E$5005,BM$7)+IF(BM$7&gt;PARAMETROS!$C$12,IF($H30&gt;0,$G30*CURVA!BM30/$H30,0)*BM$6,0))</f>
        <v>0</v>
      </c>
      <c r="BN30" s="19" t="n">
        <f aca="false">IF($B30="",0,SUMIFS(INCORRIDO!$C$6:$C$5005,INCORRIDO!$D$6:$D$5005,$B30,INCORRIDO!$E$6:$E$5005,BN$7)+IF(BN$7&gt;PARAMETROS!$C$12,IF($H30&gt;0,$G30*CURVA!BN30/$H30,0)*BN$6,0))</f>
        <v>0</v>
      </c>
      <c r="BO30" s="19" t="n">
        <f aca="false">IF($B30="",0,SUMIFS(INCORRIDO!$C$6:$C$5005,INCORRIDO!$D$6:$D$5005,$B30,INCORRIDO!$E$6:$E$5005,BO$7)+IF(BO$7&gt;PARAMETROS!$C$12,IF($H30&gt;0,$G30*CURVA!BO30/$H30,0)*BO$6,0))</f>
        <v>0</v>
      </c>
      <c r="BP30" s="19" t="n">
        <f aca="false">IF($B30="",0,SUMIFS(INCORRIDO!$C$6:$C$5005,INCORRIDO!$D$6:$D$5005,$B30,INCORRIDO!$E$6:$E$5005,BP$7)+IF(BP$7&gt;PARAMETROS!$C$12,IF($H30&gt;0,$G30*CURVA!BP30/$H30,0)*BP$6,0))</f>
        <v>0</v>
      </c>
      <c r="BQ30" s="19" t="n">
        <f aca="false">IF($B30="",0,SUMIFS(INCORRIDO!$C$6:$C$5005,INCORRIDO!$D$6:$D$5005,$B30,INCORRIDO!$E$6:$E$5005,BQ$7)+IF(BQ$7&gt;PARAMETROS!$C$12,IF($H30&gt;0,$G30*CURVA!BQ30/$H30,0)*BQ$6,0))</f>
        <v>0</v>
      </c>
      <c r="BR30" s="19" t="n">
        <f aca="false">IF($B30="",0,SUMIFS(INCORRIDO!$C$6:$C$5005,INCORRIDO!$D$6:$D$5005,$B30,INCORRIDO!$E$6:$E$5005,BR$7)+IF(BR$7&gt;PARAMETROS!$C$12,IF($H30&gt;0,$G30*CURVA!BR30/$H30,0)*BR$6,0))</f>
        <v>0</v>
      </c>
      <c r="BS30" s="19" t="n">
        <f aca="false">IF($B30="",0,SUMIFS(INCORRIDO!$C$6:$C$5005,INCORRIDO!$D$6:$D$5005,$B30,INCORRIDO!$E$6:$E$5005,BS$7)+IF(BS$7&gt;PARAMETROS!$C$12,IF($H30&gt;0,$G30*CURVA!BS30/$H30,0)*BS$6,0))</f>
        <v>0</v>
      </c>
      <c r="BT30" s="19" t="n">
        <f aca="false">IF($B30="",0,SUMIFS(INCORRIDO!$C$6:$C$5005,INCORRIDO!$D$6:$D$5005,$B30,INCORRIDO!$E$6:$E$5005,BT$7)+IF(BT$7&gt;PARAMETROS!$C$12,IF($H30&gt;0,$G30*CURVA!BT30/$H30,0)*BT$6,0))</f>
        <v>0</v>
      </c>
      <c r="BU30" s="19" t="n">
        <f aca="false">IF($B30="",0,SUMIFS(INCORRIDO!$C$6:$C$5005,INCORRIDO!$D$6:$D$5005,$B30,INCORRIDO!$E$6:$E$5005,BU$7)+IF(BU$7&gt;PARAMETROS!$C$12,IF($H30&gt;0,$G30*CURVA!BU30/$H30,0)*BU$6,0))</f>
        <v>0</v>
      </c>
      <c r="BV30" s="19" t="n">
        <f aca="false">IF($B30="",0,SUMIFS(INCORRIDO!$C$6:$C$5005,INCORRIDO!$D$6:$D$5005,$B30,INCORRIDO!$E$6:$E$5005,BV$7)+IF(BV$7&gt;PARAMETROS!$C$12,IF($H30&gt;0,$G30*CURVA!BV30/$H30,0)*BV$6,0))</f>
        <v>0</v>
      </c>
      <c r="BW30" s="19" t="n">
        <f aca="false">IF($B30="",0,SUMIFS(INCORRIDO!$C$6:$C$5005,INCORRIDO!$D$6:$D$5005,$B30,INCORRIDO!$E$6:$E$5005,BW$7)+IF(BW$7&gt;PARAMETROS!$C$12,IF($H30&gt;0,$G30*CURVA!BW30/$H30,0)*BW$6,0))</f>
        <v>0</v>
      </c>
      <c r="BX30" s="19" t="n">
        <f aca="false">IF($B30="",0,SUMIFS(INCORRIDO!$C$6:$C$5005,INCORRIDO!$D$6:$D$5005,$B30,INCORRIDO!$E$6:$E$5005,BX$7)+IF(BX$7&gt;PARAMETROS!$C$12,IF($H30&gt;0,$G30*CURVA!BX30/$H30,0)*BX$6,0))</f>
        <v>0</v>
      </c>
      <c r="BY30" s="19" t="n">
        <f aca="false">IF($B30="",0,SUMIFS(INCORRIDO!$C$6:$C$5005,INCORRIDO!$D$6:$D$5005,$B30,INCORRIDO!$E$6:$E$5005,BY$7)+IF(BY$7&gt;PARAMETROS!$C$12,IF($H30&gt;0,$G30*CURVA!BY30/$H30,0)*BY$6,0))</f>
        <v>0</v>
      </c>
      <c r="BZ30" s="19" t="n">
        <f aca="false">IF($B30="",0,SUMIFS(INCORRIDO!$C$6:$C$5005,INCORRIDO!$D$6:$D$5005,$B30,INCORRIDO!$E$6:$E$5005,BZ$7)+IF(BZ$7&gt;PARAMETROS!$C$12,IF($H30&gt;0,$G30*CURVA!BZ30/$H30,0)*BZ$6,0))</f>
        <v>0</v>
      </c>
      <c r="CA30" s="19" t="n">
        <f aca="false">IF($B30="",0,SUMIFS(INCORRIDO!$C$6:$C$5005,INCORRIDO!$D$6:$D$5005,$B30,INCORRIDO!$E$6:$E$5005,CA$7)+IF(CA$7&gt;PARAMETROS!$C$12,IF($H30&gt;0,$G30*CURVA!CA30/$H30,0)*CA$6,0))</f>
        <v>0</v>
      </c>
      <c r="CB30" s="19" t="n">
        <f aca="false">IF($B30="",0,SUMIFS(INCORRIDO!$C$6:$C$5005,INCORRIDO!$D$6:$D$5005,$B30,INCORRIDO!$E$6:$E$5005,CB$7)+IF(CB$7&gt;PARAMETROS!$C$12,IF($H30&gt;0,$G30*CURVA!CB30/$H30,0)*CB$6,0))</f>
        <v>0</v>
      </c>
      <c r="CC30" s="19" t="n">
        <f aca="false">IF($B30="",0,SUMIFS(INCORRIDO!$C$6:$C$5005,INCORRIDO!$D$6:$D$5005,$B30,INCORRIDO!$E$6:$E$5005,CC$7)+IF(CC$7&gt;PARAMETROS!$C$12,IF($H30&gt;0,$G30*CURVA!CC30/$H30,0)*CC$6,0))</f>
        <v>0</v>
      </c>
    </row>
    <row r="31" customFormat="false" ht="15" hidden="false" customHeight="false" outlineLevel="0" collapsed="false">
      <c r="A31" s="31" t="str">
        <f aca="false">IF(ORCAMENTO!A29="","",ORCAMENTO!A29)</f>
        <v>24</v>
      </c>
      <c r="B31" s="31" t="str">
        <f aca="false">IF(ORCAMENTO!B29="","",ORCAMENTO!B29)</f>
        <v>ELEVADORES</v>
      </c>
      <c r="C31" s="31" t="str">
        <f aca="false">IF(ORCAMENTO!C29="","",ORCAMENTO!C29)</f>
        <v>SISTEMAS E VEDAÇÕES</v>
      </c>
      <c r="D31" s="32" t="n">
        <f aca="false">IF($B31="",0,ORCAMENTO!E29)</f>
        <v>3409802.3</v>
      </c>
      <c r="E31" s="19" t="n">
        <f aca="false">IF($B31="",0,SUMIFS(INCORRIDO!$C$6:$C$5005,INCORRIDO!$D$6:$D$5005,$B31,INCORRIDO!$E$6:$E$5005,"&lt;="&amp;PARAMETROS!$C$12))</f>
        <v>0</v>
      </c>
      <c r="F31" s="19" t="n">
        <f aca="false">IF($B31="",0,SUMIFS(INCORRIDO!$C$6:$C$5005,INCORRIDO!$D$6:$D$5005,$B31,INCORRIDO!$E$6:$E$5005,"&gt;"&amp;PARAMETROS!$C$12))</f>
        <v>0</v>
      </c>
      <c r="G31" s="19" t="n">
        <f aca="false">MAX(0,D31-E31-F31)</f>
        <v>3409802.3</v>
      </c>
      <c r="H31" s="32" t="n">
        <f aca="false">CURVA!H31</f>
        <v>3409802.34</v>
      </c>
      <c r="I31" s="19" t="n">
        <f aca="false">SUM(J31:CC31)</f>
        <v>3409802.3</v>
      </c>
      <c r="J31" s="19" t="n">
        <f aca="false">IF($B31="",0,SUMIFS(INCORRIDO!$C$6:$C$5005,INCORRIDO!$D$6:$D$5005,$B31,INCORRIDO!$E$6:$E$5005,"&lt;="&amp;J$7)+IF(J$7&gt;PARAMETROS!$C$12,IF($H31&gt;0,$G31*CURVA!J31/$H31,0)*J$6,0))</f>
        <v>0</v>
      </c>
      <c r="K31" s="19" t="n">
        <f aca="false">IF($B31="",0,SUMIFS(INCORRIDO!$C$6:$C$5005,INCORRIDO!$D$6:$D$5005,$B31,INCORRIDO!$E$6:$E$5005,K$7)+IF(K$7&gt;PARAMETROS!$C$12,IF($H31&gt;0,$G31*CURVA!K31/$H31,0)*K$6,0))</f>
        <v>0</v>
      </c>
      <c r="L31" s="19" t="n">
        <f aca="false">IF($B31="",0,SUMIFS(INCORRIDO!$C$6:$C$5005,INCORRIDO!$D$6:$D$5005,$B31,INCORRIDO!$E$6:$E$5005,L$7)+IF(L$7&gt;PARAMETROS!$C$12,IF($H31&gt;0,$G31*CURVA!L31/$H31,0)*L$6,0))</f>
        <v>0</v>
      </c>
      <c r="M31" s="19" t="n">
        <f aca="false">IF($B31="",0,SUMIFS(INCORRIDO!$C$6:$C$5005,INCORRIDO!$D$6:$D$5005,$B31,INCORRIDO!$E$6:$E$5005,M$7)+IF(M$7&gt;PARAMETROS!$C$12,IF($H31&gt;0,$G31*CURVA!M31/$H31,0)*M$6,0))</f>
        <v>0</v>
      </c>
      <c r="N31" s="19" t="n">
        <f aca="false">IF($B31="",0,SUMIFS(INCORRIDO!$C$6:$C$5005,INCORRIDO!$D$6:$D$5005,$B31,INCORRIDO!$E$6:$E$5005,N$7)+IF(N$7&gt;PARAMETROS!$C$12,IF($H31&gt;0,$G31*CURVA!N31/$H31,0)*N$6,0))</f>
        <v>0</v>
      </c>
      <c r="O31" s="19" t="n">
        <f aca="false">IF($B31="",0,SUMIFS(INCORRIDO!$C$6:$C$5005,INCORRIDO!$D$6:$D$5005,$B31,INCORRIDO!$E$6:$E$5005,O$7)+IF(O$7&gt;PARAMETROS!$C$12,IF($H31&gt;0,$G31*CURVA!O31/$H31,0)*O$6,0))</f>
        <v>0</v>
      </c>
      <c r="P31" s="19" t="n">
        <f aca="false">IF($B31="",0,SUMIFS(INCORRIDO!$C$6:$C$5005,INCORRIDO!$D$6:$D$5005,$B31,INCORRIDO!$E$6:$E$5005,P$7)+IF(P$7&gt;PARAMETROS!$C$12,IF($H31&gt;0,$G31*CURVA!P31/$H31,0)*P$6,0))</f>
        <v>0</v>
      </c>
      <c r="Q31" s="19" t="n">
        <f aca="false">IF($B31="",0,SUMIFS(INCORRIDO!$C$6:$C$5005,INCORRIDO!$D$6:$D$5005,$B31,INCORRIDO!$E$6:$E$5005,Q$7)+IF(Q$7&gt;PARAMETROS!$C$12,IF($H31&gt;0,$G31*CURVA!Q31/$H31,0)*Q$6,0))</f>
        <v>0</v>
      </c>
      <c r="R31" s="19" t="n">
        <f aca="false">IF($B31="",0,SUMIFS(INCORRIDO!$C$6:$C$5005,INCORRIDO!$D$6:$D$5005,$B31,INCORRIDO!$E$6:$E$5005,R$7)+IF(R$7&gt;PARAMETROS!$C$12,IF($H31&gt;0,$G31*CURVA!R31/$H31,0)*R$6,0))</f>
        <v>0</v>
      </c>
      <c r="S31" s="19" t="n">
        <f aca="false">IF($B31="",0,SUMIFS(INCORRIDO!$C$6:$C$5005,INCORRIDO!$D$6:$D$5005,$B31,INCORRIDO!$E$6:$E$5005,S$7)+IF(S$7&gt;PARAMETROS!$C$12,IF($H31&gt;0,$G31*CURVA!S31/$H31,0)*S$6,0))</f>
        <v>0</v>
      </c>
      <c r="T31" s="19" t="n">
        <f aca="false">IF($B31="",0,SUMIFS(INCORRIDO!$C$6:$C$5005,INCORRIDO!$D$6:$D$5005,$B31,INCORRIDO!$E$6:$E$5005,T$7)+IF(T$7&gt;PARAMETROS!$C$12,IF($H31&gt;0,$G31*CURVA!T31/$H31,0)*T$6,0))</f>
        <v>0</v>
      </c>
      <c r="U31" s="19" t="n">
        <f aca="false">IF($B31="",0,SUMIFS(INCORRIDO!$C$6:$C$5005,INCORRIDO!$D$6:$D$5005,$B31,INCORRIDO!$E$6:$E$5005,U$7)+IF(U$7&gt;PARAMETROS!$C$12,IF($H31&gt;0,$G31*CURVA!U31/$H31,0)*U$6,0))</f>
        <v>0</v>
      </c>
      <c r="V31" s="19" t="n">
        <f aca="false">IF($B31="",0,SUMIFS(INCORRIDO!$C$6:$C$5005,INCORRIDO!$D$6:$D$5005,$B31,INCORRIDO!$E$6:$E$5005,V$7)+IF(V$7&gt;PARAMETROS!$C$12,IF($H31&gt;0,$G31*CURVA!V31/$H31,0)*V$6,0))</f>
        <v>0</v>
      </c>
      <c r="W31" s="19" t="n">
        <f aca="false">IF($B31="",0,SUMIFS(INCORRIDO!$C$6:$C$5005,INCORRIDO!$D$6:$D$5005,$B31,INCORRIDO!$E$6:$E$5005,W$7)+IF(W$7&gt;PARAMETROS!$C$12,IF($H31&gt;0,$G31*CURVA!W31/$H31,0)*W$6,0))</f>
        <v>0</v>
      </c>
      <c r="X31" s="19" t="n">
        <f aca="false">IF($B31="",0,SUMIFS(INCORRIDO!$C$6:$C$5005,INCORRIDO!$D$6:$D$5005,$B31,INCORRIDO!$E$6:$E$5005,X$7)+IF(X$7&gt;PARAMETROS!$C$12,IF($H31&gt;0,$G31*CURVA!X31/$H31,0)*X$6,0))</f>
        <v>0</v>
      </c>
      <c r="Y31" s="19" t="n">
        <f aca="false">IF($B31="",0,SUMIFS(INCORRIDO!$C$6:$C$5005,INCORRIDO!$D$6:$D$5005,$B31,INCORRIDO!$E$6:$E$5005,Y$7)+IF(Y$7&gt;PARAMETROS!$C$12,IF($H31&gt;0,$G31*CURVA!Y31/$H31,0)*Y$6,0))</f>
        <v>0</v>
      </c>
      <c r="Z31" s="19" t="n">
        <f aca="false">IF($B31="",0,SUMIFS(INCORRIDO!$C$6:$C$5005,INCORRIDO!$D$6:$D$5005,$B31,INCORRIDO!$E$6:$E$5005,Z$7)+IF(Z$7&gt;PARAMETROS!$C$12,IF($H31&gt;0,$G31*CURVA!Z31/$H31,0)*Z$6,0))</f>
        <v>0</v>
      </c>
      <c r="AA31" s="19" t="n">
        <f aca="false">IF($B31="",0,SUMIFS(INCORRIDO!$C$6:$C$5005,INCORRIDO!$D$6:$D$5005,$B31,INCORRIDO!$E$6:$E$5005,AA$7)+IF(AA$7&gt;PARAMETROS!$C$12,IF($H31&gt;0,$G31*CURVA!AA31/$H31,0)*AA$6,0))</f>
        <v>0</v>
      </c>
      <c r="AB31" s="19" t="n">
        <f aca="false">IF($B31="",0,SUMIFS(INCORRIDO!$C$6:$C$5005,INCORRIDO!$D$6:$D$5005,$B31,INCORRIDO!$E$6:$E$5005,AB$7)+IF(AB$7&gt;PARAMETROS!$C$12,IF($H31&gt;0,$G31*CURVA!AB31/$H31,0)*AB$6,0))</f>
        <v>0</v>
      </c>
      <c r="AC31" s="19" t="n">
        <f aca="false">IF($B31="",0,SUMIFS(INCORRIDO!$C$6:$C$5005,INCORRIDO!$D$6:$D$5005,$B31,INCORRIDO!$E$6:$E$5005,AC$7)+IF(AC$7&gt;PARAMETROS!$C$12,IF($H31&gt;0,$G31*CURVA!AC31/$H31,0)*AC$6,0))</f>
        <v>0</v>
      </c>
      <c r="AD31" s="19" t="n">
        <f aca="false">IF($B31="",0,SUMIFS(INCORRIDO!$C$6:$C$5005,INCORRIDO!$D$6:$D$5005,$B31,INCORRIDO!$E$6:$E$5005,AD$7)+IF(AD$7&gt;PARAMETROS!$C$12,IF($H31&gt;0,$G31*CURVA!AD31/$H31,0)*AD$6,0))</f>
        <v>0</v>
      </c>
      <c r="AE31" s="19" t="n">
        <f aca="false">IF($B31="",0,SUMIFS(INCORRIDO!$C$6:$C$5005,INCORRIDO!$D$6:$D$5005,$B31,INCORRIDO!$E$6:$E$5005,AE$7)+IF(AE$7&gt;PARAMETROS!$C$12,IF($H31&gt;0,$G31*CURVA!AE31/$H31,0)*AE$6,0))</f>
        <v>0</v>
      </c>
      <c r="AF31" s="19" t="n">
        <f aca="false">IF($B31="",0,SUMIFS(INCORRIDO!$C$6:$C$5005,INCORRIDO!$D$6:$D$5005,$B31,INCORRIDO!$E$6:$E$5005,AF$7)+IF(AF$7&gt;PARAMETROS!$C$12,IF($H31&gt;0,$G31*CURVA!AF31/$H31,0)*AF$6,0))</f>
        <v>0</v>
      </c>
      <c r="AG31" s="19" t="n">
        <f aca="false">IF($B31="",0,SUMIFS(INCORRIDO!$C$6:$C$5005,INCORRIDO!$D$6:$D$5005,$B31,INCORRIDO!$E$6:$E$5005,AG$7)+IF(AG$7&gt;PARAMETROS!$C$12,IF($H31&gt;0,$G31*CURVA!AG31/$H31,0)*AG$6,0))</f>
        <v>0</v>
      </c>
      <c r="AH31" s="19" t="n">
        <f aca="false">IF($B31="",0,SUMIFS(INCORRIDO!$C$6:$C$5005,INCORRIDO!$D$6:$D$5005,$B31,INCORRIDO!$E$6:$E$5005,AH$7)+IF(AH$7&gt;PARAMETROS!$C$12,IF($H31&gt;0,$G31*CURVA!AH31/$H31,0)*AH$6,0))</f>
        <v>0</v>
      </c>
      <c r="AI31" s="19" t="n">
        <f aca="false">IF($B31="",0,SUMIFS(INCORRIDO!$C$6:$C$5005,INCORRIDO!$D$6:$D$5005,$B31,INCORRIDO!$E$6:$E$5005,AI$7)+IF(AI$7&gt;PARAMETROS!$C$12,IF($H31&gt;0,$G31*CURVA!AI31/$H31,0)*AI$6,0))</f>
        <v>0</v>
      </c>
      <c r="AJ31" s="19" t="n">
        <f aca="false">IF($B31="",0,SUMIFS(INCORRIDO!$C$6:$C$5005,INCORRIDO!$D$6:$D$5005,$B31,INCORRIDO!$E$6:$E$5005,AJ$7)+IF(AJ$7&gt;PARAMETROS!$C$12,IF($H31&gt;0,$G31*CURVA!AJ31/$H31,0)*AJ$6,0))</f>
        <v>0</v>
      </c>
      <c r="AK31" s="19" t="n">
        <f aca="false">IF($B31="",0,SUMIFS(INCORRIDO!$C$6:$C$5005,INCORRIDO!$D$6:$D$5005,$B31,INCORRIDO!$E$6:$E$5005,AK$7)+IF(AK$7&gt;PARAMETROS!$C$12,IF($H31&gt;0,$G31*CURVA!AK31/$H31,0)*AK$6,0))</f>
        <v>0</v>
      </c>
      <c r="AL31" s="19" t="n">
        <f aca="false">IF($B31="",0,SUMIFS(INCORRIDO!$C$6:$C$5005,INCORRIDO!$D$6:$D$5005,$B31,INCORRIDO!$E$6:$E$5005,AL$7)+IF(AL$7&gt;PARAMETROS!$C$12,IF($H31&gt;0,$G31*CURVA!AL31/$H31,0)*AL$6,0))</f>
        <v>0</v>
      </c>
      <c r="AM31" s="19" t="n">
        <f aca="false">IF($B31="",0,SUMIFS(INCORRIDO!$C$6:$C$5005,INCORRIDO!$D$6:$D$5005,$B31,INCORRIDO!$E$6:$E$5005,AM$7)+IF(AM$7&gt;PARAMETROS!$C$12,IF($H31&gt;0,$G31*CURVA!AM31/$H31,0)*AM$6,0))</f>
        <v>0</v>
      </c>
      <c r="AN31" s="19" t="n">
        <f aca="false">IF($B31="",0,SUMIFS(INCORRIDO!$C$6:$C$5005,INCORRIDO!$D$6:$D$5005,$B31,INCORRIDO!$E$6:$E$5005,AN$7)+IF(AN$7&gt;PARAMETROS!$C$12,IF($H31&gt;0,$G31*CURVA!AN31/$H31,0)*AN$6,0))</f>
        <v>0</v>
      </c>
      <c r="AO31" s="19" t="n">
        <f aca="false">IF($B31="",0,SUMIFS(INCORRIDO!$C$6:$C$5005,INCORRIDO!$D$6:$D$5005,$B31,INCORRIDO!$E$6:$E$5005,AO$7)+IF(AO$7&gt;PARAMETROS!$C$12,IF($H31&gt;0,$G31*CURVA!AO31/$H31,0)*AO$6,0))</f>
        <v>0</v>
      </c>
      <c r="AP31" s="19" t="n">
        <f aca="false">IF($B31="",0,SUMIFS(INCORRIDO!$C$6:$C$5005,INCORRIDO!$D$6:$D$5005,$B31,INCORRIDO!$E$6:$E$5005,AP$7)+IF(AP$7&gt;PARAMETROS!$C$12,IF($H31&gt;0,$G31*CURVA!AP31/$H31,0)*AP$6,0))</f>
        <v>305454.546416748</v>
      </c>
      <c r="AQ31" s="19" t="n">
        <f aca="false">IF($B31="",0,SUMIFS(INCORRIDO!$C$6:$C$5005,INCORRIDO!$D$6:$D$5005,$B31,INCORRIDO!$E$6:$E$5005,AQ$7)+IF(AQ$7&gt;PARAMETROS!$C$12,IF($H31&gt;0,$G31*CURVA!AQ31/$H31,0)*AQ$6,0))</f>
        <v>305454.546416748</v>
      </c>
      <c r="AR31" s="19" t="n">
        <f aca="false">IF($B31="",0,SUMIFS(INCORRIDO!$C$6:$C$5005,INCORRIDO!$D$6:$D$5005,$B31,INCORRIDO!$E$6:$E$5005,AR$7)+IF(AR$7&gt;PARAMETROS!$C$12,IF($H31&gt;0,$G31*CURVA!AR31/$H31,0)*AR$6,0))</f>
        <v>305454.546416748</v>
      </c>
      <c r="AS31" s="19" t="n">
        <f aca="false">IF($B31="",0,SUMIFS(INCORRIDO!$C$6:$C$5005,INCORRIDO!$D$6:$D$5005,$B31,INCORRIDO!$E$6:$E$5005,AS$7)+IF(AS$7&gt;PARAMETROS!$C$12,IF($H31&gt;0,$G31*CURVA!AS31/$H31,0)*AS$6,0))</f>
        <v>305454.546416748</v>
      </c>
      <c r="AT31" s="19" t="n">
        <f aca="false">IF($B31="",0,SUMIFS(INCORRIDO!$C$6:$C$5005,INCORRIDO!$D$6:$D$5005,$B31,INCORRIDO!$E$6:$E$5005,AT$7)+IF(AT$7&gt;PARAMETROS!$C$12,IF($H31&gt;0,$G31*CURVA!AT31/$H31,0)*AT$6,0))</f>
        <v>305454.546416748</v>
      </c>
      <c r="AU31" s="19" t="n">
        <f aca="false">IF($B31="",0,SUMIFS(INCORRIDO!$C$6:$C$5005,INCORRIDO!$D$6:$D$5005,$B31,INCORRIDO!$E$6:$E$5005,AU$7)+IF(AU$7&gt;PARAMETROS!$C$12,IF($H31&gt;0,$G31*CURVA!AU31/$H31,0)*AU$6,0))</f>
        <v>305454.546416748</v>
      </c>
      <c r="AV31" s="19" t="n">
        <f aca="false">IF($B31="",0,SUMIFS(INCORRIDO!$C$6:$C$5005,INCORRIDO!$D$6:$D$5005,$B31,INCORRIDO!$E$6:$E$5005,AV$7)+IF(AV$7&gt;PARAMETROS!$C$12,IF($H31&gt;0,$G31*CURVA!AV31/$H31,0)*AV$6,0))</f>
        <v>305454.546416748</v>
      </c>
      <c r="AW31" s="19" t="n">
        <f aca="false">IF($B31="",0,SUMIFS(INCORRIDO!$C$6:$C$5005,INCORRIDO!$D$6:$D$5005,$B31,INCORRIDO!$E$6:$E$5005,AW$7)+IF(AW$7&gt;PARAMETROS!$C$12,IF($H31&gt;0,$G31*CURVA!AW31/$H31,0)*AW$6,0))</f>
        <v>312051.986339354</v>
      </c>
      <c r="AX31" s="19" t="n">
        <f aca="false">IF($B31="",0,SUMIFS(INCORRIDO!$C$6:$C$5005,INCORRIDO!$D$6:$D$5005,$B31,INCORRIDO!$E$6:$E$5005,AX$7)+IF(AX$7&gt;PARAMETROS!$C$12,IF($H31&gt;0,$G31*CURVA!AX31/$H31,0)*AX$6,0))</f>
        <v>312051.986339354</v>
      </c>
      <c r="AY31" s="19" t="n">
        <f aca="false">IF($B31="",0,SUMIFS(INCORRIDO!$C$6:$C$5005,INCORRIDO!$D$6:$D$5005,$B31,INCORRIDO!$E$6:$E$5005,AY$7)+IF(AY$7&gt;PARAMETROS!$C$12,IF($H31&gt;0,$G31*CURVA!AY31/$H31,0)*AY$6,0))</f>
        <v>312051.986339354</v>
      </c>
      <c r="AZ31" s="19" t="n">
        <f aca="false">IF($B31="",0,SUMIFS(INCORRIDO!$C$6:$C$5005,INCORRIDO!$D$6:$D$5005,$B31,INCORRIDO!$E$6:$E$5005,AZ$7)+IF(AZ$7&gt;PARAMETROS!$C$12,IF($H31&gt;0,$G31*CURVA!AZ31/$H31,0)*AZ$6,0))</f>
        <v>305454.546416748</v>
      </c>
      <c r="BA31" s="19" t="n">
        <f aca="false">IF($B31="",0,SUMIFS(INCORRIDO!$C$6:$C$5005,INCORRIDO!$D$6:$D$5005,$B31,INCORRIDO!$E$6:$E$5005,BA$7)+IF(BA$7&gt;PARAMETROS!$C$12,IF($H31&gt;0,$G31*CURVA!BA31/$H31,0)*BA$6,0))</f>
        <v>0</v>
      </c>
      <c r="BB31" s="19" t="n">
        <f aca="false">IF($B31="",0,SUMIFS(INCORRIDO!$C$6:$C$5005,INCORRIDO!$D$6:$D$5005,$B31,INCORRIDO!$E$6:$E$5005,BB$7)+IF(BB$7&gt;PARAMETROS!$C$12,IF($H31&gt;0,$G31*CURVA!BB31/$H31,0)*BB$6,0))</f>
        <v>0</v>
      </c>
      <c r="BC31" s="19" t="n">
        <f aca="false">IF($B31="",0,SUMIFS(INCORRIDO!$C$6:$C$5005,INCORRIDO!$D$6:$D$5005,$B31,INCORRIDO!$E$6:$E$5005,BC$7)+IF(BC$7&gt;PARAMETROS!$C$12,IF($H31&gt;0,$G31*CURVA!BC31/$H31,0)*BC$6,0))</f>
        <v>30009.9696479565</v>
      </c>
      <c r="BD31" s="19" t="n">
        <f aca="false">IF($B31="",0,SUMIFS(INCORRIDO!$C$6:$C$5005,INCORRIDO!$D$6:$D$5005,$B31,INCORRIDO!$E$6:$E$5005,BD$7)+IF(BD$7&gt;PARAMETROS!$C$12,IF($H31&gt;0,$G31*CURVA!BD31/$H31,0)*BD$6,0))</f>
        <v>0</v>
      </c>
      <c r="BE31" s="19" t="n">
        <f aca="false">IF($B31="",0,SUMIFS(INCORRIDO!$C$6:$C$5005,INCORRIDO!$D$6:$D$5005,$B31,INCORRIDO!$E$6:$E$5005,BE$7)+IF(BE$7&gt;PARAMETROS!$C$12,IF($H31&gt;0,$G31*CURVA!BE31/$H31,0)*BE$6,0))</f>
        <v>0</v>
      </c>
      <c r="BF31" s="19" t="n">
        <f aca="false">IF($B31="",0,SUMIFS(INCORRIDO!$C$6:$C$5005,INCORRIDO!$D$6:$D$5005,$B31,INCORRIDO!$E$6:$E$5005,BF$7)+IF(BF$7&gt;PARAMETROS!$C$12,IF($H31&gt;0,$G31*CURVA!BF31/$H31,0)*BF$6,0))</f>
        <v>0</v>
      </c>
      <c r="BG31" s="19" t="n">
        <f aca="false">IF($B31="",0,SUMIFS(INCORRIDO!$C$6:$C$5005,INCORRIDO!$D$6:$D$5005,$B31,INCORRIDO!$E$6:$E$5005,BG$7)+IF(BG$7&gt;PARAMETROS!$C$12,IF($H31&gt;0,$G31*CURVA!BG31/$H31,0)*BG$6,0))</f>
        <v>0</v>
      </c>
      <c r="BH31" s="19" t="n">
        <f aca="false">IF($B31="",0,SUMIFS(INCORRIDO!$C$6:$C$5005,INCORRIDO!$D$6:$D$5005,$B31,INCORRIDO!$E$6:$E$5005,BH$7)+IF(BH$7&gt;PARAMETROS!$C$12,IF($H31&gt;0,$G31*CURVA!BH31/$H31,0)*BH$6,0))</f>
        <v>0</v>
      </c>
      <c r="BI31" s="19" t="n">
        <f aca="false">IF($B31="",0,SUMIFS(INCORRIDO!$C$6:$C$5005,INCORRIDO!$D$6:$D$5005,$B31,INCORRIDO!$E$6:$E$5005,BI$7)+IF(BI$7&gt;PARAMETROS!$C$12,IF($H31&gt;0,$G31*CURVA!BI31/$H31,0)*BI$6,0))</f>
        <v>0</v>
      </c>
      <c r="BJ31" s="19" t="n">
        <f aca="false">IF($B31="",0,SUMIFS(INCORRIDO!$C$6:$C$5005,INCORRIDO!$D$6:$D$5005,$B31,INCORRIDO!$E$6:$E$5005,BJ$7)+IF(BJ$7&gt;PARAMETROS!$C$12,IF($H31&gt;0,$G31*CURVA!BJ31/$H31,0)*BJ$6,0))</f>
        <v>0</v>
      </c>
      <c r="BK31" s="19" t="n">
        <f aca="false">IF($B31="",0,SUMIFS(INCORRIDO!$C$6:$C$5005,INCORRIDO!$D$6:$D$5005,$B31,INCORRIDO!$E$6:$E$5005,BK$7)+IF(BK$7&gt;PARAMETROS!$C$12,IF($H31&gt;0,$G31*CURVA!BK31/$H31,0)*BK$6,0))</f>
        <v>0</v>
      </c>
      <c r="BL31" s="19" t="n">
        <f aca="false">IF($B31="",0,SUMIFS(INCORRIDO!$C$6:$C$5005,INCORRIDO!$D$6:$D$5005,$B31,INCORRIDO!$E$6:$E$5005,BL$7)+IF(BL$7&gt;PARAMETROS!$C$12,IF($H31&gt;0,$G31*CURVA!BL31/$H31,0)*BL$6,0))</f>
        <v>0</v>
      </c>
      <c r="BM31" s="19" t="n">
        <f aca="false">IF($B31="",0,SUMIFS(INCORRIDO!$C$6:$C$5005,INCORRIDO!$D$6:$D$5005,$B31,INCORRIDO!$E$6:$E$5005,BM$7)+IF(BM$7&gt;PARAMETROS!$C$12,IF($H31&gt;0,$G31*CURVA!BM31/$H31,0)*BM$6,0))</f>
        <v>0</v>
      </c>
      <c r="BN31" s="19" t="n">
        <f aca="false">IF($B31="",0,SUMIFS(INCORRIDO!$C$6:$C$5005,INCORRIDO!$D$6:$D$5005,$B31,INCORRIDO!$E$6:$E$5005,BN$7)+IF(BN$7&gt;PARAMETROS!$C$12,IF($H31&gt;0,$G31*CURVA!BN31/$H31,0)*BN$6,0))</f>
        <v>0</v>
      </c>
      <c r="BO31" s="19" t="n">
        <f aca="false">IF($B31="",0,SUMIFS(INCORRIDO!$C$6:$C$5005,INCORRIDO!$D$6:$D$5005,$B31,INCORRIDO!$E$6:$E$5005,BO$7)+IF(BO$7&gt;PARAMETROS!$C$12,IF($H31&gt;0,$G31*CURVA!BO31/$H31,0)*BO$6,0))</f>
        <v>0</v>
      </c>
      <c r="BP31" s="19" t="n">
        <f aca="false">IF($B31="",0,SUMIFS(INCORRIDO!$C$6:$C$5005,INCORRIDO!$D$6:$D$5005,$B31,INCORRIDO!$E$6:$E$5005,BP$7)+IF(BP$7&gt;PARAMETROS!$C$12,IF($H31&gt;0,$G31*CURVA!BP31/$H31,0)*BP$6,0))</f>
        <v>0</v>
      </c>
      <c r="BQ31" s="19" t="n">
        <f aca="false">IF($B31="",0,SUMIFS(INCORRIDO!$C$6:$C$5005,INCORRIDO!$D$6:$D$5005,$B31,INCORRIDO!$E$6:$E$5005,BQ$7)+IF(BQ$7&gt;PARAMETROS!$C$12,IF($H31&gt;0,$G31*CURVA!BQ31/$H31,0)*BQ$6,0))</f>
        <v>0</v>
      </c>
      <c r="BR31" s="19" t="n">
        <f aca="false">IF($B31="",0,SUMIFS(INCORRIDO!$C$6:$C$5005,INCORRIDO!$D$6:$D$5005,$B31,INCORRIDO!$E$6:$E$5005,BR$7)+IF(BR$7&gt;PARAMETROS!$C$12,IF($H31&gt;0,$G31*CURVA!BR31/$H31,0)*BR$6,0))</f>
        <v>0</v>
      </c>
      <c r="BS31" s="19" t="n">
        <f aca="false">IF($B31="",0,SUMIFS(INCORRIDO!$C$6:$C$5005,INCORRIDO!$D$6:$D$5005,$B31,INCORRIDO!$E$6:$E$5005,BS$7)+IF(BS$7&gt;PARAMETROS!$C$12,IF($H31&gt;0,$G31*CURVA!BS31/$H31,0)*BS$6,0))</f>
        <v>0</v>
      </c>
      <c r="BT31" s="19" t="n">
        <f aca="false">IF($B31="",0,SUMIFS(INCORRIDO!$C$6:$C$5005,INCORRIDO!$D$6:$D$5005,$B31,INCORRIDO!$E$6:$E$5005,BT$7)+IF(BT$7&gt;PARAMETROS!$C$12,IF($H31&gt;0,$G31*CURVA!BT31/$H31,0)*BT$6,0))</f>
        <v>0</v>
      </c>
      <c r="BU31" s="19" t="n">
        <f aca="false">IF($B31="",0,SUMIFS(INCORRIDO!$C$6:$C$5005,INCORRIDO!$D$6:$D$5005,$B31,INCORRIDO!$E$6:$E$5005,BU$7)+IF(BU$7&gt;PARAMETROS!$C$12,IF($H31&gt;0,$G31*CURVA!BU31/$H31,0)*BU$6,0))</f>
        <v>0</v>
      </c>
      <c r="BV31" s="19" t="n">
        <f aca="false">IF($B31="",0,SUMIFS(INCORRIDO!$C$6:$C$5005,INCORRIDO!$D$6:$D$5005,$B31,INCORRIDO!$E$6:$E$5005,BV$7)+IF(BV$7&gt;PARAMETROS!$C$12,IF($H31&gt;0,$G31*CURVA!BV31/$H31,0)*BV$6,0))</f>
        <v>0</v>
      </c>
      <c r="BW31" s="19" t="n">
        <f aca="false">IF($B31="",0,SUMIFS(INCORRIDO!$C$6:$C$5005,INCORRIDO!$D$6:$D$5005,$B31,INCORRIDO!$E$6:$E$5005,BW$7)+IF(BW$7&gt;PARAMETROS!$C$12,IF($H31&gt;0,$G31*CURVA!BW31/$H31,0)*BW$6,0))</f>
        <v>0</v>
      </c>
      <c r="BX31" s="19" t="n">
        <f aca="false">IF($B31="",0,SUMIFS(INCORRIDO!$C$6:$C$5005,INCORRIDO!$D$6:$D$5005,$B31,INCORRIDO!$E$6:$E$5005,BX$7)+IF(BX$7&gt;PARAMETROS!$C$12,IF($H31&gt;0,$G31*CURVA!BX31/$H31,0)*BX$6,0))</f>
        <v>0</v>
      </c>
      <c r="BY31" s="19" t="n">
        <f aca="false">IF($B31="",0,SUMIFS(INCORRIDO!$C$6:$C$5005,INCORRIDO!$D$6:$D$5005,$B31,INCORRIDO!$E$6:$E$5005,BY$7)+IF(BY$7&gt;PARAMETROS!$C$12,IF($H31&gt;0,$G31*CURVA!BY31/$H31,0)*BY$6,0))</f>
        <v>0</v>
      </c>
      <c r="BZ31" s="19" t="n">
        <f aca="false">IF($B31="",0,SUMIFS(INCORRIDO!$C$6:$C$5005,INCORRIDO!$D$6:$D$5005,$B31,INCORRIDO!$E$6:$E$5005,BZ$7)+IF(BZ$7&gt;PARAMETROS!$C$12,IF($H31&gt;0,$G31*CURVA!BZ31/$H31,0)*BZ$6,0))</f>
        <v>0</v>
      </c>
      <c r="CA31" s="19" t="n">
        <f aca="false">IF($B31="",0,SUMIFS(INCORRIDO!$C$6:$C$5005,INCORRIDO!$D$6:$D$5005,$B31,INCORRIDO!$E$6:$E$5005,CA$7)+IF(CA$7&gt;PARAMETROS!$C$12,IF($H31&gt;0,$G31*CURVA!CA31/$H31,0)*CA$6,0))</f>
        <v>0</v>
      </c>
      <c r="CB31" s="19" t="n">
        <f aca="false">IF($B31="",0,SUMIFS(INCORRIDO!$C$6:$C$5005,INCORRIDO!$D$6:$D$5005,$B31,INCORRIDO!$E$6:$E$5005,CB$7)+IF(CB$7&gt;PARAMETROS!$C$12,IF($H31&gt;0,$G31*CURVA!CB31/$H31,0)*CB$6,0))</f>
        <v>0</v>
      </c>
      <c r="CC31" s="19" t="n">
        <f aca="false">IF($B31="",0,SUMIFS(INCORRIDO!$C$6:$C$5005,INCORRIDO!$D$6:$D$5005,$B31,INCORRIDO!$E$6:$E$5005,CC$7)+IF(CC$7&gt;PARAMETROS!$C$12,IF($H31&gt;0,$G31*CURVA!CC31/$H31,0)*CC$6,0))</f>
        <v>0</v>
      </c>
    </row>
    <row r="32" customFormat="false" ht="15" hidden="false" customHeight="false" outlineLevel="0" collapsed="false">
      <c r="A32" s="31" t="str">
        <f aca="false">IF(ORCAMENTO!A30="","",ORCAMENTO!A30)</f>
        <v>25</v>
      </c>
      <c r="B32" s="31" t="str">
        <f aca="false">IF(ORCAMENTO!B30="","",ORCAMENTO!B30)</f>
        <v>ESQUADRIAS</v>
      </c>
      <c r="C32" s="31" t="str">
        <f aca="false">IF(ORCAMENTO!C30="","",ORCAMENTO!C30)</f>
        <v>ACABAMENTOS</v>
      </c>
      <c r="D32" s="32" t="n">
        <f aca="false">IF($B32="",0,ORCAMENTO!E30)</f>
        <v>11781362.82</v>
      </c>
      <c r="E32" s="19" t="n">
        <f aca="false">IF($B32="",0,SUMIFS(INCORRIDO!$C$6:$C$5005,INCORRIDO!$D$6:$D$5005,$B32,INCORRIDO!$E$6:$E$5005,"&lt;="&amp;PARAMETROS!$C$12))</f>
        <v>0</v>
      </c>
      <c r="F32" s="19" t="n">
        <f aca="false">IF($B32="",0,SUMIFS(INCORRIDO!$C$6:$C$5005,INCORRIDO!$D$6:$D$5005,$B32,INCORRIDO!$E$6:$E$5005,"&gt;"&amp;PARAMETROS!$C$12))</f>
        <v>0</v>
      </c>
      <c r="G32" s="19" t="n">
        <f aca="false">MAX(0,D32-E32-F32)</f>
        <v>11781362.82</v>
      </c>
      <c r="H32" s="32" t="n">
        <f aca="false">CURVA!H32</f>
        <v>11781362.78</v>
      </c>
      <c r="I32" s="19" t="n">
        <f aca="false">SUM(J32:CC32)</f>
        <v>11781362.82</v>
      </c>
      <c r="J32" s="19" t="n">
        <f aca="false">IF($B32="",0,SUMIFS(INCORRIDO!$C$6:$C$5005,INCORRIDO!$D$6:$D$5005,$B32,INCORRIDO!$E$6:$E$5005,"&lt;="&amp;J$7)+IF(J$7&gt;PARAMETROS!$C$12,IF($H32&gt;0,$G32*CURVA!J32/$H32,0)*J$6,0))</f>
        <v>0</v>
      </c>
      <c r="K32" s="19" t="n">
        <f aca="false">IF($B32="",0,SUMIFS(INCORRIDO!$C$6:$C$5005,INCORRIDO!$D$6:$D$5005,$B32,INCORRIDO!$E$6:$E$5005,K$7)+IF(K$7&gt;PARAMETROS!$C$12,IF($H32&gt;0,$G32*CURVA!K32/$H32,0)*K$6,0))</f>
        <v>0</v>
      </c>
      <c r="L32" s="19" t="n">
        <f aca="false">IF($B32="",0,SUMIFS(INCORRIDO!$C$6:$C$5005,INCORRIDO!$D$6:$D$5005,$B32,INCORRIDO!$E$6:$E$5005,L$7)+IF(L$7&gt;PARAMETROS!$C$12,IF($H32&gt;0,$G32*CURVA!L32/$H32,0)*L$6,0))</f>
        <v>0</v>
      </c>
      <c r="M32" s="19" t="n">
        <f aca="false">IF($B32="",0,SUMIFS(INCORRIDO!$C$6:$C$5005,INCORRIDO!$D$6:$D$5005,$B32,INCORRIDO!$E$6:$E$5005,M$7)+IF(M$7&gt;PARAMETROS!$C$12,IF($H32&gt;0,$G32*CURVA!M32/$H32,0)*M$6,0))</f>
        <v>0</v>
      </c>
      <c r="N32" s="19" t="n">
        <f aca="false">IF($B32="",0,SUMIFS(INCORRIDO!$C$6:$C$5005,INCORRIDO!$D$6:$D$5005,$B32,INCORRIDO!$E$6:$E$5005,N$7)+IF(N$7&gt;PARAMETROS!$C$12,IF($H32&gt;0,$G32*CURVA!N32/$H32,0)*N$6,0))</f>
        <v>0</v>
      </c>
      <c r="O32" s="19" t="n">
        <f aca="false">IF($B32="",0,SUMIFS(INCORRIDO!$C$6:$C$5005,INCORRIDO!$D$6:$D$5005,$B32,INCORRIDO!$E$6:$E$5005,O$7)+IF(O$7&gt;PARAMETROS!$C$12,IF($H32&gt;0,$G32*CURVA!O32/$H32,0)*O$6,0))</f>
        <v>0</v>
      </c>
      <c r="P32" s="19" t="n">
        <f aca="false">IF($B32="",0,SUMIFS(INCORRIDO!$C$6:$C$5005,INCORRIDO!$D$6:$D$5005,$B32,INCORRIDO!$E$6:$E$5005,P$7)+IF(P$7&gt;PARAMETROS!$C$12,IF($H32&gt;0,$G32*CURVA!P32/$H32,0)*P$6,0))</f>
        <v>0</v>
      </c>
      <c r="Q32" s="19" t="n">
        <f aca="false">IF($B32="",0,SUMIFS(INCORRIDO!$C$6:$C$5005,INCORRIDO!$D$6:$D$5005,$B32,INCORRIDO!$E$6:$E$5005,Q$7)+IF(Q$7&gt;PARAMETROS!$C$12,IF($H32&gt;0,$G32*CURVA!Q32/$H32,0)*Q$6,0))</f>
        <v>0</v>
      </c>
      <c r="R32" s="19" t="n">
        <f aca="false">IF($B32="",0,SUMIFS(INCORRIDO!$C$6:$C$5005,INCORRIDO!$D$6:$D$5005,$B32,INCORRIDO!$E$6:$E$5005,R$7)+IF(R$7&gt;PARAMETROS!$C$12,IF($H32&gt;0,$G32*CURVA!R32/$H32,0)*R$6,0))</f>
        <v>0</v>
      </c>
      <c r="S32" s="19" t="n">
        <f aca="false">IF($B32="",0,SUMIFS(INCORRIDO!$C$6:$C$5005,INCORRIDO!$D$6:$D$5005,$B32,INCORRIDO!$E$6:$E$5005,S$7)+IF(S$7&gt;PARAMETROS!$C$12,IF($H32&gt;0,$G32*CURVA!S32/$H32,0)*S$6,0))</f>
        <v>0</v>
      </c>
      <c r="T32" s="19" t="n">
        <f aca="false">IF($B32="",0,SUMIFS(INCORRIDO!$C$6:$C$5005,INCORRIDO!$D$6:$D$5005,$B32,INCORRIDO!$E$6:$E$5005,T$7)+IF(T$7&gt;PARAMETROS!$C$12,IF($H32&gt;0,$G32*CURVA!T32/$H32,0)*T$6,0))</f>
        <v>0</v>
      </c>
      <c r="U32" s="19" t="n">
        <f aca="false">IF($B32="",0,SUMIFS(INCORRIDO!$C$6:$C$5005,INCORRIDO!$D$6:$D$5005,$B32,INCORRIDO!$E$6:$E$5005,U$7)+IF(U$7&gt;PARAMETROS!$C$12,IF($H32&gt;0,$G32*CURVA!U32/$H32,0)*U$6,0))</f>
        <v>0</v>
      </c>
      <c r="V32" s="19" t="n">
        <f aca="false">IF($B32="",0,SUMIFS(INCORRIDO!$C$6:$C$5005,INCORRIDO!$D$6:$D$5005,$B32,INCORRIDO!$E$6:$E$5005,V$7)+IF(V$7&gt;PARAMETROS!$C$12,IF($H32&gt;0,$G32*CURVA!V32/$H32,0)*V$6,0))</f>
        <v>0</v>
      </c>
      <c r="W32" s="19" t="n">
        <f aca="false">IF($B32="",0,SUMIFS(INCORRIDO!$C$6:$C$5005,INCORRIDO!$D$6:$D$5005,$B32,INCORRIDO!$E$6:$E$5005,W$7)+IF(W$7&gt;PARAMETROS!$C$12,IF($H32&gt;0,$G32*CURVA!W32/$H32,0)*W$6,0))</f>
        <v>0</v>
      </c>
      <c r="X32" s="19" t="n">
        <f aca="false">IF($B32="",0,SUMIFS(INCORRIDO!$C$6:$C$5005,INCORRIDO!$D$6:$D$5005,$B32,INCORRIDO!$E$6:$E$5005,X$7)+IF(X$7&gt;PARAMETROS!$C$12,IF($H32&gt;0,$G32*CURVA!X32/$H32,0)*X$6,0))</f>
        <v>0</v>
      </c>
      <c r="Y32" s="19" t="n">
        <f aca="false">IF($B32="",0,SUMIFS(INCORRIDO!$C$6:$C$5005,INCORRIDO!$D$6:$D$5005,$B32,INCORRIDO!$E$6:$E$5005,Y$7)+IF(Y$7&gt;PARAMETROS!$C$12,IF($H32&gt;0,$G32*CURVA!Y32/$H32,0)*Y$6,0))</f>
        <v>0</v>
      </c>
      <c r="Z32" s="19" t="n">
        <f aca="false">IF($B32="",0,SUMIFS(INCORRIDO!$C$6:$C$5005,INCORRIDO!$D$6:$D$5005,$B32,INCORRIDO!$E$6:$E$5005,Z$7)+IF(Z$7&gt;PARAMETROS!$C$12,IF($H32&gt;0,$G32*CURVA!Z32/$H32,0)*Z$6,0))</f>
        <v>0</v>
      </c>
      <c r="AA32" s="19" t="n">
        <f aca="false">IF($B32="",0,SUMIFS(INCORRIDO!$C$6:$C$5005,INCORRIDO!$D$6:$D$5005,$B32,INCORRIDO!$E$6:$E$5005,AA$7)+IF(AA$7&gt;PARAMETROS!$C$12,IF($H32&gt;0,$G32*CURVA!AA32/$H32,0)*AA$6,0))</f>
        <v>0</v>
      </c>
      <c r="AB32" s="19" t="n">
        <f aca="false">IF($B32="",0,SUMIFS(INCORRIDO!$C$6:$C$5005,INCORRIDO!$D$6:$D$5005,$B32,INCORRIDO!$E$6:$E$5005,AB$7)+IF(AB$7&gt;PARAMETROS!$C$12,IF($H32&gt;0,$G32*CURVA!AB32/$H32,0)*AB$6,0))</f>
        <v>0</v>
      </c>
      <c r="AC32" s="19" t="n">
        <f aca="false">IF($B32="",0,SUMIFS(INCORRIDO!$C$6:$C$5005,INCORRIDO!$D$6:$D$5005,$B32,INCORRIDO!$E$6:$E$5005,AC$7)+IF(AC$7&gt;PARAMETROS!$C$12,IF($H32&gt;0,$G32*CURVA!AC32/$H32,0)*AC$6,0))</f>
        <v>0</v>
      </c>
      <c r="AD32" s="19" t="n">
        <f aca="false">IF($B32="",0,SUMIFS(INCORRIDO!$C$6:$C$5005,INCORRIDO!$D$6:$D$5005,$B32,INCORRIDO!$E$6:$E$5005,AD$7)+IF(AD$7&gt;PARAMETROS!$C$12,IF($H32&gt;0,$G32*CURVA!AD32/$H32,0)*AD$6,0))</f>
        <v>0</v>
      </c>
      <c r="AE32" s="19" t="n">
        <f aca="false">IF($B32="",0,SUMIFS(INCORRIDO!$C$6:$C$5005,INCORRIDO!$D$6:$D$5005,$B32,INCORRIDO!$E$6:$E$5005,AE$7)+IF(AE$7&gt;PARAMETROS!$C$12,IF($H32&gt;0,$G32*CURVA!AE32/$H32,0)*AE$6,0))</f>
        <v>0</v>
      </c>
      <c r="AF32" s="19" t="n">
        <f aca="false">IF($B32="",0,SUMIFS(INCORRIDO!$C$6:$C$5005,INCORRIDO!$D$6:$D$5005,$B32,INCORRIDO!$E$6:$E$5005,AF$7)+IF(AF$7&gt;PARAMETROS!$C$12,IF($H32&gt;0,$G32*CURVA!AF32/$H32,0)*AF$6,0))</f>
        <v>0</v>
      </c>
      <c r="AG32" s="19" t="n">
        <f aca="false">IF($B32="",0,SUMIFS(INCORRIDO!$C$6:$C$5005,INCORRIDO!$D$6:$D$5005,$B32,INCORRIDO!$E$6:$E$5005,AG$7)+IF(AG$7&gt;PARAMETROS!$C$12,IF($H32&gt;0,$G32*CURVA!AG32/$H32,0)*AG$6,0))</f>
        <v>0</v>
      </c>
      <c r="AH32" s="19" t="n">
        <f aca="false">IF($B32="",0,SUMIFS(INCORRIDO!$C$6:$C$5005,INCORRIDO!$D$6:$D$5005,$B32,INCORRIDO!$E$6:$E$5005,AH$7)+IF(AH$7&gt;PARAMETROS!$C$12,IF($H32&gt;0,$G32*CURVA!AH32/$H32,0)*AH$6,0))</f>
        <v>0</v>
      </c>
      <c r="AI32" s="19" t="n">
        <f aca="false">IF($B32="",0,SUMIFS(INCORRIDO!$C$6:$C$5005,INCORRIDO!$D$6:$D$5005,$B32,INCORRIDO!$E$6:$E$5005,AI$7)+IF(AI$7&gt;PARAMETROS!$C$12,IF($H32&gt;0,$G32*CURVA!AI32/$H32,0)*AI$6,0))</f>
        <v>0</v>
      </c>
      <c r="AJ32" s="19" t="n">
        <f aca="false">IF($B32="",0,SUMIFS(INCORRIDO!$C$6:$C$5005,INCORRIDO!$D$6:$D$5005,$B32,INCORRIDO!$E$6:$E$5005,AJ$7)+IF(AJ$7&gt;PARAMETROS!$C$12,IF($H32&gt;0,$G32*CURVA!AJ32/$H32,0)*AJ$6,0))</f>
        <v>0</v>
      </c>
      <c r="AK32" s="19" t="n">
        <f aca="false">IF($B32="",0,SUMIFS(INCORRIDO!$C$6:$C$5005,INCORRIDO!$D$6:$D$5005,$B32,INCORRIDO!$E$6:$E$5005,AK$7)+IF(AK$7&gt;PARAMETROS!$C$12,IF($H32&gt;0,$G32*CURVA!AK32/$H32,0)*AK$6,0))</f>
        <v>0</v>
      </c>
      <c r="AL32" s="19" t="n">
        <f aca="false">IF($B32="",0,SUMIFS(INCORRIDO!$C$6:$C$5005,INCORRIDO!$D$6:$D$5005,$B32,INCORRIDO!$E$6:$E$5005,AL$7)+IF(AL$7&gt;PARAMETROS!$C$12,IF($H32&gt;0,$G32*CURVA!AL32/$H32,0)*AL$6,0))</f>
        <v>0</v>
      </c>
      <c r="AM32" s="19" t="n">
        <f aca="false">IF($B32="",0,SUMIFS(INCORRIDO!$C$6:$C$5005,INCORRIDO!$D$6:$D$5005,$B32,INCORRIDO!$E$6:$E$5005,AM$7)+IF(AM$7&gt;PARAMETROS!$C$12,IF($H32&gt;0,$G32*CURVA!AM32/$H32,0)*AM$6,0))</f>
        <v>0</v>
      </c>
      <c r="AN32" s="19" t="n">
        <f aca="false">IF($B32="",0,SUMIFS(INCORRIDO!$C$6:$C$5005,INCORRIDO!$D$6:$D$5005,$B32,INCORRIDO!$E$6:$E$5005,AN$7)+IF(AN$7&gt;PARAMETROS!$C$12,IF($H32&gt;0,$G32*CURVA!AN32/$H32,0)*AN$6,0))</f>
        <v>783232.002659224</v>
      </c>
      <c r="AO32" s="19" t="n">
        <f aca="false">IF($B32="",0,SUMIFS(INCORRIDO!$C$6:$C$5005,INCORRIDO!$D$6:$D$5005,$B32,INCORRIDO!$E$6:$E$5005,AO$7)+IF(AO$7&gt;PARAMETROS!$C$12,IF($H32&gt;0,$G32*CURVA!AO32/$H32,0)*AO$6,0))</f>
        <v>939878.403191069</v>
      </c>
      <c r="AP32" s="19" t="n">
        <f aca="false">IF($B32="",0,SUMIFS(INCORRIDO!$C$6:$C$5005,INCORRIDO!$D$6:$D$5005,$B32,INCORRIDO!$E$6:$E$5005,AP$7)+IF(AP$7&gt;PARAMETROS!$C$12,IF($H32&gt;0,$G32*CURVA!AP32/$H32,0)*AP$6,0))</f>
        <v>939878.403191069</v>
      </c>
      <c r="AQ32" s="19" t="n">
        <f aca="false">IF($B32="",0,SUMIFS(INCORRIDO!$C$6:$C$5005,INCORRIDO!$D$6:$D$5005,$B32,INCORRIDO!$E$6:$E$5005,AQ$7)+IF(AQ$7&gt;PARAMETROS!$C$12,IF($H32&gt;0,$G32*CURVA!AQ32/$H32,0)*AQ$6,0))</f>
        <v>156646.400531845</v>
      </c>
      <c r="AR32" s="19" t="n">
        <f aca="false">IF($B32="",0,SUMIFS(INCORRIDO!$C$6:$C$5005,INCORRIDO!$D$6:$D$5005,$B32,INCORRIDO!$E$6:$E$5005,AR$7)+IF(AR$7&gt;PARAMETROS!$C$12,IF($H32&gt;0,$G32*CURVA!AR32/$H32,0)*AR$6,0))</f>
        <v>0</v>
      </c>
      <c r="AS32" s="19" t="n">
        <f aca="false">IF($B32="",0,SUMIFS(INCORRIDO!$C$6:$C$5005,INCORRIDO!$D$6:$D$5005,$B32,INCORRIDO!$E$6:$E$5005,AS$7)+IF(AS$7&gt;PARAMETROS!$C$12,IF($H32&gt;0,$G32*CURVA!AS32/$H32,0)*AS$6,0))</f>
        <v>0</v>
      </c>
      <c r="AT32" s="19" t="n">
        <f aca="false">IF($B32="",0,SUMIFS(INCORRIDO!$C$6:$C$5005,INCORRIDO!$D$6:$D$5005,$B32,INCORRIDO!$E$6:$E$5005,AT$7)+IF(AT$7&gt;PARAMETROS!$C$12,IF($H32&gt;0,$G32*CURVA!AT32/$H32,0)*AT$6,0))</f>
        <v>0</v>
      </c>
      <c r="AU32" s="19" t="n">
        <f aca="false">IF($B32="",0,SUMIFS(INCORRIDO!$C$6:$C$5005,INCORRIDO!$D$6:$D$5005,$B32,INCORRIDO!$E$6:$E$5005,AU$7)+IF(AU$7&gt;PARAMETROS!$C$12,IF($H32&gt;0,$G32*CURVA!AU32/$H32,0)*AU$6,0))</f>
        <v>1409305.40478486</v>
      </c>
      <c r="AV32" s="19" t="n">
        <f aca="false">IF($B32="",0,SUMIFS(INCORRIDO!$C$6:$C$5005,INCORRIDO!$D$6:$D$5005,$B32,INCORRIDO!$E$6:$E$5005,AV$7)+IF(AV$7&gt;PARAMETROS!$C$12,IF($H32&gt;0,$G32*CURVA!AV32/$H32,0)*AV$6,0))</f>
        <v>1625374.99551846</v>
      </c>
      <c r="AW32" s="19" t="n">
        <f aca="false">IF($B32="",0,SUMIFS(INCORRIDO!$C$6:$C$5005,INCORRIDO!$D$6:$D$5005,$B32,INCORRIDO!$E$6:$E$5005,AW$7)+IF(AW$7&gt;PARAMETROS!$C$12,IF($H32&gt;0,$G32*CURVA!AW32/$H32,0)*AW$6,0))</f>
        <v>1625374.99551846</v>
      </c>
      <c r="AX32" s="19" t="n">
        <f aca="false">IF($B32="",0,SUMIFS(INCORRIDO!$C$6:$C$5005,INCORRIDO!$D$6:$D$5005,$B32,INCORRIDO!$E$6:$E$5005,AX$7)+IF(AX$7&gt;PARAMETROS!$C$12,IF($H32&gt;0,$G32*CURVA!AX32/$H32,0)*AX$6,0))</f>
        <v>545027.031850472</v>
      </c>
      <c r="AY32" s="19" t="n">
        <f aca="false">IF($B32="",0,SUMIFS(INCORRIDO!$C$6:$C$5005,INCORRIDO!$D$6:$D$5005,$B32,INCORRIDO!$E$6:$E$5005,AY$7)+IF(AY$7&gt;PARAMETROS!$C$12,IF($H32&gt;0,$G32*CURVA!AY32/$H32,0)*AY$6,0))</f>
        <v>93987.8403191069</v>
      </c>
      <c r="AZ32" s="19" t="n">
        <f aca="false">IF($B32="",0,SUMIFS(INCORRIDO!$C$6:$C$5005,INCORRIDO!$D$6:$D$5005,$B32,INCORRIDO!$E$6:$E$5005,AZ$7)+IF(AZ$7&gt;PARAMETROS!$C$12,IF($H32&gt;0,$G32*CURVA!AZ32/$H32,0)*AZ$6,0))</f>
        <v>418092.231419504</v>
      </c>
      <c r="BA32" s="19" t="n">
        <f aca="false">IF($B32="",0,SUMIFS(INCORRIDO!$C$6:$C$5005,INCORRIDO!$D$6:$D$5005,$B32,INCORRIDO!$E$6:$E$5005,BA$7)+IF(BA$7&gt;PARAMETROS!$C$12,IF($H32&gt;0,$G32*CURVA!BA32/$H32,0)*BA$6,0))</f>
        <v>547733.981859663</v>
      </c>
      <c r="BB32" s="19" t="n">
        <f aca="false">IF($B32="",0,SUMIFS(INCORRIDO!$C$6:$C$5005,INCORRIDO!$D$6:$D$5005,$B32,INCORRIDO!$E$6:$E$5005,BB$7)+IF(BB$7&gt;PARAMETROS!$C$12,IF($H32&gt;0,$G32*CURVA!BB32/$H32,0)*BB$6,0))</f>
        <v>547733.981859663</v>
      </c>
      <c r="BC32" s="19" t="n">
        <f aca="false">IF($B32="",0,SUMIFS(INCORRIDO!$C$6:$C$5005,INCORRIDO!$D$6:$D$5005,$B32,INCORRIDO!$E$6:$E$5005,BC$7)+IF(BC$7&gt;PARAMETROS!$C$12,IF($H32&gt;0,$G32*CURVA!BC32/$H32,0)*BC$6,0))</f>
        <v>547733.981859663</v>
      </c>
      <c r="BD32" s="19" t="n">
        <f aca="false">IF($B32="",0,SUMIFS(INCORRIDO!$C$6:$C$5005,INCORRIDO!$D$6:$D$5005,$B32,INCORRIDO!$E$6:$E$5005,BD$7)+IF(BD$7&gt;PARAMETROS!$C$12,IF($H32&gt;0,$G32*CURVA!BD32/$H32,0)*BD$6,0))</f>
        <v>223629.590759266</v>
      </c>
      <c r="BE32" s="19" t="n">
        <f aca="false">IF($B32="",0,SUMIFS(INCORRIDO!$C$6:$C$5005,INCORRIDO!$D$6:$D$5005,$B32,INCORRIDO!$E$6:$E$5005,BE$7)+IF(BE$7&gt;PARAMETROS!$C$12,IF($H32&gt;0,$G32*CURVA!BE32/$H32,0)*BE$6,0))</f>
        <v>129641.750440159</v>
      </c>
      <c r="BF32" s="19" t="n">
        <f aca="false">IF($B32="",0,SUMIFS(INCORRIDO!$C$6:$C$5005,INCORRIDO!$D$6:$D$5005,$B32,INCORRIDO!$E$6:$E$5005,BF$7)+IF(BF$7&gt;PARAMETROS!$C$12,IF($H32&gt;0,$G32*CURVA!BF32/$H32,0)*BF$6,0))</f>
        <v>129641.750440159</v>
      </c>
      <c r="BG32" s="19" t="n">
        <f aca="false">IF($B32="",0,SUMIFS(INCORRIDO!$C$6:$C$5005,INCORRIDO!$D$6:$D$5005,$B32,INCORRIDO!$E$6:$E$5005,BG$7)+IF(BG$7&gt;PARAMETROS!$C$12,IF($H32&gt;0,$G32*CURVA!BG32/$H32,0)*BG$6,0))</f>
        <v>129641.750440159</v>
      </c>
      <c r="BH32" s="19" t="n">
        <f aca="false">IF($B32="",0,SUMIFS(INCORRIDO!$C$6:$C$5005,INCORRIDO!$D$6:$D$5005,$B32,INCORRIDO!$E$6:$E$5005,BH$7)+IF(BH$7&gt;PARAMETROS!$C$12,IF($H32&gt;0,$G32*CURVA!BH32/$H32,0)*BH$6,0))</f>
        <v>129641.750440159</v>
      </c>
      <c r="BI32" s="19" t="n">
        <f aca="false">IF($B32="",0,SUMIFS(INCORRIDO!$C$6:$C$5005,INCORRIDO!$D$6:$D$5005,$B32,INCORRIDO!$E$6:$E$5005,BI$7)+IF(BI$7&gt;PARAMETROS!$C$12,IF($H32&gt;0,$G32*CURVA!BI32/$H32,0)*BI$6,0))</f>
        <v>129641.750440159</v>
      </c>
      <c r="BJ32" s="19" t="n">
        <f aca="false">IF($B32="",0,SUMIFS(INCORRIDO!$C$6:$C$5005,INCORRIDO!$D$6:$D$5005,$B32,INCORRIDO!$E$6:$E$5005,BJ$7)+IF(BJ$7&gt;PARAMETROS!$C$12,IF($H32&gt;0,$G32*CURVA!BJ32/$H32,0)*BJ$6,0))</f>
        <v>129641.750440159</v>
      </c>
      <c r="BK32" s="19" t="n">
        <f aca="false">IF($B32="",0,SUMIFS(INCORRIDO!$C$6:$C$5005,INCORRIDO!$D$6:$D$5005,$B32,INCORRIDO!$E$6:$E$5005,BK$7)+IF(BK$7&gt;PARAMETROS!$C$12,IF($H32&gt;0,$G32*CURVA!BK32/$H32,0)*BK$6,0))</f>
        <v>0</v>
      </c>
      <c r="BL32" s="19" t="n">
        <f aca="false">IF($B32="",0,SUMIFS(INCORRIDO!$C$6:$C$5005,INCORRIDO!$D$6:$D$5005,$B32,INCORRIDO!$E$6:$E$5005,BL$7)+IF(BL$7&gt;PARAMETROS!$C$12,IF($H32&gt;0,$G32*CURVA!BL32/$H32,0)*BL$6,0))</f>
        <v>599883.072036719</v>
      </c>
      <c r="BM32" s="19" t="n">
        <f aca="false">IF($B32="",0,SUMIFS(INCORRIDO!$C$6:$C$5005,INCORRIDO!$D$6:$D$5005,$B32,INCORRIDO!$E$6:$E$5005,BM$7)+IF(BM$7&gt;PARAMETROS!$C$12,IF($H32&gt;0,$G32*CURVA!BM32/$H32,0)*BM$6,0))</f>
        <v>0</v>
      </c>
      <c r="BN32" s="19" t="n">
        <f aca="false">IF($B32="",0,SUMIFS(INCORRIDO!$C$6:$C$5005,INCORRIDO!$D$6:$D$5005,$B32,INCORRIDO!$E$6:$E$5005,BN$7)+IF(BN$7&gt;PARAMETROS!$C$12,IF($H32&gt;0,$G32*CURVA!BN32/$H32,0)*BN$6,0))</f>
        <v>0</v>
      </c>
      <c r="BO32" s="19" t="n">
        <f aca="false">IF($B32="",0,SUMIFS(INCORRIDO!$C$6:$C$5005,INCORRIDO!$D$6:$D$5005,$B32,INCORRIDO!$E$6:$E$5005,BO$7)+IF(BO$7&gt;PARAMETROS!$C$12,IF($H32&gt;0,$G32*CURVA!BO32/$H32,0)*BO$6,0))</f>
        <v>0</v>
      </c>
      <c r="BP32" s="19" t="n">
        <f aca="false">IF($B32="",0,SUMIFS(INCORRIDO!$C$6:$C$5005,INCORRIDO!$D$6:$D$5005,$B32,INCORRIDO!$E$6:$E$5005,BP$7)+IF(BP$7&gt;PARAMETROS!$C$12,IF($H32&gt;0,$G32*CURVA!BP32/$H32,0)*BP$6,0))</f>
        <v>0</v>
      </c>
      <c r="BQ32" s="19" t="n">
        <f aca="false">IF($B32="",0,SUMIFS(INCORRIDO!$C$6:$C$5005,INCORRIDO!$D$6:$D$5005,$B32,INCORRIDO!$E$6:$E$5005,BQ$7)+IF(BQ$7&gt;PARAMETROS!$C$12,IF($H32&gt;0,$G32*CURVA!BQ32/$H32,0)*BQ$6,0))</f>
        <v>0</v>
      </c>
      <c r="BR32" s="19" t="n">
        <f aca="false">IF($B32="",0,SUMIFS(INCORRIDO!$C$6:$C$5005,INCORRIDO!$D$6:$D$5005,$B32,INCORRIDO!$E$6:$E$5005,BR$7)+IF(BR$7&gt;PARAMETROS!$C$12,IF($H32&gt;0,$G32*CURVA!BR32/$H32,0)*BR$6,0))</f>
        <v>0</v>
      </c>
      <c r="BS32" s="19" t="n">
        <f aca="false">IF($B32="",0,SUMIFS(INCORRIDO!$C$6:$C$5005,INCORRIDO!$D$6:$D$5005,$B32,INCORRIDO!$E$6:$E$5005,BS$7)+IF(BS$7&gt;PARAMETROS!$C$12,IF($H32&gt;0,$G32*CURVA!BS32/$H32,0)*BS$6,0))</f>
        <v>0</v>
      </c>
      <c r="BT32" s="19" t="n">
        <f aca="false">IF($B32="",0,SUMIFS(INCORRIDO!$C$6:$C$5005,INCORRIDO!$D$6:$D$5005,$B32,INCORRIDO!$E$6:$E$5005,BT$7)+IF(BT$7&gt;PARAMETROS!$C$12,IF($H32&gt;0,$G32*CURVA!BT32/$H32,0)*BT$6,0))</f>
        <v>0</v>
      </c>
      <c r="BU32" s="19" t="n">
        <f aca="false">IF($B32="",0,SUMIFS(INCORRIDO!$C$6:$C$5005,INCORRIDO!$D$6:$D$5005,$B32,INCORRIDO!$E$6:$E$5005,BU$7)+IF(BU$7&gt;PARAMETROS!$C$12,IF($H32&gt;0,$G32*CURVA!BU32/$H32,0)*BU$6,0))</f>
        <v>0</v>
      </c>
      <c r="BV32" s="19" t="n">
        <f aca="false">IF($B32="",0,SUMIFS(INCORRIDO!$C$6:$C$5005,INCORRIDO!$D$6:$D$5005,$B32,INCORRIDO!$E$6:$E$5005,BV$7)+IF(BV$7&gt;PARAMETROS!$C$12,IF($H32&gt;0,$G32*CURVA!BV32/$H32,0)*BV$6,0))</f>
        <v>0</v>
      </c>
      <c r="BW32" s="19" t="n">
        <f aca="false">IF($B32="",0,SUMIFS(INCORRIDO!$C$6:$C$5005,INCORRIDO!$D$6:$D$5005,$B32,INCORRIDO!$E$6:$E$5005,BW$7)+IF(BW$7&gt;PARAMETROS!$C$12,IF($H32&gt;0,$G32*CURVA!BW32/$H32,0)*BW$6,0))</f>
        <v>0</v>
      </c>
      <c r="BX32" s="19" t="n">
        <f aca="false">IF($B32="",0,SUMIFS(INCORRIDO!$C$6:$C$5005,INCORRIDO!$D$6:$D$5005,$B32,INCORRIDO!$E$6:$E$5005,BX$7)+IF(BX$7&gt;PARAMETROS!$C$12,IF($H32&gt;0,$G32*CURVA!BX32/$H32,0)*BX$6,0))</f>
        <v>0</v>
      </c>
      <c r="BY32" s="19" t="n">
        <f aca="false">IF($B32="",0,SUMIFS(INCORRIDO!$C$6:$C$5005,INCORRIDO!$D$6:$D$5005,$B32,INCORRIDO!$E$6:$E$5005,BY$7)+IF(BY$7&gt;PARAMETROS!$C$12,IF($H32&gt;0,$G32*CURVA!BY32/$H32,0)*BY$6,0))</f>
        <v>0</v>
      </c>
      <c r="BZ32" s="19" t="n">
        <f aca="false">IF($B32="",0,SUMIFS(INCORRIDO!$C$6:$C$5005,INCORRIDO!$D$6:$D$5005,$B32,INCORRIDO!$E$6:$E$5005,BZ$7)+IF(BZ$7&gt;PARAMETROS!$C$12,IF($H32&gt;0,$G32*CURVA!BZ32/$H32,0)*BZ$6,0))</f>
        <v>0</v>
      </c>
      <c r="CA32" s="19" t="n">
        <f aca="false">IF($B32="",0,SUMIFS(INCORRIDO!$C$6:$C$5005,INCORRIDO!$D$6:$D$5005,$B32,INCORRIDO!$E$6:$E$5005,CA$7)+IF(CA$7&gt;PARAMETROS!$C$12,IF($H32&gt;0,$G32*CURVA!CA32/$H32,0)*CA$6,0))</f>
        <v>0</v>
      </c>
      <c r="CB32" s="19" t="n">
        <f aca="false">IF($B32="",0,SUMIFS(INCORRIDO!$C$6:$C$5005,INCORRIDO!$D$6:$D$5005,$B32,INCORRIDO!$E$6:$E$5005,CB$7)+IF(CB$7&gt;PARAMETROS!$C$12,IF($H32&gt;0,$G32*CURVA!CB32/$H32,0)*CB$6,0))</f>
        <v>0</v>
      </c>
      <c r="CC32" s="19" t="n">
        <f aca="false">IF($B32="",0,SUMIFS(INCORRIDO!$C$6:$C$5005,INCORRIDO!$D$6:$D$5005,$B32,INCORRIDO!$E$6:$E$5005,CC$7)+IF(CC$7&gt;PARAMETROS!$C$12,IF($H32&gt;0,$G32*CURVA!CC32/$H32,0)*CC$6,0))</f>
        <v>0</v>
      </c>
    </row>
    <row r="33" customFormat="false" ht="15" hidden="false" customHeight="false" outlineLevel="0" collapsed="false">
      <c r="A33" s="31" t="str">
        <f aca="false">IF(ORCAMENTO!A31="","",ORCAMENTO!A31)</f>
        <v>26</v>
      </c>
      <c r="B33" s="31" t="str">
        <f aca="false">IF(ORCAMENTO!B31="","",ORCAMENTO!B31)</f>
        <v>SERRALHERIA</v>
      </c>
      <c r="C33" s="31" t="str">
        <f aca="false">IF(ORCAMENTO!C31="","",ORCAMENTO!C31)</f>
        <v>ACABAMENTOS</v>
      </c>
      <c r="D33" s="32" t="n">
        <f aca="false">IF($B33="",0,ORCAMENTO!E31)</f>
        <v>508667.05</v>
      </c>
      <c r="E33" s="19" t="n">
        <f aca="false">IF($B33="",0,SUMIFS(INCORRIDO!$C$6:$C$5005,INCORRIDO!$D$6:$D$5005,$B33,INCORRIDO!$E$6:$E$5005,"&lt;="&amp;PARAMETROS!$C$12))</f>
        <v>0</v>
      </c>
      <c r="F33" s="19" t="n">
        <f aca="false">IF($B33="",0,SUMIFS(INCORRIDO!$C$6:$C$5005,INCORRIDO!$D$6:$D$5005,$B33,INCORRIDO!$E$6:$E$5005,"&gt;"&amp;PARAMETROS!$C$12))</f>
        <v>0</v>
      </c>
      <c r="G33" s="19" t="n">
        <f aca="false">MAX(0,D33-E33-F33)</f>
        <v>508667.05</v>
      </c>
      <c r="H33" s="32" t="n">
        <f aca="false">CURVA!H33</f>
        <v>508667.04</v>
      </c>
      <c r="I33" s="19" t="n">
        <f aca="false">SUM(J33:CC33)</f>
        <v>508667.05</v>
      </c>
      <c r="J33" s="19" t="n">
        <f aca="false">IF($B33="",0,SUMIFS(INCORRIDO!$C$6:$C$5005,INCORRIDO!$D$6:$D$5005,$B33,INCORRIDO!$E$6:$E$5005,"&lt;="&amp;J$7)+IF(J$7&gt;PARAMETROS!$C$12,IF($H33&gt;0,$G33*CURVA!J33/$H33,0)*J$6,0))</f>
        <v>0</v>
      </c>
      <c r="K33" s="19" t="n">
        <f aca="false">IF($B33="",0,SUMIFS(INCORRIDO!$C$6:$C$5005,INCORRIDO!$D$6:$D$5005,$B33,INCORRIDO!$E$6:$E$5005,K$7)+IF(K$7&gt;PARAMETROS!$C$12,IF($H33&gt;0,$G33*CURVA!K33/$H33,0)*K$6,0))</f>
        <v>0</v>
      </c>
      <c r="L33" s="19" t="n">
        <f aca="false">IF($B33="",0,SUMIFS(INCORRIDO!$C$6:$C$5005,INCORRIDO!$D$6:$D$5005,$B33,INCORRIDO!$E$6:$E$5005,L$7)+IF(L$7&gt;PARAMETROS!$C$12,IF($H33&gt;0,$G33*CURVA!L33/$H33,0)*L$6,0))</f>
        <v>0</v>
      </c>
      <c r="M33" s="19" t="n">
        <f aca="false">IF($B33="",0,SUMIFS(INCORRIDO!$C$6:$C$5005,INCORRIDO!$D$6:$D$5005,$B33,INCORRIDO!$E$6:$E$5005,M$7)+IF(M$7&gt;PARAMETROS!$C$12,IF($H33&gt;0,$G33*CURVA!M33/$H33,0)*M$6,0))</f>
        <v>0</v>
      </c>
      <c r="N33" s="19" t="n">
        <f aca="false">IF($B33="",0,SUMIFS(INCORRIDO!$C$6:$C$5005,INCORRIDO!$D$6:$D$5005,$B33,INCORRIDO!$E$6:$E$5005,N$7)+IF(N$7&gt;PARAMETROS!$C$12,IF($H33&gt;0,$G33*CURVA!N33/$H33,0)*N$6,0))</f>
        <v>0</v>
      </c>
      <c r="O33" s="19" t="n">
        <f aca="false">IF($B33="",0,SUMIFS(INCORRIDO!$C$6:$C$5005,INCORRIDO!$D$6:$D$5005,$B33,INCORRIDO!$E$6:$E$5005,O$7)+IF(O$7&gt;PARAMETROS!$C$12,IF($H33&gt;0,$G33*CURVA!O33/$H33,0)*O$6,0))</f>
        <v>0</v>
      </c>
      <c r="P33" s="19" t="n">
        <f aca="false">IF($B33="",0,SUMIFS(INCORRIDO!$C$6:$C$5005,INCORRIDO!$D$6:$D$5005,$B33,INCORRIDO!$E$6:$E$5005,P$7)+IF(P$7&gt;PARAMETROS!$C$12,IF($H33&gt;0,$G33*CURVA!P33/$H33,0)*P$6,0))</f>
        <v>0</v>
      </c>
      <c r="Q33" s="19" t="n">
        <f aca="false">IF($B33="",0,SUMIFS(INCORRIDO!$C$6:$C$5005,INCORRIDO!$D$6:$D$5005,$B33,INCORRIDO!$E$6:$E$5005,Q$7)+IF(Q$7&gt;PARAMETROS!$C$12,IF($H33&gt;0,$G33*CURVA!Q33/$H33,0)*Q$6,0))</f>
        <v>0</v>
      </c>
      <c r="R33" s="19" t="n">
        <f aca="false">IF($B33="",0,SUMIFS(INCORRIDO!$C$6:$C$5005,INCORRIDO!$D$6:$D$5005,$B33,INCORRIDO!$E$6:$E$5005,R$7)+IF(R$7&gt;PARAMETROS!$C$12,IF($H33&gt;0,$G33*CURVA!R33/$H33,0)*R$6,0))</f>
        <v>0</v>
      </c>
      <c r="S33" s="19" t="n">
        <f aca="false">IF($B33="",0,SUMIFS(INCORRIDO!$C$6:$C$5005,INCORRIDO!$D$6:$D$5005,$B33,INCORRIDO!$E$6:$E$5005,S$7)+IF(S$7&gt;PARAMETROS!$C$12,IF($H33&gt;0,$G33*CURVA!S33/$H33,0)*S$6,0))</f>
        <v>0</v>
      </c>
      <c r="T33" s="19" t="n">
        <f aca="false">IF($B33="",0,SUMIFS(INCORRIDO!$C$6:$C$5005,INCORRIDO!$D$6:$D$5005,$B33,INCORRIDO!$E$6:$E$5005,T$7)+IF(T$7&gt;PARAMETROS!$C$12,IF($H33&gt;0,$G33*CURVA!T33/$H33,0)*T$6,0))</f>
        <v>0</v>
      </c>
      <c r="U33" s="19" t="n">
        <f aca="false">IF($B33="",0,SUMIFS(INCORRIDO!$C$6:$C$5005,INCORRIDO!$D$6:$D$5005,$B33,INCORRIDO!$E$6:$E$5005,U$7)+IF(U$7&gt;PARAMETROS!$C$12,IF($H33&gt;0,$G33*CURVA!U33/$H33,0)*U$6,0))</f>
        <v>0</v>
      </c>
      <c r="V33" s="19" t="n">
        <f aca="false">IF($B33="",0,SUMIFS(INCORRIDO!$C$6:$C$5005,INCORRIDO!$D$6:$D$5005,$B33,INCORRIDO!$E$6:$E$5005,V$7)+IF(V$7&gt;PARAMETROS!$C$12,IF($H33&gt;0,$G33*CURVA!V33/$H33,0)*V$6,0))</f>
        <v>0</v>
      </c>
      <c r="W33" s="19" t="n">
        <f aca="false">IF($B33="",0,SUMIFS(INCORRIDO!$C$6:$C$5005,INCORRIDO!$D$6:$D$5005,$B33,INCORRIDO!$E$6:$E$5005,W$7)+IF(W$7&gt;PARAMETROS!$C$12,IF($H33&gt;0,$G33*CURVA!W33/$H33,0)*W$6,0))</f>
        <v>0</v>
      </c>
      <c r="X33" s="19" t="n">
        <f aca="false">IF($B33="",0,SUMIFS(INCORRIDO!$C$6:$C$5005,INCORRIDO!$D$6:$D$5005,$B33,INCORRIDO!$E$6:$E$5005,X$7)+IF(X$7&gt;PARAMETROS!$C$12,IF($H33&gt;0,$G33*CURVA!X33/$H33,0)*X$6,0))</f>
        <v>0</v>
      </c>
      <c r="Y33" s="19" t="n">
        <f aca="false">IF($B33="",0,SUMIFS(INCORRIDO!$C$6:$C$5005,INCORRIDO!$D$6:$D$5005,$B33,INCORRIDO!$E$6:$E$5005,Y$7)+IF(Y$7&gt;PARAMETROS!$C$12,IF($H33&gt;0,$G33*CURVA!Y33/$H33,0)*Y$6,0))</f>
        <v>0</v>
      </c>
      <c r="Z33" s="19" t="n">
        <f aca="false">IF($B33="",0,SUMIFS(INCORRIDO!$C$6:$C$5005,INCORRIDO!$D$6:$D$5005,$B33,INCORRIDO!$E$6:$E$5005,Z$7)+IF(Z$7&gt;PARAMETROS!$C$12,IF($H33&gt;0,$G33*CURVA!Z33/$H33,0)*Z$6,0))</f>
        <v>0</v>
      </c>
      <c r="AA33" s="19" t="n">
        <f aca="false">IF($B33="",0,SUMIFS(INCORRIDO!$C$6:$C$5005,INCORRIDO!$D$6:$D$5005,$B33,INCORRIDO!$E$6:$E$5005,AA$7)+IF(AA$7&gt;PARAMETROS!$C$12,IF($H33&gt;0,$G33*CURVA!AA33/$H33,0)*AA$6,0))</f>
        <v>0</v>
      </c>
      <c r="AB33" s="19" t="n">
        <f aca="false">IF($B33="",0,SUMIFS(INCORRIDO!$C$6:$C$5005,INCORRIDO!$D$6:$D$5005,$B33,INCORRIDO!$E$6:$E$5005,AB$7)+IF(AB$7&gt;PARAMETROS!$C$12,IF($H33&gt;0,$G33*CURVA!AB33/$H33,0)*AB$6,0))</f>
        <v>0</v>
      </c>
      <c r="AC33" s="19" t="n">
        <f aca="false">IF($B33="",0,SUMIFS(INCORRIDO!$C$6:$C$5005,INCORRIDO!$D$6:$D$5005,$B33,INCORRIDO!$E$6:$E$5005,AC$7)+IF(AC$7&gt;PARAMETROS!$C$12,IF($H33&gt;0,$G33*CURVA!AC33/$H33,0)*AC$6,0))</f>
        <v>0</v>
      </c>
      <c r="AD33" s="19" t="n">
        <f aca="false">IF($B33="",0,SUMIFS(INCORRIDO!$C$6:$C$5005,INCORRIDO!$D$6:$D$5005,$B33,INCORRIDO!$E$6:$E$5005,AD$7)+IF(AD$7&gt;PARAMETROS!$C$12,IF($H33&gt;0,$G33*CURVA!AD33/$H33,0)*AD$6,0))</f>
        <v>0</v>
      </c>
      <c r="AE33" s="19" t="n">
        <f aca="false">IF($B33="",0,SUMIFS(INCORRIDO!$C$6:$C$5005,INCORRIDO!$D$6:$D$5005,$B33,INCORRIDO!$E$6:$E$5005,AE$7)+IF(AE$7&gt;PARAMETROS!$C$12,IF($H33&gt;0,$G33*CURVA!AE33/$H33,0)*AE$6,0))</f>
        <v>0</v>
      </c>
      <c r="AF33" s="19" t="n">
        <f aca="false">IF($B33="",0,SUMIFS(INCORRIDO!$C$6:$C$5005,INCORRIDO!$D$6:$D$5005,$B33,INCORRIDO!$E$6:$E$5005,AF$7)+IF(AF$7&gt;PARAMETROS!$C$12,IF($H33&gt;0,$G33*CURVA!AF33/$H33,0)*AF$6,0))</f>
        <v>0</v>
      </c>
      <c r="AG33" s="19" t="n">
        <f aca="false">IF($B33="",0,SUMIFS(INCORRIDO!$C$6:$C$5005,INCORRIDO!$D$6:$D$5005,$B33,INCORRIDO!$E$6:$E$5005,AG$7)+IF(AG$7&gt;PARAMETROS!$C$12,IF($H33&gt;0,$G33*CURVA!AG33/$H33,0)*AG$6,0))</f>
        <v>0</v>
      </c>
      <c r="AH33" s="19" t="n">
        <f aca="false">IF($B33="",0,SUMIFS(INCORRIDO!$C$6:$C$5005,INCORRIDO!$D$6:$D$5005,$B33,INCORRIDO!$E$6:$E$5005,AH$7)+IF(AH$7&gt;PARAMETROS!$C$12,IF($H33&gt;0,$G33*CURVA!AH33/$H33,0)*AH$6,0))</f>
        <v>0</v>
      </c>
      <c r="AI33" s="19" t="n">
        <f aca="false">IF($B33="",0,SUMIFS(INCORRIDO!$C$6:$C$5005,INCORRIDO!$D$6:$D$5005,$B33,INCORRIDO!$E$6:$E$5005,AI$7)+IF(AI$7&gt;PARAMETROS!$C$12,IF($H33&gt;0,$G33*CURVA!AI33/$H33,0)*AI$6,0))</f>
        <v>0</v>
      </c>
      <c r="AJ33" s="19" t="n">
        <f aca="false">IF($B33="",0,SUMIFS(INCORRIDO!$C$6:$C$5005,INCORRIDO!$D$6:$D$5005,$B33,INCORRIDO!$E$6:$E$5005,AJ$7)+IF(AJ$7&gt;PARAMETROS!$C$12,IF($H33&gt;0,$G33*CURVA!AJ33/$H33,0)*AJ$6,0))</f>
        <v>0</v>
      </c>
      <c r="AK33" s="19" t="n">
        <f aca="false">IF($B33="",0,SUMIFS(INCORRIDO!$C$6:$C$5005,INCORRIDO!$D$6:$D$5005,$B33,INCORRIDO!$E$6:$E$5005,AK$7)+IF(AK$7&gt;PARAMETROS!$C$12,IF($H33&gt;0,$G33*CURVA!AK33/$H33,0)*AK$6,0))</f>
        <v>0</v>
      </c>
      <c r="AL33" s="19" t="n">
        <f aca="false">IF($B33="",0,SUMIFS(INCORRIDO!$C$6:$C$5005,INCORRIDO!$D$6:$D$5005,$B33,INCORRIDO!$E$6:$E$5005,AL$7)+IF(AL$7&gt;PARAMETROS!$C$12,IF($H33&gt;0,$G33*CURVA!AL33/$H33,0)*AL$6,0))</f>
        <v>0</v>
      </c>
      <c r="AM33" s="19" t="n">
        <f aca="false">IF($B33="",0,SUMIFS(INCORRIDO!$C$6:$C$5005,INCORRIDO!$D$6:$D$5005,$B33,INCORRIDO!$E$6:$E$5005,AM$7)+IF(AM$7&gt;PARAMETROS!$C$12,IF($H33&gt;0,$G33*CURVA!AM33/$H33,0)*AM$6,0))</f>
        <v>0</v>
      </c>
      <c r="AN33" s="19" t="n">
        <f aca="false">IF($B33="",0,SUMIFS(INCORRIDO!$C$6:$C$5005,INCORRIDO!$D$6:$D$5005,$B33,INCORRIDO!$E$6:$E$5005,AN$7)+IF(AN$7&gt;PARAMETROS!$C$12,IF($H33&gt;0,$G33*CURVA!AN33/$H33,0)*AN$6,0))</f>
        <v>0</v>
      </c>
      <c r="AO33" s="19" t="n">
        <f aca="false">IF($B33="",0,SUMIFS(INCORRIDO!$C$6:$C$5005,INCORRIDO!$D$6:$D$5005,$B33,INCORRIDO!$E$6:$E$5005,AO$7)+IF(AO$7&gt;PARAMETROS!$C$12,IF($H33&gt;0,$G33*CURVA!AO33/$H33,0)*AO$6,0))</f>
        <v>0</v>
      </c>
      <c r="AP33" s="19" t="n">
        <f aca="false">IF($B33="",0,SUMIFS(INCORRIDO!$C$6:$C$5005,INCORRIDO!$D$6:$D$5005,$B33,INCORRIDO!$E$6:$E$5005,AP$7)+IF(AP$7&gt;PARAMETROS!$C$12,IF($H33&gt;0,$G33*CURVA!AP33/$H33,0)*AP$6,0))</f>
        <v>0</v>
      </c>
      <c r="AQ33" s="19" t="n">
        <f aca="false">IF($B33="",0,SUMIFS(INCORRIDO!$C$6:$C$5005,INCORRIDO!$D$6:$D$5005,$B33,INCORRIDO!$E$6:$E$5005,AQ$7)+IF(AQ$7&gt;PARAMETROS!$C$12,IF($H33&gt;0,$G33*CURVA!AQ33/$H33,0)*AQ$6,0))</f>
        <v>27010.220531</v>
      </c>
      <c r="AR33" s="19" t="n">
        <f aca="false">IF($B33="",0,SUMIFS(INCORRIDO!$C$6:$C$5005,INCORRIDO!$D$6:$D$5005,$B33,INCORRIDO!$E$6:$E$5005,AR$7)+IF(AR$7&gt;PARAMETROS!$C$12,IF($H33&gt;0,$G33*CURVA!AR33/$H33,0)*AR$6,0))</f>
        <v>26959.3505299999</v>
      </c>
      <c r="AS33" s="19" t="n">
        <f aca="false">IF($B33="",0,SUMIFS(INCORRIDO!$C$6:$C$5005,INCORRIDO!$D$6:$D$5005,$B33,INCORRIDO!$E$6:$E$5005,AS$7)+IF(AS$7&gt;PARAMETROS!$C$12,IF($H33&gt;0,$G33*CURVA!AS33/$H33,0)*AS$6,0))</f>
        <v>0</v>
      </c>
      <c r="AT33" s="19" t="n">
        <f aca="false">IF($B33="",0,SUMIFS(INCORRIDO!$C$6:$C$5005,INCORRIDO!$D$6:$D$5005,$B33,INCORRIDO!$E$6:$E$5005,AT$7)+IF(AT$7&gt;PARAMETROS!$C$12,IF($H33&gt;0,$G33*CURVA!AT33/$H33,0)*AT$6,0))</f>
        <v>27010.220531</v>
      </c>
      <c r="AU33" s="19" t="n">
        <f aca="false">IF($B33="",0,SUMIFS(INCORRIDO!$C$6:$C$5005,INCORRIDO!$D$6:$D$5005,$B33,INCORRIDO!$E$6:$E$5005,AU$7)+IF(AU$7&gt;PARAMETROS!$C$12,IF($H33&gt;0,$G33*CURVA!AU33/$H33,0)*AU$6,0))</f>
        <v>0</v>
      </c>
      <c r="AV33" s="19" t="n">
        <f aca="false">IF($B33="",0,SUMIFS(INCORRIDO!$C$6:$C$5005,INCORRIDO!$D$6:$D$5005,$B33,INCORRIDO!$E$6:$E$5005,AV$7)+IF(AV$7&gt;PARAMETROS!$C$12,IF($H33&gt;0,$G33*CURVA!AV33/$H33,0)*AV$6,0))</f>
        <v>26959.3505299999</v>
      </c>
      <c r="AW33" s="19" t="n">
        <f aca="false">IF($B33="",0,SUMIFS(INCORRIDO!$C$6:$C$5005,INCORRIDO!$D$6:$D$5005,$B33,INCORRIDO!$E$6:$E$5005,AW$7)+IF(AW$7&gt;PARAMETROS!$C$12,IF($H33&gt;0,$G33*CURVA!AW33/$H33,0)*AW$6,0))</f>
        <v>22076.150434</v>
      </c>
      <c r="AX33" s="19" t="n">
        <f aca="false">IF($B33="",0,SUMIFS(INCORRIDO!$C$6:$C$5005,INCORRIDO!$D$6:$D$5005,$B33,INCORRIDO!$E$6:$E$5005,AX$7)+IF(AX$7&gt;PARAMETROS!$C$12,IF($H33&gt;0,$G33*CURVA!AX33/$H33,0)*AX$6,0))</f>
        <v>102649.012018</v>
      </c>
      <c r="AY33" s="19" t="n">
        <f aca="false">IF($B33="",0,SUMIFS(INCORRIDO!$C$6:$C$5005,INCORRIDO!$D$6:$D$5005,$B33,INCORRIDO!$E$6:$E$5005,AY$7)+IF(AY$7&gt;PARAMETROS!$C$12,IF($H33&gt;0,$G33*CURVA!AY33/$H33,0)*AY$6,0))</f>
        <v>59259.711165</v>
      </c>
      <c r="AZ33" s="19" t="n">
        <f aca="false">IF($B33="",0,SUMIFS(INCORRIDO!$C$6:$C$5005,INCORRIDO!$D$6:$D$5005,$B33,INCORRIDO!$E$6:$E$5005,AZ$7)+IF(AZ$7&gt;PARAMETROS!$C$12,IF($H33&gt;0,$G33*CURVA!AZ33/$H33,0)*AZ$6,0))</f>
        <v>24365.150479</v>
      </c>
      <c r="BA33" s="19" t="n">
        <f aca="false">IF($B33="",0,SUMIFS(INCORRIDO!$C$6:$C$5005,INCORRIDO!$D$6:$D$5005,$B33,INCORRIDO!$E$6:$E$5005,BA$7)+IF(BA$7&gt;PARAMETROS!$C$12,IF($H33&gt;0,$G33*CURVA!BA33/$H33,0)*BA$6,0))</f>
        <v>38709.560761</v>
      </c>
      <c r="BB33" s="19" t="n">
        <f aca="false">IF($B33="",0,SUMIFS(INCORRIDO!$C$6:$C$5005,INCORRIDO!$D$6:$D$5005,$B33,INCORRIDO!$E$6:$E$5005,BB$7)+IF(BB$7&gt;PARAMETROS!$C$12,IF($H33&gt;0,$G33*CURVA!BB33/$H33,0)*BB$6,0))</f>
        <v>24263.420477</v>
      </c>
      <c r="BC33" s="19" t="n">
        <f aca="false">IF($B33="",0,SUMIFS(INCORRIDO!$C$6:$C$5005,INCORRIDO!$D$6:$D$5005,$B33,INCORRIDO!$E$6:$E$5005,BC$7)+IF(BC$7&gt;PARAMETROS!$C$12,IF($H33&gt;0,$G33*CURVA!BC33/$H33,0)*BC$6,0))</f>
        <v>8647.34017000001</v>
      </c>
      <c r="BD33" s="19" t="n">
        <f aca="false">IF($B33="",0,SUMIFS(INCORRIDO!$C$6:$C$5005,INCORRIDO!$D$6:$D$5005,$B33,INCORRIDO!$E$6:$E$5005,BD$7)+IF(BD$7&gt;PARAMETROS!$C$12,IF($H33&gt;0,$G33*CURVA!BD33/$H33,0)*BD$6,0))</f>
        <v>8189.54016100001</v>
      </c>
      <c r="BE33" s="19" t="n">
        <f aca="false">IF($B33="",0,SUMIFS(INCORRIDO!$C$6:$C$5005,INCORRIDO!$D$6:$D$5005,$B33,INCORRIDO!$E$6:$E$5005,BE$7)+IF(BE$7&gt;PARAMETROS!$C$12,IF($H33&gt;0,$G33*CURVA!BE33/$H33,0)*BE$6,0))</f>
        <v>8342.14016400001</v>
      </c>
      <c r="BF33" s="19" t="n">
        <f aca="false">IF($B33="",0,SUMIFS(INCORRIDO!$C$6:$C$5005,INCORRIDO!$D$6:$D$5005,$B33,INCORRIDO!$E$6:$E$5005,BF$7)+IF(BF$7&gt;PARAMETROS!$C$12,IF($H33&gt;0,$G33*CURVA!BF33/$H33,0)*BF$6,0))</f>
        <v>24619.4904840001</v>
      </c>
      <c r="BG33" s="19" t="n">
        <f aca="false">IF($B33="",0,SUMIFS(INCORRIDO!$C$6:$C$5005,INCORRIDO!$D$6:$D$5005,$B33,INCORRIDO!$E$6:$E$5005,BG$7)+IF(BG$7&gt;PARAMETROS!$C$12,IF($H33&gt;0,$G33*CURVA!BG33/$H33,0)*BG$6,0))</f>
        <v>75130.121477</v>
      </c>
      <c r="BH33" s="19" t="n">
        <f aca="false">IF($B33="",0,SUMIFS(INCORRIDO!$C$6:$C$5005,INCORRIDO!$D$6:$D$5005,$B33,INCORRIDO!$E$6:$E$5005,BH$7)+IF(BH$7&gt;PARAMETROS!$C$12,IF($H33&gt;0,$G33*CURVA!BH33/$H33,0)*BH$6,0))</f>
        <v>4323.670085</v>
      </c>
      <c r="BI33" s="19" t="n">
        <f aca="false">IF($B33="",0,SUMIFS(INCORRIDO!$C$6:$C$5005,INCORRIDO!$D$6:$D$5005,$B33,INCORRIDO!$E$6:$E$5005,BI$7)+IF(BI$7&gt;PARAMETROS!$C$12,IF($H33&gt;0,$G33*CURVA!BI33/$H33,0)*BI$6,0))</f>
        <v>152.600002999998</v>
      </c>
      <c r="BJ33" s="19" t="n">
        <f aca="false">IF($B33="",0,SUMIFS(INCORRIDO!$C$6:$C$5005,INCORRIDO!$D$6:$D$5005,$B33,INCORRIDO!$E$6:$E$5005,BJ$7)+IF(BJ$7&gt;PARAMETROS!$C$12,IF($H33&gt;0,$G33*CURVA!BJ33/$H33,0)*BJ$6,0))</f>
        <v>0</v>
      </c>
      <c r="BK33" s="19" t="n">
        <f aca="false">IF($B33="",0,SUMIFS(INCORRIDO!$C$6:$C$5005,INCORRIDO!$D$6:$D$5005,$B33,INCORRIDO!$E$6:$E$5005,BK$7)+IF(BK$7&gt;PARAMETROS!$C$12,IF($H33&gt;0,$G33*CURVA!BK33/$H33,0)*BK$6,0))</f>
        <v>0</v>
      </c>
      <c r="BL33" s="19" t="n">
        <f aca="false">IF($B33="",0,SUMIFS(INCORRIDO!$C$6:$C$5005,INCORRIDO!$D$6:$D$5005,$B33,INCORRIDO!$E$6:$E$5005,BL$7)+IF(BL$7&gt;PARAMETROS!$C$12,IF($H33&gt;0,$G33*CURVA!BL33/$H33,0)*BL$6,0))</f>
        <v>0</v>
      </c>
      <c r="BM33" s="19" t="n">
        <f aca="false">IF($B33="",0,SUMIFS(INCORRIDO!$C$6:$C$5005,INCORRIDO!$D$6:$D$5005,$B33,INCORRIDO!$E$6:$E$5005,BM$7)+IF(BM$7&gt;PARAMETROS!$C$12,IF($H33&gt;0,$G33*CURVA!BM33/$H33,0)*BM$6,0))</f>
        <v>0</v>
      </c>
      <c r="BN33" s="19" t="n">
        <f aca="false">IF($B33="",0,SUMIFS(INCORRIDO!$C$6:$C$5005,INCORRIDO!$D$6:$D$5005,$B33,INCORRIDO!$E$6:$E$5005,BN$7)+IF(BN$7&gt;PARAMETROS!$C$12,IF($H33&gt;0,$G33*CURVA!BN33/$H33,0)*BN$6,0))</f>
        <v>0</v>
      </c>
      <c r="BO33" s="19" t="n">
        <f aca="false">IF($B33="",0,SUMIFS(INCORRIDO!$C$6:$C$5005,INCORRIDO!$D$6:$D$5005,$B33,INCORRIDO!$E$6:$E$5005,BO$7)+IF(BO$7&gt;PARAMETROS!$C$12,IF($H33&gt;0,$G33*CURVA!BO33/$H33,0)*BO$6,0))</f>
        <v>0</v>
      </c>
      <c r="BP33" s="19" t="n">
        <f aca="false">IF($B33="",0,SUMIFS(INCORRIDO!$C$6:$C$5005,INCORRIDO!$D$6:$D$5005,$B33,INCORRIDO!$E$6:$E$5005,BP$7)+IF(BP$7&gt;PARAMETROS!$C$12,IF($H33&gt;0,$G33*CURVA!BP33/$H33,0)*BP$6,0))</f>
        <v>0</v>
      </c>
      <c r="BQ33" s="19" t="n">
        <f aca="false">IF($B33="",0,SUMIFS(INCORRIDO!$C$6:$C$5005,INCORRIDO!$D$6:$D$5005,$B33,INCORRIDO!$E$6:$E$5005,BQ$7)+IF(BQ$7&gt;PARAMETROS!$C$12,IF($H33&gt;0,$G33*CURVA!BQ33/$H33,0)*BQ$6,0))</f>
        <v>0</v>
      </c>
      <c r="BR33" s="19" t="n">
        <f aca="false">IF($B33="",0,SUMIFS(INCORRIDO!$C$6:$C$5005,INCORRIDO!$D$6:$D$5005,$B33,INCORRIDO!$E$6:$E$5005,BR$7)+IF(BR$7&gt;PARAMETROS!$C$12,IF($H33&gt;0,$G33*CURVA!BR33/$H33,0)*BR$6,0))</f>
        <v>0</v>
      </c>
      <c r="BS33" s="19" t="n">
        <f aca="false">IF($B33="",0,SUMIFS(INCORRIDO!$C$6:$C$5005,INCORRIDO!$D$6:$D$5005,$B33,INCORRIDO!$E$6:$E$5005,BS$7)+IF(BS$7&gt;PARAMETROS!$C$12,IF($H33&gt;0,$G33*CURVA!BS33/$H33,0)*BS$6,0))</f>
        <v>0</v>
      </c>
      <c r="BT33" s="19" t="n">
        <f aca="false">IF($B33="",0,SUMIFS(INCORRIDO!$C$6:$C$5005,INCORRIDO!$D$6:$D$5005,$B33,INCORRIDO!$E$6:$E$5005,BT$7)+IF(BT$7&gt;PARAMETROS!$C$12,IF($H33&gt;0,$G33*CURVA!BT33/$H33,0)*BT$6,0))</f>
        <v>0</v>
      </c>
      <c r="BU33" s="19" t="n">
        <f aca="false">IF($B33="",0,SUMIFS(INCORRIDO!$C$6:$C$5005,INCORRIDO!$D$6:$D$5005,$B33,INCORRIDO!$E$6:$E$5005,BU$7)+IF(BU$7&gt;PARAMETROS!$C$12,IF($H33&gt;0,$G33*CURVA!BU33/$H33,0)*BU$6,0))</f>
        <v>0</v>
      </c>
      <c r="BV33" s="19" t="n">
        <f aca="false">IF($B33="",0,SUMIFS(INCORRIDO!$C$6:$C$5005,INCORRIDO!$D$6:$D$5005,$B33,INCORRIDO!$E$6:$E$5005,BV$7)+IF(BV$7&gt;PARAMETROS!$C$12,IF($H33&gt;0,$G33*CURVA!BV33/$H33,0)*BV$6,0))</f>
        <v>0</v>
      </c>
      <c r="BW33" s="19" t="n">
        <f aca="false">IF($B33="",0,SUMIFS(INCORRIDO!$C$6:$C$5005,INCORRIDO!$D$6:$D$5005,$B33,INCORRIDO!$E$6:$E$5005,BW$7)+IF(BW$7&gt;PARAMETROS!$C$12,IF($H33&gt;0,$G33*CURVA!BW33/$H33,0)*BW$6,0))</f>
        <v>0</v>
      </c>
      <c r="BX33" s="19" t="n">
        <f aca="false">IF($B33="",0,SUMIFS(INCORRIDO!$C$6:$C$5005,INCORRIDO!$D$6:$D$5005,$B33,INCORRIDO!$E$6:$E$5005,BX$7)+IF(BX$7&gt;PARAMETROS!$C$12,IF($H33&gt;0,$G33*CURVA!BX33/$H33,0)*BX$6,0))</f>
        <v>0</v>
      </c>
      <c r="BY33" s="19" t="n">
        <f aca="false">IF($B33="",0,SUMIFS(INCORRIDO!$C$6:$C$5005,INCORRIDO!$D$6:$D$5005,$B33,INCORRIDO!$E$6:$E$5005,BY$7)+IF(BY$7&gt;PARAMETROS!$C$12,IF($H33&gt;0,$G33*CURVA!BY33/$H33,0)*BY$6,0))</f>
        <v>0</v>
      </c>
      <c r="BZ33" s="19" t="n">
        <f aca="false">IF($B33="",0,SUMIFS(INCORRIDO!$C$6:$C$5005,INCORRIDO!$D$6:$D$5005,$B33,INCORRIDO!$E$6:$E$5005,BZ$7)+IF(BZ$7&gt;PARAMETROS!$C$12,IF($H33&gt;0,$G33*CURVA!BZ33/$H33,0)*BZ$6,0))</f>
        <v>0</v>
      </c>
      <c r="CA33" s="19" t="n">
        <f aca="false">IF($B33="",0,SUMIFS(INCORRIDO!$C$6:$C$5005,INCORRIDO!$D$6:$D$5005,$B33,INCORRIDO!$E$6:$E$5005,CA$7)+IF(CA$7&gt;PARAMETROS!$C$12,IF($H33&gt;0,$G33*CURVA!CA33/$H33,0)*CA$6,0))</f>
        <v>0</v>
      </c>
      <c r="CB33" s="19" t="n">
        <f aca="false">IF($B33="",0,SUMIFS(INCORRIDO!$C$6:$C$5005,INCORRIDO!$D$6:$D$5005,$B33,INCORRIDO!$E$6:$E$5005,CB$7)+IF(CB$7&gt;PARAMETROS!$C$12,IF($H33&gt;0,$G33*CURVA!CB33/$H33,0)*CB$6,0))</f>
        <v>0</v>
      </c>
      <c r="CC33" s="19" t="n">
        <f aca="false">IF($B33="",0,SUMIFS(INCORRIDO!$C$6:$C$5005,INCORRIDO!$D$6:$D$5005,$B33,INCORRIDO!$E$6:$E$5005,CC$7)+IF(CC$7&gt;PARAMETROS!$C$12,IF($H33&gt;0,$G33*CURVA!CC33/$H33,0)*CC$6,0))</f>
        <v>0</v>
      </c>
    </row>
    <row r="34" customFormat="false" ht="15" hidden="false" customHeight="false" outlineLevel="0" collapsed="false">
      <c r="A34" s="31" t="str">
        <f aca="false">IF(ORCAMENTO!A32="","",ORCAMENTO!A32)</f>
        <v>27</v>
      </c>
      <c r="B34" s="31" t="str">
        <f aca="false">IF(ORCAMENTO!B32="","",ORCAMENTO!B32)</f>
        <v>MARCENARIA</v>
      </c>
      <c r="C34" s="31" t="str">
        <f aca="false">IF(ORCAMENTO!C32="","",ORCAMENTO!C32)</f>
        <v>ACABAMENTOS</v>
      </c>
      <c r="D34" s="32" t="n">
        <f aca="false">IF($B34="",0,ORCAMENTO!E32)</f>
        <v>3137103.29</v>
      </c>
      <c r="E34" s="19" t="n">
        <f aca="false">IF($B34="",0,SUMIFS(INCORRIDO!$C$6:$C$5005,INCORRIDO!$D$6:$D$5005,$B34,INCORRIDO!$E$6:$E$5005,"&lt;="&amp;PARAMETROS!$C$12))</f>
        <v>0</v>
      </c>
      <c r="F34" s="19" t="n">
        <f aca="false">IF($B34="",0,SUMIFS(INCORRIDO!$C$6:$C$5005,INCORRIDO!$D$6:$D$5005,$B34,INCORRIDO!$E$6:$E$5005,"&gt;"&amp;PARAMETROS!$C$12))</f>
        <v>7000</v>
      </c>
      <c r="G34" s="19" t="n">
        <f aca="false">MAX(0,D34-E34-F34)</f>
        <v>3130103.29</v>
      </c>
      <c r="H34" s="32" t="n">
        <f aca="false">CURVA!H34</f>
        <v>3137103.29</v>
      </c>
      <c r="I34" s="19" t="n">
        <f aca="false">SUM(J34:CC34)</f>
        <v>3137103.29</v>
      </c>
      <c r="J34" s="19" t="n">
        <f aca="false">IF($B34="",0,SUMIFS(INCORRIDO!$C$6:$C$5005,INCORRIDO!$D$6:$D$5005,$B34,INCORRIDO!$E$6:$E$5005,"&lt;="&amp;J$7)+IF(J$7&gt;PARAMETROS!$C$12,IF($H34&gt;0,$G34*CURVA!J34/$H34,0)*J$6,0))</f>
        <v>0</v>
      </c>
      <c r="K34" s="19" t="n">
        <f aca="false">IF($B34="",0,SUMIFS(INCORRIDO!$C$6:$C$5005,INCORRIDO!$D$6:$D$5005,$B34,INCORRIDO!$E$6:$E$5005,K$7)+IF(K$7&gt;PARAMETROS!$C$12,IF($H34&gt;0,$G34*CURVA!K34/$H34,0)*K$6,0))</f>
        <v>0</v>
      </c>
      <c r="L34" s="19" t="n">
        <f aca="false">IF($B34="",0,SUMIFS(INCORRIDO!$C$6:$C$5005,INCORRIDO!$D$6:$D$5005,$B34,INCORRIDO!$E$6:$E$5005,L$7)+IF(L$7&gt;PARAMETROS!$C$12,IF($H34&gt;0,$G34*CURVA!L34/$H34,0)*L$6,0))</f>
        <v>0</v>
      </c>
      <c r="M34" s="19" t="n">
        <f aca="false">IF($B34="",0,SUMIFS(INCORRIDO!$C$6:$C$5005,INCORRIDO!$D$6:$D$5005,$B34,INCORRIDO!$E$6:$E$5005,M$7)+IF(M$7&gt;PARAMETROS!$C$12,IF($H34&gt;0,$G34*CURVA!M34/$H34,0)*M$6,0))</f>
        <v>0</v>
      </c>
      <c r="N34" s="19" t="n">
        <f aca="false">IF($B34="",0,SUMIFS(INCORRIDO!$C$6:$C$5005,INCORRIDO!$D$6:$D$5005,$B34,INCORRIDO!$E$6:$E$5005,N$7)+IF(N$7&gt;PARAMETROS!$C$12,IF($H34&gt;0,$G34*CURVA!N34/$H34,0)*N$6,0))</f>
        <v>0</v>
      </c>
      <c r="O34" s="19" t="n">
        <f aca="false">IF($B34="",0,SUMIFS(INCORRIDO!$C$6:$C$5005,INCORRIDO!$D$6:$D$5005,$B34,INCORRIDO!$E$6:$E$5005,O$7)+IF(O$7&gt;PARAMETROS!$C$12,IF($H34&gt;0,$G34*CURVA!O34/$H34,0)*O$6,0))</f>
        <v>0</v>
      </c>
      <c r="P34" s="19" t="n">
        <f aca="false">IF($B34="",0,SUMIFS(INCORRIDO!$C$6:$C$5005,INCORRIDO!$D$6:$D$5005,$B34,INCORRIDO!$E$6:$E$5005,P$7)+IF(P$7&gt;PARAMETROS!$C$12,IF($H34&gt;0,$G34*CURVA!P34/$H34,0)*P$6,0))</f>
        <v>0</v>
      </c>
      <c r="Q34" s="19" t="n">
        <f aca="false">IF($B34="",0,SUMIFS(INCORRIDO!$C$6:$C$5005,INCORRIDO!$D$6:$D$5005,$B34,INCORRIDO!$E$6:$E$5005,Q$7)+IF(Q$7&gt;PARAMETROS!$C$12,IF($H34&gt;0,$G34*CURVA!Q34/$H34,0)*Q$6,0))</f>
        <v>0</v>
      </c>
      <c r="R34" s="19" t="n">
        <f aca="false">IF($B34="",0,SUMIFS(INCORRIDO!$C$6:$C$5005,INCORRIDO!$D$6:$D$5005,$B34,INCORRIDO!$E$6:$E$5005,R$7)+IF(R$7&gt;PARAMETROS!$C$12,IF($H34&gt;0,$G34*CURVA!R34/$H34,0)*R$6,0))</f>
        <v>0</v>
      </c>
      <c r="S34" s="19" t="n">
        <f aca="false">IF($B34="",0,SUMIFS(INCORRIDO!$C$6:$C$5005,INCORRIDO!$D$6:$D$5005,$B34,INCORRIDO!$E$6:$E$5005,S$7)+IF(S$7&gt;PARAMETROS!$C$12,IF($H34&gt;0,$G34*CURVA!S34/$H34,0)*S$6,0))</f>
        <v>0</v>
      </c>
      <c r="T34" s="19" t="n">
        <f aca="false">IF($B34="",0,SUMIFS(INCORRIDO!$C$6:$C$5005,INCORRIDO!$D$6:$D$5005,$B34,INCORRIDO!$E$6:$E$5005,T$7)+IF(T$7&gt;PARAMETROS!$C$12,IF($H34&gt;0,$G34*CURVA!T34/$H34,0)*T$6,0))</f>
        <v>0</v>
      </c>
      <c r="U34" s="19" t="n">
        <f aca="false">IF($B34="",0,SUMIFS(INCORRIDO!$C$6:$C$5005,INCORRIDO!$D$6:$D$5005,$B34,INCORRIDO!$E$6:$E$5005,U$7)+IF(U$7&gt;PARAMETROS!$C$12,IF($H34&gt;0,$G34*CURVA!U34/$H34,0)*U$6,0))</f>
        <v>0</v>
      </c>
      <c r="V34" s="19" t="n">
        <f aca="false">IF($B34="",0,SUMIFS(INCORRIDO!$C$6:$C$5005,INCORRIDO!$D$6:$D$5005,$B34,INCORRIDO!$E$6:$E$5005,V$7)+IF(V$7&gt;PARAMETROS!$C$12,IF($H34&gt;0,$G34*CURVA!V34/$H34,0)*V$6,0))</f>
        <v>0</v>
      </c>
      <c r="W34" s="19" t="n">
        <f aca="false">IF($B34="",0,SUMIFS(INCORRIDO!$C$6:$C$5005,INCORRIDO!$D$6:$D$5005,$B34,INCORRIDO!$E$6:$E$5005,W$7)+IF(W$7&gt;PARAMETROS!$C$12,IF($H34&gt;0,$G34*CURVA!W34/$H34,0)*W$6,0))</f>
        <v>0</v>
      </c>
      <c r="X34" s="19" t="n">
        <f aca="false">IF($B34="",0,SUMIFS(INCORRIDO!$C$6:$C$5005,INCORRIDO!$D$6:$D$5005,$B34,INCORRIDO!$E$6:$E$5005,X$7)+IF(X$7&gt;PARAMETROS!$C$12,IF($H34&gt;0,$G34*CURVA!X34/$H34,0)*X$6,0))</f>
        <v>0</v>
      </c>
      <c r="Y34" s="19" t="n">
        <f aca="false">IF($B34="",0,SUMIFS(INCORRIDO!$C$6:$C$5005,INCORRIDO!$D$6:$D$5005,$B34,INCORRIDO!$E$6:$E$5005,Y$7)+IF(Y$7&gt;PARAMETROS!$C$12,IF($H34&gt;0,$G34*CURVA!Y34/$H34,0)*Y$6,0))</f>
        <v>0</v>
      </c>
      <c r="Z34" s="19" t="n">
        <f aca="false">IF($B34="",0,SUMIFS(INCORRIDO!$C$6:$C$5005,INCORRIDO!$D$6:$D$5005,$B34,INCORRIDO!$E$6:$E$5005,Z$7)+IF(Z$7&gt;PARAMETROS!$C$12,IF($H34&gt;0,$G34*CURVA!Z34/$H34,0)*Z$6,0))</f>
        <v>0</v>
      </c>
      <c r="AA34" s="19" t="n">
        <f aca="false">IF($B34="",0,SUMIFS(INCORRIDO!$C$6:$C$5005,INCORRIDO!$D$6:$D$5005,$B34,INCORRIDO!$E$6:$E$5005,AA$7)+IF(AA$7&gt;PARAMETROS!$C$12,IF($H34&gt;0,$G34*CURVA!AA34/$H34,0)*AA$6,0))</f>
        <v>0</v>
      </c>
      <c r="AB34" s="19" t="n">
        <f aca="false">IF($B34="",0,SUMIFS(INCORRIDO!$C$6:$C$5005,INCORRIDO!$D$6:$D$5005,$B34,INCORRIDO!$E$6:$E$5005,AB$7)+IF(AB$7&gt;PARAMETROS!$C$12,IF($H34&gt;0,$G34*CURVA!AB34/$H34,0)*AB$6,0))</f>
        <v>0</v>
      </c>
      <c r="AC34" s="19" t="n">
        <f aca="false">IF($B34="",0,SUMIFS(INCORRIDO!$C$6:$C$5005,INCORRIDO!$D$6:$D$5005,$B34,INCORRIDO!$E$6:$E$5005,AC$7)+IF(AC$7&gt;PARAMETROS!$C$12,IF($H34&gt;0,$G34*CURVA!AC34/$H34,0)*AC$6,0))</f>
        <v>0</v>
      </c>
      <c r="AD34" s="19" t="n">
        <f aca="false">IF($B34="",0,SUMIFS(INCORRIDO!$C$6:$C$5005,INCORRIDO!$D$6:$D$5005,$B34,INCORRIDO!$E$6:$E$5005,AD$7)+IF(AD$7&gt;PARAMETROS!$C$12,IF($H34&gt;0,$G34*CURVA!AD34/$H34,0)*AD$6,0))</f>
        <v>0</v>
      </c>
      <c r="AE34" s="19" t="n">
        <f aca="false">IF($B34="",0,SUMIFS(INCORRIDO!$C$6:$C$5005,INCORRIDO!$D$6:$D$5005,$B34,INCORRIDO!$E$6:$E$5005,AE$7)+IF(AE$7&gt;PARAMETROS!$C$12,IF($H34&gt;0,$G34*CURVA!AE34/$H34,0)*AE$6,0))</f>
        <v>7000</v>
      </c>
      <c r="AF34" s="19" t="n">
        <f aca="false">IF($B34="",0,SUMIFS(INCORRIDO!$C$6:$C$5005,INCORRIDO!$D$6:$D$5005,$B34,INCORRIDO!$E$6:$E$5005,AF$7)+IF(AF$7&gt;PARAMETROS!$C$12,IF($H34&gt;0,$G34*CURVA!AF34/$H34,0)*AF$6,0))</f>
        <v>0</v>
      </c>
      <c r="AG34" s="19" t="n">
        <f aca="false">IF($B34="",0,SUMIFS(INCORRIDO!$C$6:$C$5005,INCORRIDO!$D$6:$D$5005,$B34,INCORRIDO!$E$6:$E$5005,AG$7)+IF(AG$7&gt;PARAMETROS!$C$12,IF($H34&gt;0,$G34*CURVA!AG34/$H34,0)*AG$6,0))</f>
        <v>0</v>
      </c>
      <c r="AH34" s="19" t="n">
        <f aca="false">IF($B34="",0,SUMIFS(INCORRIDO!$C$6:$C$5005,INCORRIDO!$D$6:$D$5005,$B34,INCORRIDO!$E$6:$E$5005,AH$7)+IF(AH$7&gt;PARAMETROS!$C$12,IF($H34&gt;0,$G34*CURVA!AH34/$H34,0)*AH$6,0))</f>
        <v>0</v>
      </c>
      <c r="AI34" s="19" t="n">
        <f aca="false">IF($B34="",0,SUMIFS(INCORRIDO!$C$6:$C$5005,INCORRIDO!$D$6:$D$5005,$B34,INCORRIDO!$E$6:$E$5005,AI$7)+IF(AI$7&gt;PARAMETROS!$C$12,IF($H34&gt;0,$G34*CURVA!AI34/$H34,0)*AI$6,0))</f>
        <v>0</v>
      </c>
      <c r="AJ34" s="19" t="n">
        <f aca="false">IF($B34="",0,SUMIFS(INCORRIDO!$C$6:$C$5005,INCORRIDO!$D$6:$D$5005,$B34,INCORRIDO!$E$6:$E$5005,AJ$7)+IF(AJ$7&gt;PARAMETROS!$C$12,IF($H34&gt;0,$G34*CURVA!AJ34/$H34,0)*AJ$6,0))</f>
        <v>0</v>
      </c>
      <c r="AK34" s="19" t="n">
        <f aca="false">IF($B34="",0,SUMIFS(INCORRIDO!$C$6:$C$5005,INCORRIDO!$D$6:$D$5005,$B34,INCORRIDO!$E$6:$E$5005,AK$7)+IF(AK$7&gt;PARAMETROS!$C$12,IF($H34&gt;0,$G34*CURVA!AK34/$H34,0)*AK$6,0))</f>
        <v>0</v>
      </c>
      <c r="AL34" s="19" t="n">
        <f aca="false">IF($B34="",0,SUMIFS(INCORRIDO!$C$6:$C$5005,INCORRIDO!$D$6:$D$5005,$B34,INCORRIDO!$E$6:$E$5005,AL$7)+IF(AL$7&gt;PARAMETROS!$C$12,IF($H34&gt;0,$G34*CURVA!AL34/$H34,0)*AL$6,0))</f>
        <v>0</v>
      </c>
      <c r="AM34" s="19" t="n">
        <f aca="false">IF($B34="",0,SUMIFS(INCORRIDO!$C$6:$C$5005,INCORRIDO!$D$6:$D$5005,$B34,INCORRIDO!$E$6:$E$5005,AM$7)+IF(AM$7&gt;PARAMETROS!$C$12,IF($H34&gt;0,$G34*CURVA!AM34/$H34,0)*AM$6,0))</f>
        <v>0</v>
      </c>
      <c r="AN34" s="19" t="n">
        <f aca="false">IF($B34="",0,SUMIFS(INCORRIDO!$C$6:$C$5005,INCORRIDO!$D$6:$D$5005,$B34,INCORRIDO!$E$6:$E$5005,AN$7)+IF(AN$7&gt;PARAMETROS!$C$12,IF($H34&gt;0,$G34*CURVA!AN34/$H34,0)*AN$6,0))</f>
        <v>0</v>
      </c>
      <c r="AO34" s="19" t="n">
        <f aca="false">IF($B34="",0,SUMIFS(INCORRIDO!$C$6:$C$5005,INCORRIDO!$D$6:$D$5005,$B34,INCORRIDO!$E$6:$E$5005,AO$7)+IF(AO$7&gt;PARAMETROS!$C$12,IF($H34&gt;0,$G34*CURVA!AO34/$H34,0)*AO$6,0))</f>
        <v>0</v>
      </c>
      <c r="AP34" s="19" t="n">
        <f aca="false">IF($B34="",0,SUMIFS(INCORRIDO!$C$6:$C$5005,INCORRIDO!$D$6:$D$5005,$B34,INCORRIDO!$E$6:$E$5005,AP$7)+IF(AP$7&gt;PARAMETROS!$C$12,IF($H34&gt;0,$G34*CURVA!AP34/$H34,0)*AP$6,0))</f>
        <v>0</v>
      </c>
      <c r="AQ34" s="19" t="n">
        <f aca="false">IF($B34="",0,SUMIFS(INCORRIDO!$C$6:$C$5005,INCORRIDO!$D$6:$D$5005,$B34,INCORRIDO!$E$6:$E$5005,AQ$7)+IF(AQ$7&gt;PARAMETROS!$C$12,IF($H34&gt;0,$G34*CURVA!AQ34/$H34,0)*AQ$6,0))</f>
        <v>0</v>
      </c>
      <c r="AR34" s="19" t="n">
        <f aca="false">IF($B34="",0,SUMIFS(INCORRIDO!$C$6:$C$5005,INCORRIDO!$D$6:$D$5005,$B34,INCORRIDO!$E$6:$E$5005,AR$7)+IF(AR$7&gt;PARAMETROS!$C$12,IF($H34&gt;0,$G34*CURVA!AR34/$H34,0)*AR$6,0))</f>
        <v>0</v>
      </c>
      <c r="AS34" s="19" t="n">
        <f aca="false">IF($B34="",0,SUMIFS(INCORRIDO!$C$6:$C$5005,INCORRIDO!$D$6:$D$5005,$B34,INCORRIDO!$E$6:$E$5005,AS$7)+IF(AS$7&gt;PARAMETROS!$C$12,IF($H34&gt;0,$G34*CURVA!AS34/$H34,0)*AS$6,0))</f>
        <v>0</v>
      </c>
      <c r="AT34" s="19" t="n">
        <f aca="false">IF($B34="",0,SUMIFS(INCORRIDO!$C$6:$C$5005,INCORRIDO!$D$6:$D$5005,$B34,INCORRIDO!$E$6:$E$5005,AT$7)+IF(AT$7&gt;PARAMETROS!$C$12,IF($H34&gt;0,$G34*CURVA!AT34/$H34,0)*AT$6,0))</f>
        <v>0</v>
      </c>
      <c r="AU34" s="19" t="n">
        <f aca="false">IF($B34="",0,SUMIFS(INCORRIDO!$C$6:$C$5005,INCORRIDO!$D$6:$D$5005,$B34,INCORRIDO!$E$6:$E$5005,AU$7)+IF(AU$7&gt;PARAMETROS!$C$12,IF($H34&gt;0,$G34*CURVA!AU34/$H34,0)*AU$6,0))</f>
        <v>0</v>
      </c>
      <c r="AV34" s="19" t="n">
        <f aca="false">IF($B34="",0,SUMIFS(INCORRIDO!$C$6:$C$5005,INCORRIDO!$D$6:$D$5005,$B34,INCORRIDO!$E$6:$E$5005,AV$7)+IF(AV$7&gt;PARAMETROS!$C$12,IF($H34&gt;0,$G34*CURVA!AV34/$H34,0)*AV$6,0))</f>
        <v>0</v>
      </c>
      <c r="AW34" s="19" t="n">
        <f aca="false">IF($B34="",0,SUMIFS(INCORRIDO!$C$6:$C$5005,INCORRIDO!$D$6:$D$5005,$B34,INCORRIDO!$E$6:$E$5005,AW$7)+IF(AW$7&gt;PARAMETROS!$C$12,IF($H34&gt;0,$G34*CURVA!AW34/$H34,0)*AW$6,0))</f>
        <v>206899.829994352</v>
      </c>
      <c r="AX34" s="19" t="n">
        <f aca="false">IF($B34="",0,SUMIFS(INCORRIDO!$C$6:$C$5005,INCORRIDO!$D$6:$D$5005,$B34,INCORRIDO!$E$6:$E$5005,AX$7)+IF(AX$7&gt;PARAMETROS!$C$12,IF($H34&gt;0,$G34*CURVA!AX34/$H34,0)*AX$6,0))</f>
        <v>273571.029994524</v>
      </c>
      <c r="AY34" s="19" t="n">
        <f aca="false">IF($B34="",0,SUMIFS(INCORRIDO!$C$6:$C$5005,INCORRIDO!$D$6:$D$5005,$B34,INCORRIDO!$E$6:$E$5005,AY$7)+IF(AY$7&gt;PARAMETROS!$C$12,IF($H34&gt;0,$G34*CURVA!AY34/$H34,0)*AY$6,0))</f>
        <v>231001.620006252</v>
      </c>
      <c r="AZ34" s="19" t="n">
        <f aca="false">IF($B34="",0,SUMIFS(INCORRIDO!$C$6:$C$5005,INCORRIDO!$D$6:$D$5005,$B34,INCORRIDO!$E$6:$E$5005,AZ$7)+IF(AZ$7&gt;PARAMETROS!$C$12,IF($H34&gt;0,$G34*CURVA!AZ34/$H34,0)*AZ$6,0))</f>
        <v>299863.899989249</v>
      </c>
      <c r="BA34" s="19" t="n">
        <f aca="false">IF($B34="",0,SUMIFS(INCORRIDO!$C$6:$C$5005,INCORRIDO!$D$6:$D$5005,$B34,INCORRIDO!$E$6:$E$5005,BA$7)+IF(BA$7&gt;PARAMETROS!$C$12,IF($H34&gt;0,$G34*CURVA!BA34/$H34,0)*BA$6,0))</f>
        <v>282335.319992766</v>
      </c>
      <c r="BB34" s="19" t="n">
        <f aca="false">IF($B34="",0,SUMIFS(INCORRIDO!$C$6:$C$5005,INCORRIDO!$D$6:$D$5005,$B34,INCORRIDO!$E$6:$E$5005,BB$7)+IF(BB$7&gt;PARAMETROS!$C$12,IF($H34&gt;0,$G34*CURVA!BB34/$H34,0)*BB$6,0))</f>
        <v>274510.059996727</v>
      </c>
      <c r="BC34" s="19" t="n">
        <f aca="false">IF($B34="",0,SUMIFS(INCORRIDO!$C$6:$C$5005,INCORRIDO!$D$6:$D$5005,$B34,INCORRIDO!$E$6:$E$5005,BC$7)+IF(BC$7&gt;PARAMETROS!$C$12,IF($H34&gt;0,$G34*CURVA!BC34/$H34,0)*BC$6,0))</f>
        <v>298611.850008626</v>
      </c>
      <c r="BD34" s="19" t="n">
        <f aca="false">IF($B34="",0,SUMIFS(INCORRIDO!$C$6:$C$5005,INCORRIDO!$D$6:$D$5005,$B34,INCORRIDO!$E$6:$E$5005,BD$7)+IF(BD$7&gt;PARAMETROS!$C$12,IF($H34&gt;0,$G34*CURVA!BD34/$H34,0)*BD$6,0))</f>
        <v>237887.850000089</v>
      </c>
      <c r="BE34" s="19" t="n">
        <f aca="false">IF($B34="",0,SUMIFS(INCORRIDO!$C$6:$C$5005,INCORRIDO!$D$6:$D$5005,$B34,INCORRIDO!$E$6:$E$5005,BE$7)+IF(BE$7&gt;PARAMETROS!$C$12,IF($H34&gt;0,$G34*CURVA!BE34/$H34,0)*BE$6,0))</f>
        <v>249469.230004938</v>
      </c>
      <c r="BF34" s="19" t="n">
        <f aca="false">IF($B34="",0,SUMIFS(INCORRIDO!$C$6:$C$5005,INCORRIDO!$D$6:$D$5005,$B34,INCORRIDO!$E$6:$E$5005,BF$7)+IF(BF$7&gt;PARAMETROS!$C$12,IF($H34&gt;0,$G34*CURVA!BF34/$H34,0)*BF$6,0))</f>
        <v>299550.880010829</v>
      </c>
      <c r="BG34" s="19" t="n">
        <f aca="false">IF($B34="",0,SUMIFS(INCORRIDO!$C$6:$C$5005,INCORRIDO!$D$6:$D$5005,$B34,INCORRIDO!$E$6:$E$5005,BG$7)+IF(BG$7&gt;PARAMETROS!$C$12,IF($H34&gt;0,$G34*CURVA!BG34/$H34,0)*BG$6,0))</f>
        <v>355579.730008354</v>
      </c>
      <c r="BH34" s="19" t="n">
        <f aca="false">IF($B34="",0,SUMIFS(INCORRIDO!$C$6:$C$5005,INCORRIDO!$D$6:$D$5005,$B34,INCORRIDO!$E$6:$E$5005,BH$7)+IF(BH$7&gt;PARAMETROS!$C$12,IF($H34&gt;0,$G34*CURVA!BH34/$H34,0)*BH$6,0))</f>
        <v>120821.989993293</v>
      </c>
      <c r="BI34" s="19" t="n">
        <f aca="false">IF($B34="",0,SUMIFS(INCORRIDO!$C$6:$C$5005,INCORRIDO!$D$6:$D$5005,$B34,INCORRIDO!$E$6:$E$5005,BI$7)+IF(BI$7&gt;PARAMETROS!$C$12,IF($H34&gt;0,$G34*CURVA!BI34/$H34,0)*BI$6,0))</f>
        <v>0</v>
      </c>
      <c r="BJ34" s="19" t="n">
        <f aca="false">IF($B34="",0,SUMIFS(INCORRIDO!$C$6:$C$5005,INCORRIDO!$D$6:$D$5005,$B34,INCORRIDO!$E$6:$E$5005,BJ$7)+IF(BJ$7&gt;PARAMETROS!$C$12,IF($H34&gt;0,$G34*CURVA!BJ34/$H34,0)*BJ$6,0))</f>
        <v>0</v>
      </c>
      <c r="BK34" s="19" t="n">
        <f aca="false">IF($B34="",0,SUMIFS(INCORRIDO!$C$6:$C$5005,INCORRIDO!$D$6:$D$5005,$B34,INCORRIDO!$E$6:$E$5005,BK$7)+IF(BK$7&gt;PARAMETROS!$C$12,IF($H34&gt;0,$G34*CURVA!BK34/$H34,0)*BK$6,0))</f>
        <v>0</v>
      </c>
      <c r="BL34" s="19" t="n">
        <f aca="false">IF($B34="",0,SUMIFS(INCORRIDO!$C$6:$C$5005,INCORRIDO!$D$6:$D$5005,$B34,INCORRIDO!$E$6:$E$5005,BL$7)+IF(BL$7&gt;PARAMETROS!$C$12,IF($H34&gt;0,$G34*CURVA!BL34/$H34,0)*BL$6,0))</f>
        <v>0</v>
      </c>
      <c r="BM34" s="19" t="n">
        <f aca="false">IF($B34="",0,SUMIFS(INCORRIDO!$C$6:$C$5005,INCORRIDO!$D$6:$D$5005,$B34,INCORRIDO!$E$6:$E$5005,BM$7)+IF(BM$7&gt;PARAMETROS!$C$12,IF($H34&gt;0,$G34*CURVA!BM34/$H34,0)*BM$6,0))</f>
        <v>0</v>
      </c>
      <c r="BN34" s="19" t="n">
        <f aca="false">IF($B34="",0,SUMIFS(INCORRIDO!$C$6:$C$5005,INCORRIDO!$D$6:$D$5005,$B34,INCORRIDO!$E$6:$E$5005,BN$7)+IF(BN$7&gt;PARAMETROS!$C$12,IF($H34&gt;0,$G34*CURVA!BN34/$H34,0)*BN$6,0))</f>
        <v>0</v>
      </c>
      <c r="BO34" s="19" t="n">
        <f aca="false">IF($B34="",0,SUMIFS(INCORRIDO!$C$6:$C$5005,INCORRIDO!$D$6:$D$5005,$B34,INCORRIDO!$E$6:$E$5005,BO$7)+IF(BO$7&gt;PARAMETROS!$C$12,IF($H34&gt;0,$G34*CURVA!BO34/$H34,0)*BO$6,0))</f>
        <v>0</v>
      </c>
      <c r="BP34" s="19" t="n">
        <f aca="false">IF($B34="",0,SUMIFS(INCORRIDO!$C$6:$C$5005,INCORRIDO!$D$6:$D$5005,$B34,INCORRIDO!$E$6:$E$5005,BP$7)+IF(BP$7&gt;PARAMETROS!$C$12,IF($H34&gt;0,$G34*CURVA!BP34/$H34,0)*BP$6,0))</f>
        <v>0</v>
      </c>
      <c r="BQ34" s="19" t="n">
        <f aca="false">IF($B34="",0,SUMIFS(INCORRIDO!$C$6:$C$5005,INCORRIDO!$D$6:$D$5005,$B34,INCORRIDO!$E$6:$E$5005,BQ$7)+IF(BQ$7&gt;PARAMETROS!$C$12,IF($H34&gt;0,$G34*CURVA!BQ34/$H34,0)*BQ$6,0))</f>
        <v>0</v>
      </c>
      <c r="BR34" s="19" t="n">
        <f aca="false">IF($B34="",0,SUMIFS(INCORRIDO!$C$6:$C$5005,INCORRIDO!$D$6:$D$5005,$B34,INCORRIDO!$E$6:$E$5005,BR$7)+IF(BR$7&gt;PARAMETROS!$C$12,IF($H34&gt;0,$G34*CURVA!BR34/$H34,0)*BR$6,0))</f>
        <v>0</v>
      </c>
      <c r="BS34" s="19" t="n">
        <f aca="false">IF($B34="",0,SUMIFS(INCORRIDO!$C$6:$C$5005,INCORRIDO!$D$6:$D$5005,$B34,INCORRIDO!$E$6:$E$5005,BS$7)+IF(BS$7&gt;PARAMETROS!$C$12,IF($H34&gt;0,$G34*CURVA!BS34/$H34,0)*BS$6,0))</f>
        <v>0</v>
      </c>
      <c r="BT34" s="19" t="n">
        <f aca="false">IF($B34="",0,SUMIFS(INCORRIDO!$C$6:$C$5005,INCORRIDO!$D$6:$D$5005,$B34,INCORRIDO!$E$6:$E$5005,BT$7)+IF(BT$7&gt;PARAMETROS!$C$12,IF($H34&gt;0,$G34*CURVA!BT34/$H34,0)*BT$6,0))</f>
        <v>0</v>
      </c>
      <c r="BU34" s="19" t="n">
        <f aca="false">IF($B34="",0,SUMIFS(INCORRIDO!$C$6:$C$5005,INCORRIDO!$D$6:$D$5005,$B34,INCORRIDO!$E$6:$E$5005,BU$7)+IF(BU$7&gt;PARAMETROS!$C$12,IF($H34&gt;0,$G34*CURVA!BU34/$H34,0)*BU$6,0))</f>
        <v>0</v>
      </c>
      <c r="BV34" s="19" t="n">
        <f aca="false">IF($B34="",0,SUMIFS(INCORRIDO!$C$6:$C$5005,INCORRIDO!$D$6:$D$5005,$B34,INCORRIDO!$E$6:$E$5005,BV$7)+IF(BV$7&gt;PARAMETROS!$C$12,IF($H34&gt;0,$G34*CURVA!BV34/$H34,0)*BV$6,0))</f>
        <v>0</v>
      </c>
      <c r="BW34" s="19" t="n">
        <f aca="false">IF($B34="",0,SUMIFS(INCORRIDO!$C$6:$C$5005,INCORRIDO!$D$6:$D$5005,$B34,INCORRIDO!$E$6:$E$5005,BW$7)+IF(BW$7&gt;PARAMETROS!$C$12,IF($H34&gt;0,$G34*CURVA!BW34/$H34,0)*BW$6,0))</f>
        <v>0</v>
      </c>
      <c r="BX34" s="19" t="n">
        <f aca="false">IF($B34="",0,SUMIFS(INCORRIDO!$C$6:$C$5005,INCORRIDO!$D$6:$D$5005,$B34,INCORRIDO!$E$6:$E$5005,BX$7)+IF(BX$7&gt;PARAMETROS!$C$12,IF($H34&gt;0,$G34*CURVA!BX34/$H34,0)*BX$6,0))</f>
        <v>0</v>
      </c>
      <c r="BY34" s="19" t="n">
        <f aca="false">IF($B34="",0,SUMIFS(INCORRIDO!$C$6:$C$5005,INCORRIDO!$D$6:$D$5005,$B34,INCORRIDO!$E$6:$E$5005,BY$7)+IF(BY$7&gt;PARAMETROS!$C$12,IF($H34&gt;0,$G34*CURVA!BY34/$H34,0)*BY$6,0))</f>
        <v>0</v>
      </c>
      <c r="BZ34" s="19" t="n">
        <f aca="false">IF($B34="",0,SUMIFS(INCORRIDO!$C$6:$C$5005,INCORRIDO!$D$6:$D$5005,$B34,INCORRIDO!$E$6:$E$5005,BZ$7)+IF(BZ$7&gt;PARAMETROS!$C$12,IF($H34&gt;0,$G34*CURVA!BZ34/$H34,0)*BZ$6,0))</f>
        <v>0</v>
      </c>
      <c r="CA34" s="19" t="n">
        <f aca="false">IF($B34="",0,SUMIFS(INCORRIDO!$C$6:$C$5005,INCORRIDO!$D$6:$D$5005,$B34,INCORRIDO!$E$6:$E$5005,CA$7)+IF(CA$7&gt;PARAMETROS!$C$12,IF($H34&gt;0,$G34*CURVA!CA34/$H34,0)*CA$6,0))</f>
        <v>0</v>
      </c>
      <c r="CB34" s="19" t="n">
        <f aca="false">IF($B34="",0,SUMIFS(INCORRIDO!$C$6:$C$5005,INCORRIDO!$D$6:$D$5005,$B34,INCORRIDO!$E$6:$E$5005,CB$7)+IF(CB$7&gt;PARAMETROS!$C$12,IF($H34&gt;0,$G34*CURVA!CB34/$H34,0)*CB$6,0))</f>
        <v>0</v>
      </c>
      <c r="CC34" s="19" t="n">
        <f aca="false">IF($B34="",0,SUMIFS(INCORRIDO!$C$6:$C$5005,INCORRIDO!$D$6:$D$5005,$B34,INCORRIDO!$E$6:$E$5005,CC$7)+IF(CC$7&gt;PARAMETROS!$C$12,IF($H34&gt;0,$G34*CURVA!CC34/$H34,0)*CC$6,0))</f>
        <v>0</v>
      </c>
    </row>
    <row r="35" customFormat="false" ht="15" hidden="false" customHeight="false" outlineLevel="0" collapsed="false">
      <c r="A35" s="31" t="str">
        <f aca="false">IF(ORCAMENTO!A33="","",ORCAMENTO!A33)</f>
        <v>28</v>
      </c>
      <c r="B35" s="31" t="str">
        <f aca="false">IF(ORCAMENTO!B33="","",ORCAMENTO!B33)</f>
        <v>REVESTIMENTOS DE MASSA EM PISOS</v>
      </c>
      <c r="C35" s="31" t="str">
        <f aca="false">IF(ORCAMENTO!C33="","",ORCAMENTO!C33)</f>
        <v>ACABAMENTOS</v>
      </c>
      <c r="D35" s="32" t="n">
        <f aca="false">IF($B35="",0,ORCAMENTO!E33)</f>
        <v>1154877.34</v>
      </c>
      <c r="E35" s="19" t="n">
        <f aca="false">IF($B35="",0,SUMIFS(INCORRIDO!$C$6:$C$5005,INCORRIDO!$D$6:$D$5005,$B35,INCORRIDO!$E$6:$E$5005,"&lt;="&amp;PARAMETROS!$C$12))</f>
        <v>0</v>
      </c>
      <c r="F35" s="19" t="n">
        <f aca="false">IF($B35="",0,SUMIFS(INCORRIDO!$C$6:$C$5005,INCORRIDO!$D$6:$D$5005,$B35,INCORRIDO!$E$6:$E$5005,"&gt;"&amp;PARAMETROS!$C$12))</f>
        <v>0</v>
      </c>
      <c r="G35" s="19" t="n">
        <f aca="false">MAX(0,D35-E35-F35)</f>
        <v>1154877.34</v>
      </c>
      <c r="H35" s="32" t="n">
        <f aca="false">CURVA!H35</f>
        <v>1154877.35</v>
      </c>
      <c r="I35" s="19" t="n">
        <f aca="false">SUM(J35:CC35)</f>
        <v>1154877.34</v>
      </c>
      <c r="J35" s="19" t="n">
        <f aca="false">IF($B35="",0,SUMIFS(INCORRIDO!$C$6:$C$5005,INCORRIDO!$D$6:$D$5005,$B35,INCORRIDO!$E$6:$E$5005,"&lt;="&amp;J$7)+IF(J$7&gt;PARAMETROS!$C$12,IF($H35&gt;0,$G35*CURVA!J35/$H35,0)*J$6,0))</f>
        <v>0</v>
      </c>
      <c r="K35" s="19" t="n">
        <f aca="false">IF($B35="",0,SUMIFS(INCORRIDO!$C$6:$C$5005,INCORRIDO!$D$6:$D$5005,$B35,INCORRIDO!$E$6:$E$5005,K$7)+IF(K$7&gt;PARAMETROS!$C$12,IF($H35&gt;0,$G35*CURVA!K35/$H35,0)*K$6,0))</f>
        <v>0</v>
      </c>
      <c r="L35" s="19" t="n">
        <f aca="false">IF($B35="",0,SUMIFS(INCORRIDO!$C$6:$C$5005,INCORRIDO!$D$6:$D$5005,$B35,INCORRIDO!$E$6:$E$5005,L$7)+IF(L$7&gt;PARAMETROS!$C$12,IF($H35&gt;0,$G35*CURVA!L35/$H35,0)*L$6,0))</f>
        <v>0</v>
      </c>
      <c r="M35" s="19" t="n">
        <f aca="false">IF($B35="",0,SUMIFS(INCORRIDO!$C$6:$C$5005,INCORRIDO!$D$6:$D$5005,$B35,INCORRIDO!$E$6:$E$5005,M$7)+IF(M$7&gt;PARAMETROS!$C$12,IF($H35&gt;0,$G35*CURVA!M35/$H35,0)*M$6,0))</f>
        <v>0</v>
      </c>
      <c r="N35" s="19" t="n">
        <f aca="false">IF($B35="",0,SUMIFS(INCORRIDO!$C$6:$C$5005,INCORRIDO!$D$6:$D$5005,$B35,INCORRIDO!$E$6:$E$5005,N$7)+IF(N$7&gt;PARAMETROS!$C$12,IF($H35&gt;0,$G35*CURVA!N35/$H35,0)*N$6,0))</f>
        <v>0</v>
      </c>
      <c r="O35" s="19" t="n">
        <f aca="false">IF($B35="",0,SUMIFS(INCORRIDO!$C$6:$C$5005,INCORRIDO!$D$6:$D$5005,$B35,INCORRIDO!$E$6:$E$5005,O$7)+IF(O$7&gt;PARAMETROS!$C$12,IF($H35&gt;0,$G35*CURVA!O35/$H35,0)*O$6,0))</f>
        <v>0</v>
      </c>
      <c r="P35" s="19" t="n">
        <f aca="false">IF($B35="",0,SUMIFS(INCORRIDO!$C$6:$C$5005,INCORRIDO!$D$6:$D$5005,$B35,INCORRIDO!$E$6:$E$5005,P$7)+IF(P$7&gt;PARAMETROS!$C$12,IF($H35&gt;0,$G35*CURVA!P35/$H35,0)*P$6,0))</f>
        <v>0</v>
      </c>
      <c r="Q35" s="19" t="n">
        <f aca="false">IF($B35="",0,SUMIFS(INCORRIDO!$C$6:$C$5005,INCORRIDO!$D$6:$D$5005,$B35,INCORRIDO!$E$6:$E$5005,Q$7)+IF(Q$7&gt;PARAMETROS!$C$12,IF($H35&gt;0,$G35*CURVA!Q35/$H35,0)*Q$6,0))</f>
        <v>0</v>
      </c>
      <c r="R35" s="19" t="n">
        <f aca="false">IF($B35="",0,SUMIFS(INCORRIDO!$C$6:$C$5005,INCORRIDO!$D$6:$D$5005,$B35,INCORRIDO!$E$6:$E$5005,R$7)+IF(R$7&gt;PARAMETROS!$C$12,IF($H35&gt;0,$G35*CURVA!R35/$H35,0)*R$6,0))</f>
        <v>0</v>
      </c>
      <c r="S35" s="19" t="n">
        <f aca="false">IF($B35="",0,SUMIFS(INCORRIDO!$C$6:$C$5005,INCORRIDO!$D$6:$D$5005,$B35,INCORRIDO!$E$6:$E$5005,S$7)+IF(S$7&gt;PARAMETROS!$C$12,IF($H35&gt;0,$G35*CURVA!S35/$H35,0)*S$6,0))</f>
        <v>0</v>
      </c>
      <c r="T35" s="19" t="n">
        <f aca="false">IF($B35="",0,SUMIFS(INCORRIDO!$C$6:$C$5005,INCORRIDO!$D$6:$D$5005,$B35,INCORRIDO!$E$6:$E$5005,T$7)+IF(T$7&gt;PARAMETROS!$C$12,IF($H35&gt;0,$G35*CURVA!T35/$H35,0)*T$6,0))</f>
        <v>0</v>
      </c>
      <c r="U35" s="19" t="n">
        <f aca="false">IF($B35="",0,SUMIFS(INCORRIDO!$C$6:$C$5005,INCORRIDO!$D$6:$D$5005,$B35,INCORRIDO!$E$6:$E$5005,U$7)+IF(U$7&gt;PARAMETROS!$C$12,IF($H35&gt;0,$G35*CURVA!U35/$H35,0)*U$6,0))</f>
        <v>0</v>
      </c>
      <c r="V35" s="19" t="n">
        <f aca="false">IF($B35="",0,SUMIFS(INCORRIDO!$C$6:$C$5005,INCORRIDO!$D$6:$D$5005,$B35,INCORRIDO!$E$6:$E$5005,V$7)+IF(V$7&gt;PARAMETROS!$C$12,IF($H35&gt;0,$G35*CURVA!V35/$H35,0)*V$6,0))</f>
        <v>0</v>
      </c>
      <c r="W35" s="19" t="n">
        <f aca="false">IF($B35="",0,SUMIFS(INCORRIDO!$C$6:$C$5005,INCORRIDO!$D$6:$D$5005,$B35,INCORRIDO!$E$6:$E$5005,W$7)+IF(W$7&gt;PARAMETROS!$C$12,IF($H35&gt;0,$G35*CURVA!W35/$H35,0)*W$6,0))</f>
        <v>0</v>
      </c>
      <c r="X35" s="19" t="n">
        <f aca="false">IF($B35="",0,SUMIFS(INCORRIDO!$C$6:$C$5005,INCORRIDO!$D$6:$D$5005,$B35,INCORRIDO!$E$6:$E$5005,X$7)+IF(X$7&gt;PARAMETROS!$C$12,IF($H35&gt;0,$G35*CURVA!X35/$H35,0)*X$6,0))</f>
        <v>0</v>
      </c>
      <c r="Y35" s="19" t="n">
        <f aca="false">IF($B35="",0,SUMIFS(INCORRIDO!$C$6:$C$5005,INCORRIDO!$D$6:$D$5005,$B35,INCORRIDO!$E$6:$E$5005,Y$7)+IF(Y$7&gt;PARAMETROS!$C$12,IF($H35&gt;0,$G35*CURVA!Y35/$H35,0)*Y$6,0))</f>
        <v>0</v>
      </c>
      <c r="Z35" s="19" t="n">
        <f aca="false">IF($B35="",0,SUMIFS(INCORRIDO!$C$6:$C$5005,INCORRIDO!$D$6:$D$5005,$B35,INCORRIDO!$E$6:$E$5005,Z$7)+IF(Z$7&gt;PARAMETROS!$C$12,IF($H35&gt;0,$G35*CURVA!Z35/$H35,0)*Z$6,0))</f>
        <v>0</v>
      </c>
      <c r="AA35" s="19" t="n">
        <f aca="false">IF($B35="",0,SUMIFS(INCORRIDO!$C$6:$C$5005,INCORRIDO!$D$6:$D$5005,$B35,INCORRIDO!$E$6:$E$5005,AA$7)+IF(AA$7&gt;PARAMETROS!$C$12,IF($H35&gt;0,$G35*CURVA!AA35/$H35,0)*AA$6,0))</f>
        <v>0</v>
      </c>
      <c r="AB35" s="19" t="n">
        <f aca="false">IF($B35="",0,SUMIFS(INCORRIDO!$C$6:$C$5005,INCORRIDO!$D$6:$D$5005,$B35,INCORRIDO!$E$6:$E$5005,AB$7)+IF(AB$7&gt;PARAMETROS!$C$12,IF($H35&gt;0,$G35*CURVA!AB35/$H35,0)*AB$6,0))</f>
        <v>0</v>
      </c>
      <c r="AC35" s="19" t="n">
        <f aca="false">IF($B35="",0,SUMIFS(INCORRIDO!$C$6:$C$5005,INCORRIDO!$D$6:$D$5005,$B35,INCORRIDO!$E$6:$E$5005,AC$7)+IF(AC$7&gt;PARAMETROS!$C$12,IF($H35&gt;0,$G35*CURVA!AC35/$H35,0)*AC$6,0))</f>
        <v>0</v>
      </c>
      <c r="AD35" s="19" t="n">
        <f aca="false">IF($B35="",0,SUMIFS(INCORRIDO!$C$6:$C$5005,INCORRIDO!$D$6:$D$5005,$B35,INCORRIDO!$E$6:$E$5005,AD$7)+IF(AD$7&gt;PARAMETROS!$C$12,IF($H35&gt;0,$G35*CURVA!AD35/$H35,0)*AD$6,0))</f>
        <v>0</v>
      </c>
      <c r="AE35" s="19" t="n">
        <f aca="false">IF($B35="",0,SUMIFS(INCORRIDO!$C$6:$C$5005,INCORRIDO!$D$6:$D$5005,$B35,INCORRIDO!$E$6:$E$5005,AE$7)+IF(AE$7&gt;PARAMETROS!$C$12,IF($H35&gt;0,$G35*CURVA!AE35/$H35,0)*AE$6,0))</f>
        <v>0</v>
      </c>
      <c r="AF35" s="19" t="n">
        <f aca="false">IF($B35="",0,SUMIFS(INCORRIDO!$C$6:$C$5005,INCORRIDO!$D$6:$D$5005,$B35,INCORRIDO!$E$6:$E$5005,AF$7)+IF(AF$7&gt;PARAMETROS!$C$12,IF($H35&gt;0,$G35*CURVA!AF35/$H35,0)*AF$6,0))</f>
        <v>0</v>
      </c>
      <c r="AG35" s="19" t="n">
        <f aca="false">IF($B35="",0,SUMIFS(INCORRIDO!$C$6:$C$5005,INCORRIDO!$D$6:$D$5005,$B35,INCORRIDO!$E$6:$E$5005,AG$7)+IF(AG$7&gt;PARAMETROS!$C$12,IF($H35&gt;0,$G35*CURVA!AG35/$H35,0)*AG$6,0))</f>
        <v>0</v>
      </c>
      <c r="AH35" s="19" t="n">
        <f aca="false">IF($B35="",0,SUMIFS(INCORRIDO!$C$6:$C$5005,INCORRIDO!$D$6:$D$5005,$B35,INCORRIDO!$E$6:$E$5005,AH$7)+IF(AH$7&gt;PARAMETROS!$C$12,IF($H35&gt;0,$G35*CURVA!AH35/$H35,0)*AH$6,0))</f>
        <v>0</v>
      </c>
      <c r="AI35" s="19" t="n">
        <f aca="false">IF($B35="",0,SUMIFS(INCORRIDO!$C$6:$C$5005,INCORRIDO!$D$6:$D$5005,$B35,INCORRIDO!$E$6:$E$5005,AI$7)+IF(AI$7&gt;PARAMETROS!$C$12,IF($H35&gt;0,$G35*CURVA!AI35/$H35,0)*AI$6,0))</f>
        <v>0</v>
      </c>
      <c r="AJ35" s="19" t="n">
        <f aca="false">IF($B35="",0,SUMIFS(INCORRIDO!$C$6:$C$5005,INCORRIDO!$D$6:$D$5005,$B35,INCORRIDO!$E$6:$E$5005,AJ$7)+IF(AJ$7&gt;PARAMETROS!$C$12,IF($H35&gt;0,$G35*CURVA!AJ35/$H35,0)*AJ$6,0))</f>
        <v>0</v>
      </c>
      <c r="AK35" s="19" t="n">
        <f aca="false">IF($B35="",0,SUMIFS(INCORRIDO!$C$6:$C$5005,INCORRIDO!$D$6:$D$5005,$B35,INCORRIDO!$E$6:$E$5005,AK$7)+IF(AK$7&gt;PARAMETROS!$C$12,IF($H35&gt;0,$G35*CURVA!AK35/$H35,0)*AK$6,0))</f>
        <v>0</v>
      </c>
      <c r="AL35" s="19" t="n">
        <f aca="false">IF($B35="",0,SUMIFS(INCORRIDO!$C$6:$C$5005,INCORRIDO!$D$6:$D$5005,$B35,INCORRIDO!$E$6:$E$5005,AL$7)+IF(AL$7&gt;PARAMETROS!$C$12,IF($H35&gt;0,$G35*CURVA!AL35/$H35,0)*AL$6,0))</f>
        <v>0</v>
      </c>
      <c r="AM35" s="19" t="n">
        <f aca="false">IF($B35="",0,SUMIFS(INCORRIDO!$C$6:$C$5005,INCORRIDO!$D$6:$D$5005,$B35,INCORRIDO!$E$6:$E$5005,AM$7)+IF(AM$7&gt;PARAMETROS!$C$12,IF($H35&gt;0,$G35*CURVA!AM35/$H35,0)*AM$6,0))</f>
        <v>1847.79998400003</v>
      </c>
      <c r="AN35" s="19" t="n">
        <f aca="false">IF($B35="",0,SUMIFS(INCORRIDO!$C$6:$C$5005,INCORRIDO!$D$6:$D$5005,$B35,INCORRIDO!$E$6:$E$5005,AN$7)+IF(AN$7&gt;PARAMETROS!$C$12,IF($H35&gt;0,$G35*CURVA!AN35/$H35,0)*AN$6,0))</f>
        <v>3811.09996699996</v>
      </c>
      <c r="AO35" s="19" t="n">
        <f aca="false">IF($B35="",0,SUMIFS(INCORRIDO!$C$6:$C$5005,INCORRIDO!$D$6:$D$5005,$B35,INCORRIDO!$E$6:$E$5005,AO$7)+IF(AO$7&gt;PARAMETROS!$C$12,IF($H35&gt;0,$G35*CURVA!AO35/$H35,0)*AO$6,0))</f>
        <v>32567.539718</v>
      </c>
      <c r="AP35" s="19" t="n">
        <f aca="false">IF($B35="",0,SUMIFS(INCORRIDO!$C$6:$C$5005,INCORRIDO!$D$6:$D$5005,$B35,INCORRIDO!$E$6:$E$5005,AP$7)+IF(AP$7&gt;PARAMETROS!$C$12,IF($H35&gt;0,$G35*CURVA!AP35/$H35,0)*AP$6,0))</f>
        <v>96547.749164</v>
      </c>
      <c r="AQ35" s="19" t="n">
        <f aca="false">IF($B35="",0,SUMIFS(INCORRIDO!$C$6:$C$5005,INCORRIDO!$D$6:$D$5005,$B35,INCORRIDO!$E$6:$E$5005,AQ$7)+IF(AQ$7&gt;PARAMETROS!$C$12,IF($H35&gt;0,$G35*CURVA!AQ35/$H35,0)*AQ$6,0))</f>
        <v>87886.169239</v>
      </c>
      <c r="AR35" s="19" t="n">
        <f aca="false">IF($B35="",0,SUMIFS(INCORRIDO!$C$6:$C$5005,INCORRIDO!$D$6:$D$5005,$B35,INCORRIDO!$E$6:$E$5005,AR$7)+IF(AR$7&gt;PARAMETROS!$C$12,IF($H35&gt;0,$G35*CURVA!AR35/$H35,0)*AR$6,0))</f>
        <v>95970.309169</v>
      </c>
      <c r="AS35" s="19" t="n">
        <f aca="false">IF($B35="",0,SUMIFS(INCORRIDO!$C$6:$C$5005,INCORRIDO!$D$6:$D$5005,$B35,INCORRIDO!$E$6:$E$5005,AS$7)+IF(AS$7&gt;PARAMETROS!$C$12,IF($H35&gt;0,$G35*CURVA!AS35/$H35,0)*AS$6,0))</f>
        <v>93083.109194</v>
      </c>
      <c r="AT35" s="19" t="n">
        <f aca="false">IF($B35="",0,SUMIFS(INCORRIDO!$C$6:$C$5005,INCORRIDO!$D$6:$D$5005,$B35,INCORRIDO!$E$6:$E$5005,AT$7)+IF(AT$7&gt;PARAMETROS!$C$12,IF($H35&gt;0,$G35*CURVA!AT35/$H35,0)*AT$6,0))</f>
        <v>121493.098948</v>
      </c>
      <c r="AU35" s="19" t="n">
        <f aca="false">IF($B35="",0,SUMIFS(INCORRIDO!$C$6:$C$5005,INCORRIDO!$D$6:$D$5005,$B35,INCORRIDO!$E$6:$E$5005,AU$7)+IF(AU$7&gt;PARAMETROS!$C$12,IF($H35&gt;0,$G35*CURVA!AU35/$H35,0)*AU$6,0))</f>
        <v>175887.818477</v>
      </c>
      <c r="AV35" s="19" t="n">
        <f aca="false">IF($B35="",0,SUMIFS(INCORRIDO!$C$6:$C$5005,INCORRIDO!$D$6:$D$5005,$B35,INCORRIDO!$E$6:$E$5005,AV$7)+IF(AV$7&gt;PARAMETROS!$C$12,IF($H35&gt;0,$G35*CURVA!AV35/$H35,0)*AV$6,0))</f>
        <v>88579.089233</v>
      </c>
      <c r="AW35" s="19" t="n">
        <f aca="false">IF($B35="",0,SUMIFS(INCORRIDO!$C$6:$C$5005,INCORRIDO!$D$6:$D$5005,$B35,INCORRIDO!$E$6:$E$5005,AW$7)+IF(AW$7&gt;PARAMETROS!$C$12,IF($H35&gt;0,$G35*CURVA!AW35/$H35,0)*AW$6,0))</f>
        <v>99896.889135</v>
      </c>
      <c r="AX35" s="19" t="n">
        <f aca="false">IF($B35="",0,SUMIFS(INCORRIDO!$C$6:$C$5005,INCORRIDO!$D$6:$D$5005,$B35,INCORRIDO!$E$6:$E$5005,AX$7)+IF(AX$7&gt;PARAMETROS!$C$12,IF($H35&gt;0,$G35*CURVA!AX35/$H35,0)*AX$6,0))</f>
        <v>87539.699242</v>
      </c>
      <c r="AY35" s="19" t="n">
        <f aca="false">IF($B35="",0,SUMIFS(INCORRIDO!$C$6:$C$5005,INCORRIDO!$D$6:$D$5005,$B35,INCORRIDO!$E$6:$E$5005,AY$7)+IF(AY$7&gt;PARAMETROS!$C$12,IF($H35&gt;0,$G35*CURVA!AY35/$H35,0)*AY$6,0))</f>
        <v>65712.519431</v>
      </c>
      <c r="AZ35" s="19" t="n">
        <f aca="false">IF($B35="",0,SUMIFS(INCORRIDO!$C$6:$C$5005,INCORRIDO!$D$6:$D$5005,$B35,INCORRIDO!$E$6:$E$5005,AZ$7)+IF(AZ$7&gt;PARAMETROS!$C$12,IF($H35&gt;0,$G35*CURVA!AZ35/$H35,0)*AZ$6,0))</f>
        <v>36840.589681</v>
      </c>
      <c r="BA35" s="19" t="n">
        <f aca="false">IF($B35="",0,SUMIFS(INCORRIDO!$C$6:$C$5005,INCORRIDO!$D$6:$D$5005,$B35,INCORRIDO!$E$6:$E$5005,BA$7)+IF(BA$7&gt;PARAMETROS!$C$12,IF($H35&gt;0,$G35*CURVA!BA35/$H35,0)*BA$6,0))</f>
        <v>9123.52992100001</v>
      </c>
      <c r="BB35" s="19" t="n">
        <f aca="false">IF($B35="",0,SUMIFS(INCORRIDO!$C$6:$C$5005,INCORRIDO!$D$6:$D$5005,$B35,INCORRIDO!$E$6:$E$5005,BB$7)+IF(BB$7&gt;PARAMETROS!$C$12,IF($H35&gt;0,$G35*CURVA!BB35/$H35,0)*BB$6,0))</f>
        <v>49775.209569</v>
      </c>
      <c r="BC35" s="19" t="n">
        <f aca="false">IF($B35="",0,SUMIFS(INCORRIDO!$C$6:$C$5005,INCORRIDO!$D$6:$D$5005,$B35,INCORRIDO!$E$6:$E$5005,BC$7)+IF(BC$7&gt;PARAMETROS!$C$12,IF($H35&gt;0,$G35*CURVA!BC35/$H35,0)*BC$6,0))</f>
        <v>8315.11992799998</v>
      </c>
      <c r="BD35" s="19" t="n">
        <f aca="false">IF($B35="",0,SUMIFS(INCORRIDO!$C$6:$C$5005,INCORRIDO!$D$6:$D$5005,$B35,INCORRIDO!$E$6:$E$5005,BD$7)+IF(BD$7&gt;PARAMETROS!$C$12,IF($H35&gt;0,$G35*CURVA!BD35/$H35,0)*BD$6,0))</f>
        <v>0</v>
      </c>
      <c r="BE35" s="19" t="n">
        <f aca="false">IF($B35="",0,SUMIFS(INCORRIDO!$C$6:$C$5005,INCORRIDO!$D$6:$D$5005,$B35,INCORRIDO!$E$6:$E$5005,BE$7)+IF(BE$7&gt;PARAMETROS!$C$12,IF($H35&gt;0,$G35*CURVA!BE35/$H35,0)*BE$6,0))</f>
        <v>0</v>
      </c>
      <c r="BF35" s="19" t="n">
        <f aca="false">IF($B35="",0,SUMIFS(INCORRIDO!$C$6:$C$5005,INCORRIDO!$D$6:$D$5005,$B35,INCORRIDO!$E$6:$E$5005,BF$7)+IF(BF$7&gt;PARAMETROS!$C$12,IF($H35&gt;0,$G35*CURVA!BF35/$H35,0)*BF$6,0))</f>
        <v>0</v>
      </c>
      <c r="BG35" s="19" t="n">
        <f aca="false">IF($B35="",0,SUMIFS(INCORRIDO!$C$6:$C$5005,INCORRIDO!$D$6:$D$5005,$B35,INCORRIDO!$E$6:$E$5005,BG$7)+IF(BG$7&gt;PARAMETROS!$C$12,IF($H35&gt;0,$G35*CURVA!BG35/$H35,0)*BG$6,0))</f>
        <v>0</v>
      </c>
      <c r="BH35" s="19" t="n">
        <f aca="false">IF($B35="",0,SUMIFS(INCORRIDO!$C$6:$C$5005,INCORRIDO!$D$6:$D$5005,$B35,INCORRIDO!$E$6:$E$5005,BH$7)+IF(BH$7&gt;PARAMETROS!$C$12,IF($H35&gt;0,$G35*CURVA!BH35/$H35,0)*BH$6,0))</f>
        <v>0</v>
      </c>
      <c r="BI35" s="19" t="n">
        <f aca="false">IF($B35="",0,SUMIFS(INCORRIDO!$C$6:$C$5005,INCORRIDO!$D$6:$D$5005,$B35,INCORRIDO!$E$6:$E$5005,BI$7)+IF(BI$7&gt;PARAMETROS!$C$12,IF($H35&gt;0,$G35*CURVA!BI35/$H35,0)*BI$6,0))</f>
        <v>0</v>
      </c>
      <c r="BJ35" s="19" t="n">
        <f aca="false">IF($B35="",0,SUMIFS(INCORRIDO!$C$6:$C$5005,INCORRIDO!$D$6:$D$5005,$B35,INCORRIDO!$E$6:$E$5005,BJ$7)+IF(BJ$7&gt;PARAMETROS!$C$12,IF($H35&gt;0,$G35*CURVA!BJ35/$H35,0)*BJ$6,0))</f>
        <v>0</v>
      </c>
      <c r="BK35" s="19" t="n">
        <f aca="false">IF($B35="",0,SUMIFS(INCORRIDO!$C$6:$C$5005,INCORRIDO!$D$6:$D$5005,$B35,INCORRIDO!$E$6:$E$5005,BK$7)+IF(BK$7&gt;PARAMETROS!$C$12,IF($H35&gt;0,$G35*CURVA!BK35/$H35,0)*BK$6,0))</f>
        <v>0</v>
      </c>
      <c r="BL35" s="19" t="n">
        <f aca="false">IF($B35="",0,SUMIFS(INCORRIDO!$C$6:$C$5005,INCORRIDO!$D$6:$D$5005,$B35,INCORRIDO!$E$6:$E$5005,BL$7)+IF(BL$7&gt;PARAMETROS!$C$12,IF($H35&gt;0,$G35*CURVA!BL35/$H35,0)*BL$6,0))</f>
        <v>0</v>
      </c>
      <c r="BM35" s="19" t="n">
        <f aca="false">IF($B35="",0,SUMIFS(INCORRIDO!$C$6:$C$5005,INCORRIDO!$D$6:$D$5005,$B35,INCORRIDO!$E$6:$E$5005,BM$7)+IF(BM$7&gt;PARAMETROS!$C$12,IF($H35&gt;0,$G35*CURVA!BM35/$H35,0)*BM$6,0))</f>
        <v>0</v>
      </c>
      <c r="BN35" s="19" t="n">
        <f aca="false">IF($B35="",0,SUMIFS(INCORRIDO!$C$6:$C$5005,INCORRIDO!$D$6:$D$5005,$B35,INCORRIDO!$E$6:$E$5005,BN$7)+IF(BN$7&gt;PARAMETROS!$C$12,IF($H35&gt;0,$G35*CURVA!BN35/$H35,0)*BN$6,0))</f>
        <v>0</v>
      </c>
      <c r="BO35" s="19" t="n">
        <f aca="false">IF($B35="",0,SUMIFS(INCORRIDO!$C$6:$C$5005,INCORRIDO!$D$6:$D$5005,$B35,INCORRIDO!$E$6:$E$5005,BO$7)+IF(BO$7&gt;PARAMETROS!$C$12,IF($H35&gt;0,$G35*CURVA!BO35/$H35,0)*BO$6,0))</f>
        <v>0</v>
      </c>
      <c r="BP35" s="19" t="n">
        <f aca="false">IF($B35="",0,SUMIFS(INCORRIDO!$C$6:$C$5005,INCORRIDO!$D$6:$D$5005,$B35,INCORRIDO!$E$6:$E$5005,BP$7)+IF(BP$7&gt;PARAMETROS!$C$12,IF($H35&gt;0,$G35*CURVA!BP35/$H35,0)*BP$6,0))</f>
        <v>0</v>
      </c>
      <c r="BQ35" s="19" t="n">
        <f aca="false">IF($B35="",0,SUMIFS(INCORRIDO!$C$6:$C$5005,INCORRIDO!$D$6:$D$5005,$B35,INCORRIDO!$E$6:$E$5005,BQ$7)+IF(BQ$7&gt;PARAMETROS!$C$12,IF($H35&gt;0,$G35*CURVA!BQ35/$H35,0)*BQ$6,0))</f>
        <v>0</v>
      </c>
      <c r="BR35" s="19" t="n">
        <f aca="false">IF($B35="",0,SUMIFS(INCORRIDO!$C$6:$C$5005,INCORRIDO!$D$6:$D$5005,$B35,INCORRIDO!$E$6:$E$5005,BR$7)+IF(BR$7&gt;PARAMETROS!$C$12,IF($H35&gt;0,$G35*CURVA!BR35/$H35,0)*BR$6,0))</f>
        <v>0</v>
      </c>
      <c r="BS35" s="19" t="n">
        <f aca="false">IF($B35="",0,SUMIFS(INCORRIDO!$C$6:$C$5005,INCORRIDO!$D$6:$D$5005,$B35,INCORRIDO!$E$6:$E$5005,BS$7)+IF(BS$7&gt;PARAMETROS!$C$12,IF($H35&gt;0,$G35*CURVA!BS35/$H35,0)*BS$6,0))</f>
        <v>0</v>
      </c>
      <c r="BT35" s="19" t="n">
        <f aca="false">IF($B35="",0,SUMIFS(INCORRIDO!$C$6:$C$5005,INCORRIDO!$D$6:$D$5005,$B35,INCORRIDO!$E$6:$E$5005,BT$7)+IF(BT$7&gt;PARAMETROS!$C$12,IF($H35&gt;0,$G35*CURVA!BT35/$H35,0)*BT$6,0))</f>
        <v>0</v>
      </c>
      <c r="BU35" s="19" t="n">
        <f aca="false">IF($B35="",0,SUMIFS(INCORRIDO!$C$6:$C$5005,INCORRIDO!$D$6:$D$5005,$B35,INCORRIDO!$E$6:$E$5005,BU$7)+IF(BU$7&gt;PARAMETROS!$C$12,IF($H35&gt;0,$G35*CURVA!BU35/$H35,0)*BU$6,0))</f>
        <v>0</v>
      </c>
      <c r="BV35" s="19" t="n">
        <f aca="false">IF($B35="",0,SUMIFS(INCORRIDO!$C$6:$C$5005,INCORRIDO!$D$6:$D$5005,$B35,INCORRIDO!$E$6:$E$5005,BV$7)+IF(BV$7&gt;PARAMETROS!$C$12,IF($H35&gt;0,$G35*CURVA!BV35/$H35,0)*BV$6,0))</f>
        <v>0</v>
      </c>
      <c r="BW35" s="19" t="n">
        <f aca="false">IF($B35="",0,SUMIFS(INCORRIDO!$C$6:$C$5005,INCORRIDO!$D$6:$D$5005,$B35,INCORRIDO!$E$6:$E$5005,BW$7)+IF(BW$7&gt;PARAMETROS!$C$12,IF($H35&gt;0,$G35*CURVA!BW35/$H35,0)*BW$6,0))</f>
        <v>0</v>
      </c>
      <c r="BX35" s="19" t="n">
        <f aca="false">IF($B35="",0,SUMIFS(INCORRIDO!$C$6:$C$5005,INCORRIDO!$D$6:$D$5005,$B35,INCORRIDO!$E$6:$E$5005,BX$7)+IF(BX$7&gt;PARAMETROS!$C$12,IF($H35&gt;0,$G35*CURVA!BX35/$H35,0)*BX$6,0))</f>
        <v>0</v>
      </c>
      <c r="BY35" s="19" t="n">
        <f aca="false">IF($B35="",0,SUMIFS(INCORRIDO!$C$6:$C$5005,INCORRIDO!$D$6:$D$5005,$B35,INCORRIDO!$E$6:$E$5005,BY$7)+IF(BY$7&gt;PARAMETROS!$C$12,IF($H35&gt;0,$G35*CURVA!BY35/$H35,0)*BY$6,0))</f>
        <v>0</v>
      </c>
      <c r="BZ35" s="19" t="n">
        <f aca="false">IF($B35="",0,SUMIFS(INCORRIDO!$C$6:$C$5005,INCORRIDO!$D$6:$D$5005,$B35,INCORRIDO!$E$6:$E$5005,BZ$7)+IF(BZ$7&gt;PARAMETROS!$C$12,IF($H35&gt;0,$G35*CURVA!BZ35/$H35,0)*BZ$6,0))</f>
        <v>0</v>
      </c>
      <c r="CA35" s="19" t="n">
        <f aca="false">IF($B35="",0,SUMIFS(INCORRIDO!$C$6:$C$5005,INCORRIDO!$D$6:$D$5005,$B35,INCORRIDO!$E$6:$E$5005,CA$7)+IF(CA$7&gt;PARAMETROS!$C$12,IF($H35&gt;0,$G35*CURVA!CA35/$H35,0)*CA$6,0))</f>
        <v>0</v>
      </c>
      <c r="CB35" s="19" t="n">
        <f aca="false">IF($B35="",0,SUMIFS(INCORRIDO!$C$6:$C$5005,INCORRIDO!$D$6:$D$5005,$B35,INCORRIDO!$E$6:$E$5005,CB$7)+IF(CB$7&gt;PARAMETROS!$C$12,IF($H35&gt;0,$G35*CURVA!CB35/$H35,0)*CB$6,0))</f>
        <v>0</v>
      </c>
      <c r="CC35" s="19" t="n">
        <f aca="false">IF($B35="",0,SUMIFS(INCORRIDO!$C$6:$C$5005,INCORRIDO!$D$6:$D$5005,$B35,INCORRIDO!$E$6:$E$5005,CC$7)+IF(CC$7&gt;PARAMETROS!$C$12,IF($H35&gt;0,$G35*CURVA!CC35/$H35,0)*CC$6,0))</f>
        <v>0</v>
      </c>
    </row>
    <row r="36" customFormat="false" ht="15" hidden="false" customHeight="false" outlineLevel="0" collapsed="false">
      <c r="A36" s="31" t="str">
        <f aca="false">IF(ORCAMENTO!A34="","",ORCAMENTO!A34)</f>
        <v>29</v>
      </c>
      <c r="B36" s="31" t="str">
        <f aca="false">IF(ORCAMENTO!B34="","",ORCAMENTO!B34)</f>
        <v>REVESTIMENTOS DE MASSA EM PAREDES</v>
      </c>
      <c r="C36" s="31" t="str">
        <f aca="false">IF(ORCAMENTO!C34="","",ORCAMENTO!C34)</f>
        <v>ACABAMENTOS</v>
      </c>
      <c r="D36" s="32" t="n">
        <f aca="false">IF($B36="",0,ORCAMENTO!E34)</f>
        <v>2653291.4</v>
      </c>
      <c r="E36" s="19" t="n">
        <f aca="false">IF($B36="",0,SUMIFS(INCORRIDO!$C$6:$C$5005,INCORRIDO!$D$6:$D$5005,$B36,INCORRIDO!$E$6:$E$5005,"&lt;="&amp;PARAMETROS!$C$12))</f>
        <v>0</v>
      </c>
      <c r="F36" s="19" t="n">
        <f aca="false">IF($B36="",0,SUMIFS(INCORRIDO!$C$6:$C$5005,INCORRIDO!$D$6:$D$5005,$B36,INCORRIDO!$E$6:$E$5005,"&gt;"&amp;PARAMETROS!$C$12))</f>
        <v>0</v>
      </c>
      <c r="G36" s="19" t="n">
        <f aca="false">MAX(0,D36-E36-F36)</f>
        <v>2653291.4</v>
      </c>
      <c r="H36" s="32" t="n">
        <f aca="false">CURVA!H36</f>
        <v>2653291.42</v>
      </c>
      <c r="I36" s="19" t="n">
        <f aca="false">SUM(J36:CC36)</f>
        <v>2653291.4</v>
      </c>
      <c r="J36" s="19" t="n">
        <f aca="false">IF($B36="",0,SUMIFS(INCORRIDO!$C$6:$C$5005,INCORRIDO!$D$6:$D$5005,$B36,INCORRIDO!$E$6:$E$5005,"&lt;="&amp;J$7)+IF(J$7&gt;PARAMETROS!$C$12,IF($H36&gt;0,$G36*CURVA!J36/$H36,0)*J$6,0))</f>
        <v>0</v>
      </c>
      <c r="K36" s="19" t="n">
        <f aca="false">IF($B36="",0,SUMIFS(INCORRIDO!$C$6:$C$5005,INCORRIDO!$D$6:$D$5005,$B36,INCORRIDO!$E$6:$E$5005,K$7)+IF(K$7&gt;PARAMETROS!$C$12,IF($H36&gt;0,$G36*CURVA!K36/$H36,0)*K$6,0))</f>
        <v>0</v>
      </c>
      <c r="L36" s="19" t="n">
        <f aca="false">IF($B36="",0,SUMIFS(INCORRIDO!$C$6:$C$5005,INCORRIDO!$D$6:$D$5005,$B36,INCORRIDO!$E$6:$E$5005,L$7)+IF(L$7&gt;PARAMETROS!$C$12,IF($H36&gt;0,$G36*CURVA!L36/$H36,0)*L$6,0))</f>
        <v>0</v>
      </c>
      <c r="M36" s="19" t="n">
        <f aca="false">IF($B36="",0,SUMIFS(INCORRIDO!$C$6:$C$5005,INCORRIDO!$D$6:$D$5005,$B36,INCORRIDO!$E$6:$E$5005,M$7)+IF(M$7&gt;PARAMETROS!$C$12,IF($H36&gt;0,$G36*CURVA!M36/$H36,0)*M$6,0))</f>
        <v>0</v>
      </c>
      <c r="N36" s="19" t="n">
        <f aca="false">IF($B36="",0,SUMIFS(INCORRIDO!$C$6:$C$5005,INCORRIDO!$D$6:$D$5005,$B36,INCORRIDO!$E$6:$E$5005,N$7)+IF(N$7&gt;PARAMETROS!$C$12,IF($H36&gt;0,$G36*CURVA!N36/$H36,0)*N$6,0))</f>
        <v>0</v>
      </c>
      <c r="O36" s="19" t="n">
        <f aca="false">IF($B36="",0,SUMIFS(INCORRIDO!$C$6:$C$5005,INCORRIDO!$D$6:$D$5005,$B36,INCORRIDO!$E$6:$E$5005,O$7)+IF(O$7&gt;PARAMETROS!$C$12,IF($H36&gt;0,$G36*CURVA!O36/$H36,0)*O$6,0))</f>
        <v>0</v>
      </c>
      <c r="P36" s="19" t="n">
        <f aca="false">IF($B36="",0,SUMIFS(INCORRIDO!$C$6:$C$5005,INCORRIDO!$D$6:$D$5005,$B36,INCORRIDO!$E$6:$E$5005,P$7)+IF(P$7&gt;PARAMETROS!$C$12,IF($H36&gt;0,$G36*CURVA!P36/$H36,0)*P$6,0))</f>
        <v>0</v>
      </c>
      <c r="Q36" s="19" t="n">
        <f aca="false">IF($B36="",0,SUMIFS(INCORRIDO!$C$6:$C$5005,INCORRIDO!$D$6:$D$5005,$B36,INCORRIDO!$E$6:$E$5005,Q$7)+IF(Q$7&gt;PARAMETROS!$C$12,IF($H36&gt;0,$G36*CURVA!Q36/$H36,0)*Q$6,0))</f>
        <v>0</v>
      </c>
      <c r="R36" s="19" t="n">
        <f aca="false">IF($B36="",0,SUMIFS(INCORRIDO!$C$6:$C$5005,INCORRIDO!$D$6:$D$5005,$B36,INCORRIDO!$E$6:$E$5005,R$7)+IF(R$7&gt;PARAMETROS!$C$12,IF($H36&gt;0,$G36*CURVA!R36/$H36,0)*R$6,0))</f>
        <v>0</v>
      </c>
      <c r="S36" s="19" t="n">
        <f aca="false">IF($B36="",0,SUMIFS(INCORRIDO!$C$6:$C$5005,INCORRIDO!$D$6:$D$5005,$B36,INCORRIDO!$E$6:$E$5005,S$7)+IF(S$7&gt;PARAMETROS!$C$12,IF($H36&gt;0,$G36*CURVA!S36/$H36,0)*S$6,0))</f>
        <v>0</v>
      </c>
      <c r="T36" s="19" t="n">
        <f aca="false">IF($B36="",0,SUMIFS(INCORRIDO!$C$6:$C$5005,INCORRIDO!$D$6:$D$5005,$B36,INCORRIDO!$E$6:$E$5005,T$7)+IF(T$7&gt;PARAMETROS!$C$12,IF($H36&gt;0,$G36*CURVA!T36/$H36,0)*T$6,0))</f>
        <v>0</v>
      </c>
      <c r="U36" s="19" t="n">
        <f aca="false">IF($B36="",0,SUMIFS(INCORRIDO!$C$6:$C$5005,INCORRIDO!$D$6:$D$5005,$B36,INCORRIDO!$E$6:$E$5005,U$7)+IF(U$7&gt;PARAMETROS!$C$12,IF($H36&gt;0,$G36*CURVA!U36/$H36,0)*U$6,0))</f>
        <v>0</v>
      </c>
      <c r="V36" s="19" t="n">
        <f aca="false">IF($B36="",0,SUMIFS(INCORRIDO!$C$6:$C$5005,INCORRIDO!$D$6:$D$5005,$B36,INCORRIDO!$E$6:$E$5005,V$7)+IF(V$7&gt;PARAMETROS!$C$12,IF($H36&gt;0,$G36*CURVA!V36/$H36,0)*V$6,0))</f>
        <v>0</v>
      </c>
      <c r="W36" s="19" t="n">
        <f aca="false">IF($B36="",0,SUMIFS(INCORRIDO!$C$6:$C$5005,INCORRIDO!$D$6:$D$5005,$B36,INCORRIDO!$E$6:$E$5005,W$7)+IF(W$7&gt;PARAMETROS!$C$12,IF($H36&gt;0,$G36*CURVA!W36/$H36,0)*W$6,0))</f>
        <v>0</v>
      </c>
      <c r="X36" s="19" t="n">
        <f aca="false">IF($B36="",0,SUMIFS(INCORRIDO!$C$6:$C$5005,INCORRIDO!$D$6:$D$5005,$B36,INCORRIDO!$E$6:$E$5005,X$7)+IF(X$7&gt;PARAMETROS!$C$12,IF($H36&gt;0,$G36*CURVA!X36/$H36,0)*X$6,0))</f>
        <v>0</v>
      </c>
      <c r="Y36" s="19" t="n">
        <f aca="false">IF($B36="",0,SUMIFS(INCORRIDO!$C$6:$C$5005,INCORRIDO!$D$6:$D$5005,$B36,INCORRIDO!$E$6:$E$5005,Y$7)+IF(Y$7&gt;PARAMETROS!$C$12,IF($H36&gt;0,$G36*CURVA!Y36/$H36,0)*Y$6,0))</f>
        <v>0</v>
      </c>
      <c r="Z36" s="19" t="n">
        <f aca="false">IF($B36="",0,SUMIFS(INCORRIDO!$C$6:$C$5005,INCORRIDO!$D$6:$D$5005,$B36,INCORRIDO!$E$6:$E$5005,Z$7)+IF(Z$7&gt;PARAMETROS!$C$12,IF($H36&gt;0,$G36*CURVA!Z36/$H36,0)*Z$6,0))</f>
        <v>0</v>
      </c>
      <c r="AA36" s="19" t="n">
        <f aca="false">IF($B36="",0,SUMIFS(INCORRIDO!$C$6:$C$5005,INCORRIDO!$D$6:$D$5005,$B36,INCORRIDO!$E$6:$E$5005,AA$7)+IF(AA$7&gt;PARAMETROS!$C$12,IF($H36&gt;0,$G36*CURVA!AA36/$H36,0)*AA$6,0))</f>
        <v>0</v>
      </c>
      <c r="AB36" s="19" t="n">
        <f aca="false">IF($B36="",0,SUMIFS(INCORRIDO!$C$6:$C$5005,INCORRIDO!$D$6:$D$5005,$B36,INCORRIDO!$E$6:$E$5005,AB$7)+IF(AB$7&gt;PARAMETROS!$C$12,IF($H36&gt;0,$G36*CURVA!AB36/$H36,0)*AB$6,0))</f>
        <v>0</v>
      </c>
      <c r="AC36" s="19" t="n">
        <f aca="false">IF($B36="",0,SUMIFS(INCORRIDO!$C$6:$C$5005,INCORRIDO!$D$6:$D$5005,$B36,INCORRIDO!$E$6:$E$5005,AC$7)+IF(AC$7&gt;PARAMETROS!$C$12,IF($H36&gt;0,$G36*CURVA!AC36/$H36,0)*AC$6,0))</f>
        <v>0</v>
      </c>
      <c r="AD36" s="19" t="n">
        <f aca="false">IF($B36="",0,SUMIFS(INCORRIDO!$C$6:$C$5005,INCORRIDO!$D$6:$D$5005,$B36,INCORRIDO!$E$6:$E$5005,AD$7)+IF(AD$7&gt;PARAMETROS!$C$12,IF($H36&gt;0,$G36*CURVA!AD36/$H36,0)*AD$6,0))</f>
        <v>0</v>
      </c>
      <c r="AE36" s="19" t="n">
        <f aca="false">IF($B36="",0,SUMIFS(INCORRIDO!$C$6:$C$5005,INCORRIDO!$D$6:$D$5005,$B36,INCORRIDO!$E$6:$E$5005,AE$7)+IF(AE$7&gt;PARAMETROS!$C$12,IF($H36&gt;0,$G36*CURVA!AE36/$H36,0)*AE$6,0))</f>
        <v>0</v>
      </c>
      <c r="AF36" s="19" t="n">
        <f aca="false">IF($B36="",0,SUMIFS(INCORRIDO!$C$6:$C$5005,INCORRIDO!$D$6:$D$5005,$B36,INCORRIDO!$E$6:$E$5005,AF$7)+IF(AF$7&gt;PARAMETROS!$C$12,IF($H36&gt;0,$G36*CURVA!AF36/$H36,0)*AF$6,0))</f>
        <v>0</v>
      </c>
      <c r="AG36" s="19" t="n">
        <f aca="false">IF($B36="",0,SUMIFS(INCORRIDO!$C$6:$C$5005,INCORRIDO!$D$6:$D$5005,$B36,INCORRIDO!$E$6:$E$5005,AG$7)+IF(AG$7&gt;PARAMETROS!$C$12,IF($H36&gt;0,$G36*CURVA!AG36/$H36,0)*AG$6,0))</f>
        <v>0</v>
      </c>
      <c r="AH36" s="19" t="n">
        <f aca="false">IF($B36="",0,SUMIFS(INCORRIDO!$C$6:$C$5005,INCORRIDO!$D$6:$D$5005,$B36,INCORRIDO!$E$6:$E$5005,AH$7)+IF(AH$7&gt;PARAMETROS!$C$12,IF($H36&gt;0,$G36*CURVA!AH36/$H36,0)*AH$6,0))</f>
        <v>0</v>
      </c>
      <c r="AI36" s="19" t="n">
        <f aca="false">IF($B36="",0,SUMIFS(INCORRIDO!$C$6:$C$5005,INCORRIDO!$D$6:$D$5005,$B36,INCORRIDO!$E$6:$E$5005,AI$7)+IF(AI$7&gt;PARAMETROS!$C$12,IF($H36&gt;0,$G36*CURVA!AI36/$H36,0)*AI$6,0))</f>
        <v>0</v>
      </c>
      <c r="AJ36" s="19" t="n">
        <f aca="false">IF($B36="",0,SUMIFS(INCORRIDO!$C$6:$C$5005,INCORRIDO!$D$6:$D$5005,$B36,INCORRIDO!$E$6:$E$5005,AJ$7)+IF(AJ$7&gt;PARAMETROS!$C$12,IF($H36&gt;0,$G36*CURVA!AJ36/$H36,0)*AJ$6,0))</f>
        <v>0</v>
      </c>
      <c r="AK36" s="19" t="n">
        <f aca="false">IF($B36="",0,SUMIFS(INCORRIDO!$C$6:$C$5005,INCORRIDO!$D$6:$D$5005,$B36,INCORRIDO!$E$6:$E$5005,AK$7)+IF(AK$7&gt;PARAMETROS!$C$12,IF($H36&gt;0,$G36*CURVA!AK36/$H36,0)*AK$6,0))</f>
        <v>0</v>
      </c>
      <c r="AL36" s="19" t="n">
        <f aca="false">IF($B36="",0,SUMIFS(INCORRIDO!$C$6:$C$5005,INCORRIDO!$D$6:$D$5005,$B36,INCORRIDO!$E$6:$E$5005,AL$7)+IF(AL$7&gt;PARAMETROS!$C$12,IF($H36&gt;0,$G36*CURVA!AL36/$H36,0)*AL$6,0))</f>
        <v>0</v>
      </c>
      <c r="AM36" s="19" t="n">
        <f aca="false">IF($B36="",0,SUMIFS(INCORRIDO!$C$6:$C$5005,INCORRIDO!$D$6:$D$5005,$B36,INCORRIDO!$E$6:$E$5005,AM$7)+IF(AM$7&gt;PARAMETROS!$C$12,IF($H36&gt;0,$G36*CURVA!AM36/$H36,0)*AM$6,0))</f>
        <v>6102.569954</v>
      </c>
      <c r="AN36" s="19" t="n">
        <f aca="false">IF($B36="",0,SUMIFS(INCORRIDO!$C$6:$C$5005,INCORRIDO!$D$6:$D$5005,$B36,INCORRIDO!$E$6:$E$5005,AN$7)+IF(AN$7&gt;PARAMETROS!$C$12,IF($H36&gt;0,$G36*CURVA!AN36/$H36,0)*AN$6,0))</f>
        <v>31574.169762</v>
      </c>
      <c r="AO36" s="19" t="n">
        <f aca="false">IF($B36="",0,SUMIFS(INCORRIDO!$C$6:$C$5005,INCORRIDO!$D$6:$D$5005,$B36,INCORRIDO!$E$6:$E$5005,AO$7)+IF(AO$7&gt;PARAMETROS!$C$12,IF($H36&gt;0,$G36*CURVA!AO36/$H36,0)*AO$6,0))</f>
        <v>161320.118784</v>
      </c>
      <c r="AP36" s="19" t="n">
        <f aca="false">IF($B36="",0,SUMIFS(INCORRIDO!$C$6:$C$5005,INCORRIDO!$D$6:$D$5005,$B36,INCORRIDO!$E$6:$E$5005,AP$7)+IF(AP$7&gt;PARAMETROS!$C$12,IF($H36&gt;0,$G36*CURVA!AP36/$H36,0)*AP$6,0))</f>
        <v>184934.408606</v>
      </c>
      <c r="AQ36" s="19" t="n">
        <f aca="false">IF($B36="",0,SUMIFS(INCORRIDO!$C$6:$C$5005,INCORRIDO!$D$6:$D$5005,$B36,INCORRIDO!$E$6:$E$5005,AQ$7)+IF(AQ$7&gt;PARAMETROS!$C$12,IF($H36&gt;0,$G36*CURVA!AQ36/$H36,0)*AQ$6,0))</f>
        <v>161850.77878</v>
      </c>
      <c r="AR36" s="19" t="n">
        <f aca="false">IF($B36="",0,SUMIFS(INCORRIDO!$C$6:$C$5005,INCORRIDO!$D$6:$D$5005,$B36,INCORRIDO!$E$6:$E$5005,AR$7)+IF(AR$7&gt;PARAMETROS!$C$12,IF($H36&gt;0,$G36*CURVA!AR36/$H36,0)*AR$6,0))</f>
        <v>268513.087976</v>
      </c>
      <c r="AS36" s="19" t="n">
        <f aca="false">IF($B36="",0,SUMIFS(INCORRIDO!$C$6:$C$5005,INCORRIDO!$D$6:$D$5005,$B36,INCORRIDO!$E$6:$E$5005,AS$7)+IF(AS$7&gt;PARAMETROS!$C$12,IF($H36&gt;0,$G36*CURVA!AS36/$H36,0)*AS$6,0))</f>
        <v>315741.67762</v>
      </c>
      <c r="AT36" s="19" t="n">
        <f aca="false">IF($B36="",0,SUMIFS(INCORRIDO!$C$6:$C$5005,INCORRIDO!$D$6:$D$5005,$B36,INCORRIDO!$E$6:$E$5005,AT$7)+IF(AT$7&gt;PARAMETROS!$C$12,IF($H36&gt;0,$G36*CURVA!AT36/$H36,0)*AT$6,0))</f>
        <v>238796.2282</v>
      </c>
      <c r="AU36" s="19" t="n">
        <f aca="false">IF($B36="",0,SUMIFS(INCORRIDO!$C$6:$C$5005,INCORRIDO!$D$6:$D$5005,$B36,INCORRIDO!$E$6:$E$5005,AU$7)+IF(AU$7&gt;PARAMETROS!$C$12,IF($H36&gt;0,$G36*CURVA!AU36/$H36,0)*AU$6,0))</f>
        <v>170871.968712</v>
      </c>
      <c r="AV36" s="19" t="n">
        <f aca="false">IF($B36="",0,SUMIFS(INCORRIDO!$C$6:$C$5005,INCORRIDO!$D$6:$D$5005,$B36,INCORRIDO!$E$6:$E$5005,AV$7)+IF(AV$7&gt;PARAMETROS!$C$12,IF($H36&gt;0,$G36*CURVA!AV36/$H36,0)*AV$6,0))</f>
        <v>244898.798154</v>
      </c>
      <c r="AW36" s="19" t="n">
        <f aca="false">IF($B36="",0,SUMIFS(INCORRIDO!$C$6:$C$5005,INCORRIDO!$D$6:$D$5005,$B36,INCORRIDO!$E$6:$E$5005,AW$7)+IF(AW$7&gt;PARAMETROS!$C$12,IF($H36&gt;0,$G36*CURVA!AW36/$H36,0)*AW$6,0))</f>
        <v>238000.238206</v>
      </c>
      <c r="AX36" s="19" t="n">
        <f aca="false">IF($B36="",0,SUMIFS(INCORRIDO!$C$6:$C$5005,INCORRIDO!$D$6:$D$5005,$B36,INCORRIDO!$E$6:$E$5005,AX$7)+IF(AX$7&gt;PARAMETROS!$C$12,IF($H36&gt;0,$G36*CURVA!AX36/$H36,0)*AX$6,0))</f>
        <v>223937.788312</v>
      </c>
      <c r="AY36" s="19" t="n">
        <f aca="false">IF($B36="",0,SUMIFS(INCORRIDO!$C$6:$C$5005,INCORRIDO!$D$6:$D$5005,$B36,INCORRIDO!$E$6:$E$5005,AY$7)+IF(AY$7&gt;PARAMETROS!$C$12,IF($H36&gt;0,$G36*CURVA!AY36/$H36,0)*AY$6,0))</f>
        <v>109846.259172</v>
      </c>
      <c r="AZ36" s="19" t="n">
        <f aca="false">IF($B36="",0,SUMIFS(INCORRIDO!$C$6:$C$5005,INCORRIDO!$D$6:$D$5005,$B36,INCORRIDO!$E$6:$E$5005,AZ$7)+IF(AZ$7&gt;PARAMETROS!$C$12,IF($H36&gt;0,$G36*CURVA!AZ36/$H36,0)*AZ$6,0))</f>
        <v>205099.428454</v>
      </c>
      <c r="BA36" s="19" t="n">
        <f aca="false">IF($B36="",0,SUMIFS(INCORRIDO!$C$6:$C$5005,INCORRIDO!$D$6:$D$5005,$B36,INCORRIDO!$E$6:$E$5005,BA$7)+IF(BA$7&gt;PARAMETROS!$C$12,IF($H36&gt;0,$G36*CURVA!BA36/$H36,0)*BA$6,0))</f>
        <v>91803.879308</v>
      </c>
      <c r="BB36" s="19" t="n">
        <f aca="false">IF($B36="",0,SUMIFS(INCORRIDO!$C$6:$C$5005,INCORRIDO!$D$6:$D$5005,$B36,INCORRIDO!$E$6:$E$5005,BB$7)+IF(BB$7&gt;PARAMETROS!$C$12,IF($H36&gt;0,$G36*CURVA!BB36/$H36,0)*BB$6,0))</f>
        <v>0</v>
      </c>
      <c r="BC36" s="19" t="n">
        <f aca="false">IF($B36="",0,SUMIFS(INCORRIDO!$C$6:$C$5005,INCORRIDO!$D$6:$D$5005,$B36,INCORRIDO!$E$6:$E$5005,BC$7)+IF(BC$7&gt;PARAMETROS!$C$12,IF($H36&gt;0,$G36*CURVA!BC36/$H36,0)*BC$6,0))</f>
        <v>0</v>
      </c>
      <c r="BD36" s="19" t="n">
        <f aca="false">IF($B36="",0,SUMIFS(INCORRIDO!$C$6:$C$5005,INCORRIDO!$D$6:$D$5005,$B36,INCORRIDO!$E$6:$E$5005,BD$7)+IF(BD$7&gt;PARAMETROS!$C$12,IF($H36&gt;0,$G36*CURVA!BD36/$H36,0)*BD$6,0))</f>
        <v>0</v>
      </c>
      <c r="BE36" s="19" t="n">
        <f aca="false">IF($B36="",0,SUMIFS(INCORRIDO!$C$6:$C$5005,INCORRIDO!$D$6:$D$5005,$B36,INCORRIDO!$E$6:$E$5005,BE$7)+IF(BE$7&gt;PARAMETROS!$C$12,IF($H36&gt;0,$G36*CURVA!BE36/$H36,0)*BE$6,0))</f>
        <v>0</v>
      </c>
      <c r="BF36" s="19" t="n">
        <f aca="false">IF($B36="",0,SUMIFS(INCORRIDO!$C$6:$C$5005,INCORRIDO!$D$6:$D$5005,$B36,INCORRIDO!$E$6:$E$5005,BF$7)+IF(BF$7&gt;PARAMETROS!$C$12,IF($H36&gt;0,$G36*CURVA!BF36/$H36,0)*BF$6,0))</f>
        <v>0</v>
      </c>
      <c r="BG36" s="19" t="n">
        <f aca="false">IF($B36="",0,SUMIFS(INCORRIDO!$C$6:$C$5005,INCORRIDO!$D$6:$D$5005,$B36,INCORRIDO!$E$6:$E$5005,BG$7)+IF(BG$7&gt;PARAMETROS!$C$12,IF($H36&gt;0,$G36*CURVA!BG36/$H36,0)*BG$6,0))</f>
        <v>0</v>
      </c>
      <c r="BH36" s="19" t="n">
        <f aca="false">IF($B36="",0,SUMIFS(INCORRIDO!$C$6:$C$5005,INCORRIDO!$D$6:$D$5005,$B36,INCORRIDO!$E$6:$E$5005,BH$7)+IF(BH$7&gt;PARAMETROS!$C$12,IF($H36&gt;0,$G36*CURVA!BH36/$H36,0)*BH$6,0))</f>
        <v>0</v>
      </c>
      <c r="BI36" s="19" t="n">
        <f aca="false">IF($B36="",0,SUMIFS(INCORRIDO!$C$6:$C$5005,INCORRIDO!$D$6:$D$5005,$B36,INCORRIDO!$E$6:$E$5005,BI$7)+IF(BI$7&gt;PARAMETROS!$C$12,IF($H36&gt;0,$G36*CURVA!BI36/$H36,0)*BI$6,0))</f>
        <v>0</v>
      </c>
      <c r="BJ36" s="19" t="n">
        <f aca="false">IF($B36="",0,SUMIFS(INCORRIDO!$C$6:$C$5005,INCORRIDO!$D$6:$D$5005,$B36,INCORRIDO!$E$6:$E$5005,BJ$7)+IF(BJ$7&gt;PARAMETROS!$C$12,IF($H36&gt;0,$G36*CURVA!BJ36/$H36,0)*BJ$6,0))</f>
        <v>0</v>
      </c>
      <c r="BK36" s="19" t="n">
        <f aca="false">IF($B36="",0,SUMIFS(INCORRIDO!$C$6:$C$5005,INCORRIDO!$D$6:$D$5005,$B36,INCORRIDO!$E$6:$E$5005,BK$7)+IF(BK$7&gt;PARAMETROS!$C$12,IF($H36&gt;0,$G36*CURVA!BK36/$H36,0)*BK$6,0))</f>
        <v>0</v>
      </c>
      <c r="BL36" s="19" t="n">
        <f aca="false">IF($B36="",0,SUMIFS(INCORRIDO!$C$6:$C$5005,INCORRIDO!$D$6:$D$5005,$B36,INCORRIDO!$E$6:$E$5005,BL$7)+IF(BL$7&gt;PARAMETROS!$C$12,IF($H36&gt;0,$G36*CURVA!BL36/$H36,0)*BL$6,0))</f>
        <v>0</v>
      </c>
      <c r="BM36" s="19" t="n">
        <f aca="false">IF($B36="",0,SUMIFS(INCORRIDO!$C$6:$C$5005,INCORRIDO!$D$6:$D$5005,$B36,INCORRIDO!$E$6:$E$5005,BM$7)+IF(BM$7&gt;PARAMETROS!$C$12,IF($H36&gt;0,$G36*CURVA!BM36/$H36,0)*BM$6,0))</f>
        <v>0</v>
      </c>
      <c r="BN36" s="19" t="n">
        <f aca="false">IF($B36="",0,SUMIFS(INCORRIDO!$C$6:$C$5005,INCORRIDO!$D$6:$D$5005,$B36,INCORRIDO!$E$6:$E$5005,BN$7)+IF(BN$7&gt;PARAMETROS!$C$12,IF($H36&gt;0,$G36*CURVA!BN36/$H36,0)*BN$6,0))</f>
        <v>0</v>
      </c>
      <c r="BO36" s="19" t="n">
        <f aca="false">IF($B36="",0,SUMIFS(INCORRIDO!$C$6:$C$5005,INCORRIDO!$D$6:$D$5005,$B36,INCORRIDO!$E$6:$E$5005,BO$7)+IF(BO$7&gt;PARAMETROS!$C$12,IF($H36&gt;0,$G36*CURVA!BO36/$H36,0)*BO$6,0))</f>
        <v>0</v>
      </c>
      <c r="BP36" s="19" t="n">
        <f aca="false">IF($B36="",0,SUMIFS(INCORRIDO!$C$6:$C$5005,INCORRIDO!$D$6:$D$5005,$B36,INCORRIDO!$E$6:$E$5005,BP$7)+IF(BP$7&gt;PARAMETROS!$C$12,IF($H36&gt;0,$G36*CURVA!BP36/$H36,0)*BP$6,0))</f>
        <v>0</v>
      </c>
      <c r="BQ36" s="19" t="n">
        <f aca="false">IF($B36="",0,SUMIFS(INCORRIDO!$C$6:$C$5005,INCORRIDO!$D$6:$D$5005,$B36,INCORRIDO!$E$6:$E$5005,BQ$7)+IF(BQ$7&gt;PARAMETROS!$C$12,IF($H36&gt;0,$G36*CURVA!BQ36/$H36,0)*BQ$6,0))</f>
        <v>0</v>
      </c>
      <c r="BR36" s="19" t="n">
        <f aca="false">IF($B36="",0,SUMIFS(INCORRIDO!$C$6:$C$5005,INCORRIDO!$D$6:$D$5005,$B36,INCORRIDO!$E$6:$E$5005,BR$7)+IF(BR$7&gt;PARAMETROS!$C$12,IF($H36&gt;0,$G36*CURVA!BR36/$H36,0)*BR$6,0))</f>
        <v>0</v>
      </c>
      <c r="BS36" s="19" t="n">
        <f aca="false">IF($B36="",0,SUMIFS(INCORRIDO!$C$6:$C$5005,INCORRIDO!$D$6:$D$5005,$B36,INCORRIDO!$E$6:$E$5005,BS$7)+IF(BS$7&gt;PARAMETROS!$C$12,IF($H36&gt;0,$G36*CURVA!BS36/$H36,0)*BS$6,0))</f>
        <v>0</v>
      </c>
      <c r="BT36" s="19" t="n">
        <f aca="false">IF($B36="",0,SUMIFS(INCORRIDO!$C$6:$C$5005,INCORRIDO!$D$6:$D$5005,$B36,INCORRIDO!$E$6:$E$5005,BT$7)+IF(BT$7&gt;PARAMETROS!$C$12,IF($H36&gt;0,$G36*CURVA!BT36/$H36,0)*BT$6,0))</f>
        <v>0</v>
      </c>
      <c r="BU36" s="19" t="n">
        <f aca="false">IF($B36="",0,SUMIFS(INCORRIDO!$C$6:$C$5005,INCORRIDO!$D$6:$D$5005,$B36,INCORRIDO!$E$6:$E$5005,BU$7)+IF(BU$7&gt;PARAMETROS!$C$12,IF($H36&gt;0,$G36*CURVA!BU36/$H36,0)*BU$6,0))</f>
        <v>0</v>
      </c>
      <c r="BV36" s="19" t="n">
        <f aca="false">IF($B36="",0,SUMIFS(INCORRIDO!$C$6:$C$5005,INCORRIDO!$D$6:$D$5005,$B36,INCORRIDO!$E$6:$E$5005,BV$7)+IF(BV$7&gt;PARAMETROS!$C$12,IF($H36&gt;0,$G36*CURVA!BV36/$H36,0)*BV$6,0))</f>
        <v>0</v>
      </c>
      <c r="BW36" s="19" t="n">
        <f aca="false">IF($B36="",0,SUMIFS(INCORRIDO!$C$6:$C$5005,INCORRIDO!$D$6:$D$5005,$B36,INCORRIDO!$E$6:$E$5005,BW$7)+IF(BW$7&gt;PARAMETROS!$C$12,IF($H36&gt;0,$G36*CURVA!BW36/$H36,0)*BW$6,0))</f>
        <v>0</v>
      </c>
      <c r="BX36" s="19" t="n">
        <f aca="false">IF($B36="",0,SUMIFS(INCORRIDO!$C$6:$C$5005,INCORRIDO!$D$6:$D$5005,$B36,INCORRIDO!$E$6:$E$5005,BX$7)+IF(BX$7&gt;PARAMETROS!$C$12,IF($H36&gt;0,$G36*CURVA!BX36/$H36,0)*BX$6,0))</f>
        <v>0</v>
      </c>
      <c r="BY36" s="19" t="n">
        <f aca="false">IF($B36="",0,SUMIFS(INCORRIDO!$C$6:$C$5005,INCORRIDO!$D$6:$D$5005,$B36,INCORRIDO!$E$6:$E$5005,BY$7)+IF(BY$7&gt;PARAMETROS!$C$12,IF($H36&gt;0,$G36*CURVA!BY36/$H36,0)*BY$6,0))</f>
        <v>0</v>
      </c>
      <c r="BZ36" s="19" t="n">
        <f aca="false">IF($B36="",0,SUMIFS(INCORRIDO!$C$6:$C$5005,INCORRIDO!$D$6:$D$5005,$B36,INCORRIDO!$E$6:$E$5005,BZ$7)+IF(BZ$7&gt;PARAMETROS!$C$12,IF($H36&gt;0,$G36*CURVA!BZ36/$H36,0)*BZ$6,0))</f>
        <v>0</v>
      </c>
      <c r="CA36" s="19" t="n">
        <f aca="false">IF($B36="",0,SUMIFS(INCORRIDO!$C$6:$C$5005,INCORRIDO!$D$6:$D$5005,$B36,INCORRIDO!$E$6:$E$5005,CA$7)+IF(CA$7&gt;PARAMETROS!$C$12,IF($H36&gt;0,$G36*CURVA!CA36/$H36,0)*CA$6,0))</f>
        <v>0</v>
      </c>
      <c r="CB36" s="19" t="n">
        <f aca="false">IF($B36="",0,SUMIFS(INCORRIDO!$C$6:$C$5005,INCORRIDO!$D$6:$D$5005,$B36,INCORRIDO!$E$6:$E$5005,CB$7)+IF(CB$7&gt;PARAMETROS!$C$12,IF($H36&gt;0,$G36*CURVA!CB36/$H36,0)*CB$6,0))</f>
        <v>0</v>
      </c>
      <c r="CC36" s="19" t="n">
        <f aca="false">IF($B36="",0,SUMIFS(INCORRIDO!$C$6:$C$5005,INCORRIDO!$D$6:$D$5005,$B36,INCORRIDO!$E$6:$E$5005,CC$7)+IF(CC$7&gt;PARAMETROS!$C$12,IF($H36&gt;0,$G36*CURVA!CC36/$H36,0)*CC$6,0))</f>
        <v>0</v>
      </c>
    </row>
    <row r="37" customFormat="false" ht="15" hidden="false" customHeight="false" outlineLevel="0" collapsed="false">
      <c r="A37" s="31" t="str">
        <f aca="false">IF(ORCAMENTO!A35="","",ORCAMENTO!A35)</f>
        <v>30</v>
      </c>
      <c r="B37" s="31" t="str">
        <f aca="false">IF(ORCAMENTO!B35="","",ORCAMENTO!B35)</f>
        <v>REVESTIMENTOS DE ACABAMENTO</v>
      </c>
      <c r="C37" s="31" t="str">
        <f aca="false">IF(ORCAMENTO!C35="","",ORCAMENTO!C35)</f>
        <v>ACABAMENTOS</v>
      </c>
      <c r="D37" s="32" t="n">
        <f aca="false">IF($B37="",0,ORCAMENTO!E35)</f>
        <v>10960439.57</v>
      </c>
      <c r="E37" s="19" t="n">
        <f aca="false">IF($B37="",0,SUMIFS(INCORRIDO!$C$6:$C$5005,INCORRIDO!$D$6:$D$5005,$B37,INCORRIDO!$E$6:$E$5005,"&lt;="&amp;PARAMETROS!$C$12))</f>
        <v>0</v>
      </c>
      <c r="F37" s="19" t="n">
        <f aca="false">IF($B37="",0,SUMIFS(INCORRIDO!$C$6:$C$5005,INCORRIDO!$D$6:$D$5005,$B37,INCORRIDO!$E$6:$E$5005,"&gt;"&amp;PARAMETROS!$C$12))</f>
        <v>0</v>
      </c>
      <c r="G37" s="19" t="n">
        <f aca="false">MAX(0,D37-E37-F37)</f>
        <v>10960439.57</v>
      </c>
      <c r="H37" s="32" t="n">
        <f aca="false">CURVA!H37</f>
        <v>10951845.09</v>
      </c>
      <c r="I37" s="19" t="n">
        <f aca="false">SUM(J37:CC37)</f>
        <v>10960439.57</v>
      </c>
      <c r="J37" s="19" t="n">
        <f aca="false">IF($B37="",0,SUMIFS(INCORRIDO!$C$6:$C$5005,INCORRIDO!$D$6:$D$5005,$B37,INCORRIDO!$E$6:$E$5005,"&lt;="&amp;J$7)+IF(J$7&gt;PARAMETROS!$C$12,IF($H37&gt;0,$G37*CURVA!J37/$H37,0)*J$6,0))</f>
        <v>0</v>
      </c>
      <c r="K37" s="19" t="n">
        <f aca="false">IF($B37="",0,SUMIFS(INCORRIDO!$C$6:$C$5005,INCORRIDO!$D$6:$D$5005,$B37,INCORRIDO!$E$6:$E$5005,K$7)+IF(K$7&gt;PARAMETROS!$C$12,IF($H37&gt;0,$G37*CURVA!K37/$H37,0)*K$6,0))</f>
        <v>0</v>
      </c>
      <c r="L37" s="19" t="n">
        <f aca="false">IF($B37="",0,SUMIFS(INCORRIDO!$C$6:$C$5005,INCORRIDO!$D$6:$D$5005,$B37,INCORRIDO!$E$6:$E$5005,L$7)+IF(L$7&gt;PARAMETROS!$C$12,IF($H37&gt;0,$G37*CURVA!L37/$H37,0)*L$6,0))</f>
        <v>0</v>
      </c>
      <c r="M37" s="19" t="n">
        <f aca="false">IF($B37="",0,SUMIFS(INCORRIDO!$C$6:$C$5005,INCORRIDO!$D$6:$D$5005,$B37,INCORRIDO!$E$6:$E$5005,M$7)+IF(M$7&gt;PARAMETROS!$C$12,IF($H37&gt;0,$G37*CURVA!M37/$H37,0)*M$6,0))</f>
        <v>0</v>
      </c>
      <c r="N37" s="19" t="n">
        <f aca="false">IF($B37="",0,SUMIFS(INCORRIDO!$C$6:$C$5005,INCORRIDO!$D$6:$D$5005,$B37,INCORRIDO!$E$6:$E$5005,N$7)+IF(N$7&gt;PARAMETROS!$C$12,IF($H37&gt;0,$G37*CURVA!N37/$H37,0)*N$6,0))</f>
        <v>0</v>
      </c>
      <c r="O37" s="19" t="n">
        <f aca="false">IF($B37="",0,SUMIFS(INCORRIDO!$C$6:$C$5005,INCORRIDO!$D$6:$D$5005,$B37,INCORRIDO!$E$6:$E$5005,O$7)+IF(O$7&gt;PARAMETROS!$C$12,IF($H37&gt;0,$G37*CURVA!O37/$H37,0)*O$6,0))</f>
        <v>0</v>
      </c>
      <c r="P37" s="19" t="n">
        <f aca="false">IF($B37="",0,SUMIFS(INCORRIDO!$C$6:$C$5005,INCORRIDO!$D$6:$D$5005,$B37,INCORRIDO!$E$6:$E$5005,P$7)+IF(P$7&gt;PARAMETROS!$C$12,IF($H37&gt;0,$G37*CURVA!P37/$H37,0)*P$6,0))</f>
        <v>0</v>
      </c>
      <c r="Q37" s="19" t="n">
        <f aca="false">IF($B37="",0,SUMIFS(INCORRIDO!$C$6:$C$5005,INCORRIDO!$D$6:$D$5005,$B37,INCORRIDO!$E$6:$E$5005,Q$7)+IF(Q$7&gt;PARAMETROS!$C$12,IF($H37&gt;0,$G37*CURVA!Q37/$H37,0)*Q$6,0))</f>
        <v>0</v>
      </c>
      <c r="R37" s="19" t="n">
        <f aca="false">IF($B37="",0,SUMIFS(INCORRIDO!$C$6:$C$5005,INCORRIDO!$D$6:$D$5005,$B37,INCORRIDO!$E$6:$E$5005,R$7)+IF(R$7&gt;PARAMETROS!$C$12,IF($H37&gt;0,$G37*CURVA!R37/$H37,0)*R$6,0))</f>
        <v>0</v>
      </c>
      <c r="S37" s="19" t="n">
        <f aca="false">IF($B37="",0,SUMIFS(INCORRIDO!$C$6:$C$5005,INCORRIDO!$D$6:$D$5005,$B37,INCORRIDO!$E$6:$E$5005,S$7)+IF(S$7&gt;PARAMETROS!$C$12,IF($H37&gt;0,$G37*CURVA!S37/$H37,0)*S$6,0))</f>
        <v>0</v>
      </c>
      <c r="T37" s="19" t="n">
        <f aca="false">IF($B37="",0,SUMIFS(INCORRIDO!$C$6:$C$5005,INCORRIDO!$D$6:$D$5005,$B37,INCORRIDO!$E$6:$E$5005,T$7)+IF(T$7&gt;PARAMETROS!$C$12,IF($H37&gt;0,$G37*CURVA!T37/$H37,0)*T$6,0))</f>
        <v>0</v>
      </c>
      <c r="U37" s="19" t="n">
        <f aca="false">IF($B37="",0,SUMIFS(INCORRIDO!$C$6:$C$5005,INCORRIDO!$D$6:$D$5005,$B37,INCORRIDO!$E$6:$E$5005,U$7)+IF(U$7&gt;PARAMETROS!$C$12,IF($H37&gt;0,$G37*CURVA!U37/$H37,0)*U$6,0))</f>
        <v>0</v>
      </c>
      <c r="V37" s="19" t="n">
        <f aca="false">IF($B37="",0,SUMIFS(INCORRIDO!$C$6:$C$5005,INCORRIDO!$D$6:$D$5005,$B37,INCORRIDO!$E$6:$E$5005,V$7)+IF(V$7&gt;PARAMETROS!$C$12,IF($H37&gt;0,$G37*CURVA!V37/$H37,0)*V$6,0))</f>
        <v>0</v>
      </c>
      <c r="W37" s="19" t="n">
        <f aca="false">IF($B37="",0,SUMIFS(INCORRIDO!$C$6:$C$5005,INCORRIDO!$D$6:$D$5005,$B37,INCORRIDO!$E$6:$E$5005,W$7)+IF(W$7&gt;PARAMETROS!$C$12,IF($H37&gt;0,$G37*CURVA!W37/$H37,0)*W$6,0))</f>
        <v>0</v>
      </c>
      <c r="X37" s="19" t="n">
        <f aca="false">IF($B37="",0,SUMIFS(INCORRIDO!$C$6:$C$5005,INCORRIDO!$D$6:$D$5005,$B37,INCORRIDO!$E$6:$E$5005,X$7)+IF(X$7&gt;PARAMETROS!$C$12,IF($H37&gt;0,$G37*CURVA!X37/$H37,0)*X$6,0))</f>
        <v>0</v>
      </c>
      <c r="Y37" s="19" t="n">
        <f aca="false">IF($B37="",0,SUMIFS(INCORRIDO!$C$6:$C$5005,INCORRIDO!$D$6:$D$5005,$B37,INCORRIDO!$E$6:$E$5005,Y$7)+IF(Y$7&gt;PARAMETROS!$C$12,IF($H37&gt;0,$G37*CURVA!Y37/$H37,0)*Y$6,0))</f>
        <v>0</v>
      </c>
      <c r="Z37" s="19" t="n">
        <f aca="false">IF($B37="",0,SUMIFS(INCORRIDO!$C$6:$C$5005,INCORRIDO!$D$6:$D$5005,$B37,INCORRIDO!$E$6:$E$5005,Z$7)+IF(Z$7&gt;PARAMETROS!$C$12,IF($H37&gt;0,$G37*CURVA!Z37/$H37,0)*Z$6,0))</f>
        <v>0</v>
      </c>
      <c r="AA37" s="19" t="n">
        <f aca="false">IF($B37="",0,SUMIFS(INCORRIDO!$C$6:$C$5005,INCORRIDO!$D$6:$D$5005,$B37,INCORRIDO!$E$6:$E$5005,AA$7)+IF(AA$7&gt;PARAMETROS!$C$12,IF($H37&gt;0,$G37*CURVA!AA37/$H37,0)*AA$6,0))</f>
        <v>0</v>
      </c>
      <c r="AB37" s="19" t="n">
        <f aca="false">IF($B37="",0,SUMIFS(INCORRIDO!$C$6:$C$5005,INCORRIDO!$D$6:$D$5005,$B37,INCORRIDO!$E$6:$E$5005,AB$7)+IF(AB$7&gt;PARAMETROS!$C$12,IF($H37&gt;0,$G37*CURVA!AB37/$H37,0)*AB$6,0))</f>
        <v>0</v>
      </c>
      <c r="AC37" s="19" t="n">
        <f aca="false">IF($B37="",0,SUMIFS(INCORRIDO!$C$6:$C$5005,INCORRIDO!$D$6:$D$5005,$B37,INCORRIDO!$E$6:$E$5005,AC$7)+IF(AC$7&gt;PARAMETROS!$C$12,IF($H37&gt;0,$G37*CURVA!AC37/$H37,0)*AC$6,0))</f>
        <v>0</v>
      </c>
      <c r="AD37" s="19" t="n">
        <f aca="false">IF($B37="",0,SUMIFS(INCORRIDO!$C$6:$C$5005,INCORRIDO!$D$6:$D$5005,$B37,INCORRIDO!$E$6:$E$5005,AD$7)+IF(AD$7&gt;PARAMETROS!$C$12,IF($H37&gt;0,$G37*CURVA!AD37/$H37,0)*AD$6,0))</f>
        <v>0</v>
      </c>
      <c r="AE37" s="19" t="n">
        <f aca="false">IF($B37="",0,SUMIFS(INCORRIDO!$C$6:$C$5005,INCORRIDO!$D$6:$D$5005,$B37,INCORRIDO!$E$6:$E$5005,AE$7)+IF(AE$7&gt;PARAMETROS!$C$12,IF($H37&gt;0,$G37*CURVA!AE37/$H37,0)*AE$6,0))</f>
        <v>0</v>
      </c>
      <c r="AF37" s="19" t="n">
        <f aca="false">IF($B37="",0,SUMIFS(INCORRIDO!$C$6:$C$5005,INCORRIDO!$D$6:$D$5005,$B37,INCORRIDO!$E$6:$E$5005,AF$7)+IF(AF$7&gt;PARAMETROS!$C$12,IF($H37&gt;0,$G37*CURVA!AF37/$H37,0)*AF$6,0))</f>
        <v>0</v>
      </c>
      <c r="AG37" s="19" t="n">
        <f aca="false">IF($B37="",0,SUMIFS(INCORRIDO!$C$6:$C$5005,INCORRIDO!$D$6:$D$5005,$B37,INCORRIDO!$E$6:$E$5005,AG$7)+IF(AG$7&gt;PARAMETROS!$C$12,IF($H37&gt;0,$G37*CURVA!AG37/$H37,0)*AG$6,0))</f>
        <v>0</v>
      </c>
      <c r="AH37" s="19" t="n">
        <f aca="false">IF($B37="",0,SUMIFS(INCORRIDO!$C$6:$C$5005,INCORRIDO!$D$6:$D$5005,$B37,INCORRIDO!$E$6:$E$5005,AH$7)+IF(AH$7&gt;PARAMETROS!$C$12,IF($H37&gt;0,$G37*CURVA!AH37/$H37,0)*AH$6,0))</f>
        <v>0</v>
      </c>
      <c r="AI37" s="19" t="n">
        <f aca="false">IF($B37="",0,SUMIFS(INCORRIDO!$C$6:$C$5005,INCORRIDO!$D$6:$D$5005,$B37,INCORRIDO!$E$6:$E$5005,AI$7)+IF(AI$7&gt;PARAMETROS!$C$12,IF($H37&gt;0,$G37*CURVA!AI37/$H37,0)*AI$6,0))</f>
        <v>0</v>
      </c>
      <c r="AJ37" s="19" t="n">
        <f aca="false">IF($B37="",0,SUMIFS(INCORRIDO!$C$6:$C$5005,INCORRIDO!$D$6:$D$5005,$B37,INCORRIDO!$E$6:$E$5005,AJ$7)+IF(AJ$7&gt;PARAMETROS!$C$12,IF($H37&gt;0,$G37*CURVA!AJ37/$H37,0)*AJ$6,0))</f>
        <v>0</v>
      </c>
      <c r="AK37" s="19" t="n">
        <f aca="false">IF($B37="",0,SUMIFS(INCORRIDO!$C$6:$C$5005,INCORRIDO!$D$6:$D$5005,$B37,INCORRIDO!$E$6:$E$5005,AK$7)+IF(AK$7&gt;PARAMETROS!$C$12,IF($H37&gt;0,$G37*CURVA!AK37/$H37,0)*AK$6,0))</f>
        <v>0</v>
      </c>
      <c r="AL37" s="19" t="n">
        <f aca="false">IF($B37="",0,SUMIFS(INCORRIDO!$C$6:$C$5005,INCORRIDO!$D$6:$D$5005,$B37,INCORRIDO!$E$6:$E$5005,AL$7)+IF(AL$7&gt;PARAMETROS!$C$12,IF($H37&gt;0,$G37*CURVA!AL37/$H37,0)*AL$6,0))</f>
        <v>0</v>
      </c>
      <c r="AM37" s="19" t="n">
        <f aca="false">IF($B37="",0,SUMIFS(INCORRIDO!$C$6:$C$5005,INCORRIDO!$D$6:$D$5005,$B37,INCORRIDO!$E$6:$E$5005,AM$7)+IF(AM$7&gt;PARAMETROS!$C$12,IF($H37&gt;0,$G37*CURVA!AM37/$H37,0)*AM$6,0))</f>
        <v>0</v>
      </c>
      <c r="AN37" s="19" t="n">
        <f aca="false">IF($B37="",0,SUMIFS(INCORRIDO!$C$6:$C$5005,INCORRIDO!$D$6:$D$5005,$B37,INCORRIDO!$E$6:$E$5005,AN$7)+IF(AN$7&gt;PARAMETROS!$C$12,IF($H37&gt;0,$G37*CURVA!AN37/$H37,0)*AN$6,0))</f>
        <v>0</v>
      </c>
      <c r="AO37" s="19" t="n">
        <f aca="false">IF($B37="",0,SUMIFS(INCORRIDO!$C$6:$C$5005,INCORRIDO!$D$6:$D$5005,$B37,INCORRIDO!$E$6:$E$5005,AO$7)+IF(AO$7&gt;PARAMETROS!$C$12,IF($H37&gt;0,$G37*CURVA!AO37/$H37,0)*AO$6,0))</f>
        <v>0</v>
      </c>
      <c r="AP37" s="19" t="n">
        <f aca="false">IF($B37="",0,SUMIFS(INCORRIDO!$C$6:$C$5005,INCORRIDO!$D$6:$D$5005,$B37,INCORRIDO!$E$6:$E$5005,AP$7)+IF(AP$7&gt;PARAMETROS!$C$12,IF($H37&gt;0,$G37*CURVA!AP37/$H37,0)*AP$6,0))</f>
        <v>0</v>
      </c>
      <c r="AQ37" s="19" t="n">
        <f aca="false">IF($B37="",0,SUMIFS(INCORRIDO!$C$6:$C$5005,INCORRIDO!$D$6:$D$5005,$B37,INCORRIDO!$E$6:$E$5005,AQ$7)+IF(AQ$7&gt;PARAMETROS!$C$12,IF($H37&gt;0,$G37*CURVA!AQ37/$H37,0)*AQ$6,0))</f>
        <v>52651.3958778112</v>
      </c>
      <c r="AR37" s="19" t="n">
        <f aca="false">IF($B37="",0,SUMIFS(INCORRIDO!$C$6:$C$5005,INCORRIDO!$D$6:$D$5005,$B37,INCORRIDO!$E$6:$E$5005,AR$7)+IF(AR$7&gt;PARAMETROS!$C$12,IF($H37&gt;0,$G37*CURVA!AR37/$H37,0)*AR$6,0))</f>
        <v>438761.628979144</v>
      </c>
      <c r="AS37" s="19" t="n">
        <f aca="false">IF($B37="",0,SUMIFS(INCORRIDO!$C$6:$C$5005,INCORRIDO!$D$6:$D$5005,$B37,INCORRIDO!$E$6:$E$5005,AS$7)+IF(AS$7&gt;PARAMETROS!$C$12,IF($H37&gt;0,$G37*CURVA!AS37/$H37,0)*AS$6,0))</f>
        <v>593425.106246686</v>
      </c>
      <c r="AT37" s="19" t="n">
        <f aca="false">IF($B37="",0,SUMIFS(INCORRIDO!$C$6:$C$5005,INCORRIDO!$D$6:$D$5005,$B37,INCORRIDO!$E$6:$E$5005,AT$7)+IF(AT$7&gt;PARAMETROS!$C$12,IF($H37&gt;0,$G37*CURVA!AT37/$H37,0)*AT$6,0))</f>
        <v>626332.229921299</v>
      </c>
      <c r="AU37" s="19" t="n">
        <f aca="false">IF($B37="",0,SUMIFS(INCORRIDO!$C$6:$C$5005,INCORRIDO!$D$6:$D$5005,$B37,INCORRIDO!$E$6:$E$5005,AU$7)+IF(AU$7&gt;PARAMETROS!$C$12,IF($H37&gt;0,$G37*CURVA!AU37/$H37,0)*AU$6,0))</f>
        <v>432180.208247361</v>
      </c>
      <c r="AV37" s="19" t="n">
        <f aca="false">IF($B37="",0,SUMIFS(INCORRIDO!$C$6:$C$5005,INCORRIDO!$D$6:$D$5005,$B37,INCORRIDO!$E$6:$E$5005,AV$7)+IF(AV$7&gt;PARAMETROS!$C$12,IF($H37&gt;0,$G37*CURVA!AV37/$H37,0)*AV$6,0))</f>
        <v>607684.857837449</v>
      </c>
      <c r="AW37" s="19" t="n">
        <f aca="false">IF($B37="",0,SUMIFS(INCORRIDO!$C$6:$C$5005,INCORRIDO!$D$6:$D$5005,$B37,INCORRIDO!$E$6:$E$5005,AW$7)+IF(AW$7&gt;PARAMETROS!$C$12,IF($H37&gt;0,$G37*CURVA!AW37/$H37,0)*AW$6,0))</f>
        <v>774414.27644921</v>
      </c>
      <c r="AX37" s="19" t="n">
        <f aca="false">IF($B37="",0,SUMIFS(INCORRIDO!$C$6:$C$5005,INCORRIDO!$D$6:$D$5005,$B37,INCORRIDO!$E$6:$E$5005,AX$7)+IF(AX$7&gt;PARAMETROS!$C$12,IF($H37&gt;0,$G37*CURVA!AX37/$H37,0)*AX$6,0))</f>
        <v>888492.309191007</v>
      </c>
      <c r="AY37" s="19" t="n">
        <f aca="false">IF($B37="",0,SUMIFS(INCORRIDO!$C$6:$C$5005,INCORRIDO!$D$6:$D$5005,$B37,INCORRIDO!$E$6:$E$5005,AY$7)+IF(AY$7&gt;PARAMETROS!$C$12,IF($H37&gt;0,$G37*CURVA!AY37/$H37,0)*AY$6,0))</f>
        <v>788674.03804782</v>
      </c>
      <c r="AZ37" s="19" t="n">
        <f aca="false">IF($B37="",0,SUMIFS(INCORRIDO!$C$6:$C$5005,INCORRIDO!$D$6:$D$5005,$B37,INCORRIDO!$E$6:$E$5005,AZ$7)+IF(AZ$7&gt;PARAMETROS!$C$12,IF($H37&gt;0,$G37*CURVA!AZ37/$H37,0)*AZ$6,0))</f>
        <v>840228.523798435</v>
      </c>
      <c r="BA37" s="19" t="n">
        <f aca="false">IF($B37="",0,SUMIFS(INCORRIDO!$C$6:$C$5005,INCORRIDO!$D$6:$D$5005,$B37,INCORRIDO!$E$6:$E$5005,BA$7)+IF(BA$7&gt;PARAMETROS!$C$12,IF($H37&gt;0,$G37*CURVA!BA37/$H37,0)*BA$6,0))</f>
        <v>906042.771147661</v>
      </c>
      <c r="BB37" s="19" t="n">
        <f aca="false">IF($B37="",0,SUMIFS(INCORRIDO!$C$6:$C$5005,INCORRIDO!$D$6:$D$5005,$B37,INCORRIDO!$E$6:$E$5005,BB$7)+IF(BB$7&gt;PARAMETROS!$C$12,IF($H37&gt;0,$G37*CURVA!BB37/$H37,0)*BB$6,0))</f>
        <v>708600.039107831</v>
      </c>
      <c r="BC37" s="19" t="n">
        <f aca="false">IF($B37="",0,SUMIFS(INCORRIDO!$C$6:$C$5005,INCORRIDO!$D$6:$D$5005,$B37,INCORRIDO!$E$6:$E$5005,BC$7)+IF(BC$7&gt;PARAMETROS!$C$12,IF($H37&gt;0,$G37*CURVA!BC37/$H37,0)*BC$6,0))</f>
        <v>574777.734162836</v>
      </c>
      <c r="BD37" s="19" t="n">
        <f aca="false">IF($B37="",0,SUMIFS(INCORRIDO!$C$6:$C$5005,INCORRIDO!$D$6:$D$5005,$B37,INCORRIDO!$E$6:$E$5005,BD$7)+IF(BD$7&gt;PARAMETROS!$C$12,IF($H37&gt;0,$G37*CURVA!BD37/$H37,0)*BD$6,0))</f>
        <v>584649.875268359</v>
      </c>
      <c r="BE37" s="19" t="n">
        <f aca="false">IF($B37="",0,SUMIFS(INCORRIDO!$C$6:$C$5005,INCORRIDO!$D$6:$D$5005,$B37,INCORRIDO!$E$6:$E$5005,BE$7)+IF(BE$7&gt;PARAMETROS!$C$12,IF($H37&gt;0,$G37*CURVA!BE37/$H37,0)*BE$6,0))</f>
        <v>487025.414371715</v>
      </c>
      <c r="BF37" s="19" t="n">
        <f aca="false">IF($B37="",0,SUMIFS(INCORRIDO!$C$6:$C$5005,INCORRIDO!$D$6:$D$5005,$B37,INCORRIDO!$E$6:$E$5005,BF$7)+IF(BF$7&gt;PARAMETROS!$C$12,IF($H37&gt;0,$G37*CURVA!BF37/$H37,0)*BF$6,0))</f>
        <v>562711.792818617</v>
      </c>
      <c r="BG37" s="19" t="n">
        <f aca="false">IF($B37="",0,SUMIFS(INCORRIDO!$C$6:$C$5005,INCORRIDO!$D$6:$D$5005,$B37,INCORRIDO!$E$6:$E$5005,BG$7)+IF(BG$7&gt;PARAMETROS!$C$12,IF($H37&gt;0,$G37*CURVA!BG37/$H37,0)*BG$6,0))</f>
        <v>516641.817672589</v>
      </c>
      <c r="BH37" s="19" t="n">
        <f aca="false">IF($B37="",0,SUMIFS(INCORRIDO!$C$6:$C$5005,INCORRIDO!$D$6:$D$5005,$B37,INCORRIDO!$E$6:$E$5005,BH$7)+IF(BH$7&gt;PARAMETROS!$C$12,IF($H37&gt;0,$G37*CURVA!BH37/$H37,0)*BH$6,0))</f>
        <v>416823.546529402</v>
      </c>
      <c r="BI37" s="19" t="n">
        <f aca="false">IF($B37="",0,SUMIFS(INCORRIDO!$C$6:$C$5005,INCORRIDO!$D$6:$D$5005,$B37,INCORRIDO!$E$6:$E$5005,BI$7)+IF(BI$7&gt;PARAMETROS!$C$12,IF($H37&gt;0,$G37*CURVA!BI37/$H37,0)*BI$6,0))</f>
        <v>160322.00432477</v>
      </c>
      <c r="BJ37" s="19" t="n">
        <f aca="false">IF($B37="",0,SUMIFS(INCORRIDO!$C$6:$C$5005,INCORRIDO!$D$6:$D$5005,$B37,INCORRIDO!$E$6:$E$5005,BJ$7)+IF(BJ$7&gt;PARAMETROS!$C$12,IF($H37&gt;0,$G37*CURVA!BJ37/$H37,0)*BJ$6,0))</f>
        <v>0</v>
      </c>
      <c r="BK37" s="19" t="n">
        <f aca="false">IF($B37="",0,SUMIFS(INCORRIDO!$C$6:$C$5005,INCORRIDO!$D$6:$D$5005,$B37,INCORRIDO!$E$6:$E$5005,BK$7)+IF(BK$7&gt;PARAMETROS!$C$12,IF($H37&gt;0,$G37*CURVA!BK37/$H37,0)*BK$6,0))</f>
        <v>0</v>
      </c>
      <c r="BL37" s="19" t="n">
        <f aca="false">IF($B37="",0,SUMIFS(INCORRIDO!$C$6:$C$5005,INCORRIDO!$D$6:$D$5005,$B37,INCORRIDO!$E$6:$E$5005,BL$7)+IF(BL$7&gt;PARAMETROS!$C$12,IF($H37&gt;0,$G37*CURVA!BL37/$H37,0)*BL$6,0))</f>
        <v>0</v>
      </c>
      <c r="BM37" s="19" t="n">
        <f aca="false">IF($B37="",0,SUMIFS(INCORRIDO!$C$6:$C$5005,INCORRIDO!$D$6:$D$5005,$B37,INCORRIDO!$E$6:$E$5005,BM$7)+IF(BM$7&gt;PARAMETROS!$C$12,IF($H37&gt;0,$G37*CURVA!BM37/$H37,0)*BM$6,0))</f>
        <v>0</v>
      </c>
      <c r="BN37" s="19" t="n">
        <f aca="false">IF($B37="",0,SUMIFS(INCORRIDO!$C$6:$C$5005,INCORRIDO!$D$6:$D$5005,$B37,INCORRIDO!$E$6:$E$5005,BN$7)+IF(BN$7&gt;PARAMETROS!$C$12,IF($H37&gt;0,$G37*CURVA!BN37/$H37,0)*BN$6,0))</f>
        <v>0</v>
      </c>
      <c r="BO37" s="19" t="n">
        <f aca="false">IF($B37="",0,SUMIFS(INCORRIDO!$C$6:$C$5005,INCORRIDO!$D$6:$D$5005,$B37,INCORRIDO!$E$6:$E$5005,BO$7)+IF(BO$7&gt;PARAMETROS!$C$12,IF($H37&gt;0,$G37*CURVA!BO37/$H37,0)*BO$6,0))</f>
        <v>0</v>
      </c>
      <c r="BP37" s="19" t="n">
        <f aca="false">IF($B37="",0,SUMIFS(INCORRIDO!$C$6:$C$5005,INCORRIDO!$D$6:$D$5005,$B37,INCORRIDO!$E$6:$E$5005,BP$7)+IF(BP$7&gt;PARAMETROS!$C$12,IF($H37&gt;0,$G37*CURVA!BP37/$H37,0)*BP$6,0))</f>
        <v>0</v>
      </c>
      <c r="BQ37" s="19" t="n">
        <f aca="false">IF($B37="",0,SUMIFS(INCORRIDO!$C$6:$C$5005,INCORRIDO!$D$6:$D$5005,$B37,INCORRIDO!$E$6:$E$5005,BQ$7)+IF(BQ$7&gt;PARAMETROS!$C$12,IF($H37&gt;0,$G37*CURVA!BQ37/$H37,0)*BQ$6,0))</f>
        <v>0</v>
      </c>
      <c r="BR37" s="19" t="n">
        <f aca="false">IF($B37="",0,SUMIFS(INCORRIDO!$C$6:$C$5005,INCORRIDO!$D$6:$D$5005,$B37,INCORRIDO!$E$6:$E$5005,BR$7)+IF(BR$7&gt;PARAMETROS!$C$12,IF($H37&gt;0,$G37*CURVA!BR37/$H37,0)*BR$6,0))</f>
        <v>0</v>
      </c>
      <c r="BS37" s="19" t="n">
        <f aca="false">IF($B37="",0,SUMIFS(INCORRIDO!$C$6:$C$5005,INCORRIDO!$D$6:$D$5005,$B37,INCORRIDO!$E$6:$E$5005,BS$7)+IF(BS$7&gt;PARAMETROS!$C$12,IF($H37&gt;0,$G37*CURVA!BS37/$H37,0)*BS$6,0))</f>
        <v>0</v>
      </c>
      <c r="BT37" s="19" t="n">
        <f aca="false">IF($B37="",0,SUMIFS(INCORRIDO!$C$6:$C$5005,INCORRIDO!$D$6:$D$5005,$B37,INCORRIDO!$E$6:$E$5005,BT$7)+IF(BT$7&gt;PARAMETROS!$C$12,IF($H37&gt;0,$G37*CURVA!BT37/$H37,0)*BT$6,0))</f>
        <v>0</v>
      </c>
      <c r="BU37" s="19" t="n">
        <f aca="false">IF($B37="",0,SUMIFS(INCORRIDO!$C$6:$C$5005,INCORRIDO!$D$6:$D$5005,$B37,INCORRIDO!$E$6:$E$5005,BU$7)+IF(BU$7&gt;PARAMETROS!$C$12,IF($H37&gt;0,$G37*CURVA!BU37/$H37,0)*BU$6,0))</f>
        <v>0</v>
      </c>
      <c r="BV37" s="19" t="n">
        <f aca="false">IF($B37="",0,SUMIFS(INCORRIDO!$C$6:$C$5005,INCORRIDO!$D$6:$D$5005,$B37,INCORRIDO!$E$6:$E$5005,BV$7)+IF(BV$7&gt;PARAMETROS!$C$12,IF($H37&gt;0,$G37*CURVA!BV37/$H37,0)*BV$6,0))</f>
        <v>0</v>
      </c>
      <c r="BW37" s="19" t="n">
        <f aca="false">IF($B37="",0,SUMIFS(INCORRIDO!$C$6:$C$5005,INCORRIDO!$D$6:$D$5005,$B37,INCORRIDO!$E$6:$E$5005,BW$7)+IF(BW$7&gt;PARAMETROS!$C$12,IF($H37&gt;0,$G37*CURVA!BW37/$H37,0)*BW$6,0))</f>
        <v>0</v>
      </c>
      <c r="BX37" s="19" t="n">
        <f aca="false">IF($B37="",0,SUMIFS(INCORRIDO!$C$6:$C$5005,INCORRIDO!$D$6:$D$5005,$B37,INCORRIDO!$E$6:$E$5005,BX$7)+IF(BX$7&gt;PARAMETROS!$C$12,IF($H37&gt;0,$G37*CURVA!BX37/$H37,0)*BX$6,0))</f>
        <v>0</v>
      </c>
      <c r="BY37" s="19" t="n">
        <f aca="false">IF($B37="",0,SUMIFS(INCORRIDO!$C$6:$C$5005,INCORRIDO!$D$6:$D$5005,$B37,INCORRIDO!$E$6:$E$5005,BY$7)+IF(BY$7&gt;PARAMETROS!$C$12,IF($H37&gt;0,$G37*CURVA!BY37/$H37,0)*BY$6,0))</f>
        <v>0</v>
      </c>
      <c r="BZ37" s="19" t="n">
        <f aca="false">IF($B37="",0,SUMIFS(INCORRIDO!$C$6:$C$5005,INCORRIDO!$D$6:$D$5005,$B37,INCORRIDO!$E$6:$E$5005,BZ$7)+IF(BZ$7&gt;PARAMETROS!$C$12,IF($H37&gt;0,$G37*CURVA!BZ37/$H37,0)*BZ$6,0))</f>
        <v>0</v>
      </c>
      <c r="CA37" s="19" t="n">
        <f aca="false">IF($B37="",0,SUMIFS(INCORRIDO!$C$6:$C$5005,INCORRIDO!$D$6:$D$5005,$B37,INCORRIDO!$E$6:$E$5005,CA$7)+IF(CA$7&gt;PARAMETROS!$C$12,IF($H37&gt;0,$G37*CURVA!CA37/$H37,0)*CA$6,0))</f>
        <v>0</v>
      </c>
      <c r="CB37" s="19" t="n">
        <f aca="false">IF($B37="",0,SUMIFS(INCORRIDO!$C$6:$C$5005,INCORRIDO!$D$6:$D$5005,$B37,INCORRIDO!$E$6:$E$5005,CB$7)+IF(CB$7&gt;PARAMETROS!$C$12,IF($H37&gt;0,$G37*CURVA!CB37/$H37,0)*CB$6,0))</f>
        <v>0</v>
      </c>
      <c r="CC37" s="19" t="n">
        <f aca="false">IF($B37="",0,SUMIFS(INCORRIDO!$C$6:$C$5005,INCORRIDO!$D$6:$D$5005,$B37,INCORRIDO!$E$6:$E$5005,CC$7)+IF(CC$7&gt;PARAMETROS!$C$12,IF($H37&gt;0,$G37*CURVA!CC37/$H37,0)*CC$6,0))</f>
        <v>0</v>
      </c>
    </row>
    <row r="38" customFormat="false" ht="15" hidden="false" customHeight="false" outlineLevel="0" collapsed="false">
      <c r="A38" s="31" t="str">
        <f aca="false">IF(ORCAMENTO!A36="","",ORCAMENTO!A36)</f>
        <v>31</v>
      </c>
      <c r="B38" s="31" t="str">
        <f aca="false">IF(ORCAMENTO!B36="","",ORCAMENTO!B36)</f>
        <v>PAVIMENTAÇÃO</v>
      </c>
      <c r="C38" s="31" t="str">
        <f aca="false">IF(ORCAMENTO!C36="","",ORCAMENTO!C36)</f>
        <v>ACABAMENTOS</v>
      </c>
      <c r="D38" s="32" t="n">
        <f aca="false">IF($B38="",0,ORCAMENTO!E36)</f>
        <v>112630.59</v>
      </c>
      <c r="E38" s="19" t="n">
        <f aca="false">IF($B38="",0,SUMIFS(INCORRIDO!$C$6:$C$5005,INCORRIDO!$D$6:$D$5005,$B38,INCORRIDO!$E$6:$E$5005,"&lt;="&amp;PARAMETROS!$C$12))</f>
        <v>0</v>
      </c>
      <c r="F38" s="19" t="n">
        <f aca="false">IF($B38="",0,SUMIFS(INCORRIDO!$C$6:$C$5005,INCORRIDO!$D$6:$D$5005,$B38,INCORRIDO!$E$6:$E$5005,"&gt;"&amp;PARAMETROS!$C$12))</f>
        <v>0</v>
      </c>
      <c r="G38" s="19" t="n">
        <f aca="false">MAX(0,D38-E38-F38)</f>
        <v>112630.59</v>
      </c>
      <c r="H38" s="32" t="n">
        <f aca="false">CURVA!H38</f>
        <v>112630.58</v>
      </c>
      <c r="I38" s="19" t="n">
        <f aca="false">SUM(J38:CC38)</f>
        <v>112630.59</v>
      </c>
      <c r="J38" s="19" t="n">
        <f aca="false">IF($B38="",0,SUMIFS(INCORRIDO!$C$6:$C$5005,INCORRIDO!$D$6:$D$5005,$B38,INCORRIDO!$E$6:$E$5005,"&lt;="&amp;J$7)+IF(J$7&gt;PARAMETROS!$C$12,IF($H38&gt;0,$G38*CURVA!J38/$H38,0)*J$6,0))</f>
        <v>0</v>
      </c>
      <c r="K38" s="19" t="n">
        <f aca="false">IF($B38="",0,SUMIFS(INCORRIDO!$C$6:$C$5005,INCORRIDO!$D$6:$D$5005,$B38,INCORRIDO!$E$6:$E$5005,K$7)+IF(K$7&gt;PARAMETROS!$C$12,IF($H38&gt;0,$G38*CURVA!K38/$H38,0)*K$6,0))</f>
        <v>0</v>
      </c>
      <c r="L38" s="19" t="n">
        <f aca="false">IF($B38="",0,SUMIFS(INCORRIDO!$C$6:$C$5005,INCORRIDO!$D$6:$D$5005,$B38,INCORRIDO!$E$6:$E$5005,L$7)+IF(L$7&gt;PARAMETROS!$C$12,IF($H38&gt;0,$G38*CURVA!L38/$H38,0)*L$6,0))</f>
        <v>0</v>
      </c>
      <c r="M38" s="19" t="n">
        <f aca="false">IF($B38="",0,SUMIFS(INCORRIDO!$C$6:$C$5005,INCORRIDO!$D$6:$D$5005,$B38,INCORRIDO!$E$6:$E$5005,M$7)+IF(M$7&gt;PARAMETROS!$C$12,IF($H38&gt;0,$G38*CURVA!M38/$H38,0)*M$6,0))</f>
        <v>0</v>
      </c>
      <c r="N38" s="19" t="n">
        <f aca="false">IF($B38="",0,SUMIFS(INCORRIDO!$C$6:$C$5005,INCORRIDO!$D$6:$D$5005,$B38,INCORRIDO!$E$6:$E$5005,N$7)+IF(N$7&gt;PARAMETROS!$C$12,IF($H38&gt;0,$G38*CURVA!N38/$H38,0)*N$6,0))</f>
        <v>0</v>
      </c>
      <c r="O38" s="19" t="n">
        <f aca="false">IF($B38="",0,SUMIFS(INCORRIDO!$C$6:$C$5005,INCORRIDO!$D$6:$D$5005,$B38,INCORRIDO!$E$6:$E$5005,O$7)+IF(O$7&gt;PARAMETROS!$C$12,IF($H38&gt;0,$G38*CURVA!O38/$H38,0)*O$6,0))</f>
        <v>0</v>
      </c>
      <c r="P38" s="19" t="n">
        <f aca="false">IF($B38="",0,SUMIFS(INCORRIDO!$C$6:$C$5005,INCORRIDO!$D$6:$D$5005,$B38,INCORRIDO!$E$6:$E$5005,P$7)+IF(P$7&gt;PARAMETROS!$C$12,IF($H38&gt;0,$G38*CURVA!P38/$H38,0)*P$6,0))</f>
        <v>0</v>
      </c>
      <c r="Q38" s="19" t="n">
        <f aca="false">IF($B38="",0,SUMIFS(INCORRIDO!$C$6:$C$5005,INCORRIDO!$D$6:$D$5005,$B38,INCORRIDO!$E$6:$E$5005,Q$7)+IF(Q$7&gt;PARAMETROS!$C$12,IF($H38&gt;0,$G38*CURVA!Q38/$H38,0)*Q$6,0))</f>
        <v>0</v>
      </c>
      <c r="R38" s="19" t="n">
        <f aca="false">IF($B38="",0,SUMIFS(INCORRIDO!$C$6:$C$5005,INCORRIDO!$D$6:$D$5005,$B38,INCORRIDO!$E$6:$E$5005,R$7)+IF(R$7&gt;PARAMETROS!$C$12,IF($H38&gt;0,$G38*CURVA!R38/$H38,0)*R$6,0))</f>
        <v>0</v>
      </c>
      <c r="S38" s="19" t="n">
        <f aca="false">IF($B38="",0,SUMIFS(INCORRIDO!$C$6:$C$5005,INCORRIDO!$D$6:$D$5005,$B38,INCORRIDO!$E$6:$E$5005,S$7)+IF(S$7&gt;PARAMETROS!$C$12,IF($H38&gt;0,$G38*CURVA!S38/$H38,0)*S$6,0))</f>
        <v>0</v>
      </c>
      <c r="T38" s="19" t="n">
        <f aca="false">IF($B38="",0,SUMIFS(INCORRIDO!$C$6:$C$5005,INCORRIDO!$D$6:$D$5005,$B38,INCORRIDO!$E$6:$E$5005,T$7)+IF(T$7&gt;PARAMETROS!$C$12,IF($H38&gt;0,$G38*CURVA!T38/$H38,0)*T$6,0))</f>
        <v>0</v>
      </c>
      <c r="U38" s="19" t="n">
        <f aca="false">IF($B38="",0,SUMIFS(INCORRIDO!$C$6:$C$5005,INCORRIDO!$D$6:$D$5005,$B38,INCORRIDO!$E$6:$E$5005,U$7)+IF(U$7&gt;PARAMETROS!$C$12,IF($H38&gt;0,$G38*CURVA!U38/$H38,0)*U$6,0))</f>
        <v>0</v>
      </c>
      <c r="V38" s="19" t="n">
        <f aca="false">IF($B38="",0,SUMIFS(INCORRIDO!$C$6:$C$5005,INCORRIDO!$D$6:$D$5005,$B38,INCORRIDO!$E$6:$E$5005,V$7)+IF(V$7&gt;PARAMETROS!$C$12,IF($H38&gt;0,$G38*CURVA!V38/$H38,0)*V$6,0))</f>
        <v>0</v>
      </c>
      <c r="W38" s="19" t="n">
        <f aca="false">IF($B38="",0,SUMIFS(INCORRIDO!$C$6:$C$5005,INCORRIDO!$D$6:$D$5005,$B38,INCORRIDO!$E$6:$E$5005,W$7)+IF(W$7&gt;PARAMETROS!$C$12,IF($H38&gt;0,$G38*CURVA!W38/$H38,0)*W$6,0))</f>
        <v>0</v>
      </c>
      <c r="X38" s="19" t="n">
        <f aca="false">IF($B38="",0,SUMIFS(INCORRIDO!$C$6:$C$5005,INCORRIDO!$D$6:$D$5005,$B38,INCORRIDO!$E$6:$E$5005,X$7)+IF(X$7&gt;PARAMETROS!$C$12,IF($H38&gt;0,$G38*CURVA!X38/$H38,0)*X$6,0))</f>
        <v>0</v>
      </c>
      <c r="Y38" s="19" t="n">
        <f aca="false">IF($B38="",0,SUMIFS(INCORRIDO!$C$6:$C$5005,INCORRIDO!$D$6:$D$5005,$B38,INCORRIDO!$E$6:$E$5005,Y$7)+IF(Y$7&gt;PARAMETROS!$C$12,IF($H38&gt;0,$G38*CURVA!Y38/$H38,0)*Y$6,0))</f>
        <v>0</v>
      </c>
      <c r="Z38" s="19" t="n">
        <f aca="false">IF($B38="",0,SUMIFS(INCORRIDO!$C$6:$C$5005,INCORRIDO!$D$6:$D$5005,$B38,INCORRIDO!$E$6:$E$5005,Z$7)+IF(Z$7&gt;PARAMETROS!$C$12,IF($H38&gt;0,$G38*CURVA!Z38/$H38,0)*Z$6,0))</f>
        <v>0</v>
      </c>
      <c r="AA38" s="19" t="n">
        <f aca="false">IF($B38="",0,SUMIFS(INCORRIDO!$C$6:$C$5005,INCORRIDO!$D$6:$D$5005,$B38,INCORRIDO!$E$6:$E$5005,AA$7)+IF(AA$7&gt;PARAMETROS!$C$12,IF($H38&gt;0,$G38*CURVA!AA38/$H38,0)*AA$6,0))</f>
        <v>0</v>
      </c>
      <c r="AB38" s="19" t="n">
        <f aca="false">IF($B38="",0,SUMIFS(INCORRIDO!$C$6:$C$5005,INCORRIDO!$D$6:$D$5005,$B38,INCORRIDO!$E$6:$E$5005,AB$7)+IF(AB$7&gt;PARAMETROS!$C$12,IF($H38&gt;0,$G38*CURVA!AB38/$H38,0)*AB$6,0))</f>
        <v>0</v>
      </c>
      <c r="AC38" s="19" t="n">
        <f aca="false">IF($B38="",0,SUMIFS(INCORRIDO!$C$6:$C$5005,INCORRIDO!$D$6:$D$5005,$B38,INCORRIDO!$E$6:$E$5005,AC$7)+IF(AC$7&gt;PARAMETROS!$C$12,IF($H38&gt;0,$G38*CURVA!AC38/$H38,0)*AC$6,0))</f>
        <v>0</v>
      </c>
      <c r="AD38" s="19" t="n">
        <f aca="false">IF($B38="",0,SUMIFS(INCORRIDO!$C$6:$C$5005,INCORRIDO!$D$6:$D$5005,$B38,INCORRIDO!$E$6:$E$5005,AD$7)+IF(AD$7&gt;PARAMETROS!$C$12,IF($H38&gt;0,$G38*CURVA!AD38/$H38,0)*AD$6,0))</f>
        <v>0</v>
      </c>
      <c r="AE38" s="19" t="n">
        <f aca="false">IF($B38="",0,SUMIFS(INCORRIDO!$C$6:$C$5005,INCORRIDO!$D$6:$D$5005,$B38,INCORRIDO!$E$6:$E$5005,AE$7)+IF(AE$7&gt;PARAMETROS!$C$12,IF($H38&gt;0,$G38*CURVA!AE38/$H38,0)*AE$6,0))</f>
        <v>0</v>
      </c>
      <c r="AF38" s="19" t="n">
        <f aca="false">IF($B38="",0,SUMIFS(INCORRIDO!$C$6:$C$5005,INCORRIDO!$D$6:$D$5005,$B38,INCORRIDO!$E$6:$E$5005,AF$7)+IF(AF$7&gt;PARAMETROS!$C$12,IF($H38&gt;0,$G38*CURVA!AF38/$H38,0)*AF$6,0))</f>
        <v>0</v>
      </c>
      <c r="AG38" s="19" t="n">
        <f aca="false">IF($B38="",0,SUMIFS(INCORRIDO!$C$6:$C$5005,INCORRIDO!$D$6:$D$5005,$B38,INCORRIDO!$E$6:$E$5005,AG$7)+IF(AG$7&gt;PARAMETROS!$C$12,IF($H38&gt;0,$G38*CURVA!AG38/$H38,0)*AG$6,0))</f>
        <v>0</v>
      </c>
      <c r="AH38" s="19" t="n">
        <f aca="false">IF($B38="",0,SUMIFS(INCORRIDO!$C$6:$C$5005,INCORRIDO!$D$6:$D$5005,$B38,INCORRIDO!$E$6:$E$5005,AH$7)+IF(AH$7&gt;PARAMETROS!$C$12,IF($H38&gt;0,$G38*CURVA!AH38/$H38,0)*AH$6,0))</f>
        <v>0</v>
      </c>
      <c r="AI38" s="19" t="n">
        <f aca="false">IF($B38="",0,SUMIFS(INCORRIDO!$C$6:$C$5005,INCORRIDO!$D$6:$D$5005,$B38,INCORRIDO!$E$6:$E$5005,AI$7)+IF(AI$7&gt;PARAMETROS!$C$12,IF($H38&gt;0,$G38*CURVA!AI38/$H38,0)*AI$6,0))</f>
        <v>0</v>
      </c>
      <c r="AJ38" s="19" t="n">
        <f aca="false">IF($B38="",0,SUMIFS(INCORRIDO!$C$6:$C$5005,INCORRIDO!$D$6:$D$5005,$B38,INCORRIDO!$E$6:$E$5005,AJ$7)+IF(AJ$7&gt;PARAMETROS!$C$12,IF($H38&gt;0,$G38*CURVA!AJ38/$H38,0)*AJ$6,0))</f>
        <v>0</v>
      </c>
      <c r="AK38" s="19" t="n">
        <f aca="false">IF($B38="",0,SUMIFS(INCORRIDO!$C$6:$C$5005,INCORRIDO!$D$6:$D$5005,$B38,INCORRIDO!$E$6:$E$5005,AK$7)+IF(AK$7&gt;PARAMETROS!$C$12,IF($H38&gt;0,$G38*CURVA!AK38/$H38,0)*AK$6,0))</f>
        <v>0</v>
      </c>
      <c r="AL38" s="19" t="n">
        <f aca="false">IF($B38="",0,SUMIFS(INCORRIDO!$C$6:$C$5005,INCORRIDO!$D$6:$D$5005,$B38,INCORRIDO!$E$6:$E$5005,AL$7)+IF(AL$7&gt;PARAMETROS!$C$12,IF($H38&gt;0,$G38*CURVA!AL38/$H38,0)*AL$6,0))</f>
        <v>0</v>
      </c>
      <c r="AM38" s="19" t="n">
        <f aca="false">IF($B38="",0,SUMIFS(INCORRIDO!$C$6:$C$5005,INCORRIDO!$D$6:$D$5005,$B38,INCORRIDO!$E$6:$E$5005,AM$7)+IF(AM$7&gt;PARAMETROS!$C$12,IF($H38&gt;0,$G38*CURVA!AM38/$H38,0)*AM$6,0))</f>
        <v>0</v>
      </c>
      <c r="AN38" s="19" t="n">
        <f aca="false">IF($B38="",0,SUMIFS(INCORRIDO!$C$6:$C$5005,INCORRIDO!$D$6:$D$5005,$B38,INCORRIDO!$E$6:$E$5005,AN$7)+IF(AN$7&gt;PARAMETROS!$C$12,IF($H38&gt;0,$G38*CURVA!AN38/$H38,0)*AN$6,0))</f>
        <v>0</v>
      </c>
      <c r="AO38" s="19" t="n">
        <f aca="false">IF($B38="",0,SUMIFS(INCORRIDO!$C$6:$C$5005,INCORRIDO!$D$6:$D$5005,$B38,INCORRIDO!$E$6:$E$5005,AO$7)+IF(AO$7&gt;PARAMETROS!$C$12,IF($H38&gt;0,$G38*CURVA!AO38/$H38,0)*AO$6,0))</f>
        <v>0</v>
      </c>
      <c r="AP38" s="19" t="n">
        <f aca="false">IF($B38="",0,SUMIFS(INCORRIDO!$C$6:$C$5005,INCORRIDO!$D$6:$D$5005,$B38,INCORRIDO!$E$6:$E$5005,AP$7)+IF(AP$7&gt;PARAMETROS!$C$12,IF($H38&gt;0,$G38*CURVA!AP38/$H38,0)*AP$6,0))</f>
        <v>0</v>
      </c>
      <c r="AQ38" s="19" t="n">
        <f aca="false">IF($B38="",0,SUMIFS(INCORRIDO!$C$6:$C$5005,INCORRIDO!$D$6:$D$5005,$B38,INCORRIDO!$E$6:$E$5005,AQ$7)+IF(AQ$7&gt;PARAMETROS!$C$12,IF($H38&gt;0,$G38*CURVA!AQ38/$H38,0)*AQ$6,0))</f>
        <v>0</v>
      </c>
      <c r="AR38" s="19" t="n">
        <f aca="false">IF($B38="",0,SUMIFS(INCORRIDO!$C$6:$C$5005,INCORRIDO!$D$6:$D$5005,$B38,INCORRIDO!$E$6:$E$5005,AR$7)+IF(AR$7&gt;PARAMETROS!$C$12,IF($H38&gt;0,$G38*CURVA!AR38/$H38,0)*AR$6,0))</f>
        <v>0</v>
      </c>
      <c r="AS38" s="19" t="n">
        <f aca="false">IF($B38="",0,SUMIFS(INCORRIDO!$C$6:$C$5005,INCORRIDO!$D$6:$D$5005,$B38,INCORRIDO!$E$6:$E$5005,AS$7)+IF(AS$7&gt;PARAMETROS!$C$12,IF($H38&gt;0,$G38*CURVA!AS38/$H38,0)*AS$6,0))</f>
        <v>0</v>
      </c>
      <c r="AT38" s="19" t="n">
        <f aca="false">IF($B38="",0,SUMIFS(INCORRIDO!$C$6:$C$5005,INCORRIDO!$D$6:$D$5005,$B38,INCORRIDO!$E$6:$E$5005,AT$7)+IF(AT$7&gt;PARAMETROS!$C$12,IF($H38&gt;0,$G38*CURVA!AT38/$H38,0)*AT$6,0))</f>
        <v>0</v>
      </c>
      <c r="AU38" s="19" t="n">
        <f aca="false">IF($B38="",0,SUMIFS(INCORRIDO!$C$6:$C$5005,INCORRIDO!$D$6:$D$5005,$B38,INCORRIDO!$E$6:$E$5005,AU$7)+IF(AU$7&gt;PARAMETROS!$C$12,IF($H38&gt;0,$G38*CURVA!AU38/$H38,0)*AU$6,0))</f>
        <v>17063.5315149997</v>
      </c>
      <c r="AV38" s="19" t="n">
        <f aca="false">IF($B38="",0,SUMIFS(INCORRIDO!$C$6:$C$5005,INCORRIDO!$D$6:$D$5005,$B38,INCORRIDO!$E$6:$E$5005,AV$7)+IF(AV$7&gt;PARAMETROS!$C$12,IF($H38&gt;0,$G38*CURVA!AV38/$H38,0)*AV$6,0))</f>
        <v>35839.053182</v>
      </c>
      <c r="AW38" s="19" t="n">
        <f aca="false">IF($B38="",0,SUMIFS(INCORRIDO!$C$6:$C$5005,INCORRIDO!$D$6:$D$5005,$B38,INCORRIDO!$E$6:$E$5005,AW$7)+IF(AW$7&gt;PARAMETROS!$C$12,IF($H38&gt;0,$G38*CURVA!AW38/$H38,0)*AW$6,0))</f>
        <v>35839.053182</v>
      </c>
      <c r="AX38" s="19" t="n">
        <f aca="false">IF($B38="",0,SUMIFS(INCORRIDO!$C$6:$C$5005,INCORRIDO!$D$6:$D$5005,$B38,INCORRIDO!$E$6:$E$5005,AX$7)+IF(AX$7&gt;PARAMETROS!$C$12,IF($H38&gt;0,$G38*CURVA!AX38/$H38,0)*AX$6,0))</f>
        <v>23888.9521210004</v>
      </c>
      <c r="AY38" s="19" t="n">
        <f aca="false">IF($B38="",0,SUMIFS(INCORRIDO!$C$6:$C$5005,INCORRIDO!$D$6:$D$5005,$B38,INCORRIDO!$E$6:$E$5005,AY$7)+IF(AY$7&gt;PARAMETROS!$C$12,IF($H38&gt;0,$G38*CURVA!AY38/$H38,0)*AY$6,0))</f>
        <v>0</v>
      </c>
      <c r="AZ38" s="19" t="n">
        <f aca="false">IF($B38="",0,SUMIFS(INCORRIDO!$C$6:$C$5005,INCORRIDO!$D$6:$D$5005,$B38,INCORRIDO!$E$6:$E$5005,AZ$7)+IF(AZ$7&gt;PARAMETROS!$C$12,IF($H38&gt;0,$G38*CURVA!AZ38/$H38,0)*AZ$6,0))</f>
        <v>0</v>
      </c>
      <c r="BA38" s="19" t="n">
        <f aca="false">IF($B38="",0,SUMIFS(INCORRIDO!$C$6:$C$5005,INCORRIDO!$D$6:$D$5005,$B38,INCORRIDO!$E$6:$E$5005,BA$7)+IF(BA$7&gt;PARAMETROS!$C$12,IF($H38&gt;0,$G38*CURVA!BA38/$H38,0)*BA$6,0))</f>
        <v>0</v>
      </c>
      <c r="BB38" s="19" t="n">
        <f aca="false">IF($B38="",0,SUMIFS(INCORRIDO!$C$6:$C$5005,INCORRIDO!$D$6:$D$5005,$B38,INCORRIDO!$E$6:$E$5005,BB$7)+IF(BB$7&gt;PARAMETROS!$C$12,IF($H38&gt;0,$G38*CURVA!BB38/$H38,0)*BB$6,0))</f>
        <v>0</v>
      </c>
      <c r="BC38" s="19" t="n">
        <f aca="false">IF($B38="",0,SUMIFS(INCORRIDO!$C$6:$C$5005,INCORRIDO!$D$6:$D$5005,$B38,INCORRIDO!$E$6:$E$5005,BC$7)+IF(BC$7&gt;PARAMETROS!$C$12,IF($H38&gt;0,$G38*CURVA!BC38/$H38,0)*BC$6,0))</f>
        <v>0</v>
      </c>
      <c r="BD38" s="19" t="n">
        <f aca="false">IF($B38="",0,SUMIFS(INCORRIDO!$C$6:$C$5005,INCORRIDO!$D$6:$D$5005,$B38,INCORRIDO!$E$6:$E$5005,BD$7)+IF(BD$7&gt;PARAMETROS!$C$12,IF($H38&gt;0,$G38*CURVA!BD38/$H38,0)*BD$6,0))</f>
        <v>0</v>
      </c>
      <c r="BE38" s="19" t="n">
        <f aca="false">IF($B38="",0,SUMIFS(INCORRIDO!$C$6:$C$5005,INCORRIDO!$D$6:$D$5005,$B38,INCORRIDO!$E$6:$E$5005,BE$7)+IF(BE$7&gt;PARAMETROS!$C$12,IF($H38&gt;0,$G38*CURVA!BE38/$H38,0)*BE$6,0))</f>
        <v>0</v>
      </c>
      <c r="BF38" s="19" t="n">
        <f aca="false">IF($B38="",0,SUMIFS(INCORRIDO!$C$6:$C$5005,INCORRIDO!$D$6:$D$5005,$B38,INCORRIDO!$E$6:$E$5005,BF$7)+IF(BF$7&gt;PARAMETROS!$C$12,IF($H38&gt;0,$G38*CURVA!BF38/$H38,0)*BF$6,0))</f>
        <v>0</v>
      </c>
      <c r="BG38" s="19" t="n">
        <f aca="false">IF($B38="",0,SUMIFS(INCORRIDO!$C$6:$C$5005,INCORRIDO!$D$6:$D$5005,$B38,INCORRIDO!$E$6:$E$5005,BG$7)+IF(BG$7&gt;PARAMETROS!$C$12,IF($H38&gt;0,$G38*CURVA!BG38/$H38,0)*BG$6,0))</f>
        <v>0</v>
      </c>
      <c r="BH38" s="19" t="n">
        <f aca="false">IF($B38="",0,SUMIFS(INCORRIDO!$C$6:$C$5005,INCORRIDO!$D$6:$D$5005,$B38,INCORRIDO!$E$6:$E$5005,BH$7)+IF(BH$7&gt;PARAMETROS!$C$12,IF($H38&gt;0,$G38*CURVA!BH38/$H38,0)*BH$6,0))</f>
        <v>0</v>
      </c>
      <c r="BI38" s="19" t="n">
        <f aca="false">IF($B38="",0,SUMIFS(INCORRIDO!$C$6:$C$5005,INCORRIDO!$D$6:$D$5005,$B38,INCORRIDO!$E$6:$E$5005,BI$7)+IF(BI$7&gt;PARAMETROS!$C$12,IF($H38&gt;0,$G38*CURVA!BI38/$H38,0)*BI$6,0))</f>
        <v>0</v>
      </c>
      <c r="BJ38" s="19" t="n">
        <f aca="false">IF($B38="",0,SUMIFS(INCORRIDO!$C$6:$C$5005,INCORRIDO!$D$6:$D$5005,$B38,INCORRIDO!$E$6:$E$5005,BJ$7)+IF(BJ$7&gt;PARAMETROS!$C$12,IF($H38&gt;0,$G38*CURVA!BJ38/$H38,0)*BJ$6,0))</f>
        <v>0</v>
      </c>
      <c r="BK38" s="19" t="n">
        <f aca="false">IF($B38="",0,SUMIFS(INCORRIDO!$C$6:$C$5005,INCORRIDO!$D$6:$D$5005,$B38,INCORRIDO!$E$6:$E$5005,BK$7)+IF(BK$7&gt;PARAMETROS!$C$12,IF($H38&gt;0,$G38*CURVA!BK38/$H38,0)*BK$6,0))</f>
        <v>0</v>
      </c>
      <c r="BL38" s="19" t="n">
        <f aca="false">IF($B38="",0,SUMIFS(INCORRIDO!$C$6:$C$5005,INCORRIDO!$D$6:$D$5005,$B38,INCORRIDO!$E$6:$E$5005,BL$7)+IF(BL$7&gt;PARAMETROS!$C$12,IF($H38&gt;0,$G38*CURVA!BL38/$H38,0)*BL$6,0))</f>
        <v>0</v>
      </c>
      <c r="BM38" s="19" t="n">
        <f aca="false">IF($B38="",0,SUMIFS(INCORRIDO!$C$6:$C$5005,INCORRIDO!$D$6:$D$5005,$B38,INCORRIDO!$E$6:$E$5005,BM$7)+IF(BM$7&gt;PARAMETROS!$C$12,IF($H38&gt;0,$G38*CURVA!BM38/$H38,0)*BM$6,0))</f>
        <v>0</v>
      </c>
      <c r="BN38" s="19" t="n">
        <f aca="false">IF($B38="",0,SUMIFS(INCORRIDO!$C$6:$C$5005,INCORRIDO!$D$6:$D$5005,$B38,INCORRIDO!$E$6:$E$5005,BN$7)+IF(BN$7&gt;PARAMETROS!$C$12,IF($H38&gt;0,$G38*CURVA!BN38/$H38,0)*BN$6,0))</f>
        <v>0</v>
      </c>
      <c r="BO38" s="19" t="n">
        <f aca="false">IF($B38="",0,SUMIFS(INCORRIDO!$C$6:$C$5005,INCORRIDO!$D$6:$D$5005,$B38,INCORRIDO!$E$6:$E$5005,BO$7)+IF(BO$7&gt;PARAMETROS!$C$12,IF($H38&gt;0,$G38*CURVA!BO38/$H38,0)*BO$6,0))</f>
        <v>0</v>
      </c>
      <c r="BP38" s="19" t="n">
        <f aca="false">IF($B38="",0,SUMIFS(INCORRIDO!$C$6:$C$5005,INCORRIDO!$D$6:$D$5005,$B38,INCORRIDO!$E$6:$E$5005,BP$7)+IF(BP$7&gt;PARAMETROS!$C$12,IF($H38&gt;0,$G38*CURVA!BP38/$H38,0)*BP$6,0))</f>
        <v>0</v>
      </c>
      <c r="BQ38" s="19" t="n">
        <f aca="false">IF($B38="",0,SUMIFS(INCORRIDO!$C$6:$C$5005,INCORRIDO!$D$6:$D$5005,$B38,INCORRIDO!$E$6:$E$5005,BQ$7)+IF(BQ$7&gt;PARAMETROS!$C$12,IF($H38&gt;0,$G38*CURVA!BQ38/$H38,0)*BQ$6,0))</f>
        <v>0</v>
      </c>
      <c r="BR38" s="19" t="n">
        <f aca="false">IF($B38="",0,SUMIFS(INCORRIDO!$C$6:$C$5005,INCORRIDO!$D$6:$D$5005,$B38,INCORRIDO!$E$6:$E$5005,BR$7)+IF(BR$7&gt;PARAMETROS!$C$12,IF($H38&gt;0,$G38*CURVA!BR38/$H38,0)*BR$6,0))</f>
        <v>0</v>
      </c>
      <c r="BS38" s="19" t="n">
        <f aca="false">IF($B38="",0,SUMIFS(INCORRIDO!$C$6:$C$5005,INCORRIDO!$D$6:$D$5005,$B38,INCORRIDO!$E$6:$E$5005,BS$7)+IF(BS$7&gt;PARAMETROS!$C$12,IF($H38&gt;0,$G38*CURVA!BS38/$H38,0)*BS$6,0))</f>
        <v>0</v>
      </c>
      <c r="BT38" s="19" t="n">
        <f aca="false">IF($B38="",0,SUMIFS(INCORRIDO!$C$6:$C$5005,INCORRIDO!$D$6:$D$5005,$B38,INCORRIDO!$E$6:$E$5005,BT$7)+IF(BT$7&gt;PARAMETROS!$C$12,IF($H38&gt;0,$G38*CURVA!BT38/$H38,0)*BT$6,0))</f>
        <v>0</v>
      </c>
      <c r="BU38" s="19" t="n">
        <f aca="false">IF($B38="",0,SUMIFS(INCORRIDO!$C$6:$C$5005,INCORRIDO!$D$6:$D$5005,$B38,INCORRIDO!$E$6:$E$5005,BU$7)+IF(BU$7&gt;PARAMETROS!$C$12,IF($H38&gt;0,$G38*CURVA!BU38/$H38,0)*BU$6,0))</f>
        <v>0</v>
      </c>
      <c r="BV38" s="19" t="n">
        <f aca="false">IF($B38="",0,SUMIFS(INCORRIDO!$C$6:$C$5005,INCORRIDO!$D$6:$D$5005,$B38,INCORRIDO!$E$6:$E$5005,BV$7)+IF(BV$7&gt;PARAMETROS!$C$12,IF($H38&gt;0,$G38*CURVA!BV38/$H38,0)*BV$6,0))</f>
        <v>0</v>
      </c>
      <c r="BW38" s="19" t="n">
        <f aca="false">IF($B38="",0,SUMIFS(INCORRIDO!$C$6:$C$5005,INCORRIDO!$D$6:$D$5005,$B38,INCORRIDO!$E$6:$E$5005,BW$7)+IF(BW$7&gt;PARAMETROS!$C$12,IF($H38&gt;0,$G38*CURVA!BW38/$H38,0)*BW$6,0))</f>
        <v>0</v>
      </c>
      <c r="BX38" s="19" t="n">
        <f aca="false">IF($B38="",0,SUMIFS(INCORRIDO!$C$6:$C$5005,INCORRIDO!$D$6:$D$5005,$B38,INCORRIDO!$E$6:$E$5005,BX$7)+IF(BX$7&gt;PARAMETROS!$C$12,IF($H38&gt;0,$G38*CURVA!BX38/$H38,0)*BX$6,0))</f>
        <v>0</v>
      </c>
      <c r="BY38" s="19" t="n">
        <f aca="false">IF($B38="",0,SUMIFS(INCORRIDO!$C$6:$C$5005,INCORRIDO!$D$6:$D$5005,$B38,INCORRIDO!$E$6:$E$5005,BY$7)+IF(BY$7&gt;PARAMETROS!$C$12,IF($H38&gt;0,$G38*CURVA!BY38/$H38,0)*BY$6,0))</f>
        <v>0</v>
      </c>
      <c r="BZ38" s="19" t="n">
        <f aca="false">IF($B38="",0,SUMIFS(INCORRIDO!$C$6:$C$5005,INCORRIDO!$D$6:$D$5005,$B38,INCORRIDO!$E$6:$E$5005,BZ$7)+IF(BZ$7&gt;PARAMETROS!$C$12,IF($H38&gt;0,$G38*CURVA!BZ38/$H38,0)*BZ$6,0))</f>
        <v>0</v>
      </c>
      <c r="CA38" s="19" t="n">
        <f aca="false">IF($B38="",0,SUMIFS(INCORRIDO!$C$6:$C$5005,INCORRIDO!$D$6:$D$5005,$B38,INCORRIDO!$E$6:$E$5005,CA$7)+IF(CA$7&gt;PARAMETROS!$C$12,IF($H38&gt;0,$G38*CURVA!CA38/$H38,0)*CA$6,0))</f>
        <v>0</v>
      </c>
      <c r="CB38" s="19" t="n">
        <f aca="false">IF($B38="",0,SUMIFS(INCORRIDO!$C$6:$C$5005,INCORRIDO!$D$6:$D$5005,$B38,INCORRIDO!$E$6:$E$5005,CB$7)+IF(CB$7&gt;PARAMETROS!$C$12,IF($H38&gt;0,$G38*CURVA!CB38/$H38,0)*CB$6,0))</f>
        <v>0</v>
      </c>
      <c r="CC38" s="19" t="n">
        <f aca="false">IF($B38="",0,SUMIFS(INCORRIDO!$C$6:$C$5005,INCORRIDO!$D$6:$D$5005,$B38,INCORRIDO!$E$6:$E$5005,CC$7)+IF(CC$7&gt;PARAMETROS!$C$12,IF($H38&gt;0,$G38*CURVA!CC38/$H38,0)*CC$6,0))</f>
        <v>0</v>
      </c>
    </row>
    <row r="39" customFormat="false" ht="15" hidden="false" customHeight="false" outlineLevel="0" collapsed="false">
      <c r="A39" s="31" t="str">
        <f aca="false">IF(ORCAMENTO!A37="","",ORCAMENTO!A37)</f>
        <v>32</v>
      </c>
      <c r="B39" s="31" t="str">
        <f aca="false">IF(ORCAMENTO!B37="","",ORCAMENTO!B37)</f>
        <v>REVESTIMENTO DIVERSOS - FACHADA</v>
      </c>
      <c r="C39" s="31" t="str">
        <f aca="false">IF(ORCAMENTO!C37="","",ORCAMENTO!C37)</f>
        <v>ACABAMENTOS</v>
      </c>
      <c r="D39" s="32" t="n">
        <f aca="false">IF($B39="",0,ORCAMENTO!E37)</f>
        <v>5326854.93</v>
      </c>
      <c r="E39" s="19" t="n">
        <f aca="false">IF($B39="",0,SUMIFS(INCORRIDO!$C$6:$C$5005,INCORRIDO!$D$6:$D$5005,$B39,INCORRIDO!$E$6:$E$5005,"&lt;="&amp;PARAMETROS!$C$12))</f>
        <v>0</v>
      </c>
      <c r="F39" s="19" t="n">
        <f aca="false">IF($B39="",0,SUMIFS(INCORRIDO!$C$6:$C$5005,INCORRIDO!$D$6:$D$5005,$B39,INCORRIDO!$E$6:$E$5005,"&gt;"&amp;PARAMETROS!$C$12))</f>
        <v>0</v>
      </c>
      <c r="G39" s="19" t="n">
        <f aca="false">MAX(0,D39-E39-F39)</f>
        <v>5326854.93</v>
      </c>
      <c r="H39" s="32" t="n">
        <f aca="false">CURVA!H39</f>
        <v>5326854.95</v>
      </c>
      <c r="I39" s="19" t="n">
        <f aca="false">SUM(J39:CC39)</f>
        <v>5326854.93</v>
      </c>
      <c r="J39" s="19" t="n">
        <f aca="false">IF($B39="",0,SUMIFS(INCORRIDO!$C$6:$C$5005,INCORRIDO!$D$6:$D$5005,$B39,INCORRIDO!$E$6:$E$5005,"&lt;="&amp;J$7)+IF(J$7&gt;PARAMETROS!$C$12,IF($H39&gt;0,$G39*CURVA!J39/$H39,0)*J$6,0))</f>
        <v>0</v>
      </c>
      <c r="K39" s="19" t="n">
        <f aca="false">IF($B39="",0,SUMIFS(INCORRIDO!$C$6:$C$5005,INCORRIDO!$D$6:$D$5005,$B39,INCORRIDO!$E$6:$E$5005,K$7)+IF(K$7&gt;PARAMETROS!$C$12,IF($H39&gt;0,$G39*CURVA!K39/$H39,0)*K$6,0))</f>
        <v>0</v>
      </c>
      <c r="L39" s="19" t="n">
        <f aca="false">IF($B39="",0,SUMIFS(INCORRIDO!$C$6:$C$5005,INCORRIDO!$D$6:$D$5005,$B39,INCORRIDO!$E$6:$E$5005,L$7)+IF(L$7&gt;PARAMETROS!$C$12,IF($H39&gt;0,$G39*CURVA!L39/$H39,0)*L$6,0))</f>
        <v>0</v>
      </c>
      <c r="M39" s="19" t="n">
        <f aca="false">IF($B39="",0,SUMIFS(INCORRIDO!$C$6:$C$5005,INCORRIDO!$D$6:$D$5005,$B39,INCORRIDO!$E$6:$E$5005,M$7)+IF(M$7&gt;PARAMETROS!$C$12,IF($H39&gt;0,$G39*CURVA!M39/$H39,0)*M$6,0))</f>
        <v>0</v>
      </c>
      <c r="N39" s="19" t="n">
        <f aca="false">IF($B39="",0,SUMIFS(INCORRIDO!$C$6:$C$5005,INCORRIDO!$D$6:$D$5005,$B39,INCORRIDO!$E$6:$E$5005,N$7)+IF(N$7&gt;PARAMETROS!$C$12,IF($H39&gt;0,$G39*CURVA!N39/$H39,0)*N$6,0))</f>
        <v>0</v>
      </c>
      <c r="O39" s="19" t="n">
        <f aca="false">IF($B39="",0,SUMIFS(INCORRIDO!$C$6:$C$5005,INCORRIDO!$D$6:$D$5005,$B39,INCORRIDO!$E$6:$E$5005,O$7)+IF(O$7&gt;PARAMETROS!$C$12,IF($H39&gt;0,$G39*CURVA!O39/$H39,0)*O$6,0))</f>
        <v>0</v>
      </c>
      <c r="P39" s="19" t="n">
        <f aca="false">IF($B39="",0,SUMIFS(INCORRIDO!$C$6:$C$5005,INCORRIDO!$D$6:$D$5005,$B39,INCORRIDO!$E$6:$E$5005,P$7)+IF(P$7&gt;PARAMETROS!$C$12,IF($H39&gt;0,$G39*CURVA!P39/$H39,0)*P$6,0))</f>
        <v>0</v>
      </c>
      <c r="Q39" s="19" t="n">
        <f aca="false">IF($B39="",0,SUMIFS(INCORRIDO!$C$6:$C$5005,INCORRIDO!$D$6:$D$5005,$B39,INCORRIDO!$E$6:$E$5005,Q$7)+IF(Q$7&gt;PARAMETROS!$C$12,IF($H39&gt;0,$G39*CURVA!Q39/$H39,0)*Q$6,0))</f>
        <v>0</v>
      </c>
      <c r="R39" s="19" t="n">
        <f aca="false">IF($B39="",0,SUMIFS(INCORRIDO!$C$6:$C$5005,INCORRIDO!$D$6:$D$5005,$B39,INCORRIDO!$E$6:$E$5005,R$7)+IF(R$7&gt;PARAMETROS!$C$12,IF($H39&gt;0,$G39*CURVA!R39/$H39,0)*R$6,0))</f>
        <v>0</v>
      </c>
      <c r="S39" s="19" t="n">
        <f aca="false">IF($B39="",0,SUMIFS(INCORRIDO!$C$6:$C$5005,INCORRIDO!$D$6:$D$5005,$B39,INCORRIDO!$E$6:$E$5005,S$7)+IF(S$7&gt;PARAMETROS!$C$12,IF($H39&gt;0,$G39*CURVA!S39/$H39,0)*S$6,0))</f>
        <v>0</v>
      </c>
      <c r="T39" s="19" t="n">
        <f aca="false">IF($B39="",0,SUMIFS(INCORRIDO!$C$6:$C$5005,INCORRIDO!$D$6:$D$5005,$B39,INCORRIDO!$E$6:$E$5005,T$7)+IF(T$7&gt;PARAMETROS!$C$12,IF($H39&gt;0,$G39*CURVA!T39/$H39,0)*T$6,0))</f>
        <v>0</v>
      </c>
      <c r="U39" s="19" t="n">
        <f aca="false">IF($B39="",0,SUMIFS(INCORRIDO!$C$6:$C$5005,INCORRIDO!$D$6:$D$5005,$B39,INCORRIDO!$E$6:$E$5005,U$7)+IF(U$7&gt;PARAMETROS!$C$12,IF($H39&gt;0,$G39*CURVA!U39/$H39,0)*U$6,0))</f>
        <v>0</v>
      </c>
      <c r="V39" s="19" t="n">
        <f aca="false">IF($B39="",0,SUMIFS(INCORRIDO!$C$6:$C$5005,INCORRIDO!$D$6:$D$5005,$B39,INCORRIDO!$E$6:$E$5005,V$7)+IF(V$7&gt;PARAMETROS!$C$12,IF($H39&gt;0,$G39*CURVA!V39/$H39,0)*V$6,0))</f>
        <v>0</v>
      </c>
      <c r="W39" s="19" t="n">
        <f aca="false">IF($B39="",0,SUMIFS(INCORRIDO!$C$6:$C$5005,INCORRIDO!$D$6:$D$5005,$B39,INCORRIDO!$E$6:$E$5005,W$7)+IF(W$7&gt;PARAMETROS!$C$12,IF($H39&gt;0,$G39*CURVA!W39/$H39,0)*W$6,0))</f>
        <v>0</v>
      </c>
      <c r="X39" s="19" t="n">
        <f aca="false">IF($B39="",0,SUMIFS(INCORRIDO!$C$6:$C$5005,INCORRIDO!$D$6:$D$5005,$B39,INCORRIDO!$E$6:$E$5005,X$7)+IF(X$7&gt;PARAMETROS!$C$12,IF($H39&gt;0,$G39*CURVA!X39/$H39,0)*X$6,0))</f>
        <v>0</v>
      </c>
      <c r="Y39" s="19" t="n">
        <f aca="false">IF($B39="",0,SUMIFS(INCORRIDO!$C$6:$C$5005,INCORRIDO!$D$6:$D$5005,$B39,INCORRIDO!$E$6:$E$5005,Y$7)+IF(Y$7&gt;PARAMETROS!$C$12,IF($H39&gt;0,$G39*CURVA!Y39/$H39,0)*Y$6,0))</f>
        <v>0</v>
      </c>
      <c r="Z39" s="19" t="n">
        <f aca="false">IF($B39="",0,SUMIFS(INCORRIDO!$C$6:$C$5005,INCORRIDO!$D$6:$D$5005,$B39,INCORRIDO!$E$6:$E$5005,Z$7)+IF(Z$7&gt;PARAMETROS!$C$12,IF($H39&gt;0,$G39*CURVA!Z39/$H39,0)*Z$6,0))</f>
        <v>0</v>
      </c>
      <c r="AA39" s="19" t="n">
        <f aca="false">IF($B39="",0,SUMIFS(INCORRIDO!$C$6:$C$5005,INCORRIDO!$D$6:$D$5005,$B39,INCORRIDO!$E$6:$E$5005,AA$7)+IF(AA$7&gt;PARAMETROS!$C$12,IF($H39&gt;0,$G39*CURVA!AA39/$H39,0)*AA$6,0))</f>
        <v>0</v>
      </c>
      <c r="AB39" s="19" t="n">
        <f aca="false">IF($B39="",0,SUMIFS(INCORRIDO!$C$6:$C$5005,INCORRIDO!$D$6:$D$5005,$B39,INCORRIDO!$E$6:$E$5005,AB$7)+IF(AB$7&gt;PARAMETROS!$C$12,IF($H39&gt;0,$G39*CURVA!AB39/$H39,0)*AB$6,0))</f>
        <v>0</v>
      </c>
      <c r="AC39" s="19" t="n">
        <f aca="false">IF($B39="",0,SUMIFS(INCORRIDO!$C$6:$C$5005,INCORRIDO!$D$6:$D$5005,$B39,INCORRIDO!$E$6:$E$5005,AC$7)+IF(AC$7&gt;PARAMETROS!$C$12,IF($H39&gt;0,$G39*CURVA!AC39/$H39,0)*AC$6,0))</f>
        <v>0</v>
      </c>
      <c r="AD39" s="19" t="n">
        <f aca="false">IF($B39="",0,SUMIFS(INCORRIDO!$C$6:$C$5005,INCORRIDO!$D$6:$D$5005,$B39,INCORRIDO!$E$6:$E$5005,AD$7)+IF(AD$7&gt;PARAMETROS!$C$12,IF($H39&gt;0,$G39*CURVA!AD39/$H39,0)*AD$6,0))</f>
        <v>0</v>
      </c>
      <c r="AE39" s="19" t="n">
        <f aca="false">IF($B39="",0,SUMIFS(INCORRIDO!$C$6:$C$5005,INCORRIDO!$D$6:$D$5005,$B39,INCORRIDO!$E$6:$E$5005,AE$7)+IF(AE$7&gt;PARAMETROS!$C$12,IF($H39&gt;0,$G39*CURVA!AE39/$H39,0)*AE$6,0))</f>
        <v>0</v>
      </c>
      <c r="AF39" s="19" t="n">
        <f aca="false">IF($B39="",0,SUMIFS(INCORRIDO!$C$6:$C$5005,INCORRIDO!$D$6:$D$5005,$B39,INCORRIDO!$E$6:$E$5005,AF$7)+IF(AF$7&gt;PARAMETROS!$C$12,IF($H39&gt;0,$G39*CURVA!AF39/$H39,0)*AF$6,0))</f>
        <v>0</v>
      </c>
      <c r="AG39" s="19" t="n">
        <f aca="false">IF($B39="",0,SUMIFS(INCORRIDO!$C$6:$C$5005,INCORRIDO!$D$6:$D$5005,$B39,INCORRIDO!$E$6:$E$5005,AG$7)+IF(AG$7&gt;PARAMETROS!$C$12,IF($H39&gt;0,$G39*CURVA!AG39/$H39,0)*AG$6,0))</f>
        <v>0</v>
      </c>
      <c r="AH39" s="19" t="n">
        <f aca="false">IF($B39="",0,SUMIFS(INCORRIDO!$C$6:$C$5005,INCORRIDO!$D$6:$D$5005,$B39,INCORRIDO!$E$6:$E$5005,AH$7)+IF(AH$7&gt;PARAMETROS!$C$12,IF($H39&gt;0,$G39*CURVA!AH39/$H39,0)*AH$6,0))</f>
        <v>0</v>
      </c>
      <c r="AI39" s="19" t="n">
        <f aca="false">IF($B39="",0,SUMIFS(INCORRIDO!$C$6:$C$5005,INCORRIDO!$D$6:$D$5005,$B39,INCORRIDO!$E$6:$E$5005,AI$7)+IF(AI$7&gt;PARAMETROS!$C$12,IF($H39&gt;0,$G39*CURVA!AI39/$H39,0)*AI$6,0))</f>
        <v>0</v>
      </c>
      <c r="AJ39" s="19" t="n">
        <f aca="false">IF($B39="",0,SUMIFS(INCORRIDO!$C$6:$C$5005,INCORRIDO!$D$6:$D$5005,$B39,INCORRIDO!$E$6:$E$5005,AJ$7)+IF(AJ$7&gt;PARAMETROS!$C$12,IF($H39&gt;0,$G39*CURVA!AJ39/$H39,0)*AJ$6,0))</f>
        <v>0</v>
      </c>
      <c r="AK39" s="19" t="n">
        <f aca="false">IF($B39="",0,SUMIFS(INCORRIDO!$C$6:$C$5005,INCORRIDO!$D$6:$D$5005,$B39,INCORRIDO!$E$6:$E$5005,AK$7)+IF(AK$7&gt;PARAMETROS!$C$12,IF($H39&gt;0,$G39*CURVA!AK39/$H39,0)*AK$6,0))</f>
        <v>0</v>
      </c>
      <c r="AL39" s="19" t="n">
        <f aca="false">IF($B39="",0,SUMIFS(INCORRIDO!$C$6:$C$5005,INCORRIDO!$D$6:$D$5005,$B39,INCORRIDO!$E$6:$E$5005,AL$7)+IF(AL$7&gt;PARAMETROS!$C$12,IF($H39&gt;0,$G39*CURVA!AL39/$H39,0)*AL$6,0))</f>
        <v>0</v>
      </c>
      <c r="AM39" s="19" t="n">
        <f aca="false">IF($B39="",0,SUMIFS(INCORRIDO!$C$6:$C$5005,INCORRIDO!$D$6:$D$5005,$B39,INCORRIDO!$E$6:$E$5005,AM$7)+IF(AM$7&gt;PARAMETROS!$C$12,IF($H39&gt;0,$G39*CURVA!AM39/$H39,0)*AM$6,0))</f>
        <v>0</v>
      </c>
      <c r="AN39" s="19" t="n">
        <f aca="false">IF($B39="",0,SUMIFS(INCORRIDO!$C$6:$C$5005,INCORRIDO!$D$6:$D$5005,$B39,INCORRIDO!$E$6:$E$5005,AN$7)+IF(AN$7&gt;PARAMETROS!$C$12,IF($H39&gt;0,$G39*CURVA!AN39/$H39,0)*AN$6,0))</f>
        <v>0</v>
      </c>
      <c r="AO39" s="19" t="n">
        <f aca="false">IF($B39="",0,SUMIFS(INCORRIDO!$C$6:$C$5005,INCORRIDO!$D$6:$D$5005,$B39,INCORRIDO!$E$6:$E$5005,AO$7)+IF(AO$7&gt;PARAMETROS!$C$12,IF($H39&gt;0,$G39*CURVA!AO39/$H39,0)*AO$6,0))</f>
        <v>0</v>
      </c>
      <c r="AP39" s="19" t="n">
        <f aca="false">IF($B39="",0,SUMIFS(INCORRIDO!$C$6:$C$5005,INCORRIDO!$D$6:$D$5005,$B39,INCORRIDO!$E$6:$E$5005,AP$7)+IF(AP$7&gt;PARAMETROS!$C$12,IF($H39&gt;0,$G39*CURVA!AP39/$H39,0)*AP$6,0))</f>
        <v>0</v>
      </c>
      <c r="AQ39" s="19" t="n">
        <f aca="false">IF($B39="",0,SUMIFS(INCORRIDO!$C$6:$C$5005,INCORRIDO!$D$6:$D$5005,$B39,INCORRIDO!$E$6:$E$5005,AQ$7)+IF(AQ$7&gt;PARAMETROS!$C$12,IF($H39&gt;0,$G39*CURVA!AQ39/$H39,0)*AQ$6,0))</f>
        <v>124648.409532</v>
      </c>
      <c r="AR39" s="19" t="n">
        <f aca="false">IF($B39="",0,SUMIFS(INCORRIDO!$C$6:$C$5005,INCORRIDO!$D$6:$D$5005,$B39,INCORRIDO!$E$6:$E$5005,AR$7)+IF(AR$7&gt;PARAMETROS!$C$12,IF($H39&gt;0,$G39*CURVA!AR39/$H39,0)*AR$6,0))</f>
        <v>342516.768714</v>
      </c>
      <c r="AS39" s="19" t="n">
        <f aca="false">IF($B39="",0,SUMIFS(INCORRIDO!$C$6:$C$5005,INCORRIDO!$D$6:$D$5005,$B39,INCORRIDO!$E$6:$E$5005,AS$7)+IF(AS$7&gt;PARAMETROS!$C$12,IF($H39&gt;0,$G39*CURVA!AS39/$H39,0)*AS$6,0))</f>
        <v>420821.53842</v>
      </c>
      <c r="AT39" s="19" t="n">
        <f aca="false">IF($B39="",0,SUMIFS(INCORRIDO!$C$6:$C$5005,INCORRIDO!$D$6:$D$5005,$B39,INCORRIDO!$E$6:$E$5005,AT$7)+IF(AT$7&gt;PARAMETROS!$C$12,IF($H39&gt;0,$G39*CURVA!AT39/$H39,0)*AT$6,0))</f>
        <v>361160.758644</v>
      </c>
      <c r="AU39" s="19" t="n">
        <f aca="false">IF($B39="",0,SUMIFS(INCORRIDO!$C$6:$C$5005,INCORRIDO!$D$6:$D$5005,$B39,INCORRIDO!$E$6:$E$5005,AU$7)+IF(AU$7&gt;PARAMETROS!$C$12,IF($H39&gt;0,$G39*CURVA!AU39/$H39,0)*AU$6,0))</f>
        <v>278594.508954</v>
      </c>
      <c r="AV39" s="19" t="n">
        <f aca="false">IF($B39="",0,SUMIFS(INCORRIDO!$C$6:$C$5005,INCORRIDO!$D$6:$D$5005,$B39,INCORRIDO!$E$6:$E$5005,AV$7)+IF(AV$7&gt;PARAMETROS!$C$12,IF($H39&gt;0,$G39*CURVA!AV39/$H39,0)*AV$6,0))</f>
        <v>267408.118996</v>
      </c>
      <c r="AW39" s="19" t="n">
        <f aca="false">IF($B39="",0,SUMIFS(INCORRIDO!$C$6:$C$5005,INCORRIDO!$D$6:$D$5005,$B39,INCORRIDO!$E$6:$E$5005,AW$7)+IF(AW$7&gt;PARAMETROS!$C$12,IF($H39&gt;0,$G39*CURVA!AW39/$H39,0)*AW$6,0))</f>
        <v>422419.598414</v>
      </c>
      <c r="AX39" s="19" t="n">
        <f aca="false">IF($B39="",0,SUMIFS(INCORRIDO!$C$6:$C$5005,INCORRIDO!$D$6:$D$5005,$B39,INCORRIDO!$E$6:$E$5005,AX$7)+IF(AX$7&gt;PARAMETROS!$C$12,IF($H39&gt;0,$G39*CURVA!AX39/$H39,0)*AX$6,0))</f>
        <v>359562.70865</v>
      </c>
      <c r="AY39" s="19" t="n">
        <f aca="false">IF($B39="",0,SUMIFS(INCORRIDO!$C$6:$C$5005,INCORRIDO!$D$6:$D$5005,$B39,INCORRIDO!$E$6:$E$5005,AY$7)+IF(AY$7&gt;PARAMETROS!$C$12,IF($H39&gt;0,$G39*CURVA!AY39/$H39,0)*AY$6,0))</f>
        <v>299369.248876</v>
      </c>
      <c r="AZ39" s="19" t="n">
        <f aca="false">IF($B39="",0,SUMIFS(INCORRIDO!$C$6:$C$5005,INCORRIDO!$D$6:$D$5005,$B39,INCORRIDO!$E$6:$E$5005,AZ$7)+IF(AZ$7&gt;PARAMETROS!$C$12,IF($H39&gt;0,$G39*CURVA!AZ39/$H39,0)*AZ$6,0))</f>
        <v>266342.749</v>
      </c>
      <c r="BA39" s="19" t="n">
        <f aca="false">IF($B39="",0,SUMIFS(INCORRIDO!$C$6:$C$5005,INCORRIDO!$D$6:$D$5005,$B39,INCORRIDO!$E$6:$E$5005,BA$7)+IF(BA$7&gt;PARAMETROS!$C$12,IF($H39&gt;0,$G39*CURVA!BA39/$H39,0)*BA$6,0))</f>
        <v>314817.128818</v>
      </c>
      <c r="BB39" s="19" t="n">
        <f aca="false">IF($B39="",0,SUMIFS(INCORRIDO!$C$6:$C$5005,INCORRIDO!$D$6:$D$5005,$B39,INCORRIDO!$E$6:$E$5005,BB$7)+IF(BB$7&gt;PARAMETROS!$C$12,IF($H39&gt;0,$G39*CURVA!BB39/$H39,0)*BB$6,0))</f>
        <v>406971.718472</v>
      </c>
      <c r="BC39" s="19" t="n">
        <f aca="false">IF($B39="",0,SUMIFS(INCORRIDO!$C$6:$C$5005,INCORRIDO!$D$6:$D$5005,$B39,INCORRIDO!$E$6:$E$5005,BC$7)+IF(BC$7&gt;PARAMETROS!$C$12,IF($H39&gt;0,$G39*CURVA!BC39/$H39,0)*BC$6,0))</f>
        <v>621643.967666</v>
      </c>
      <c r="BD39" s="19" t="n">
        <f aca="false">IF($B39="",0,SUMIFS(INCORRIDO!$C$6:$C$5005,INCORRIDO!$D$6:$D$5005,$B39,INCORRIDO!$E$6:$E$5005,BD$7)+IF(BD$7&gt;PARAMETROS!$C$12,IF($H39&gt;0,$G39*CURVA!BD39/$H39,0)*BD$6,0))</f>
        <v>275931.088964</v>
      </c>
      <c r="BE39" s="19" t="n">
        <f aca="false">IF($B39="",0,SUMIFS(INCORRIDO!$C$6:$C$5005,INCORRIDO!$D$6:$D$5005,$B39,INCORRIDO!$E$6:$E$5005,BE$7)+IF(BE$7&gt;PARAMETROS!$C$12,IF($H39&gt;0,$G39*CURVA!BE39/$H39,0)*BE$6,0))</f>
        <v>254090.979046</v>
      </c>
      <c r="BF39" s="19" t="n">
        <f aca="false">IF($B39="",0,SUMIFS(INCORRIDO!$C$6:$C$5005,INCORRIDO!$D$6:$D$5005,$B39,INCORRIDO!$E$6:$E$5005,BF$7)+IF(BF$7&gt;PARAMETROS!$C$12,IF($H39&gt;0,$G39*CURVA!BF39/$H39,0)*BF$6,0))</f>
        <v>176851.579336</v>
      </c>
      <c r="BG39" s="19" t="n">
        <f aca="false">IF($B39="",0,SUMIFS(INCORRIDO!$C$6:$C$5005,INCORRIDO!$D$6:$D$5005,$B39,INCORRIDO!$E$6:$E$5005,BG$7)+IF(BG$7&gt;PARAMETROS!$C$12,IF($H39&gt;0,$G39*CURVA!BG39/$H39,0)*BG$6,0))</f>
        <v>113994.699572</v>
      </c>
      <c r="BH39" s="19" t="n">
        <f aca="false">IF($B39="",0,SUMIFS(INCORRIDO!$C$6:$C$5005,INCORRIDO!$D$6:$D$5005,$B39,INCORRIDO!$E$6:$E$5005,BH$7)+IF(BH$7&gt;PARAMETROS!$C$12,IF($H39&gt;0,$G39*CURVA!BH39/$H39,0)*BH$6,0))</f>
        <v>10653.70996</v>
      </c>
      <c r="BI39" s="19" t="n">
        <f aca="false">IF($B39="",0,SUMIFS(INCORRIDO!$C$6:$C$5005,INCORRIDO!$D$6:$D$5005,$B39,INCORRIDO!$E$6:$E$5005,BI$7)+IF(BI$7&gt;PARAMETROS!$C$12,IF($H39&gt;0,$G39*CURVA!BI39/$H39,0)*BI$6,0))</f>
        <v>9055.64996600001</v>
      </c>
      <c r="BJ39" s="19" t="n">
        <f aca="false">IF($B39="",0,SUMIFS(INCORRIDO!$C$6:$C$5005,INCORRIDO!$D$6:$D$5005,$B39,INCORRIDO!$E$6:$E$5005,BJ$7)+IF(BJ$7&gt;PARAMETROS!$C$12,IF($H39&gt;0,$G39*CURVA!BJ39/$H39,0)*BJ$6,0))</f>
        <v>0</v>
      </c>
      <c r="BK39" s="19" t="n">
        <f aca="false">IF($B39="",0,SUMIFS(INCORRIDO!$C$6:$C$5005,INCORRIDO!$D$6:$D$5005,$B39,INCORRIDO!$E$6:$E$5005,BK$7)+IF(BK$7&gt;PARAMETROS!$C$12,IF($H39&gt;0,$G39*CURVA!BK39/$H39,0)*BK$6,0))</f>
        <v>0</v>
      </c>
      <c r="BL39" s="19" t="n">
        <f aca="false">IF($B39="",0,SUMIFS(INCORRIDO!$C$6:$C$5005,INCORRIDO!$D$6:$D$5005,$B39,INCORRIDO!$E$6:$E$5005,BL$7)+IF(BL$7&gt;PARAMETROS!$C$12,IF($H39&gt;0,$G39*CURVA!BL39/$H39,0)*BL$6,0))</f>
        <v>0</v>
      </c>
      <c r="BM39" s="19" t="n">
        <f aca="false">IF($B39="",0,SUMIFS(INCORRIDO!$C$6:$C$5005,INCORRIDO!$D$6:$D$5005,$B39,INCORRIDO!$E$6:$E$5005,BM$7)+IF(BM$7&gt;PARAMETROS!$C$12,IF($H39&gt;0,$G39*CURVA!BM39/$H39,0)*BM$6,0))</f>
        <v>0</v>
      </c>
      <c r="BN39" s="19" t="n">
        <f aca="false">IF($B39="",0,SUMIFS(INCORRIDO!$C$6:$C$5005,INCORRIDO!$D$6:$D$5005,$B39,INCORRIDO!$E$6:$E$5005,BN$7)+IF(BN$7&gt;PARAMETROS!$C$12,IF($H39&gt;0,$G39*CURVA!BN39/$H39,0)*BN$6,0))</f>
        <v>0</v>
      </c>
      <c r="BO39" s="19" t="n">
        <f aca="false">IF($B39="",0,SUMIFS(INCORRIDO!$C$6:$C$5005,INCORRIDO!$D$6:$D$5005,$B39,INCORRIDO!$E$6:$E$5005,BO$7)+IF(BO$7&gt;PARAMETROS!$C$12,IF($H39&gt;0,$G39*CURVA!BO39/$H39,0)*BO$6,0))</f>
        <v>0</v>
      </c>
      <c r="BP39" s="19" t="n">
        <f aca="false">IF($B39="",0,SUMIFS(INCORRIDO!$C$6:$C$5005,INCORRIDO!$D$6:$D$5005,$B39,INCORRIDO!$E$6:$E$5005,BP$7)+IF(BP$7&gt;PARAMETROS!$C$12,IF($H39&gt;0,$G39*CURVA!BP39/$H39,0)*BP$6,0))</f>
        <v>0</v>
      </c>
      <c r="BQ39" s="19" t="n">
        <f aca="false">IF($B39="",0,SUMIFS(INCORRIDO!$C$6:$C$5005,INCORRIDO!$D$6:$D$5005,$B39,INCORRIDO!$E$6:$E$5005,BQ$7)+IF(BQ$7&gt;PARAMETROS!$C$12,IF($H39&gt;0,$G39*CURVA!BQ39/$H39,0)*BQ$6,0))</f>
        <v>0</v>
      </c>
      <c r="BR39" s="19" t="n">
        <f aca="false">IF($B39="",0,SUMIFS(INCORRIDO!$C$6:$C$5005,INCORRIDO!$D$6:$D$5005,$B39,INCORRIDO!$E$6:$E$5005,BR$7)+IF(BR$7&gt;PARAMETROS!$C$12,IF($H39&gt;0,$G39*CURVA!BR39/$H39,0)*BR$6,0))</f>
        <v>0</v>
      </c>
      <c r="BS39" s="19" t="n">
        <f aca="false">IF($B39="",0,SUMIFS(INCORRIDO!$C$6:$C$5005,INCORRIDO!$D$6:$D$5005,$B39,INCORRIDO!$E$6:$E$5005,BS$7)+IF(BS$7&gt;PARAMETROS!$C$12,IF($H39&gt;0,$G39*CURVA!BS39/$H39,0)*BS$6,0))</f>
        <v>0</v>
      </c>
      <c r="BT39" s="19" t="n">
        <f aca="false">IF($B39="",0,SUMIFS(INCORRIDO!$C$6:$C$5005,INCORRIDO!$D$6:$D$5005,$B39,INCORRIDO!$E$6:$E$5005,BT$7)+IF(BT$7&gt;PARAMETROS!$C$12,IF($H39&gt;0,$G39*CURVA!BT39/$H39,0)*BT$6,0))</f>
        <v>0</v>
      </c>
      <c r="BU39" s="19" t="n">
        <f aca="false">IF($B39="",0,SUMIFS(INCORRIDO!$C$6:$C$5005,INCORRIDO!$D$6:$D$5005,$B39,INCORRIDO!$E$6:$E$5005,BU$7)+IF(BU$7&gt;PARAMETROS!$C$12,IF($H39&gt;0,$G39*CURVA!BU39/$H39,0)*BU$6,0))</f>
        <v>0</v>
      </c>
      <c r="BV39" s="19" t="n">
        <f aca="false">IF($B39="",0,SUMIFS(INCORRIDO!$C$6:$C$5005,INCORRIDO!$D$6:$D$5005,$B39,INCORRIDO!$E$6:$E$5005,BV$7)+IF(BV$7&gt;PARAMETROS!$C$12,IF($H39&gt;0,$G39*CURVA!BV39/$H39,0)*BV$6,0))</f>
        <v>0</v>
      </c>
      <c r="BW39" s="19" t="n">
        <f aca="false">IF($B39="",0,SUMIFS(INCORRIDO!$C$6:$C$5005,INCORRIDO!$D$6:$D$5005,$B39,INCORRIDO!$E$6:$E$5005,BW$7)+IF(BW$7&gt;PARAMETROS!$C$12,IF($H39&gt;0,$G39*CURVA!BW39/$H39,0)*BW$6,0))</f>
        <v>0</v>
      </c>
      <c r="BX39" s="19" t="n">
        <f aca="false">IF($B39="",0,SUMIFS(INCORRIDO!$C$6:$C$5005,INCORRIDO!$D$6:$D$5005,$B39,INCORRIDO!$E$6:$E$5005,BX$7)+IF(BX$7&gt;PARAMETROS!$C$12,IF($H39&gt;0,$G39*CURVA!BX39/$H39,0)*BX$6,0))</f>
        <v>0</v>
      </c>
      <c r="BY39" s="19" t="n">
        <f aca="false">IF($B39="",0,SUMIFS(INCORRIDO!$C$6:$C$5005,INCORRIDO!$D$6:$D$5005,$B39,INCORRIDO!$E$6:$E$5005,BY$7)+IF(BY$7&gt;PARAMETROS!$C$12,IF($H39&gt;0,$G39*CURVA!BY39/$H39,0)*BY$6,0))</f>
        <v>0</v>
      </c>
      <c r="BZ39" s="19" t="n">
        <f aca="false">IF($B39="",0,SUMIFS(INCORRIDO!$C$6:$C$5005,INCORRIDO!$D$6:$D$5005,$B39,INCORRIDO!$E$6:$E$5005,BZ$7)+IF(BZ$7&gt;PARAMETROS!$C$12,IF($H39&gt;0,$G39*CURVA!BZ39/$H39,0)*BZ$6,0))</f>
        <v>0</v>
      </c>
      <c r="CA39" s="19" t="n">
        <f aca="false">IF($B39="",0,SUMIFS(INCORRIDO!$C$6:$C$5005,INCORRIDO!$D$6:$D$5005,$B39,INCORRIDO!$E$6:$E$5005,CA$7)+IF(CA$7&gt;PARAMETROS!$C$12,IF($H39&gt;0,$G39*CURVA!CA39/$H39,0)*CA$6,0))</f>
        <v>0</v>
      </c>
      <c r="CB39" s="19" t="n">
        <f aca="false">IF($B39="",0,SUMIFS(INCORRIDO!$C$6:$C$5005,INCORRIDO!$D$6:$D$5005,$B39,INCORRIDO!$E$6:$E$5005,CB$7)+IF(CB$7&gt;PARAMETROS!$C$12,IF($H39&gt;0,$G39*CURVA!CB39/$H39,0)*CB$6,0))</f>
        <v>0</v>
      </c>
      <c r="CC39" s="19" t="n">
        <f aca="false">IF($B39="",0,SUMIFS(INCORRIDO!$C$6:$C$5005,INCORRIDO!$D$6:$D$5005,$B39,INCORRIDO!$E$6:$E$5005,CC$7)+IF(CC$7&gt;PARAMETROS!$C$12,IF($H39&gt;0,$G39*CURVA!CC39/$H39,0)*CC$6,0))</f>
        <v>0</v>
      </c>
    </row>
    <row r="40" customFormat="false" ht="15" hidden="false" customHeight="false" outlineLevel="0" collapsed="false">
      <c r="A40" s="31" t="str">
        <f aca="false">IF(ORCAMENTO!A38="","",ORCAMENTO!A38)</f>
        <v>33</v>
      </c>
      <c r="B40" s="31" t="str">
        <f aca="false">IF(ORCAMENTO!B38="","",ORCAMENTO!B38)</f>
        <v>FORRO</v>
      </c>
      <c r="C40" s="31" t="str">
        <f aca="false">IF(ORCAMENTO!C38="","",ORCAMENTO!C38)</f>
        <v>ACABAMENTOS</v>
      </c>
      <c r="D40" s="32" t="n">
        <f aca="false">IF($B40="",0,ORCAMENTO!E38)</f>
        <v>1781242.11</v>
      </c>
      <c r="E40" s="19" t="n">
        <f aca="false">IF($B40="",0,SUMIFS(INCORRIDO!$C$6:$C$5005,INCORRIDO!$D$6:$D$5005,$B40,INCORRIDO!$E$6:$E$5005,"&lt;="&amp;PARAMETROS!$C$12))</f>
        <v>0</v>
      </c>
      <c r="F40" s="19" t="n">
        <f aca="false">IF($B40="",0,SUMIFS(INCORRIDO!$C$6:$C$5005,INCORRIDO!$D$6:$D$5005,$B40,INCORRIDO!$E$6:$E$5005,"&gt;"&amp;PARAMETROS!$C$12))</f>
        <v>0</v>
      </c>
      <c r="G40" s="19" t="n">
        <f aca="false">MAX(0,D40-E40-F40)</f>
        <v>1781242.11</v>
      </c>
      <c r="H40" s="32" t="n">
        <f aca="false">CURVA!H40</f>
        <v>1781242.1</v>
      </c>
      <c r="I40" s="19" t="n">
        <f aca="false">SUM(J40:CC40)</f>
        <v>1781242.11</v>
      </c>
      <c r="J40" s="19" t="n">
        <f aca="false">IF($B40="",0,SUMIFS(INCORRIDO!$C$6:$C$5005,INCORRIDO!$D$6:$D$5005,$B40,INCORRIDO!$E$6:$E$5005,"&lt;="&amp;J$7)+IF(J$7&gt;PARAMETROS!$C$12,IF($H40&gt;0,$G40*CURVA!J40/$H40,0)*J$6,0))</f>
        <v>0</v>
      </c>
      <c r="K40" s="19" t="n">
        <f aca="false">IF($B40="",0,SUMIFS(INCORRIDO!$C$6:$C$5005,INCORRIDO!$D$6:$D$5005,$B40,INCORRIDO!$E$6:$E$5005,K$7)+IF(K$7&gt;PARAMETROS!$C$12,IF($H40&gt;0,$G40*CURVA!K40/$H40,0)*K$6,0))</f>
        <v>0</v>
      </c>
      <c r="L40" s="19" t="n">
        <f aca="false">IF($B40="",0,SUMIFS(INCORRIDO!$C$6:$C$5005,INCORRIDO!$D$6:$D$5005,$B40,INCORRIDO!$E$6:$E$5005,L$7)+IF(L$7&gt;PARAMETROS!$C$12,IF($H40&gt;0,$G40*CURVA!L40/$H40,0)*L$6,0))</f>
        <v>0</v>
      </c>
      <c r="M40" s="19" t="n">
        <f aca="false">IF($B40="",0,SUMIFS(INCORRIDO!$C$6:$C$5005,INCORRIDO!$D$6:$D$5005,$B40,INCORRIDO!$E$6:$E$5005,M$7)+IF(M$7&gt;PARAMETROS!$C$12,IF($H40&gt;0,$G40*CURVA!M40/$H40,0)*M$6,0))</f>
        <v>0</v>
      </c>
      <c r="N40" s="19" t="n">
        <f aca="false">IF($B40="",0,SUMIFS(INCORRIDO!$C$6:$C$5005,INCORRIDO!$D$6:$D$5005,$B40,INCORRIDO!$E$6:$E$5005,N$7)+IF(N$7&gt;PARAMETROS!$C$12,IF($H40&gt;0,$G40*CURVA!N40/$H40,0)*N$6,0))</f>
        <v>0</v>
      </c>
      <c r="O40" s="19" t="n">
        <f aca="false">IF($B40="",0,SUMIFS(INCORRIDO!$C$6:$C$5005,INCORRIDO!$D$6:$D$5005,$B40,INCORRIDO!$E$6:$E$5005,O$7)+IF(O$7&gt;PARAMETROS!$C$12,IF($H40&gt;0,$G40*CURVA!O40/$H40,0)*O$6,0))</f>
        <v>0</v>
      </c>
      <c r="P40" s="19" t="n">
        <f aca="false">IF($B40="",0,SUMIFS(INCORRIDO!$C$6:$C$5005,INCORRIDO!$D$6:$D$5005,$B40,INCORRIDO!$E$6:$E$5005,P$7)+IF(P$7&gt;PARAMETROS!$C$12,IF($H40&gt;0,$G40*CURVA!P40/$H40,0)*P$6,0))</f>
        <v>0</v>
      </c>
      <c r="Q40" s="19" t="n">
        <f aca="false">IF($B40="",0,SUMIFS(INCORRIDO!$C$6:$C$5005,INCORRIDO!$D$6:$D$5005,$B40,INCORRIDO!$E$6:$E$5005,Q$7)+IF(Q$7&gt;PARAMETROS!$C$12,IF($H40&gt;0,$G40*CURVA!Q40/$H40,0)*Q$6,0))</f>
        <v>0</v>
      </c>
      <c r="R40" s="19" t="n">
        <f aca="false">IF($B40="",0,SUMIFS(INCORRIDO!$C$6:$C$5005,INCORRIDO!$D$6:$D$5005,$B40,INCORRIDO!$E$6:$E$5005,R$7)+IF(R$7&gt;PARAMETROS!$C$12,IF($H40&gt;0,$G40*CURVA!R40/$H40,0)*R$6,0))</f>
        <v>0</v>
      </c>
      <c r="S40" s="19" t="n">
        <f aca="false">IF($B40="",0,SUMIFS(INCORRIDO!$C$6:$C$5005,INCORRIDO!$D$6:$D$5005,$B40,INCORRIDO!$E$6:$E$5005,S$7)+IF(S$7&gt;PARAMETROS!$C$12,IF($H40&gt;0,$G40*CURVA!S40/$H40,0)*S$6,0))</f>
        <v>0</v>
      </c>
      <c r="T40" s="19" t="n">
        <f aca="false">IF($B40="",0,SUMIFS(INCORRIDO!$C$6:$C$5005,INCORRIDO!$D$6:$D$5005,$B40,INCORRIDO!$E$6:$E$5005,T$7)+IF(T$7&gt;PARAMETROS!$C$12,IF($H40&gt;0,$G40*CURVA!T40/$H40,0)*T$6,0))</f>
        <v>0</v>
      </c>
      <c r="U40" s="19" t="n">
        <f aca="false">IF($B40="",0,SUMIFS(INCORRIDO!$C$6:$C$5005,INCORRIDO!$D$6:$D$5005,$B40,INCORRIDO!$E$6:$E$5005,U$7)+IF(U$7&gt;PARAMETROS!$C$12,IF($H40&gt;0,$G40*CURVA!U40/$H40,0)*U$6,0))</f>
        <v>0</v>
      </c>
      <c r="V40" s="19" t="n">
        <f aca="false">IF($B40="",0,SUMIFS(INCORRIDO!$C$6:$C$5005,INCORRIDO!$D$6:$D$5005,$B40,INCORRIDO!$E$6:$E$5005,V$7)+IF(V$7&gt;PARAMETROS!$C$12,IF($H40&gt;0,$G40*CURVA!V40/$H40,0)*V$6,0))</f>
        <v>0</v>
      </c>
      <c r="W40" s="19" t="n">
        <f aca="false">IF($B40="",0,SUMIFS(INCORRIDO!$C$6:$C$5005,INCORRIDO!$D$6:$D$5005,$B40,INCORRIDO!$E$6:$E$5005,W$7)+IF(W$7&gt;PARAMETROS!$C$12,IF($H40&gt;0,$G40*CURVA!W40/$H40,0)*W$6,0))</f>
        <v>0</v>
      </c>
      <c r="X40" s="19" t="n">
        <f aca="false">IF($B40="",0,SUMIFS(INCORRIDO!$C$6:$C$5005,INCORRIDO!$D$6:$D$5005,$B40,INCORRIDO!$E$6:$E$5005,X$7)+IF(X$7&gt;PARAMETROS!$C$12,IF($H40&gt;0,$G40*CURVA!X40/$H40,0)*X$6,0))</f>
        <v>0</v>
      </c>
      <c r="Y40" s="19" t="n">
        <f aca="false">IF($B40="",0,SUMIFS(INCORRIDO!$C$6:$C$5005,INCORRIDO!$D$6:$D$5005,$B40,INCORRIDO!$E$6:$E$5005,Y$7)+IF(Y$7&gt;PARAMETROS!$C$12,IF($H40&gt;0,$G40*CURVA!Y40/$H40,0)*Y$6,0))</f>
        <v>0</v>
      </c>
      <c r="Z40" s="19" t="n">
        <f aca="false">IF($B40="",0,SUMIFS(INCORRIDO!$C$6:$C$5005,INCORRIDO!$D$6:$D$5005,$B40,INCORRIDO!$E$6:$E$5005,Z$7)+IF(Z$7&gt;PARAMETROS!$C$12,IF($H40&gt;0,$G40*CURVA!Z40/$H40,0)*Z$6,0))</f>
        <v>0</v>
      </c>
      <c r="AA40" s="19" t="n">
        <f aca="false">IF($B40="",0,SUMIFS(INCORRIDO!$C$6:$C$5005,INCORRIDO!$D$6:$D$5005,$B40,INCORRIDO!$E$6:$E$5005,AA$7)+IF(AA$7&gt;PARAMETROS!$C$12,IF($H40&gt;0,$G40*CURVA!AA40/$H40,0)*AA$6,0))</f>
        <v>0</v>
      </c>
      <c r="AB40" s="19" t="n">
        <f aca="false">IF($B40="",0,SUMIFS(INCORRIDO!$C$6:$C$5005,INCORRIDO!$D$6:$D$5005,$B40,INCORRIDO!$E$6:$E$5005,AB$7)+IF(AB$7&gt;PARAMETROS!$C$12,IF($H40&gt;0,$G40*CURVA!AB40/$H40,0)*AB$6,0))</f>
        <v>0</v>
      </c>
      <c r="AC40" s="19" t="n">
        <f aca="false">IF($B40="",0,SUMIFS(INCORRIDO!$C$6:$C$5005,INCORRIDO!$D$6:$D$5005,$B40,INCORRIDO!$E$6:$E$5005,AC$7)+IF(AC$7&gt;PARAMETROS!$C$12,IF($H40&gt;0,$G40*CURVA!AC40/$H40,0)*AC$6,0))</f>
        <v>0</v>
      </c>
      <c r="AD40" s="19" t="n">
        <f aca="false">IF($B40="",0,SUMIFS(INCORRIDO!$C$6:$C$5005,INCORRIDO!$D$6:$D$5005,$B40,INCORRIDO!$E$6:$E$5005,AD$7)+IF(AD$7&gt;PARAMETROS!$C$12,IF($H40&gt;0,$G40*CURVA!AD40/$H40,0)*AD$6,0))</f>
        <v>0</v>
      </c>
      <c r="AE40" s="19" t="n">
        <f aca="false">IF($B40="",0,SUMIFS(INCORRIDO!$C$6:$C$5005,INCORRIDO!$D$6:$D$5005,$B40,INCORRIDO!$E$6:$E$5005,AE$7)+IF(AE$7&gt;PARAMETROS!$C$12,IF($H40&gt;0,$G40*CURVA!AE40/$H40,0)*AE$6,0))</f>
        <v>0</v>
      </c>
      <c r="AF40" s="19" t="n">
        <f aca="false">IF($B40="",0,SUMIFS(INCORRIDO!$C$6:$C$5005,INCORRIDO!$D$6:$D$5005,$B40,INCORRIDO!$E$6:$E$5005,AF$7)+IF(AF$7&gt;PARAMETROS!$C$12,IF($H40&gt;0,$G40*CURVA!AF40/$H40,0)*AF$6,0))</f>
        <v>0</v>
      </c>
      <c r="AG40" s="19" t="n">
        <f aca="false">IF($B40="",0,SUMIFS(INCORRIDO!$C$6:$C$5005,INCORRIDO!$D$6:$D$5005,$B40,INCORRIDO!$E$6:$E$5005,AG$7)+IF(AG$7&gt;PARAMETROS!$C$12,IF($H40&gt;0,$G40*CURVA!AG40/$H40,0)*AG$6,0))</f>
        <v>0</v>
      </c>
      <c r="AH40" s="19" t="n">
        <f aca="false">IF($B40="",0,SUMIFS(INCORRIDO!$C$6:$C$5005,INCORRIDO!$D$6:$D$5005,$B40,INCORRIDO!$E$6:$E$5005,AH$7)+IF(AH$7&gt;PARAMETROS!$C$12,IF($H40&gt;0,$G40*CURVA!AH40/$H40,0)*AH$6,0))</f>
        <v>0</v>
      </c>
      <c r="AI40" s="19" t="n">
        <f aca="false">IF($B40="",0,SUMIFS(INCORRIDO!$C$6:$C$5005,INCORRIDO!$D$6:$D$5005,$B40,INCORRIDO!$E$6:$E$5005,AI$7)+IF(AI$7&gt;PARAMETROS!$C$12,IF($H40&gt;0,$G40*CURVA!AI40/$H40,0)*AI$6,0))</f>
        <v>0</v>
      </c>
      <c r="AJ40" s="19" t="n">
        <f aca="false">IF($B40="",0,SUMIFS(INCORRIDO!$C$6:$C$5005,INCORRIDO!$D$6:$D$5005,$B40,INCORRIDO!$E$6:$E$5005,AJ$7)+IF(AJ$7&gt;PARAMETROS!$C$12,IF($H40&gt;0,$G40*CURVA!AJ40/$H40,0)*AJ$6,0))</f>
        <v>0</v>
      </c>
      <c r="AK40" s="19" t="n">
        <f aca="false">IF($B40="",0,SUMIFS(INCORRIDO!$C$6:$C$5005,INCORRIDO!$D$6:$D$5005,$B40,INCORRIDO!$E$6:$E$5005,AK$7)+IF(AK$7&gt;PARAMETROS!$C$12,IF($H40&gt;0,$G40*CURVA!AK40/$H40,0)*AK$6,0))</f>
        <v>0</v>
      </c>
      <c r="AL40" s="19" t="n">
        <f aca="false">IF($B40="",0,SUMIFS(INCORRIDO!$C$6:$C$5005,INCORRIDO!$D$6:$D$5005,$B40,INCORRIDO!$E$6:$E$5005,AL$7)+IF(AL$7&gt;PARAMETROS!$C$12,IF($H40&gt;0,$G40*CURVA!AL40/$H40,0)*AL$6,0))</f>
        <v>0</v>
      </c>
      <c r="AM40" s="19" t="n">
        <f aca="false">IF($B40="",0,SUMIFS(INCORRIDO!$C$6:$C$5005,INCORRIDO!$D$6:$D$5005,$B40,INCORRIDO!$E$6:$E$5005,AM$7)+IF(AM$7&gt;PARAMETROS!$C$12,IF($H40&gt;0,$G40*CURVA!AM40/$H40,0)*AM$6,0))</f>
        <v>0</v>
      </c>
      <c r="AN40" s="19" t="n">
        <f aca="false">IF($B40="",0,SUMIFS(INCORRIDO!$C$6:$C$5005,INCORRIDO!$D$6:$D$5005,$B40,INCORRIDO!$E$6:$E$5005,AN$7)+IF(AN$7&gt;PARAMETROS!$C$12,IF($H40&gt;0,$G40*CURVA!AN40/$H40,0)*AN$6,0))</f>
        <v>0</v>
      </c>
      <c r="AO40" s="19" t="n">
        <f aca="false">IF($B40="",0,SUMIFS(INCORRIDO!$C$6:$C$5005,INCORRIDO!$D$6:$D$5005,$B40,INCORRIDO!$E$6:$E$5005,AO$7)+IF(AO$7&gt;PARAMETROS!$C$12,IF($H40&gt;0,$G40*CURVA!AO40/$H40,0)*AO$6,0))</f>
        <v>0</v>
      </c>
      <c r="AP40" s="19" t="n">
        <f aca="false">IF($B40="",0,SUMIFS(INCORRIDO!$C$6:$C$5005,INCORRIDO!$D$6:$D$5005,$B40,INCORRIDO!$E$6:$E$5005,AP$7)+IF(AP$7&gt;PARAMETROS!$C$12,IF($H40&gt;0,$G40*CURVA!AP40/$H40,0)*AP$6,0))</f>
        <v>0</v>
      </c>
      <c r="AQ40" s="19" t="n">
        <f aca="false">IF($B40="",0,SUMIFS(INCORRIDO!$C$6:$C$5005,INCORRIDO!$D$6:$D$5005,$B40,INCORRIDO!$E$6:$E$5005,AQ$7)+IF(AQ$7&gt;PARAMETROS!$C$12,IF($H40&gt;0,$G40*CURVA!AQ40/$H40,0)*AQ$6,0))</f>
        <v>0</v>
      </c>
      <c r="AR40" s="19" t="n">
        <f aca="false">IF($B40="",0,SUMIFS(INCORRIDO!$C$6:$C$5005,INCORRIDO!$D$6:$D$5005,$B40,INCORRIDO!$E$6:$E$5005,AR$7)+IF(AR$7&gt;PARAMETROS!$C$12,IF($H40&gt;0,$G40*CURVA!AR40/$H40,0)*AR$6,0))</f>
        <v>0</v>
      </c>
      <c r="AS40" s="19" t="n">
        <f aca="false">IF($B40="",0,SUMIFS(INCORRIDO!$C$6:$C$5005,INCORRIDO!$D$6:$D$5005,$B40,INCORRIDO!$E$6:$E$5005,AS$7)+IF(AS$7&gt;PARAMETROS!$C$12,IF($H40&gt;0,$G40*CURVA!AS40/$H40,0)*AS$6,0))</f>
        <v>69290.320389</v>
      </c>
      <c r="AT40" s="19" t="n">
        <f aca="false">IF($B40="",0,SUMIFS(INCORRIDO!$C$6:$C$5005,INCORRIDO!$D$6:$D$5005,$B40,INCORRIDO!$E$6:$E$5005,AT$7)+IF(AT$7&gt;PARAMETROS!$C$12,IF($H40&gt;0,$G40*CURVA!AT40/$H40,0)*AT$6,0))</f>
        <v>132168.160742</v>
      </c>
      <c r="AU40" s="19" t="n">
        <f aca="false">IF($B40="",0,SUMIFS(INCORRIDO!$C$6:$C$5005,INCORRIDO!$D$6:$D$5005,$B40,INCORRIDO!$E$6:$E$5005,AU$7)+IF(AU$7&gt;PARAMETROS!$C$12,IF($H40&gt;0,$G40*CURVA!AU40/$H40,0)*AU$6,0))</f>
        <v>113999.49064</v>
      </c>
      <c r="AV40" s="19" t="n">
        <f aca="false">IF($B40="",0,SUMIFS(INCORRIDO!$C$6:$C$5005,INCORRIDO!$D$6:$D$5005,$B40,INCORRIDO!$E$6:$E$5005,AV$7)+IF(AV$7&gt;PARAMETROS!$C$12,IF($H40&gt;0,$G40*CURVA!AV40/$H40,0)*AV$6,0))</f>
        <v>155680.560874</v>
      </c>
      <c r="AW40" s="19" t="n">
        <f aca="false">IF($B40="",0,SUMIFS(INCORRIDO!$C$6:$C$5005,INCORRIDO!$D$6:$D$5005,$B40,INCORRIDO!$E$6:$E$5005,AW$7)+IF(AW$7&gt;PARAMETROS!$C$12,IF($H40&gt;0,$G40*CURVA!AW40/$H40,0)*AW$6,0))</f>
        <v>148199.340832</v>
      </c>
      <c r="AX40" s="19" t="n">
        <f aca="false">IF($B40="",0,SUMIFS(INCORRIDO!$C$6:$C$5005,INCORRIDO!$D$6:$D$5005,$B40,INCORRIDO!$E$6:$E$5005,AX$7)+IF(AX$7&gt;PARAMETROS!$C$12,IF($H40&gt;0,$G40*CURVA!AX40/$H40,0)*AX$6,0))</f>
        <v>290876.841633</v>
      </c>
      <c r="AY40" s="19" t="n">
        <f aca="false">IF($B40="",0,SUMIFS(INCORRIDO!$C$6:$C$5005,INCORRIDO!$D$6:$D$5005,$B40,INCORRIDO!$E$6:$E$5005,AY$7)+IF(AY$7&gt;PARAMETROS!$C$12,IF($H40&gt;0,$G40*CURVA!AY40/$H40,0)*AY$6,0))</f>
        <v>198252.251113</v>
      </c>
      <c r="AZ40" s="19" t="n">
        <f aca="false">IF($B40="",0,SUMIFS(INCORRIDO!$C$6:$C$5005,INCORRIDO!$D$6:$D$5005,$B40,INCORRIDO!$E$6:$E$5005,AZ$7)+IF(AZ$7&gt;PARAMETROS!$C$12,IF($H40&gt;0,$G40*CURVA!AZ40/$H40,0)*AZ$6,0))</f>
        <v>153008.700859</v>
      </c>
      <c r="BA40" s="19" t="n">
        <f aca="false">IF($B40="",0,SUMIFS(INCORRIDO!$C$6:$C$5005,INCORRIDO!$D$6:$D$5005,$B40,INCORRIDO!$E$6:$E$5005,BA$7)+IF(BA$7&gt;PARAMETROS!$C$12,IF($H40&gt;0,$G40*CURVA!BA40/$H40,0)*BA$6,0))</f>
        <v>144814.980813</v>
      </c>
      <c r="BB40" s="19" t="n">
        <f aca="false">IF($B40="",0,SUMIFS(INCORRIDO!$C$6:$C$5005,INCORRIDO!$D$6:$D$5005,$B40,INCORRIDO!$E$6:$E$5005,BB$7)+IF(BB$7&gt;PARAMETROS!$C$12,IF($H40&gt;0,$G40*CURVA!BB40/$H40,0)*BB$6,0))</f>
        <v>139827.510785</v>
      </c>
      <c r="BC40" s="19" t="n">
        <f aca="false">IF($B40="",0,SUMIFS(INCORRIDO!$C$6:$C$5005,INCORRIDO!$D$6:$D$5005,$B40,INCORRIDO!$E$6:$E$5005,BC$7)+IF(BC$7&gt;PARAMETROS!$C$12,IF($H40&gt;0,$G40*CURVA!BC40/$H40,0)*BC$6,0))</f>
        <v>132524.410744</v>
      </c>
      <c r="BD40" s="19" t="n">
        <f aca="false">IF($B40="",0,SUMIFS(INCORRIDO!$C$6:$C$5005,INCORRIDO!$D$6:$D$5005,$B40,INCORRIDO!$E$6:$E$5005,BD$7)+IF(BD$7&gt;PARAMETROS!$C$12,IF($H40&gt;0,$G40*CURVA!BD40/$H40,0)*BD$6,0))</f>
        <v>29746.740167</v>
      </c>
      <c r="BE40" s="19" t="n">
        <f aca="false">IF($B40="",0,SUMIFS(INCORRIDO!$C$6:$C$5005,INCORRIDO!$D$6:$D$5005,$B40,INCORRIDO!$E$6:$E$5005,BE$7)+IF(BE$7&gt;PARAMETROS!$C$12,IF($H40&gt;0,$G40*CURVA!BE40/$H40,0)*BE$6,0))</f>
        <v>56643.500318</v>
      </c>
      <c r="BF40" s="19" t="n">
        <f aca="false">IF($B40="",0,SUMIFS(INCORRIDO!$C$6:$C$5005,INCORRIDO!$D$6:$D$5005,$B40,INCORRIDO!$E$6:$E$5005,BF$7)+IF(BF$7&gt;PARAMETROS!$C$12,IF($H40&gt;0,$G40*CURVA!BF40/$H40,0)*BF$6,0))</f>
        <v>16209.300091</v>
      </c>
      <c r="BG40" s="19" t="n">
        <f aca="false">IF($B40="",0,SUMIFS(INCORRIDO!$C$6:$C$5005,INCORRIDO!$D$6:$D$5005,$B40,INCORRIDO!$E$6:$E$5005,BG$7)+IF(BG$7&gt;PARAMETROS!$C$12,IF($H40&gt;0,$G40*CURVA!BG40/$H40,0)*BG$6,0))</f>
        <v>0</v>
      </c>
      <c r="BH40" s="19" t="n">
        <f aca="false">IF($B40="",0,SUMIFS(INCORRIDO!$C$6:$C$5005,INCORRIDO!$D$6:$D$5005,$B40,INCORRIDO!$E$6:$E$5005,BH$7)+IF(BH$7&gt;PARAMETROS!$C$12,IF($H40&gt;0,$G40*CURVA!BH40/$H40,0)*BH$6,0))</f>
        <v>0</v>
      </c>
      <c r="BI40" s="19" t="n">
        <f aca="false">IF($B40="",0,SUMIFS(INCORRIDO!$C$6:$C$5005,INCORRIDO!$D$6:$D$5005,$B40,INCORRIDO!$E$6:$E$5005,BI$7)+IF(BI$7&gt;PARAMETROS!$C$12,IF($H40&gt;0,$G40*CURVA!BI40/$H40,0)*BI$6,0))</f>
        <v>0</v>
      </c>
      <c r="BJ40" s="19" t="n">
        <f aca="false">IF($B40="",0,SUMIFS(INCORRIDO!$C$6:$C$5005,INCORRIDO!$D$6:$D$5005,$B40,INCORRIDO!$E$6:$E$5005,BJ$7)+IF(BJ$7&gt;PARAMETROS!$C$12,IF($H40&gt;0,$G40*CURVA!BJ40/$H40,0)*BJ$6,0))</f>
        <v>0</v>
      </c>
      <c r="BK40" s="19" t="n">
        <f aca="false">IF($B40="",0,SUMIFS(INCORRIDO!$C$6:$C$5005,INCORRIDO!$D$6:$D$5005,$B40,INCORRIDO!$E$6:$E$5005,BK$7)+IF(BK$7&gt;PARAMETROS!$C$12,IF($H40&gt;0,$G40*CURVA!BK40/$H40,0)*BK$6,0))</f>
        <v>0</v>
      </c>
      <c r="BL40" s="19" t="n">
        <f aca="false">IF($B40="",0,SUMIFS(INCORRIDO!$C$6:$C$5005,INCORRIDO!$D$6:$D$5005,$B40,INCORRIDO!$E$6:$E$5005,BL$7)+IF(BL$7&gt;PARAMETROS!$C$12,IF($H40&gt;0,$G40*CURVA!BL40/$H40,0)*BL$6,0))</f>
        <v>0</v>
      </c>
      <c r="BM40" s="19" t="n">
        <f aca="false">IF($B40="",0,SUMIFS(INCORRIDO!$C$6:$C$5005,INCORRIDO!$D$6:$D$5005,$B40,INCORRIDO!$E$6:$E$5005,BM$7)+IF(BM$7&gt;PARAMETROS!$C$12,IF($H40&gt;0,$G40*CURVA!BM40/$H40,0)*BM$6,0))</f>
        <v>0</v>
      </c>
      <c r="BN40" s="19" t="n">
        <f aca="false">IF($B40="",0,SUMIFS(INCORRIDO!$C$6:$C$5005,INCORRIDO!$D$6:$D$5005,$B40,INCORRIDO!$E$6:$E$5005,BN$7)+IF(BN$7&gt;PARAMETROS!$C$12,IF($H40&gt;0,$G40*CURVA!BN40/$H40,0)*BN$6,0))</f>
        <v>0</v>
      </c>
      <c r="BO40" s="19" t="n">
        <f aca="false">IF($B40="",0,SUMIFS(INCORRIDO!$C$6:$C$5005,INCORRIDO!$D$6:$D$5005,$B40,INCORRIDO!$E$6:$E$5005,BO$7)+IF(BO$7&gt;PARAMETROS!$C$12,IF($H40&gt;0,$G40*CURVA!BO40/$H40,0)*BO$6,0))</f>
        <v>0</v>
      </c>
      <c r="BP40" s="19" t="n">
        <f aca="false">IF($B40="",0,SUMIFS(INCORRIDO!$C$6:$C$5005,INCORRIDO!$D$6:$D$5005,$B40,INCORRIDO!$E$6:$E$5005,BP$7)+IF(BP$7&gt;PARAMETROS!$C$12,IF($H40&gt;0,$G40*CURVA!BP40/$H40,0)*BP$6,0))</f>
        <v>0</v>
      </c>
      <c r="BQ40" s="19" t="n">
        <f aca="false">IF($B40="",0,SUMIFS(INCORRIDO!$C$6:$C$5005,INCORRIDO!$D$6:$D$5005,$B40,INCORRIDO!$E$6:$E$5005,BQ$7)+IF(BQ$7&gt;PARAMETROS!$C$12,IF($H40&gt;0,$G40*CURVA!BQ40/$H40,0)*BQ$6,0))</f>
        <v>0</v>
      </c>
      <c r="BR40" s="19" t="n">
        <f aca="false">IF($B40="",0,SUMIFS(INCORRIDO!$C$6:$C$5005,INCORRIDO!$D$6:$D$5005,$B40,INCORRIDO!$E$6:$E$5005,BR$7)+IF(BR$7&gt;PARAMETROS!$C$12,IF($H40&gt;0,$G40*CURVA!BR40/$H40,0)*BR$6,0))</f>
        <v>0</v>
      </c>
      <c r="BS40" s="19" t="n">
        <f aca="false">IF($B40="",0,SUMIFS(INCORRIDO!$C$6:$C$5005,INCORRIDO!$D$6:$D$5005,$B40,INCORRIDO!$E$6:$E$5005,BS$7)+IF(BS$7&gt;PARAMETROS!$C$12,IF($H40&gt;0,$G40*CURVA!BS40/$H40,0)*BS$6,0))</f>
        <v>0</v>
      </c>
      <c r="BT40" s="19" t="n">
        <f aca="false">IF($B40="",0,SUMIFS(INCORRIDO!$C$6:$C$5005,INCORRIDO!$D$6:$D$5005,$B40,INCORRIDO!$E$6:$E$5005,BT$7)+IF(BT$7&gt;PARAMETROS!$C$12,IF($H40&gt;0,$G40*CURVA!BT40/$H40,0)*BT$6,0))</f>
        <v>0</v>
      </c>
      <c r="BU40" s="19" t="n">
        <f aca="false">IF($B40="",0,SUMIFS(INCORRIDO!$C$6:$C$5005,INCORRIDO!$D$6:$D$5005,$B40,INCORRIDO!$E$6:$E$5005,BU$7)+IF(BU$7&gt;PARAMETROS!$C$12,IF($H40&gt;0,$G40*CURVA!BU40/$H40,0)*BU$6,0))</f>
        <v>0</v>
      </c>
      <c r="BV40" s="19" t="n">
        <f aca="false">IF($B40="",0,SUMIFS(INCORRIDO!$C$6:$C$5005,INCORRIDO!$D$6:$D$5005,$B40,INCORRIDO!$E$6:$E$5005,BV$7)+IF(BV$7&gt;PARAMETROS!$C$12,IF($H40&gt;0,$G40*CURVA!BV40/$H40,0)*BV$6,0))</f>
        <v>0</v>
      </c>
      <c r="BW40" s="19" t="n">
        <f aca="false">IF($B40="",0,SUMIFS(INCORRIDO!$C$6:$C$5005,INCORRIDO!$D$6:$D$5005,$B40,INCORRIDO!$E$6:$E$5005,BW$7)+IF(BW$7&gt;PARAMETROS!$C$12,IF($H40&gt;0,$G40*CURVA!BW40/$H40,0)*BW$6,0))</f>
        <v>0</v>
      </c>
      <c r="BX40" s="19" t="n">
        <f aca="false">IF($B40="",0,SUMIFS(INCORRIDO!$C$6:$C$5005,INCORRIDO!$D$6:$D$5005,$B40,INCORRIDO!$E$6:$E$5005,BX$7)+IF(BX$7&gt;PARAMETROS!$C$12,IF($H40&gt;0,$G40*CURVA!BX40/$H40,0)*BX$6,0))</f>
        <v>0</v>
      </c>
      <c r="BY40" s="19" t="n">
        <f aca="false">IF($B40="",0,SUMIFS(INCORRIDO!$C$6:$C$5005,INCORRIDO!$D$6:$D$5005,$B40,INCORRIDO!$E$6:$E$5005,BY$7)+IF(BY$7&gt;PARAMETROS!$C$12,IF($H40&gt;0,$G40*CURVA!BY40/$H40,0)*BY$6,0))</f>
        <v>0</v>
      </c>
      <c r="BZ40" s="19" t="n">
        <f aca="false">IF($B40="",0,SUMIFS(INCORRIDO!$C$6:$C$5005,INCORRIDO!$D$6:$D$5005,$B40,INCORRIDO!$E$6:$E$5005,BZ$7)+IF(BZ$7&gt;PARAMETROS!$C$12,IF($H40&gt;0,$G40*CURVA!BZ40/$H40,0)*BZ$6,0))</f>
        <v>0</v>
      </c>
      <c r="CA40" s="19" t="n">
        <f aca="false">IF($B40="",0,SUMIFS(INCORRIDO!$C$6:$C$5005,INCORRIDO!$D$6:$D$5005,$B40,INCORRIDO!$E$6:$E$5005,CA$7)+IF(CA$7&gt;PARAMETROS!$C$12,IF($H40&gt;0,$G40*CURVA!CA40/$H40,0)*CA$6,0))</f>
        <v>0</v>
      </c>
      <c r="CB40" s="19" t="n">
        <f aca="false">IF($B40="",0,SUMIFS(INCORRIDO!$C$6:$C$5005,INCORRIDO!$D$6:$D$5005,$B40,INCORRIDO!$E$6:$E$5005,CB$7)+IF(CB$7&gt;PARAMETROS!$C$12,IF($H40&gt;0,$G40*CURVA!CB40/$H40,0)*CB$6,0))</f>
        <v>0</v>
      </c>
      <c r="CC40" s="19" t="n">
        <f aca="false">IF($B40="",0,SUMIFS(INCORRIDO!$C$6:$C$5005,INCORRIDO!$D$6:$D$5005,$B40,INCORRIDO!$E$6:$E$5005,CC$7)+IF(CC$7&gt;PARAMETROS!$C$12,IF($H40&gt;0,$G40*CURVA!CC40/$H40,0)*CC$6,0))</f>
        <v>0</v>
      </c>
    </row>
    <row r="41" customFormat="false" ht="15" hidden="false" customHeight="false" outlineLevel="0" collapsed="false">
      <c r="A41" s="31" t="str">
        <f aca="false">IF(ORCAMENTO!A39="","",ORCAMENTO!A39)</f>
        <v>34</v>
      </c>
      <c r="B41" s="31" t="str">
        <f aca="false">IF(ORCAMENTO!B39="","",ORCAMENTO!B39)</f>
        <v>LOUÇAS SANITÁRIAS</v>
      </c>
      <c r="C41" s="31" t="str">
        <f aca="false">IF(ORCAMENTO!C39="","",ORCAMENTO!C39)</f>
        <v>ACABAMENTOS</v>
      </c>
      <c r="D41" s="32" t="n">
        <f aca="false">IF($B41="",0,ORCAMENTO!E39)</f>
        <v>2160628.3</v>
      </c>
      <c r="E41" s="19" t="n">
        <f aca="false">IF($B41="",0,SUMIFS(INCORRIDO!$C$6:$C$5005,INCORRIDO!$D$6:$D$5005,$B41,INCORRIDO!$E$6:$E$5005,"&lt;="&amp;PARAMETROS!$C$12))</f>
        <v>0</v>
      </c>
      <c r="F41" s="19" t="n">
        <f aca="false">IF($B41="",0,SUMIFS(INCORRIDO!$C$6:$C$5005,INCORRIDO!$D$6:$D$5005,$B41,INCORRIDO!$E$6:$E$5005,"&gt;"&amp;PARAMETROS!$C$12))</f>
        <v>0</v>
      </c>
      <c r="G41" s="19" t="n">
        <f aca="false">MAX(0,D41-E41-F41)</f>
        <v>2160628.3</v>
      </c>
      <c r="H41" s="32" t="n">
        <f aca="false">CURVA!H41</f>
        <v>2160628.3</v>
      </c>
      <c r="I41" s="19" t="n">
        <f aca="false">SUM(J41:CC41)</f>
        <v>2160628.3</v>
      </c>
      <c r="J41" s="19" t="n">
        <f aca="false">IF($B41="",0,SUMIFS(INCORRIDO!$C$6:$C$5005,INCORRIDO!$D$6:$D$5005,$B41,INCORRIDO!$E$6:$E$5005,"&lt;="&amp;J$7)+IF(J$7&gt;PARAMETROS!$C$12,IF($H41&gt;0,$G41*CURVA!J41/$H41,0)*J$6,0))</f>
        <v>0</v>
      </c>
      <c r="K41" s="19" t="n">
        <f aca="false">IF($B41="",0,SUMIFS(INCORRIDO!$C$6:$C$5005,INCORRIDO!$D$6:$D$5005,$B41,INCORRIDO!$E$6:$E$5005,K$7)+IF(K$7&gt;PARAMETROS!$C$12,IF($H41&gt;0,$G41*CURVA!K41/$H41,0)*K$6,0))</f>
        <v>0</v>
      </c>
      <c r="L41" s="19" t="n">
        <f aca="false">IF($B41="",0,SUMIFS(INCORRIDO!$C$6:$C$5005,INCORRIDO!$D$6:$D$5005,$B41,INCORRIDO!$E$6:$E$5005,L$7)+IF(L$7&gt;PARAMETROS!$C$12,IF($H41&gt;0,$G41*CURVA!L41/$H41,0)*L$6,0))</f>
        <v>0</v>
      </c>
      <c r="M41" s="19" t="n">
        <f aca="false">IF($B41="",0,SUMIFS(INCORRIDO!$C$6:$C$5005,INCORRIDO!$D$6:$D$5005,$B41,INCORRIDO!$E$6:$E$5005,M$7)+IF(M$7&gt;PARAMETROS!$C$12,IF($H41&gt;0,$G41*CURVA!M41/$H41,0)*M$6,0))</f>
        <v>0</v>
      </c>
      <c r="N41" s="19" t="n">
        <f aca="false">IF($B41="",0,SUMIFS(INCORRIDO!$C$6:$C$5005,INCORRIDO!$D$6:$D$5005,$B41,INCORRIDO!$E$6:$E$5005,N$7)+IF(N$7&gt;PARAMETROS!$C$12,IF($H41&gt;0,$G41*CURVA!N41/$H41,0)*N$6,0))</f>
        <v>0</v>
      </c>
      <c r="O41" s="19" t="n">
        <f aca="false">IF($B41="",0,SUMIFS(INCORRIDO!$C$6:$C$5005,INCORRIDO!$D$6:$D$5005,$B41,INCORRIDO!$E$6:$E$5005,O$7)+IF(O$7&gt;PARAMETROS!$C$12,IF($H41&gt;0,$G41*CURVA!O41/$H41,0)*O$6,0))</f>
        <v>0</v>
      </c>
      <c r="P41" s="19" t="n">
        <f aca="false">IF($B41="",0,SUMIFS(INCORRIDO!$C$6:$C$5005,INCORRIDO!$D$6:$D$5005,$B41,INCORRIDO!$E$6:$E$5005,P$7)+IF(P$7&gt;PARAMETROS!$C$12,IF($H41&gt;0,$G41*CURVA!P41/$H41,0)*P$6,0))</f>
        <v>0</v>
      </c>
      <c r="Q41" s="19" t="n">
        <f aca="false">IF($B41="",0,SUMIFS(INCORRIDO!$C$6:$C$5005,INCORRIDO!$D$6:$D$5005,$B41,INCORRIDO!$E$6:$E$5005,Q$7)+IF(Q$7&gt;PARAMETROS!$C$12,IF($H41&gt;0,$G41*CURVA!Q41/$H41,0)*Q$6,0))</f>
        <v>0</v>
      </c>
      <c r="R41" s="19" t="n">
        <f aca="false">IF($B41="",0,SUMIFS(INCORRIDO!$C$6:$C$5005,INCORRIDO!$D$6:$D$5005,$B41,INCORRIDO!$E$6:$E$5005,R$7)+IF(R$7&gt;PARAMETROS!$C$12,IF($H41&gt;0,$G41*CURVA!R41/$H41,0)*R$6,0))</f>
        <v>0</v>
      </c>
      <c r="S41" s="19" t="n">
        <f aca="false">IF($B41="",0,SUMIFS(INCORRIDO!$C$6:$C$5005,INCORRIDO!$D$6:$D$5005,$B41,INCORRIDO!$E$6:$E$5005,S$7)+IF(S$7&gt;PARAMETROS!$C$12,IF($H41&gt;0,$G41*CURVA!S41/$H41,0)*S$6,0))</f>
        <v>0</v>
      </c>
      <c r="T41" s="19" t="n">
        <f aca="false">IF($B41="",0,SUMIFS(INCORRIDO!$C$6:$C$5005,INCORRIDO!$D$6:$D$5005,$B41,INCORRIDO!$E$6:$E$5005,T$7)+IF(T$7&gt;PARAMETROS!$C$12,IF($H41&gt;0,$G41*CURVA!T41/$H41,0)*T$6,0))</f>
        <v>0</v>
      </c>
      <c r="U41" s="19" t="n">
        <f aca="false">IF($B41="",0,SUMIFS(INCORRIDO!$C$6:$C$5005,INCORRIDO!$D$6:$D$5005,$B41,INCORRIDO!$E$6:$E$5005,U$7)+IF(U$7&gt;PARAMETROS!$C$12,IF($H41&gt;0,$G41*CURVA!U41/$H41,0)*U$6,0))</f>
        <v>0</v>
      </c>
      <c r="V41" s="19" t="n">
        <f aca="false">IF($B41="",0,SUMIFS(INCORRIDO!$C$6:$C$5005,INCORRIDO!$D$6:$D$5005,$B41,INCORRIDO!$E$6:$E$5005,V$7)+IF(V$7&gt;PARAMETROS!$C$12,IF($H41&gt;0,$G41*CURVA!V41/$H41,0)*V$6,0))</f>
        <v>0</v>
      </c>
      <c r="W41" s="19" t="n">
        <f aca="false">IF($B41="",0,SUMIFS(INCORRIDO!$C$6:$C$5005,INCORRIDO!$D$6:$D$5005,$B41,INCORRIDO!$E$6:$E$5005,W$7)+IF(W$7&gt;PARAMETROS!$C$12,IF($H41&gt;0,$G41*CURVA!W41/$H41,0)*W$6,0))</f>
        <v>0</v>
      </c>
      <c r="X41" s="19" t="n">
        <f aca="false">IF($B41="",0,SUMIFS(INCORRIDO!$C$6:$C$5005,INCORRIDO!$D$6:$D$5005,$B41,INCORRIDO!$E$6:$E$5005,X$7)+IF(X$7&gt;PARAMETROS!$C$12,IF($H41&gt;0,$G41*CURVA!X41/$H41,0)*X$6,0))</f>
        <v>0</v>
      </c>
      <c r="Y41" s="19" t="n">
        <f aca="false">IF($B41="",0,SUMIFS(INCORRIDO!$C$6:$C$5005,INCORRIDO!$D$6:$D$5005,$B41,INCORRIDO!$E$6:$E$5005,Y$7)+IF(Y$7&gt;PARAMETROS!$C$12,IF($H41&gt;0,$G41*CURVA!Y41/$H41,0)*Y$6,0))</f>
        <v>0</v>
      </c>
      <c r="Z41" s="19" t="n">
        <f aca="false">IF($B41="",0,SUMIFS(INCORRIDO!$C$6:$C$5005,INCORRIDO!$D$6:$D$5005,$B41,INCORRIDO!$E$6:$E$5005,Z$7)+IF(Z$7&gt;PARAMETROS!$C$12,IF($H41&gt;0,$G41*CURVA!Z41/$H41,0)*Z$6,0))</f>
        <v>0</v>
      </c>
      <c r="AA41" s="19" t="n">
        <f aca="false">IF($B41="",0,SUMIFS(INCORRIDO!$C$6:$C$5005,INCORRIDO!$D$6:$D$5005,$B41,INCORRIDO!$E$6:$E$5005,AA$7)+IF(AA$7&gt;PARAMETROS!$C$12,IF($H41&gt;0,$G41*CURVA!AA41/$H41,0)*AA$6,0))</f>
        <v>0</v>
      </c>
      <c r="AB41" s="19" t="n">
        <f aca="false">IF($B41="",0,SUMIFS(INCORRIDO!$C$6:$C$5005,INCORRIDO!$D$6:$D$5005,$B41,INCORRIDO!$E$6:$E$5005,AB$7)+IF(AB$7&gt;PARAMETROS!$C$12,IF($H41&gt;0,$G41*CURVA!AB41/$H41,0)*AB$6,0))</f>
        <v>0</v>
      </c>
      <c r="AC41" s="19" t="n">
        <f aca="false">IF($B41="",0,SUMIFS(INCORRIDO!$C$6:$C$5005,INCORRIDO!$D$6:$D$5005,$B41,INCORRIDO!$E$6:$E$5005,AC$7)+IF(AC$7&gt;PARAMETROS!$C$12,IF($H41&gt;0,$G41*CURVA!AC41/$H41,0)*AC$6,0))</f>
        <v>0</v>
      </c>
      <c r="AD41" s="19" t="n">
        <f aca="false">IF($B41="",0,SUMIFS(INCORRIDO!$C$6:$C$5005,INCORRIDO!$D$6:$D$5005,$B41,INCORRIDO!$E$6:$E$5005,AD$7)+IF(AD$7&gt;PARAMETROS!$C$12,IF($H41&gt;0,$G41*CURVA!AD41/$H41,0)*AD$6,0))</f>
        <v>0</v>
      </c>
      <c r="AE41" s="19" t="n">
        <f aca="false">IF($B41="",0,SUMIFS(INCORRIDO!$C$6:$C$5005,INCORRIDO!$D$6:$D$5005,$B41,INCORRIDO!$E$6:$E$5005,AE$7)+IF(AE$7&gt;PARAMETROS!$C$12,IF($H41&gt;0,$G41*CURVA!AE41/$H41,0)*AE$6,0))</f>
        <v>0</v>
      </c>
      <c r="AF41" s="19" t="n">
        <f aca="false">IF($B41="",0,SUMIFS(INCORRIDO!$C$6:$C$5005,INCORRIDO!$D$6:$D$5005,$B41,INCORRIDO!$E$6:$E$5005,AF$7)+IF(AF$7&gt;PARAMETROS!$C$12,IF($H41&gt;0,$G41*CURVA!AF41/$H41,0)*AF$6,0))</f>
        <v>0</v>
      </c>
      <c r="AG41" s="19" t="n">
        <f aca="false">IF($B41="",0,SUMIFS(INCORRIDO!$C$6:$C$5005,INCORRIDO!$D$6:$D$5005,$B41,INCORRIDO!$E$6:$E$5005,AG$7)+IF(AG$7&gt;PARAMETROS!$C$12,IF($H41&gt;0,$G41*CURVA!AG41/$H41,0)*AG$6,0))</f>
        <v>0</v>
      </c>
      <c r="AH41" s="19" t="n">
        <f aca="false">IF($B41="",0,SUMIFS(INCORRIDO!$C$6:$C$5005,INCORRIDO!$D$6:$D$5005,$B41,INCORRIDO!$E$6:$E$5005,AH$7)+IF(AH$7&gt;PARAMETROS!$C$12,IF($H41&gt;0,$G41*CURVA!AH41/$H41,0)*AH$6,0))</f>
        <v>0</v>
      </c>
      <c r="AI41" s="19" t="n">
        <f aca="false">IF($B41="",0,SUMIFS(INCORRIDO!$C$6:$C$5005,INCORRIDO!$D$6:$D$5005,$B41,INCORRIDO!$E$6:$E$5005,AI$7)+IF(AI$7&gt;PARAMETROS!$C$12,IF($H41&gt;0,$G41*CURVA!AI41/$H41,0)*AI$6,0))</f>
        <v>0</v>
      </c>
      <c r="AJ41" s="19" t="n">
        <f aca="false">IF($B41="",0,SUMIFS(INCORRIDO!$C$6:$C$5005,INCORRIDO!$D$6:$D$5005,$B41,INCORRIDO!$E$6:$E$5005,AJ$7)+IF(AJ$7&gt;PARAMETROS!$C$12,IF($H41&gt;0,$G41*CURVA!AJ41/$H41,0)*AJ$6,0))</f>
        <v>0</v>
      </c>
      <c r="AK41" s="19" t="n">
        <f aca="false">IF($B41="",0,SUMIFS(INCORRIDO!$C$6:$C$5005,INCORRIDO!$D$6:$D$5005,$B41,INCORRIDO!$E$6:$E$5005,AK$7)+IF(AK$7&gt;PARAMETROS!$C$12,IF($H41&gt;0,$G41*CURVA!AK41/$H41,0)*AK$6,0))</f>
        <v>0</v>
      </c>
      <c r="AL41" s="19" t="n">
        <f aca="false">IF($B41="",0,SUMIFS(INCORRIDO!$C$6:$C$5005,INCORRIDO!$D$6:$D$5005,$B41,INCORRIDO!$E$6:$E$5005,AL$7)+IF(AL$7&gt;PARAMETROS!$C$12,IF($H41&gt;0,$G41*CURVA!AL41/$H41,0)*AL$6,0))</f>
        <v>0</v>
      </c>
      <c r="AM41" s="19" t="n">
        <f aca="false">IF($B41="",0,SUMIFS(INCORRIDO!$C$6:$C$5005,INCORRIDO!$D$6:$D$5005,$B41,INCORRIDO!$E$6:$E$5005,AM$7)+IF(AM$7&gt;PARAMETROS!$C$12,IF($H41&gt;0,$G41*CURVA!AM41/$H41,0)*AM$6,0))</f>
        <v>0</v>
      </c>
      <c r="AN41" s="19" t="n">
        <f aca="false">IF($B41="",0,SUMIFS(INCORRIDO!$C$6:$C$5005,INCORRIDO!$D$6:$D$5005,$B41,INCORRIDO!$E$6:$E$5005,AN$7)+IF(AN$7&gt;PARAMETROS!$C$12,IF($H41&gt;0,$G41*CURVA!AN41/$H41,0)*AN$6,0))</f>
        <v>0</v>
      </c>
      <c r="AO41" s="19" t="n">
        <f aca="false">IF($B41="",0,SUMIFS(INCORRIDO!$C$6:$C$5005,INCORRIDO!$D$6:$D$5005,$B41,INCORRIDO!$E$6:$E$5005,AO$7)+IF(AO$7&gt;PARAMETROS!$C$12,IF($H41&gt;0,$G41*CURVA!AO41/$H41,0)*AO$6,0))</f>
        <v>0</v>
      </c>
      <c r="AP41" s="19" t="n">
        <f aca="false">IF($B41="",0,SUMIFS(INCORRIDO!$C$6:$C$5005,INCORRIDO!$D$6:$D$5005,$B41,INCORRIDO!$E$6:$E$5005,AP$7)+IF(AP$7&gt;PARAMETROS!$C$12,IF($H41&gt;0,$G41*CURVA!AP41/$H41,0)*AP$6,0))</f>
        <v>0</v>
      </c>
      <c r="AQ41" s="19" t="n">
        <f aca="false">IF($B41="",0,SUMIFS(INCORRIDO!$C$6:$C$5005,INCORRIDO!$D$6:$D$5005,$B41,INCORRIDO!$E$6:$E$5005,AQ$7)+IF(AQ$7&gt;PARAMETROS!$C$12,IF($H41&gt;0,$G41*CURVA!AQ41/$H41,0)*AQ$6,0))</f>
        <v>0</v>
      </c>
      <c r="AR41" s="19" t="n">
        <f aca="false">IF($B41="",0,SUMIFS(INCORRIDO!$C$6:$C$5005,INCORRIDO!$D$6:$D$5005,$B41,INCORRIDO!$E$6:$E$5005,AR$7)+IF(AR$7&gt;PARAMETROS!$C$12,IF($H41&gt;0,$G41*CURVA!AR41/$H41,0)*AR$6,0))</f>
        <v>0</v>
      </c>
      <c r="AS41" s="19" t="n">
        <f aca="false">IF($B41="",0,SUMIFS(INCORRIDO!$C$6:$C$5005,INCORRIDO!$D$6:$D$5005,$B41,INCORRIDO!$E$6:$E$5005,AS$7)+IF(AS$7&gt;PARAMETROS!$C$12,IF($H41&gt;0,$G41*CURVA!AS41/$H41,0)*AS$6,0))</f>
        <v>0</v>
      </c>
      <c r="AT41" s="19" t="n">
        <f aca="false">IF($B41="",0,SUMIFS(INCORRIDO!$C$6:$C$5005,INCORRIDO!$D$6:$D$5005,$B41,INCORRIDO!$E$6:$E$5005,AT$7)+IF(AT$7&gt;PARAMETROS!$C$12,IF($H41&gt;0,$G41*CURVA!AT41/$H41,0)*AT$6,0))</f>
        <v>0</v>
      </c>
      <c r="AU41" s="19" t="n">
        <f aca="false">IF($B41="",0,SUMIFS(INCORRIDO!$C$6:$C$5005,INCORRIDO!$D$6:$D$5005,$B41,INCORRIDO!$E$6:$E$5005,AU$7)+IF(AU$7&gt;PARAMETROS!$C$12,IF($H41&gt;0,$G41*CURVA!AU41/$H41,0)*AU$6,0))</f>
        <v>0</v>
      </c>
      <c r="AV41" s="19" t="n">
        <f aca="false">IF($B41="",0,SUMIFS(INCORRIDO!$C$6:$C$5005,INCORRIDO!$D$6:$D$5005,$B41,INCORRIDO!$E$6:$E$5005,AV$7)+IF(AV$7&gt;PARAMETROS!$C$12,IF($H41&gt;0,$G41*CURVA!AV41/$H41,0)*AV$6,0))</f>
        <v>0</v>
      </c>
      <c r="AW41" s="19" t="n">
        <f aca="false">IF($B41="",0,SUMIFS(INCORRIDO!$C$6:$C$5005,INCORRIDO!$D$6:$D$5005,$B41,INCORRIDO!$E$6:$E$5005,AW$7)+IF(AW$7&gt;PARAMETROS!$C$12,IF($H41&gt;0,$G41*CURVA!AW41/$H41,0)*AW$6,0))</f>
        <v>0</v>
      </c>
      <c r="AX41" s="19" t="n">
        <f aca="false">IF($B41="",0,SUMIFS(INCORRIDO!$C$6:$C$5005,INCORRIDO!$D$6:$D$5005,$B41,INCORRIDO!$E$6:$E$5005,AX$7)+IF(AX$7&gt;PARAMETROS!$C$12,IF($H41&gt;0,$G41*CURVA!AX41/$H41,0)*AX$6,0))</f>
        <v>204179.37</v>
      </c>
      <c r="AY41" s="19" t="n">
        <f aca="false">IF($B41="",0,SUMIFS(INCORRIDO!$C$6:$C$5005,INCORRIDO!$D$6:$D$5005,$B41,INCORRIDO!$E$6:$E$5005,AY$7)+IF(AY$7&gt;PARAMETROS!$C$12,IF($H41&gt;0,$G41*CURVA!AY41/$H41,0)*AY$6,0))</f>
        <v>174146.64</v>
      </c>
      <c r="AZ41" s="19" t="n">
        <f aca="false">IF($B41="",0,SUMIFS(INCORRIDO!$C$6:$C$5005,INCORRIDO!$D$6:$D$5005,$B41,INCORRIDO!$E$6:$E$5005,AZ$7)+IF(AZ$7&gt;PARAMETROS!$C$12,IF($H41&gt;0,$G41*CURVA!AZ41/$H41,0)*AZ$6,0))</f>
        <v>227082.03</v>
      </c>
      <c r="BA41" s="19" t="n">
        <f aca="false">IF($B41="",0,SUMIFS(INCORRIDO!$C$6:$C$5005,INCORRIDO!$D$6:$D$5005,$B41,INCORRIDO!$E$6:$E$5005,BA$7)+IF(BA$7&gt;PARAMETROS!$C$12,IF($H41&gt;0,$G41*CURVA!BA41/$H41,0)*BA$6,0))</f>
        <v>213686.14</v>
      </c>
      <c r="BB41" s="19" t="n">
        <f aca="false">IF($B41="",0,SUMIFS(INCORRIDO!$C$6:$C$5005,INCORRIDO!$D$6:$D$5005,$B41,INCORRIDO!$E$6:$E$5005,BB$7)+IF(BB$7&gt;PARAMETROS!$C$12,IF($H41&gt;0,$G41*CURVA!BB41/$H41,0)*BB$6,0))</f>
        <v>207420.32</v>
      </c>
      <c r="BC41" s="19" t="n">
        <f aca="false">IF($B41="",0,SUMIFS(INCORRIDO!$C$6:$C$5005,INCORRIDO!$D$6:$D$5005,$B41,INCORRIDO!$E$6:$E$5005,BC$7)+IF(BC$7&gt;PARAMETROS!$C$12,IF($H41&gt;0,$G41*CURVA!BC41/$H41,0)*BC$6,0))</f>
        <v>226001.72</v>
      </c>
      <c r="BD41" s="19" t="n">
        <f aca="false">IF($B41="",0,SUMIFS(INCORRIDO!$C$6:$C$5005,INCORRIDO!$D$6:$D$5005,$B41,INCORRIDO!$E$6:$E$5005,BD$7)+IF(BD$7&gt;PARAMETROS!$C$12,IF($H41&gt;0,$G41*CURVA!BD41/$H41,0)*BD$6,0))</f>
        <v>177603.65</v>
      </c>
      <c r="BE41" s="19" t="n">
        <f aca="false">IF($B41="",0,SUMIFS(INCORRIDO!$C$6:$C$5005,INCORRIDO!$D$6:$D$5005,$B41,INCORRIDO!$E$6:$E$5005,BE$7)+IF(BE$7&gt;PARAMETROS!$C$12,IF($H41&gt;0,$G41*CURVA!BE41/$H41,0)*BE$6,0))</f>
        <v>186894.35</v>
      </c>
      <c r="BF41" s="19" t="n">
        <f aca="false">IF($B41="",0,SUMIFS(INCORRIDO!$C$6:$C$5005,INCORRIDO!$D$6:$D$5005,$B41,INCORRIDO!$E$6:$E$5005,BF$7)+IF(BF$7&gt;PARAMETROS!$C$12,IF($H41&gt;0,$G41*CURVA!BF41/$H41,0)*BF$6,0))</f>
        <v>176091.21</v>
      </c>
      <c r="BG41" s="19" t="n">
        <f aca="false">IF($B41="",0,SUMIFS(INCORRIDO!$C$6:$C$5005,INCORRIDO!$D$6:$D$5005,$B41,INCORRIDO!$E$6:$E$5005,BG$7)+IF(BG$7&gt;PARAMETROS!$C$12,IF($H41&gt;0,$G41*CURVA!BG41/$H41,0)*BG$6,0))</f>
        <v>151676.11</v>
      </c>
      <c r="BH41" s="19" t="n">
        <f aca="false">IF($B41="",0,SUMIFS(INCORRIDO!$C$6:$C$5005,INCORRIDO!$D$6:$D$5005,$B41,INCORRIDO!$E$6:$E$5005,BH$7)+IF(BH$7&gt;PARAMETROS!$C$12,IF($H41&gt;0,$G41*CURVA!BH41/$H41,0)*BH$6,0))</f>
        <v>187326.47</v>
      </c>
      <c r="BI41" s="19" t="n">
        <f aca="false">IF($B41="",0,SUMIFS(INCORRIDO!$C$6:$C$5005,INCORRIDO!$D$6:$D$5005,$B41,INCORRIDO!$E$6:$E$5005,BI$7)+IF(BI$7&gt;PARAMETROS!$C$12,IF($H41&gt;0,$G41*CURVA!BI41/$H41,0)*BI$6,0))</f>
        <v>28520.29</v>
      </c>
      <c r="BJ41" s="19" t="n">
        <f aca="false">IF($B41="",0,SUMIFS(INCORRIDO!$C$6:$C$5005,INCORRIDO!$D$6:$D$5005,$B41,INCORRIDO!$E$6:$E$5005,BJ$7)+IF(BJ$7&gt;PARAMETROS!$C$12,IF($H41&gt;0,$G41*CURVA!BJ41/$H41,0)*BJ$6,0))</f>
        <v>0</v>
      </c>
      <c r="BK41" s="19" t="n">
        <f aca="false">IF($B41="",0,SUMIFS(INCORRIDO!$C$6:$C$5005,INCORRIDO!$D$6:$D$5005,$B41,INCORRIDO!$E$6:$E$5005,BK$7)+IF(BK$7&gt;PARAMETROS!$C$12,IF($H41&gt;0,$G41*CURVA!BK41/$H41,0)*BK$6,0))</f>
        <v>0</v>
      </c>
      <c r="BL41" s="19" t="n">
        <f aca="false">IF($B41="",0,SUMIFS(INCORRIDO!$C$6:$C$5005,INCORRIDO!$D$6:$D$5005,$B41,INCORRIDO!$E$6:$E$5005,BL$7)+IF(BL$7&gt;PARAMETROS!$C$12,IF($H41&gt;0,$G41*CURVA!BL41/$H41,0)*BL$6,0))</f>
        <v>0</v>
      </c>
      <c r="BM41" s="19" t="n">
        <f aca="false">IF($B41="",0,SUMIFS(INCORRIDO!$C$6:$C$5005,INCORRIDO!$D$6:$D$5005,$B41,INCORRIDO!$E$6:$E$5005,BM$7)+IF(BM$7&gt;PARAMETROS!$C$12,IF($H41&gt;0,$G41*CURVA!BM41/$H41,0)*BM$6,0))</f>
        <v>0</v>
      </c>
      <c r="BN41" s="19" t="n">
        <f aca="false">IF($B41="",0,SUMIFS(INCORRIDO!$C$6:$C$5005,INCORRIDO!$D$6:$D$5005,$B41,INCORRIDO!$E$6:$E$5005,BN$7)+IF(BN$7&gt;PARAMETROS!$C$12,IF($H41&gt;0,$G41*CURVA!BN41/$H41,0)*BN$6,0))</f>
        <v>0</v>
      </c>
      <c r="BO41" s="19" t="n">
        <f aca="false">IF($B41="",0,SUMIFS(INCORRIDO!$C$6:$C$5005,INCORRIDO!$D$6:$D$5005,$B41,INCORRIDO!$E$6:$E$5005,BO$7)+IF(BO$7&gt;PARAMETROS!$C$12,IF($H41&gt;0,$G41*CURVA!BO41/$H41,0)*BO$6,0))</f>
        <v>0</v>
      </c>
      <c r="BP41" s="19" t="n">
        <f aca="false">IF($B41="",0,SUMIFS(INCORRIDO!$C$6:$C$5005,INCORRIDO!$D$6:$D$5005,$B41,INCORRIDO!$E$6:$E$5005,BP$7)+IF(BP$7&gt;PARAMETROS!$C$12,IF($H41&gt;0,$G41*CURVA!BP41/$H41,0)*BP$6,0))</f>
        <v>0</v>
      </c>
      <c r="BQ41" s="19" t="n">
        <f aca="false">IF($B41="",0,SUMIFS(INCORRIDO!$C$6:$C$5005,INCORRIDO!$D$6:$D$5005,$B41,INCORRIDO!$E$6:$E$5005,BQ$7)+IF(BQ$7&gt;PARAMETROS!$C$12,IF($H41&gt;0,$G41*CURVA!BQ41/$H41,0)*BQ$6,0))</f>
        <v>0</v>
      </c>
      <c r="BR41" s="19" t="n">
        <f aca="false">IF($B41="",0,SUMIFS(INCORRIDO!$C$6:$C$5005,INCORRIDO!$D$6:$D$5005,$B41,INCORRIDO!$E$6:$E$5005,BR$7)+IF(BR$7&gt;PARAMETROS!$C$12,IF($H41&gt;0,$G41*CURVA!BR41/$H41,0)*BR$6,0))</f>
        <v>0</v>
      </c>
      <c r="BS41" s="19" t="n">
        <f aca="false">IF($B41="",0,SUMIFS(INCORRIDO!$C$6:$C$5005,INCORRIDO!$D$6:$D$5005,$B41,INCORRIDO!$E$6:$E$5005,BS$7)+IF(BS$7&gt;PARAMETROS!$C$12,IF($H41&gt;0,$G41*CURVA!BS41/$H41,0)*BS$6,0))</f>
        <v>0</v>
      </c>
      <c r="BT41" s="19" t="n">
        <f aca="false">IF($B41="",0,SUMIFS(INCORRIDO!$C$6:$C$5005,INCORRIDO!$D$6:$D$5005,$B41,INCORRIDO!$E$6:$E$5005,BT$7)+IF(BT$7&gt;PARAMETROS!$C$12,IF($H41&gt;0,$G41*CURVA!BT41/$H41,0)*BT$6,0))</f>
        <v>0</v>
      </c>
      <c r="BU41" s="19" t="n">
        <f aca="false">IF($B41="",0,SUMIFS(INCORRIDO!$C$6:$C$5005,INCORRIDO!$D$6:$D$5005,$B41,INCORRIDO!$E$6:$E$5005,BU$7)+IF(BU$7&gt;PARAMETROS!$C$12,IF($H41&gt;0,$G41*CURVA!BU41/$H41,0)*BU$6,0))</f>
        <v>0</v>
      </c>
      <c r="BV41" s="19" t="n">
        <f aca="false">IF($B41="",0,SUMIFS(INCORRIDO!$C$6:$C$5005,INCORRIDO!$D$6:$D$5005,$B41,INCORRIDO!$E$6:$E$5005,BV$7)+IF(BV$7&gt;PARAMETROS!$C$12,IF($H41&gt;0,$G41*CURVA!BV41/$H41,0)*BV$6,0))</f>
        <v>0</v>
      </c>
      <c r="BW41" s="19" t="n">
        <f aca="false">IF($B41="",0,SUMIFS(INCORRIDO!$C$6:$C$5005,INCORRIDO!$D$6:$D$5005,$B41,INCORRIDO!$E$6:$E$5005,BW$7)+IF(BW$7&gt;PARAMETROS!$C$12,IF($H41&gt;0,$G41*CURVA!BW41/$H41,0)*BW$6,0))</f>
        <v>0</v>
      </c>
      <c r="BX41" s="19" t="n">
        <f aca="false">IF($B41="",0,SUMIFS(INCORRIDO!$C$6:$C$5005,INCORRIDO!$D$6:$D$5005,$B41,INCORRIDO!$E$6:$E$5005,BX$7)+IF(BX$7&gt;PARAMETROS!$C$12,IF($H41&gt;0,$G41*CURVA!BX41/$H41,0)*BX$6,0))</f>
        <v>0</v>
      </c>
      <c r="BY41" s="19" t="n">
        <f aca="false">IF($B41="",0,SUMIFS(INCORRIDO!$C$6:$C$5005,INCORRIDO!$D$6:$D$5005,$B41,INCORRIDO!$E$6:$E$5005,BY$7)+IF(BY$7&gt;PARAMETROS!$C$12,IF($H41&gt;0,$G41*CURVA!BY41/$H41,0)*BY$6,0))</f>
        <v>0</v>
      </c>
      <c r="BZ41" s="19" t="n">
        <f aca="false">IF($B41="",0,SUMIFS(INCORRIDO!$C$6:$C$5005,INCORRIDO!$D$6:$D$5005,$B41,INCORRIDO!$E$6:$E$5005,BZ$7)+IF(BZ$7&gt;PARAMETROS!$C$12,IF($H41&gt;0,$G41*CURVA!BZ41/$H41,0)*BZ$6,0))</f>
        <v>0</v>
      </c>
      <c r="CA41" s="19" t="n">
        <f aca="false">IF($B41="",0,SUMIFS(INCORRIDO!$C$6:$C$5005,INCORRIDO!$D$6:$D$5005,$B41,INCORRIDO!$E$6:$E$5005,CA$7)+IF(CA$7&gt;PARAMETROS!$C$12,IF($H41&gt;0,$G41*CURVA!CA41/$H41,0)*CA$6,0))</f>
        <v>0</v>
      </c>
      <c r="CB41" s="19" t="n">
        <f aca="false">IF($B41="",0,SUMIFS(INCORRIDO!$C$6:$C$5005,INCORRIDO!$D$6:$D$5005,$B41,INCORRIDO!$E$6:$E$5005,CB$7)+IF(CB$7&gt;PARAMETROS!$C$12,IF($H41&gt;0,$G41*CURVA!CB41/$H41,0)*CB$6,0))</f>
        <v>0</v>
      </c>
      <c r="CC41" s="19" t="n">
        <f aca="false">IF($B41="",0,SUMIFS(INCORRIDO!$C$6:$C$5005,INCORRIDO!$D$6:$D$5005,$B41,INCORRIDO!$E$6:$E$5005,CC$7)+IF(CC$7&gt;PARAMETROS!$C$12,IF($H41&gt;0,$G41*CURVA!CC41/$H41,0)*CC$6,0))</f>
        <v>0</v>
      </c>
    </row>
    <row r="42" customFormat="false" ht="15" hidden="false" customHeight="false" outlineLevel="0" collapsed="false">
      <c r="A42" s="31" t="str">
        <f aca="false">IF(ORCAMENTO!A40="","",ORCAMENTO!A40)</f>
        <v>35</v>
      </c>
      <c r="B42" s="31" t="str">
        <f aca="false">IF(ORCAMENTO!B40="","",ORCAMENTO!B40)</f>
        <v>PINTURA</v>
      </c>
      <c r="C42" s="31" t="str">
        <f aca="false">IF(ORCAMENTO!C40="","",ORCAMENTO!C40)</f>
        <v>ACABAMENTOS</v>
      </c>
      <c r="D42" s="32" t="n">
        <f aca="false">IF($B42="",0,ORCAMENTO!E40)</f>
        <v>3874003.32</v>
      </c>
      <c r="E42" s="19" t="n">
        <f aca="false">IF($B42="",0,SUMIFS(INCORRIDO!$C$6:$C$5005,INCORRIDO!$D$6:$D$5005,$B42,INCORRIDO!$E$6:$E$5005,"&lt;="&amp;PARAMETROS!$C$12))</f>
        <v>0</v>
      </c>
      <c r="F42" s="19" t="n">
        <f aca="false">IF($B42="",0,SUMIFS(INCORRIDO!$C$6:$C$5005,INCORRIDO!$D$6:$D$5005,$B42,INCORRIDO!$E$6:$E$5005,"&gt;"&amp;PARAMETROS!$C$12))</f>
        <v>0</v>
      </c>
      <c r="G42" s="19" t="n">
        <f aca="false">MAX(0,D42-E42-F42)</f>
        <v>3874003.32</v>
      </c>
      <c r="H42" s="32" t="n">
        <f aca="false">CURVA!H42</f>
        <v>3759701.65</v>
      </c>
      <c r="I42" s="19" t="n">
        <f aca="false">SUM(J42:CC42)</f>
        <v>3874003.32</v>
      </c>
      <c r="J42" s="19" t="n">
        <f aca="false">IF($B42="",0,SUMIFS(INCORRIDO!$C$6:$C$5005,INCORRIDO!$D$6:$D$5005,$B42,INCORRIDO!$E$6:$E$5005,"&lt;="&amp;J$7)+IF(J$7&gt;PARAMETROS!$C$12,IF($H42&gt;0,$G42*CURVA!J42/$H42,0)*J$6,0))</f>
        <v>0</v>
      </c>
      <c r="K42" s="19" t="n">
        <f aca="false">IF($B42="",0,SUMIFS(INCORRIDO!$C$6:$C$5005,INCORRIDO!$D$6:$D$5005,$B42,INCORRIDO!$E$6:$E$5005,K$7)+IF(K$7&gt;PARAMETROS!$C$12,IF($H42&gt;0,$G42*CURVA!K42/$H42,0)*K$6,0))</f>
        <v>0</v>
      </c>
      <c r="L42" s="19" t="n">
        <f aca="false">IF($B42="",0,SUMIFS(INCORRIDO!$C$6:$C$5005,INCORRIDO!$D$6:$D$5005,$B42,INCORRIDO!$E$6:$E$5005,L$7)+IF(L$7&gt;PARAMETROS!$C$12,IF($H42&gt;0,$G42*CURVA!L42/$H42,0)*L$6,0))</f>
        <v>0</v>
      </c>
      <c r="M42" s="19" t="n">
        <f aca="false">IF($B42="",0,SUMIFS(INCORRIDO!$C$6:$C$5005,INCORRIDO!$D$6:$D$5005,$B42,INCORRIDO!$E$6:$E$5005,M$7)+IF(M$7&gt;PARAMETROS!$C$12,IF($H42&gt;0,$G42*CURVA!M42/$H42,0)*M$6,0))</f>
        <v>0</v>
      </c>
      <c r="N42" s="19" t="n">
        <f aca="false">IF($B42="",0,SUMIFS(INCORRIDO!$C$6:$C$5005,INCORRIDO!$D$6:$D$5005,$B42,INCORRIDO!$E$6:$E$5005,N$7)+IF(N$7&gt;PARAMETROS!$C$12,IF($H42&gt;0,$G42*CURVA!N42/$H42,0)*N$6,0))</f>
        <v>0</v>
      </c>
      <c r="O42" s="19" t="n">
        <f aca="false">IF($B42="",0,SUMIFS(INCORRIDO!$C$6:$C$5005,INCORRIDO!$D$6:$D$5005,$B42,INCORRIDO!$E$6:$E$5005,O$7)+IF(O$7&gt;PARAMETROS!$C$12,IF($H42&gt;0,$G42*CURVA!O42/$H42,0)*O$6,0))</f>
        <v>0</v>
      </c>
      <c r="P42" s="19" t="n">
        <f aca="false">IF($B42="",0,SUMIFS(INCORRIDO!$C$6:$C$5005,INCORRIDO!$D$6:$D$5005,$B42,INCORRIDO!$E$6:$E$5005,P$7)+IF(P$7&gt;PARAMETROS!$C$12,IF($H42&gt;0,$G42*CURVA!P42/$H42,0)*P$6,0))</f>
        <v>0</v>
      </c>
      <c r="Q42" s="19" t="n">
        <f aca="false">IF($B42="",0,SUMIFS(INCORRIDO!$C$6:$C$5005,INCORRIDO!$D$6:$D$5005,$B42,INCORRIDO!$E$6:$E$5005,Q$7)+IF(Q$7&gt;PARAMETROS!$C$12,IF($H42&gt;0,$G42*CURVA!Q42/$H42,0)*Q$6,0))</f>
        <v>0</v>
      </c>
      <c r="R42" s="19" t="n">
        <f aca="false">IF($B42="",0,SUMIFS(INCORRIDO!$C$6:$C$5005,INCORRIDO!$D$6:$D$5005,$B42,INCORRIDO!$E$6:$E$5005,R$7)+IF(R$7&gt;PARAMETROS!$C$12,IF($H42&gt;0,$G42*CURVA!R42/$H42,0)*R$6,0))</f>
        <v>0</v>
      </c>
      <c r="S42" s="19" t="n">
        <f aca="false">IF($B42="",0,SUMIFS(INCORRIDO!$C$6:$C$5005,INCORRIDO!$D$6:$D$5005,$B42,INCORRIDO!$E$6:$E$5005,S$7)+IF(S$7&gt;PARAMETROS!$C$12,IF($H42&gt;0,$G42*CURVA!S42/$H42,0)*S$6,0))</f>
        <v>0</v>
      </c>
      <c r="T42" s="19" t="n">
        <f aca="false">IF($B42="",0,SUMIFS(INCORRIDO!$C$6:$C$5005,INCORRIDO!$D$6:$D$5005,$B42,INCORRIDO!$E$6:$E$5005,T$7)+IF(T$7&gt;PARAMETROS!$C$12,IF($H42&gt;0,$G42*CURVA!T42/$H42,0)*T$6,0))</f>
        <v>0</v>
      </c>
      <c r="U42" s="19" t="n">
        <f aca="false">IF($B42="",0,SUMIFS(INCORRIDO!$C$6:$C$5005,INCORRIDO!$D$6:$D$5005,$B42,INCORRIDO!$E$6:$E$5005,U$7)+IF(U$7&gt;PARAMETROS!$C$12,IF($H42&gt;0,$G42*CURVA!U42/$H42,0)*U$6,0))</f>
        <v>0</v>
      </c>
      <c r="V42" s="19" t="n">
        <f aca="false">IF($B42="",0,SUMIFS(INCORRIDO!$C$6:$C$5005,INCORRIDO!$D$6:$D$5005,$B42,INCORRIDO!$E$6:$E$5005,V$7)+IF(V$7&gt;PARAMETROS!$C$12,IF($H42&gt;0,$G42*CURVA!V42/$H42,0)*V$6,0))</f>
        <v>0</v>
      </c>
      <c r="W42" s="19" t="n">
        <f aca="false">IF($B42="",0,SUMIFS(INCORRIDO!$C$6:$C$5005,INCORRIDO!$D$6:$D$5005,$B42,INCORRIDO!$E$6:$E$5005,W$7)+IF(W$7&gt;PARAMETROS!$C$12,IF($H42&gt;0,$G42*CURVA!W42/$H42,0)*W$6,0))</f>
        <v>0</v>
      </c>
      <c r="X42" s="19" t="n">
        <f aca="false">IF($B42="",0,SUMIFS(INCORRIDO!$C$6:$C$5005,INCORRIDO!$D$6:$D$5005,$B42,INCORRIDO!$E$6:$E$5005,X$7)+IF(X$7&gt;PARAMETROS!$C$12,IF($H42&gt;0,$G42*CURVA!X42/$H42,0)*X$6,0))</f>
        <v>0</v>
      </c>
      <c r="Y42" s="19" t="n">
        <f aca="false">IF($B42="",0,SUMIFS(INCORRIDO!$C$6:$C$5005,INCORRIDO!$D$6:$D$5005,$B42,INCORRIDO!$E$6:$E$5005,Y$7)+IF(Y$7&gt;PARAMETROS!$C$12,IF($H42&gt;0,$G42*CURVA!Y42/$H42,0)*Y$6,0))</f>
        <v>0</v>
      </c>
      <c r="Z42" s="19" t="n">
        <f aca="false">IF($B42="",0,SUMIFS(INCORRIDO!$C$6:$C$5005,INCORRIDO!$D$6:$D$5005,$B42,INCORRIDO!$E$6:$E$5005,Z$7)+IF(Z$7&gt;PARAMETROS!$C$12,IF($H42&gt;0,$G42*CURVA!Z42/$H42,0)*Z$6,0))</f>
        <v>0</v>
      </c>
      <c r="AA42" s="19" t="n">
        <f aca="false">IF($B42="",0,SUMIFS(INCORRIDO!$C$6:$C$5005,INCORRIDO!$D$6:$D$5005,$B42,INCORRIDO!$E$6:$E$5005,AA$7)+IF(AA$7&gt;PARAMETROS!$C$12,IF($H42&gt;0,$G42*CURVA!AA42/$H42,0)*AA$6,0))</f>
        <v>0</v>
      </c>
      <c r="AB42" s="19" t="n">
        <f aca="false">IF($B42="",0,SUMIFS(INCORRIDO!$C$6:$C$5005,INCORRIDO!$D$6:$D$5005,$B42,INCORRIDO!$E$6:$E$5005,AB$7)+IF(AB$7&gt;PARAMETROS!$C$12,IF($H42&gt;0,$G42*CURVA!AB42/$H42,0)*AB$6,0))</f>
        <v>0</v>
      </c>
      <c r="AC42" s="19" t="n">
        <f aca="false">IF($B42="",0,SUMIFS(INCORRIDO!$C$6:$C$5005,INCORRIDO!$D$6:$D$5005,$B42,INCORRIDO!$E$6:$E$5005,AC$7)+IF(AC$7&gt;PARAMETROS!$C$12,IF($H42&gt;0,$G42*CURVA!AC42/$H42,0)*AC$6,0))</f>
        <v>0</v>
      </c>
      <c r="AD42" s="19" t="n">
        <f aca="false">IF($B42="",0,SUMIFS(INCORRIDO!$C$6:$C$5005,INCORRIDO!$D$6:$D$5005,$B42,INCORRIDO!$E$6:$E$5005,AD$7)+IF(AD$7&gt;PARAMETROS!$C$12,IF($H42&gt;0,$G42*CURVA!AD42/$H42,0)*AD$6,0))</f>
        <v>0</v>
      </c>
      <c r="AE42" s="19" t="n">
        <f aca="false">IF($B42="",0,SUMIFS(INCORRIDO!$C$6:$C$5005,INCORRIDO!$D$6:$D$5005,$B42,INCORRIDO!$E$6:$E$5005,AE$7)+IF(AE$7&gt;PARAMETROS!$C$12,IF($H42&gt;0,$G42*CURVA!AE42/$H42,0)*AE$6,0))</f>
        <v>0</v>
      </c>
      <c r="AF42" s="19" t="n">
        <f aca="false">IF($B42="",0,SUMIFS(INCORRIDO!$C$6:$C$5005,INCORRIDO!$D$6:$D$5005,$B42,INCORRIDO!$E$6:$E$5005,AF$7)+IF(AF$7&gt;PARAMETROS!$C$12,IF($H42&gt;0,$G42*CURVA!AF42/$H42,0)*AF$6,0))</f>
        <v>0</v>
      </c>
      <c r="AG42" s="19" t="n">
        <f aca="false">IF($B42="",0,SUMIFS(INCORRIDO!$C$6:$C$5005,INCORRIDO!$D$6:$D$5005,$B42,INCORRIDO!$E$6:$E$5005,AG$7)+IF(AG$7&gt;PARAMETROS!$C$12,IF($H42&gt;0,$G42*CURVA!AG42/$H42,0)*AG$6,0))</f>
        <v>0</v>
      </c>
      <c r="AH42" s="19" t="n">
        <f aca="false">IF($B42="",0,SUMIFS(INCORRIDO!$C$6:$C$5005,INCORRIDO!$D$6:$D$5005,$B42,INCORRIDO!$E$6:$E$5005,AH$7)+IF(AH$7&gt;PARAMETROS!$C$12,IF($H42&gt;0,$G42*CURVA!AH42/$H42,0)*AH$6,0))</f>
        <v>0</v>
      </c>
      <c r="AI42" s="19" t="n">
        <f aca="false">IF($B42="",0,SUMIFS(INCORRIDO!$C$6:$C$5005,INCORRIDO!$D$6:$D$5005,$B42,INCORRIDO!$E$6:$E$5005,AI$7)+IF(AI$7&gt;PARAMETROS!$C$12,IF($H42&gt;0,$G42*CURVA!AI42/$H42,0)*AI$6,0))</f>
        <v>0</v>
      </c>
      <c r="AJ42" s="19" t="n">
        <f aca="false">IF($B42="",0,SUMIFS(INCORRIDO!$C$6:$C$5005,INCORRIDO!$D$6:$D$5005,$B42,INCORRIDO!$E$6:$E$5005,AJ$7)+IF(AJ$7&gt;PARAMETROS!$C$12,IF($H42&gt;0,$G42*CURVA!AJ42/$H42,0)*AJ$6,0))</f>
        <v>0</v>
      </c>
      <c r="AK42" s="19" t="n">
        <f aca="false">IF($B42="",0,SUMIFS(INCORRIDO!$C$6:$C$5005,INCORRIDO!$D$6:$D$5005,$B42,INCORRIDO!$E$6:$E$5005,AK$7)+IF(AK$7&gt;PARAMETROS!$C$12,IF($H42&gt;0,$G42*CURVA!AK42/$H42,0)*AK$6,0))</f>
        <v>0</v>
      </c>
      <c r="AL42" s="19" t="n">
        <f aca="false">IF($B42="",0,SUMIFS(INCORRIDO!$C$6:$C$5005,INCORRIDO!$D$6:$D$5005,$B42,INCORRIDO!$E$6:$E$5005,AL$7)+IF(AL$7&gt;PARAMETROS!$C$12,IF($H42&gt;0,$G42*CURVA!AL42/$H42,0)*AL$6,0))</f>
        <v>6329.82003637422</v>
      </c>
      <c r="AM42" s="19" t="n">
        <f aca="false">IF($B42="",0,SUMIFS(INCORRIDO!$C$6:$C$5005,INCORRIDO!$D$6:$D$5005,$B42,INCORRIDO!$E$6:$E$5005,AM$7)+IF(AM$7&gt;PARAMETROS!$C$12,IF($H42&gt;0,$G42*CURVA!AM42/$H42,0)*AM$6,0))</f>
        <v>12146.4175478639</v>
      </c>
      <c r="AN42" s="19" t="n">
        <f aca="false">IF($B42="",0,SUMIFS(INCORRIDO!$C$6:$C$5005,INCORRIDO!$D$6:$D$5005,$B42,INCORRIDO!$E$6:$E$5005,AN$7)+IF(AN$7&gt;PARAMETROS!$C$12,IF($H42&gt;0,$G42*CURVA!AN42/$H42,0)*AN$6,0))</f>
        <v>19958.9033317222</v>
      </c>
      <c r="AO42" s="19" t="n">
        <f aca="false">IF($B42="",0,SUMIFS(INCORRIDO!$C$6:$C$5005,INCORRIDO!$D$6:$D$5005,$B42,INCORRIDO!$E$6:$E$5005,AO$7)+IF(AO$7&gt;PARAMETROS!$C$12,IF($H42&gt;0,$G42*CURVA!AO42/$H42,0)*AO$6,0))</f>
        <v>37579.7528677895</v>
      </c>
      <c r="AP42" s="19" t="n">
        <f aca="false">IF($B42="",0,SUMIFS(INCORRIDO!$C$6:$C$5005,INCORRIDO!$D$6:$D$5005,$B42,INCORRIDO!$E$6:$E$5005,AP$7)+IF(AP$7&gt;PARAMETROS!$C$12,IF($H42&gt;0,$G42*CURVA!AP42/$H42,0)*AP$6,0))</f>
        <v>34956.5868961076</v>
      </c>
      <c r="AQ42" s="19" t="n">
        <f aca="false">IF($B42="",0,SUMIFS(INCORRIDO!$C$6:$C$5005,INCORRIDO!$D$6:$D$5005,$B42,INCORRIDO!$E$6:$E$5005,AQ$7)+IF(AQ$7&gt;PARAMETROS!$C$12,IF($H42&gt;0,$G42*CURVA!AQ42/$H42,0)*AQ$6,0))</f>
        <v>49269.9703259742</v>
      </c>
      <c r="AR42" s="19" t="n">
        <f aca="false">IF($B42="",0,SUMIFS(INCORRIDO!$C$6:$C$5005,INCORRIDO!$D$6:$D$5005,$B42,INCORRIDO!$E$6:$E$5005,AR$7)+IF(AR$7&gt;PARAMETROS!$C$12,IF($H42&gt;0,$G42*CURVA!AR42/$H42,0)*AR$6,0))</f>
        <v>50923.7033790746</v>
      </c>
      <c r="AS42" s="19" t="n">
        <f aca="false">IF($B42="",0,SUMIFS(INCORRIDO!$C$6:$C$5005,INCORRIDO!$D$6:$D$5005,$B42,INCORRIDO!$E$6:$E$5005,AS$7)+IF(AS$7&gt;PARAMETROS!$C$12,IF($H42&gt;0,$G42*CURVA!AS42/$H42,0)*AS$6,0))</f>
        <v>57253.5337194667</v>
      </c>
      <c r="AT42" s="19" t="n">
        <f aca="false">IF($B42="",0,SUMIFS(INCORRIDO!$C$6:$C$5005,INCORRIDO!$D$6:$D$5005,$B42,INCORRIDO!$E$6:$E$5005,AT$7)+IF(AT$7&gt;PARAMETROS!$C$12,IF($H42&gt;0,$G42*CURVA!AT42/$H42,0)*AT$6,0))</f>
        <v>123648.215118346</v>
      </c>
      <c r="AU42" s="19" t="n">
        <f aca="false">IF($B42="",0,SUMIFS(INCORRIDO!$C$6:$C$5005,INCORRIDO!$D$6:$D$5005,$B42,INCORRIDO!$E$6:$E$5005,AU$7)+IF(AU$7&gt;PARAMETROS!$C$12,IF($H42&gt;0,$G42*CURVA!AU42/$H42,0)*AU$6,0))</f>
        <v>306169.518581796</v>
      </c>
      <c r="AV42" s="19" t="n">
        <f aca="false">IF($B42="",0,SUMIFS(INCORRIDO!$C$6:$C$5005,INCORRIDO!$D$6:$D$5005,$B42,INCORRIDO!$E$6:$E$5005,AV$7)+IF(AV$7&gt;PARAMETROS!$C$12,IF($H42&gt;0,$G42*CURVA!AV42/$H42,0)*AV$6,0))</f>
        <v>327725.132531414</v>
      </c>
      <c r="AW42" s="19" t="n">
        <f aca="false">IF($B42="",0,SUMIFS(INCORRIDO!$C$6:$C$5005,INCORRIDO!$D$6:$D$5005,$B42,INCORRIDO!$E$6:$E$5005,AW$7)+IF(AW$7&gt;PARAMETROS!$C$12,IF($H42&gt;0,$G42*CURVA!AW42/$H42,0)*AW$6,0))</f>
        <v>274634.463270336</v>
      </c>
      <c r="AX42" s="19" t="n">
        <f aca="false">IF($B42="",0,SUMIFS(INCORRIDO!$C$6:$C$5005,INCORRIDO!$D$6:$D$5005,$B42,INCORRIDO!$E$6:$E$5005,AX$7)+IF(AX$7&gt;PARAMETROS!$C$12,IF($H42&gt;0,$G42*CURVA!AX42/$H42,0)*AX$6,0))</f>
        <v>329721.020803782</v>
      </c>
      <c r="AY42" s="19" t="n">
        <f aca="false">IF($B42="",0,SUMIFS(INCORRIDO!$C$6:$C$5005,INCORRIDO!$D$6:$D$5005,$B42,INCORRIDO!$E$6:$E$5005,AY$7)+IF(AY$7&gt;PARAMETROS!$C$12,IF($H42&gt;0,$G42*CURVA!AY42/$H42,0)*AY$6,0))</f>
        <v>172045.713334427</v>
      </c>
      <c r="AZ42" s="19" t="n">
        <f aca="false">IF($B42="",0,SUMIFS(INCORRIDO!$C$6:$C$5005,INCORRIDO!$D$6:$D$5005,$B42,INCORRIDO!$E$6:$E$5005,AZ$7)+IF(AZ$7&gt;PARAMETROS!$C$12,IF($H42&gt;0,$G42*CURVA!AZ42/$H42,0)*AZ$6,0))</f>
        <v>163285.494893741</v>
      </c>
      <c r="BA42" s="19" t="n">
        <f aca="false">IF($B42="",0,SUMIFS(INCORRIDO!$C$6:$C$5005,INCORRIDO!$D$6:$D$5005,$B42,INCORRIDO!$E$6:$E$5005,BA$7)+IF(BA$7&gt;PARAMETROS!$C$12,IF($H42&gt;0,$G42*CURVA!BA42/$H42,0)*BA$6,0))</f>
        <v>163285.494893741</v>
      </c>
      <c r="BB42" s="19" t="n">
        <f aca="false">IF($B42="",0,SUMIFS(INCORRIDO!$C$6:$C$5005,INCORRIDO!$D$6:$D$5005,$B42,INCORRIDO!$E$6:$E$5005,BB$7)+IF(BB$7&gt;PARAMETROS!$C$12,IF($H42&gt;0,$G42*CURVA!BB42/$H42,0)*BB$6,0))</f>
        <v>163285.494893741</v>
      </c>
      <c r="BC42" s="19" t="n">
        <f aca="false">IF($B42="",0,SUMIFS(INCORRIDO!$C$6:$C$5005,INCORRIDO!$D$6:$D$5005,$B42,INCORRIDO!$E$6:$E$5005,BC$7)+IF(BC$7&gt;PARAMETROS!$C$12,IF($H42&gt;0,$G42*CURVA!BC42/$H42,0)*BC$6,0))</f>
        <v>163285.494893741</v>
      </c>
      <c r="BD42" s="19" t="n">
        <f aca="false">IF($B42="",0,SUMIFS(INCORRIDO!$C$6:$C$5005,INCORRIDO!$D$6:$D$5005,$B42,INCORRIDO!$E$6:$E$5005,BD$7)+IF(BD$7&gt;PARAMETROS!$C$12,IF($H42&gt;0,$G42*CURVA!BD42/$H42,0)*BD$6,0))</f>
        <v>163285.494893741</v>
      </c>
      <c r="BE42" s="19" t="n">
        <f aca="false">IF($B42="",0,SUMIFS(INCORRIDO!$C$6:$C$5005,INCORRIDO!$D$6:$D$5005,$B42,INCORRIDO!$E$6:$E$5005,BE$7)+IF(BE$7&gt;PARAMETROS!$C$12,IF($H42&gt;0,$G42*CURVA!BE42/$H42,0)*BE$6,0))</f>
        <v>163285.494893741</v>
      </c>
      <c r="BF42" s="19" t="n">
        <f aca="false">IF($B42="",0,SUMIFS(INCORRIDO!$C$6:$C$5005,INCORRIDO!$D$6:$D$5005,$B42,INCORRIDO!$E$6:$E$5005,BF$7)+IF(BF$7&gt;PARAMETROS!$C$12,IF($H42&gt;0,$G42*CURVA!BF42/$H42,0)*BF$6,0))</f>
        <v>163285.494893741</v>
      </c>
      <c r="BG42" s="19" t="n">
        <f aca="false">IF($B42="",0,SUMIFS(INCORRIDO!$C$6:$C$5005,INCORRIDO!$D$6:$D$5005,$B42,INCORRIDO!$E$6:$E$5005,BG$7)+IF(BG$7&gt;PARAMETROS!$C$12,IF($H42&gt;0,$G42*CURVA!BG42/$H42,0)*BG$6,0))</f>
        <v>163285.494893741</v>
      </c>
      <c r="BH42" s="19" t="n">
        <f aca="false">IF($B42="",0,SUMIFS(INCORRIDO!$C$6:$C$5005,INCORRIDO!$D$6:$D$5005,$B42,INCORRIDO!$E$6:$E$5005,BH$7)+IF(BH$7&gt;PARAMETROS!$C$12,IF($H42&gt;0,$G42*CURVA!BH42/$H42,0)*BH$6,0))</f>
        <v>163285.494893741</v>
      </c>
      <c r="BI42" s="19" t="n">
        <f aca="false">IF($B42="",0,SUMIFS(INCORRIDO!$C$6:$C$5005,INCORRIDO!$D$6:$D$5005,$B42,INCORRIDO!$E$6:$E$5005,BI$7)+IF(BI$7&gt;PARAMETROS!$C$12,IF($H42&gt;0,$G42*CURVA!BI42/$H42,0)*BI$6,0))</f>
        <v>163285.494893741</v>
      </c>
      <c r="BJ42" s="19" t="n">
        <f aca="false">IF($B42="",0,SUMIFS(INCORRIDO!$C$6:$C$5005,INCORRIDO!$D$6:$D$5005,$B42,INCORRIDO!$E$6:$E$5005,BJ$7)+IF(BJ$7&gt;PARAMETROS!$C$12,IF($H42&gt;0,$G42*CURVA!BJ42/$H42,0)*BJ$6,0))</f>
        <v>163285.494893741</v>
      </c>
      <c r="BK42" s="19" t="n">
        <f aca="false">IF($B42="",0,SUMIFS(INCORRIDO!$C$6:$C$5005,INCORRIDO!$D$6:$D$5005,$B42,INCORRIDO!$E$6:$E$5005,BK$7)+IF(BK$7&gt;PARAMETROS!$C$12,IF($H42&gt;0,$G42*CURVA!BK42/$H42,0)*BK$6,0))</f>
        <v>275500.12442438</v>
      </c>
      <c r="BL42" s="19" t="n">
        <f aca="false">IF($B42="",0,SUMIFS(INCORRIDO!$C$6:$C$5005,INCORRIDO!$D$6:$D$5005,$B42,INCORRIDO!$E$6:$E$5005,BL$7)+IF(BL$7&gt;PARAMETROS!$C$12,IF($H42&gt;0,$G42*CURVA!BL42/$H42,0)*BL$6,0))</f>
        <v>0</v>
      </c>
      <c r="BM42" s="19" t="n">
        <f aca="false">IF($B42="",0,SUMIFS(INCORRIDO!$C$6:$C$5005,INCORRIDO!$D$6:$D$5005,$B42,INCORRIDO!$E$6:$E$5005,BM$7)+IF(BM$7&gt;PARAMETROS!$C$12,IF($H42&gt;0,$G42*CURVA!BM42/$H42,0)*BM$6,0))</f>
        <v>0</v>
      </c>
      <c r="BN42" s="19" t="n">
        <f aca="false">IF($B42="",0,SUMIFS(INCORRIDO!$C$6:$C$5005,INCORRIDO!$D$6:$D$5005,$B42,INCORRIDO!$E$6:$E$5005,BN$7)+IF(BN$7&gt;PARAMETROS!$C$12,IF($H42&gt;0,$G42*CURVA!BN42/$H42,0)*BN$6,0))</f>
        <v>0</v>
      </c>
      <c r="BO42" s="19" t="n">
        <f aca="false">IF($B42="",0,SUMIFS(INCORRIDO!$C$6:$C$5005,INCORRIDO!$D$6:$D$5005,$B42,INCORRIDO!$E$6:$E$5005,BO$7)+IF(BO$7&gt;PARAMETROS!$C$12,IF($H42&gt;0,$G42*CURVA!BO42/$H42,0)*BO$6,0))</f>
        <v>0</v>
      </c>
      <c r="BP42" s="19" t="n">
        <f aca="false">IF($B42="",0,SUMIFS(INCORRIDO!$C$6:$C$5005,INCORRIDO!$D$6:$D$5005,$B42,INCORRIDO!$E$6:$E$5005,BP$7)+IF(BP$7&gt;PARAMETROS!$C$12,IF($H42&gt;0,$G42*CURVA!BP42/$H42,0)*BP$6,0))</f>
        <v>0</v>
      </c>
      <c r="BQ42" s="19" t="n">
        <f aca="false">IF($B42="",0,SUMIFS(INCORRIDO!$C$6:$C$5005,INCORRIDO!$D$6:$D$5005,$B42,INCORRIDO!$E$6:$E$5005,BQ$7)+IF(BQ$7&gt;PARAMETROS!$C$12,IF($H42&gt;0,$G42*CURVA!BQ42/$H42,0)*BQ$6,0))</f>
        <v>0</v>
      </c>
      <c r="BR42" s="19" t="n">
        <f aca="false">IF($B42="",0,SUMIFS(INCORRIDO!$C$6:$C$5005,INCORRIDO!$D$6:$D$5005,$B42,INCORRIDO!$E$6:$E$5005,BR$7)+IF(BR$7&gt;PARAMETROS!$C$12,IF($H42&gt;0,$G42*CURVA!BR42/$H42,0)*BR$6,0))</f>
        <v>0</v>
      </c>
      <c r="BS42" s="19" t="n">
        <f aca="false">IF($B42="",0,SUMIFS(INCORRIDO!$C$6:$C$5005,INCORRIDO!$D$6:$D$5005,$B42,INCORRIDO!$E$6:$E$5005,BS$7)+IF(BS$7&gt;PARAMETROS!$C$12,IF($H42&gt;0,$G42*CURVA!BS42/$H42,0)*BS$6,0))</f>
        <v>0</v>
      </c>
      <c r="BT42" s="19" t="n">
        <f aca="false">IF($B42="",0,SUMIFS(INCORRIDO!$C$6:$C$5005,INCORRIDO!$D$6:$D$5005,$B42,INCORRIDO!$E$6:$E$5005,BT$7)+IF(BT$7&gt;PARAMETROS!$C$12,IF($H42&gt;0,$G42*CURVA!BT42/$H42,0)*BT$6,0))</f>
        <v>0</v>
      </c>
      <c r="BU42" s="19" t="n">
        <f aca="false">IF($B42="",0,SUMIFS(INCORRIDO!$C$6:$C$5005,INCORRIDO!$D$6:$D$5005,$B42,INCORRIDO!$E$6:$E$5005,BU$7)+IF(BU$7&gt;PARAMETROS!$C$12,IF($H42&gt;0,$G42*CURVA!BU42/$H42,0)*BU$6,0))</f>
        <v>0</v>
      </c>
      <c r="BV42" s="19" t="n">
        <f aca="false">IF($B42="",0,SUMIFS(INCORRIDO!$C$6:$C$5005,INCORRIDO!$D$6:$D$5005,$B42,INCORRIDO!$E$6:$E$5005,BV$7)+IF(BV$7&gt;PARAMETROS!$C$12,IF($H42&gt;0,$G42*CURVA!BV42/$H42,0)*BV$6,0))</f>
        <v>0</v>
      </c>
      <c r="BW42" s="19" t="n">
        <f aca="false">IF($B42="",0,SUMIFS(INCORRIDO!$C$6:$C$5005,INCORRIDO!$D$6:$D$5005,$B42,INCORRIDO!$E$6:$E$5005,BW$7)+IF(BW$7&gt;PARAMETROS!$C$12,IF($H42&gt;0,$G42*CURVA!BW42/$H42,0)*BW$6,0))</f>
        <v>0</v>
      </c>
      <c r="BX42" s="19" t="n">
        <f aca="false">IF($B42="",0,SUMIFS(INCORRIDO!$C$6:$C$5005,INCORRIDO!$D$6:$D$5005,$B42,INCORRIDO!$E$6:$E$5005,BX$7)+IF(BX$7&gt;PARAMETROS!$C$12,IF($H42&gt;0,$G42*CURVA!BX42/$H42,0)*BX$6,0))</f>
        <v>0</v>
      </c>
      <c r="BY42" s="19" t="n">
        <f aca="false">IF($B42="",0,SUMIFS(INCORRIDO!$C$6:$C$5005,INCORRIDO!$D$6:$D$5005,$B42,INCORRIDO!$E$6:$E$5005,BY$7)+IF(BY$7&gt;PARAMETROS!$C$12,IF($H42&gt;0,$G42*CURVA!BY42/$H42,0)*BY$6,0))</f>
        <v>0</v>
      </c>
      <c r="BZ42" s="19" t="n">
        <f aca="false">IF($B42="",0,SUMIFS(INCORRIDO!$C$6:$C$5005,INCORRIDO!$D$6:$D$5005,$B42,INCORRIDO!$E$6:$E$5005,BZ$7)+IF(BZ$7&gt;PARAMETROS!$C$12,IF($H42&gt;0,$G42*CURVA!BZ42/$H42,0)*BZ$6,0))</f>
        <v>0</v>
      </c>
      <c r="CA42" s="19" t="n">
        <f aca="false">IF($B42="",0,SUMIFS(INCORRIDO!$C$6:$C$5005,INCORRIDO!$D$6:$D$5005,$B42,INCORRIDO!$E$6:$E$5005,CA$7)+IF(CA$7&gt;PARAMETROS!$C$12,IF($H42&gt;0,$G42*CURVA!CA42/$H42,0)*CA$6,0))</f>
        <v>0</v>
      </c>
      <c r="CB42" s="19" t="n">
        <f aca="false">IF($B42="",0,SUMIFS(INCORRIDO!$C$6:$C$5005,INCORRIDO!$D$6:$D$5005,$B42,INCORRIDO!$E$6:$E$5005,CB$7)+IF(CB$7&gt;PARAMETROS!$C$12,IF($H42&gt;0,$G42*CURVA!CB42/$H42,0)*CB$6,0))</f>
        <v>0</v>
      </c>
      <c r="CC42" s="19" t="n">
        <f aca="false">IF($B42="",0,SUMIFS(INCORRIDO!$C$6:$C$5005,INCORRIDO!$D$6:$D$5005,$B42,INCORRIDO!$E$6:$E$5005,CC$7)+IF(CC$7&gt;PARAMETROS!$C$12,IF($H42&gt;0,$G42*CURVA!CC42/$H42,0)*CC$6,0))</f>
        <v>0</v>
      </c>
    </row>
    <row r="43" customFormat="false" ht="15" hidden="false" customHeight="false" outlineLevel="0" collapsed="false">
      <c r="A43" s="31" t="str">
        <f aca="false">IF(ORCAMENTO!A41="","",ORCAMENTO!A41)</f>
        <v>36</v>
      </c>
      <c r="B43" s="31" t="str">
        <f aca="false">IF(ORCAMENTO!B41="","",ORCAMENTO!B41)</f>
        <v>PAISAGISMO</v>
      </c>
      <c r="C43" s="31" t="str">
        <f aca="false">IF(ORCAMENTO!C41="","",ORCAMENTO!C41)</f>
        <v>ACABAMENTOS</v>
      </c>
      <c r="D43" s="32" t="n">
        <f aca="false">IF($B43="",0,ORCAMENTO!E41)</f>
        <v>1176926.3</v>
      </c>
      <c r="E43" s="19" t="n">
        <f aca="false">IF($B43="",0,SUMIFS(INCORRIDO!$C$6:$C$5005,INCORRIDO!$D$6:$D$5005,$B43,INCORRIDO!$E$6:$E$5005,"&lt;="&amp;PARAMETROS!$C$12))</f>
        <v>0</v>
      </c>
      <c r="F43" s="19" t="n">
        <f aca="false">IF($B43="",0,SUMIFS(INCORRIDO!$C$6:$C$5005,INCORRIDO!$D$6:$D$5005,$B43,INCORRIDO!$E$6:$E$5005,"&gt;"&amp;PARAMETROS!$C$12))</f>
        <v>0</v>
      </c>
      <c r="G43" s="19" t="n">
        <f aca="false">MAX(0,D43-E43-F43)</f>
        <v>1176926.3</v>
      </c>
      <c r="H43" s="32" t="n">
        <f aca="false">CURVA!H43</f>
        <v>1176926.29</v>
      </c>
      <c r="I43" s="19" t="n">
        <f aca="false">SUM(J43:CC43)</f>
        <v>1176926.3</v>
      </c>
      <c r="J43" s="19" t="n">
        <f aca="false">IF($B43="",0,SUMIFS(INCORRIDO!$C$6:$C$5005,INCORRIDO!$D$6:$D$5005,$B43,INCORRIDO!$E$6:$E$5005,"&lt;="&amp;J$7)+IF(J$7&gt;PARAMETROS!$C$12,IF($H43&gt;0,$G43*CURVA!J43/$H43,0)*J$6,0))</f>
        <v>0</v>
      </c>
      <c r="K43" s="19" t="n">
        <f aca="false">IF($B43="",0,SUMIFS(INCORRIDO!$C$6:$C$5005,INCORRIDO!$D$6:$D$5005,$B43,INCORRIDO!$E$6:$E$5005,K$7)+IF(K$7&gt;PARAMETROS!$C$12,IF($H43&gt;0,$G43*CURVA!K43/$H43,0)*K$6,0))</f>
        <v>0</v>
      </c>
      <c r="L43" s="19" t="n">
        <f aca="false">IF($B43="",0,SUMIFS(INCORRIDO!$C$6:$C$5005,INCORRIDO!$D$6:$D$5005,$B43,INCORRIDO!$E$6:$E$5005,L$7)+IF(L$7&gt;PARAMETROS!$C$12,IF($H43&gt;0,$G43*CURVA!L43/$H43,0)*L$6,0))</f>
        <v>0</v>
      </c>
      <c r="M43" s="19" t="n">
        <f aca="false">IF($B43="",0,SUMIFS(INCORRIDO!$C$6:$C$5005,INCORRIDO!$D$6:$D$5005,$B43,INCORRIDO!$E$6:$E$5005,M$7)+IF(M$7&gt;PARAMETROS!$C$12,IF($H43&gt;0,$G43*CURVA!M43/$H43,0)*M$6,0))</f>
        <v>0</v>
      </c>
      <c r="N43" s="19" t="n">
        <f aca="false">IF($B43="",0,SUMIFS(INCORRIDO!$C$6:$C$5005,INCORRIDO!$D$6:$D$5005,$B43,INCORRIDO!$E$6:$E$5005,N$7)+IF(N$7&gt;PARAMETROS!$C$12,IF($H43&gt;0,$G43*CURVA!N43/$H43,0)*N$6,0))</f>
        <v>0</v>
      </c>
      <c r="O43" s="19" t="n">
        <f aca="false">IF($B43="",0,SUMIFS(INCORRIDO!$C$6:$C$5005,INCORRIDO!$D$6:$D$5005,$B43,INCORRIDO!$E$6:$E$5005,O$7)+IF(O$7&gt;PARAMETROS!$C$12,IF($H43&gt;0,$G43*CURVA!O43/$H43,0)*O$6,0))</f>
        <v>0</v>
      </c>
      <c r="P43" s="19" t="n">
        <f aca="false">IF($B43="",0,SUMIFS(INCORRIDO!$C$6:$C$5005,INCORRIDO!$D$6:$D$5005,$B43,INCORRIDO!$E$6:$E$5005,P$7)+IF(P$7&gt;PARAMETROS!$C$12,IF($H43&gt;0,$G43*CURVA!P43/$H43,0)*P$6,0))</f>
        <v>0</v>
      </c>
      <c r="Q43" s="19" t="n">
        <f aca="false">IF($B43="",0,SUMIFS(INCORRIDO!$C$6:$C$5005,INCORRIDO!$D$6:$D$5005,$B43,INCORRIDO!$E$6:$E$5005,Q$7)+IF(Q$7&gt;PARAMETROS!$C$12,IF($H43&gt;0,$G43*CURVA!Q43/$H43,0)*Q$6,0))</f>
        <v>0</v>
      </c>
      <c r="R43" s="19" t="n">
        <f aca="false">IF($B43="",0,SUMIFS(INCORRIDO!$C$6:$C$5005,INCORRIDO!$D$6:$D$5005,$B43,INCORRIDO!$E$6:$E$5005,R$7)+IF(R$7&gt;PARAMETROS!$C$12,IF($H43&gt;0,$G43*CURVA!R43/$H43,0)*R$6,0))</f>
        <v>0</v>
      </c>
      <c r="S43" s="19" t="n">
        <f aca="false">IF($B43="",0,SUMIFS(INCORRIDO!$C$6:$C$5005,INCORRIDO!$D$6:$D$5005,$B43,INCORRIDO!$E$6:$E$5005,S$7)+IF(S$7&gt;PARAMETROS!$C$12,IF($H43&gt;0,$G43*CURVA!S43/$H43,0)*S$6,0))</f>
        <v>0</v>
      </c>
      <c r="T43" s="19" t="n">
        <f aca="false">IF($B43="",0,SUMIFS(INCORRIDO!$C$6:$C$5005,INCORRIDO!$D$6:$D$5005,$B43,INCORRIDO!$E$6:$E$5005,T$7)+IF(T$7&gt;PARAMETROS!$C$12,IF($H43&gt;0,$G43*CURVA!T43/$H43,0)*T$6,0))</f>
        <v>0</v>
      </c>
      <c r="U43" s="19" t="n">
        <f aca="false">IF($B43="",0,SUMIFS(INCORRIDO!$C$6:$C$5005,INCORRIDO!$D$6:$D$5005,$B43,INCORRIDO!$E$6:$E$5005,U$7)+IF(U$7&gt;PARAMETROS!$C$12,IF($H43&gt;0,$G43*CURVA!U43/$H43,0)*U$6,0))</f>
        <v>0</v>
      </c>
      <c r="V43" s="19" t="n">
        <f aca="false">IF($B43="",0,SUMIFS(INCORRIDO!$C$6:$C$5005,INCORRIDO!$D$6:$D$5005,$B43,INCORRIDO!$E$6:$E$5005,V$7)+IF(V$7&gt;PARAMETROS!$C$12,IF($H43&gt;0,$G43*CURVA!V43/$H43,0)*V$6,0))</f>
        <v>0</v>
      </c>
      <c r="W43" s="19" t="n">
        <f aca="false">IF($B43="",0,SUMIFS(INCORRIDO!$C$6:$C$5005,INCORRIDO!$D$6:$D$5005,$B43,INCORRIDO!$E$6:$E$5005,W$7)+IF(W$7&gt;PARAMETROS!$C$12,IF($H43&gt;0,$G43*CURVA!W43/$H43,0)*W$6,0))</f>
        <v>0</v>
      </c>
      <c r="X43" s="19" t="n">
        <f aca="false">IF($B43="",0,SUMIFS(INCORRIDO!$C$6:$C$5005,INCORRIDO!$D$6:$D$5005,$B43,INCORRIDO!$E$6:$E$5005,X$7)+IF(X$7&gt;PARAMETROS!$C$12,IF($H43&gt;0,$G43*CURVA!X43/$H43,0)*X$6,0))</f>
        <v>0</v>
      </c>
      <c r="Y43" s="19" t="n">
        <f aca="false">IF($B43="",0,SUMIFS(INCORRIDO!$C$6:$C$5005,INCORRIDO!$D$6:$D$5005,$B43,INCORRIDO!$E$6:$E$5005,Y$7)+IF(Y$7&gt;PARAMETROS!$C$12,IF($H43&gt;0,$G43*CURVA!Y43/$H43,0)*Y$6,0))</f>
        <v>0</v>
      </c>
      <c r="Z43" s="19" t="n">
        <f aca="false">IF($B43="",0,SUMIFS(INCORRIDO!$C$6:$C$5005,INCORRIDO!$D$6:$D$5005,$B43,INCORRIDO!$E$6:$E$5005,Z$7)+IF(Z$7&gt;PARAMETROS!$C$12,IF($H43&gt;0,$G43*CURVA!Z43/$H43,0)*Z$6,0))</f>
        <v>0</v>
      </c>
      <c r="AA43" s="19" t="n">
        <f aca="false">IF($B43="",0,SUMIFS(INCORRIDO!$C$6:$C$5005,INCORRIDO!$D$6:$D$5005,$B43,INCORRIDO!$E$6:$E$5005,AA$7)+IF(AA$7&gt;PARAMETROS!$C$12,IF($H43&gt;0,$G43*CURVA!AA43/$H43,0)*AA$6,0))</f>
        <v>0</v>
      </c>
      <c r="AB43" s="19" t="n">
        <f aca="false">IF($B43="",0,SUMIFS(INCORRIDO!$C$6:$C$5005,INCORRIDO!$D$6:$D$5005,$B43,INCORRIDO!$E$6:$E$5005,AB$7)+IF(AB$7&gt;PARAMETROS!$C$12,IF($H43&gt;0,$G43*CURVA!AB43/$H43,0)*AB$6,0))</f>
        <v>0</v>
      </c>
      <c r="AC43" s="19" t="n">
        <f aca="false">IF($B43="",0,SUMIFS(INCORRIDO!$C$6:$C$5005,INCORRIDO!$D$6:$D$5005,$B43,INCORRIDO!$E$6:$E$5005,AC$7)+IF(AC$7&gt;PARAMETROS!$C$12,IF($H43&gt;0,$G43*CURVA!AC43/$H43,0)*AC$6,0))</f>
        <v>0</v>
      </c>
      <c r="AD43" s="19" t="n">
        <f aca="false">IF($B43="",0,SUMIFS(INCORRIDO!$C$6:$C$5005,INCORRIDO!$D$6:$D$5005,$B43,INCORRIDO!$E$6:$E$5005,AD$7)+IF(AD$7&gt;PARAMETROS!$C$12,IF($H43&gt;0,$G43*CURVA!AD43/$H43,0)*AD$6,0))</f>
        <v>0</v>
      </c>
      <c r="AE43" s="19" t="n">
        <f aca="false">IF($B43="",0,SUMIFS(INCORRIDO!$C$6:$C$5005,INCORRIDO!$D$6:$D$5005,$B43,INCORRIDO!$E$6:$E$5005,AE$7)+IF(AE$7&gt;PARAMETROS!$C$12,IF($H43&gt;0,$G43*CURVA!AE43/$H43,0)*AE$6,0))</f>
        <v>0</v>
      </c>
      <c r="AF43" s="19" t="n">
        <f aca="false">IF($B43="",0,SUMIFS(INCORRIDO!$C$6:$C$5005,INCORRIDO!$D$6:$D$5005,$B43,INCORRIDO!$E$6:$E$5005,AF$7)+IF(AF$7&gt;PARAMETROS!$C$12,IF($H43&gt;0,$G43*CURVA!AF43/$H43,0)*AF$6,0))</f>
        <v>0</v>
      </c>
      <c r="AG43" s="19" t="n">
        <f aca="false">IF($B43="",0,SUMIFS(INCORRIDO!$C$6:$C$5005,INCORRIDO!$D$6:$D$5005,$B43,INCORRIDO!$E$6:$E$5005,AG$7)+IF(AG$7&gt;PARAMETROS!$C$12,IF($H43&gt;0,$G43*CURVA!AG43/$H43,0)*AG$6,0))</f>
        <v>0</v>
      </c>
      <c r="AH43" s="19" t="n">
        <f aca="false">IF($B43="",0,SUMIFS(INCORRIDO!$C$6:$C$5005,INCORRIDO!$D$6:$D$5005,$B43,INCORRIDO!$E$6:$E$5005,AH$7)+IF(AH$7&gt;PARAMETROS!$C$12,IF($H43&gt;0,$G43*CURVA!AH43/$H43,0)*AH$6,0))</f>
        <v>0</v>
      </c>
      <c r="AI43" s="19" t="n">
        <f aca="false">IF($B43="",0,SUMIFS(INCORRIDO!$C$6:$C$5005,INCORRIDO!$D$6:$D$5005,$B43,INCORRIDO!$E$6:$E$5005,AI$7)+IF(AI$7&gt;PARAMETROS!$C$12,IF($H43&gt;0,$G43*CURVA!AI43/$H43,0)*AI$6,0))</f>
        <v>0</v>
      </c>
      <c r="AJ43" s="19" t="n">
        <f aca="false">IF($B43="",0,SUMIFS(INCORRIDO!$C$6:$C$5005,INCORRIDO!$D$6:$D$5005,$B43,INCORRIDO!$E$6:$E$5005,AJ$7)+IF(AJ$7&gt;PARAMETROS!$C$12,IF($H43&gt;0,$G43*CURVA!AJ43/$H43,0)*AJ$6,0))</f>
        <v>0</v>
      </c>
      <c r="AK43" s="19" t="n">
        <f aca="false">IF($B43="",0,SUMIFS(INCORRIDO!$C$6:$C$5005,INCORRIDO!$D$6:$D$5005,$B43,INCORRIDO!$E$6:$E$5005,AK$7)+IF(AK$7&gt;PARAMETROS!$C$12,IF($H43&gt;0,$G43*CURVA!AK43/$H43,0)*AK$6,0))</f>
        <v>0</v>
      </c>
      <c r="AL43" s="19" t="n">
        <f aca="false">IF($B43="",0,SUMIFS(INCORRIDO!$C$6:$C$5005,INCORRIDO!$D$6:$D$5005,$B43,INCORRIDO!$E$6:$E$5005,AL$7)+IF(AL$7&gt;PARAMETROS!$C$12,IF($H43&gt;0,$G43*CURVA!AL43/$H43,0)*AL$6,0))</f>
        <v>0</v>
      </c>
      <c r="AM43" s="19" t="n">
        <f aca="false">IF($B43="",0,SUMIFS(INCORRIDO!$C$6:$C$5005,INCORRIDO!$D$6:$D$5005,$B43,INCORRIDO!$E$6:$E$5005,AM$7)+IF(AM$7&gt;PARAMETROS!$C$12,IF($H43&gt;0,$G43*CURVA!AM43/$H43,0)*AM$6,0))</f>
        <v>0</v>
      </c>
      <c r="AN43" s="19" t="n">
        <f aca="false">IF($B43="",0,SUMIFS(INCORRIDO!$C$6:$C$5005,INCORRIDO!$D$6:$D$5005,$B43,INCORRIDO!$E$6:$E$5005,AN$7)+IF(AN$7&gt;PARAMETROS!$C$12,IF($H43&gt;0,$G43*CURVA!AN43/$H43,0)*AN$6,0))</f>
        <v>0</v>
      </c>
      <c r="AO43" s="19" t="n">
        <f aca="false">IF($B43="",0,SUMIFS(INCORRIDO!$C$6:$C$5005,INCORRIDO!$D$6:$D$5005,$B43,INCORRIDO!$E$6:$E$5005,AO$7)+IF(AO$7&gt;PARAMETROS!$C$12,IF($H43&gt;0,$G43*CURVA!AO43/$H43,0)*AO$6,0))</f>
        <v>0</v>
      </c>
      <c r="AP43" s="19" t="n">
        <f aca="false">IF($B43="",0,SUMIFS(INCORRIDO!$C$6:$C$5005,INCORRIDO!$D$6:$D$5005,$B43,INCORRIDO!$E$6:$E$5005,AP$7)+IF(AP$7&gt;PARAMETROS!$C$12,IF($H43&gt;0,$G43*CURVA!AP43/$H43,0)*AP$6,0))</f>
        <v>0</v>
      </c>
      <c r="AQ43" s="19" t="n">
        <f aca="false">IF($B43="",0,SUMIFS(INCORRIDO!$C$6:$C$5005,INCORRIDO!$D$6:$D$5005,$B43,INCORRIDO!$E$6:$E$5005,AQ$7)+IF(AQ$7&gt;PARAMETROS!$C$12,IF($H43&gt;0,$G43*CURVA!AQ43/$H43,0)*AQ$6,0))</f>
        <v>0</v>
      </c>
      <c r="AR43" s="19" t="n">
        <f aca="false">IF($B43="",0,SUMIFS(INCORRIDO!$C$6:$C$5005,INCORRIDO!$D$6:$D$5005,$B43,INCORRIDO!$E$6:$E$5005,AR$7)+IF(AR$7&gt;PARAMETROS!$C$12,IF($H43&gt;0,$G43*CURVA!AR43/$H43,0)*AR$6,0))</f>
        <v>0</v>
      </c>
      <c r="AS43" s="19" t="n">
        <f aca="false">IF($B43="",0,SUMIFS(INCORRIDO!$C$6:$C$5005,INCORRIDO!$D$6:$D$5005,$B43,INCORRIDO!$E$6:$E$5005,AS$7)+IF(AS$7&gt;PARAMETROS!$C$12,IF($H43&gt;0,$G43*CURVA!AS43/$H43,0)*AS$6,0))</f>
        <v>0</v>
      </c>
      <c r="AT43" s="19" t="n">
        <f aca="false">IF($B43="",0,SUMIFS(INCORRIDO!$C$6:$C$5005,INCORRIDO!$D$6:$D$5005,$B43,INCORRIDO!$E$6:$E$5005,AT$7)+IF(AT$7&gt;PARAMETROS!$C$12,IF($H43&gt;0,$G43*CURVA!AT43/$H43,0)*AT$6,0))</f>
        <v>0</v>
      </c>
      <c r="AU43" s="19" t="n">
        <f aca="false">IF($B43="",0,SUMIFS(INCORRIDO!$C$6:$C$5005,INCORRIDO!$D$6:$D$5005,$B43,INCORRIDO!$E$6:$E$5005,AU$7)+IF(AU$7&gt;PARAMETROS!$C$12,IF($H43&gt;0,$G43*CURVA!AU43/$H43,0)*AU$6,0))</f>
        <v>0</v>
      </c>
      <c r="AV43" s="19" t="n">
        <f aca="false">IF($B43="",0,SUMIFS(INCORRIDO!$C$6:$C$5005,INCORRIDO!$D$6:$D$5005,$B43,INCORRIDO!$E$6:$E$5005,AV$7)+IF(AV$7&gt;PARAMETROS!$C$12,IF($H43&gt;0,$G43*CURVA!AV43/$H43,0)*AV$6,0))</f>
        <v>0</v>
      </c>
      <c r="AW43" s="19" t="n">
        <f aca="false">IF($B43="",0,SUMIFS(INCORRIDO!$C$6:$C$5005,INCORRIDO!$D$6:$D$5005,$B43,INCORRIDO!$E$6:$E$5005,AW$7)+IF(AW$7&gt;PARAMETROS!$C$12,IF($H43&gt;0,$G43*CURVA!AW43/$H43,0)*AW$6,0))</f>
        <v>0</v>
      </c>
      <c r="AX43" s="19" t="n">
        <f aca="false">IF($B43="",0,SUMIFS(INCORRIDO!$C$6:$C$5005,INCORRIDO!$D$6:$D$5005,$B43,INCORRIDO!$E$6:$E$5005,AX$7)+IF(AX$7&gt;PARAMETROS!$C$12,IF($H43&gt;0,$G43*CURVA!AX43/$H43,0)*AX$6,0))</f>
        <v>0</v>
      </c>
      <c r="AY43" s="19" t="n">
        <f aca="false">IF($B43="",0,SUMIFS(INCORRIDO!$C$6:$C$5005,INCORRIDO!$D$6:$D$5005,$B43,INCORRIDO!$E$6:$E$5005,AY$7)+IF(AY$7&gt;PARAMETROS!$C$12,IF($H43&gt;0,$G43*CURVA!AY43/$H43,0)*AY$6,0))</f>
        <v>0</v>
      </c>
      <c r="AZ43" s="19" t="n">
        <f aca="false">IF($B43="",0,SUMIFS(INCORRIDO!$C$6:$C$5005,INCORRIDO!$D$6:$D$5005,$B43,INCORRIDO!$E$6:$E$5005,AZ$7)+IF(AZ$7&gt;PARAMETROS!$C$12,IF($H43&gt;0,$G43*CURVA!AZ43/$H43,0)*AZ$6,0))</f>
        <v>0</v>
      </c>
      <c r="BA43" s="19" t="n">
        <f aca="false">IF($B43="",0,SUMIFS(INCORRIDO!$C$6:$C$5005,INCORRIDO!$D$6:$D$5005,$B43,INCORRIDO!$E$6:$E$5005,BA$7)+IF(BA$7&gt;PARAMETROS!$C$12,IF($H43&gt;0,$G43*CURVA!BA43/$H43,0)*BA$6,0))</f>
        <v>0</v>
      </c>
      <c r="BB43" s="19" t="n">
        <f aca="false">IF($B43="",0,SUMIFS(INCORRIDO!$C$6:$C$5005,INCORRIDO!$D$6:$D$5005,$B43,INCORRIDO!$E$6:$E$5005,BB$7)+IF(BB$7&gt;PARAMETROS!$C$12,IF($H43&gt;0,$G43*CURVA!BB43/$H43,0)*BB$6,0))</f>
        <v>0</v>
      </c>
      <c r="BC43" s="19" t="n">
        <f aca="false">IF($B43="",0,SUMIFS(INCORRIDO!$C$6:$C$5005,INCORRIDO!$D$6:$D$5005,$B43,INCORRIDO!$E$6:$E$5005,BC$7)+IF(BC$7&gt;PARAMETROS!$C$12,IF($H43&gt;0,$G43*CURVA!BC43/$H43,0)*BC$6,0))</f>
        <v>377793.34321</v>
      </c>
      <c r="BD43" s="19" t="n">
        <f aca="false">IF($B43="",0,SUMIFS(INCORRIDO!$C$6:$C$5005,INCORRIDO!$D$6:$D$5005,$B43,INCORRIDO!$E$6:$E$5005,BD$7)+IF(BD$7&gt;PARAMETROS!$C$12,IF($H43&gt;0,$G43*CURVA!BD43/$H43,0)*BD$6,0))</f>
        <v>346604.792945</v>
      </c>
      <c r="BE43" s="19" t="n">
        <f aca="false">IF($B43="",0,SUMIFS(INCORRIDO!$C$6:$C$5005,INCORRIDO!$D$6:$D$5005,$B43,INCORRIDO!$E$6:$E$5005,BE$7)+IF(BE$7&gt;PARAMETROS!$C$12,IF($H43&gt;0,$G43*CURVA!BE43/$H43,0)*BE$6,0))</f>
        <v>267750.732275</v>
      </c>
      <c r="BF43" s="19" t="n">
        <f aca="false">IF($B43="",0,SUMIFS(INCORRIDO!$C$6:$C$5005,INCORRIDO!$D$6:$D$5005,$B43,INCORRIDO!$E$6:$E$5005,BF$7)+IF(BF$7&gt;PARAMETROS!$C$12,IF($H43&gt;0,$G43*CURVA!BF43/$H43,0)*BF$6,0))</f>
        <v>123341.881048</v>
      </c>
      <c r="BG43" s="19" t="n">
        <f aca="false">IF($B43="",0,SUMIFS(INCORRIDO!$C$6:$C$5005,INCORRIDO!$D$6:$D$5005,$B43,INCORRIDO!$E$6:$E$5005,BG$7)+IF(BG$7&gt;PARAMETROS!$C$12,IF($H43&gt;0,$G43*CURVA!BG43/$H43,0)*BG$6,0))</f>
        <v>61435.550522</v>
      </c>
      <c r="BH43" s="19" t="n">
        <f aca="false">IF($B43="",0,SUMIFS(INCORRIDO!$C$6:$C$5005,INCORRIDO!$D$6:$D$5005,$B43,INCORRIDO!$E$6:$E$5005,BH$7)+IF(BH$7&gt;PARAMETROS!$C$12,IF($H43&gt;0,$G43*CURVA!BH43/$H43,0)*BH$6,0))</f>
        <v>0</v>
      </c>
      <c r="BI43" s="19" t="n">
        <f aca="false">IF($B43="",0,SUMIFS(INCORRIDO!$C$6:$C$5005,INCORRIDO!$D$6:$D$5005,$B43,INCORRIDO!$E$6:$E$5005,BI$7)+IF(BI$7&gt;PARAMETROS!$C$12,IF($H43&gt;0,$G43*CURVA!BI43/$H43,0)*BI$6,0))</f>
        <v>0</v>
      </c>
      <c r="BJ43" s="19" t="n">
        <f aca="false">IF($B43="",0,SUMIFS(INCORRIDO!$C$6:$C$5005,INCORRIDO!$D$6:$D$5005,$B43,INCORRIDO!$E$6:$E$5005,BJ$7)+IF(BJ$7&gt;PARAMETROS!$C$12,IF($H43&gt;0,$G43*CURVA!BJ43/$H43,0)*BJ$6,0))</f>
        <v>0</v>
      </c>
      <c r="BK43" s="19" t="n">
        <f aca="false">IF($B43="",0,SUMIFS(INCORRIDO!$C$6:$C$5005,INCORRIDO!$D$6:$D$5005,$B43,INCORRIDO!$E$6:$E$5005,BK$7)+IF(BK$7&gt;PARAMETROS!$C$12,IF($H43&gt;0,$G43*CURVA!BK43/$H43,0)*BK$6,0))</f>
        <v>0</v>
      </c>
      <c r="BL43" s="19" t="n">
        <f aca="false">IF($B43="",0,SUMIFS(INCORRIDO!$C$6:$C$5005,INCORRIDO!$D$6:$D$5005,$B43,INCORRIDO!$E$6:$E$5005,BL$7)+IF(BL$7&gt;PARAMETROS!$C$12,IF($H43&gt;0,$G43*CURVA!BL43/$H43,0)*BL$6,0))</f>
        <v>0</v>
      </c>
      <c r="BM43" s="19" t="n">
        <f aca="false">IF($B43="",0,SUMIFS(INCORRIDO!$C$6:$C$5005,INCORRIDO!$D$6:$D$5005,$B43,INCORRIDO!$E$6:$E$5005,BM$7)+IF(BM$7&gt;PARAMETROS!$C$12,IF($H43&gt;0,$G43*CURVA!BM43/$H43,0)*BM$6,0))</f>
        <v>0</v>
      </c>
      <c r="BN43" s="19" t="n">
        <f aca="false">IF($B43="",0,SUMIFS(INCORRIDO!$C$6:$C$5005,INCORRIDO!$D$6:$D$5005,$B43,INCORRIDO!$E$6:$E$5005,BN$7)+IF(BN$7&gt;PARAMETROS!$C$12,IF($H43&gt;0,$G43*CURVA!BN43/$H43,0)*BN$6,0))</f>
        <v>0</v>
      </c>
      <c r="BO43" s="19" t="n">
        <f aca="false">IF($B43="",0,SUMIFS(INCORRIDO!$C$6:$C$5005,INCORRIDO!$D$6:$D$5005,$B43,INCORRIDO!$E$6:$E$5005,BO$7)+IF(BO$7&gt;PARAMETROS!$C$12,IF($H43&gt;0,$G43*CURVA!BO43/$H43,0)*BO$6,0))</f>
        <v>0</v>
      </c>
      <c r="BP43" s="19" t="n">
        <f aca="false">IF($B43="",0,SUMIFS(INCORRIDO!$C$6:$C$5005,INCORRIDO!$D$6:$D$5005,$B43,INCORRIDO!$E$6:$E$5005,BP$7)+IF(BP$7&gt;PARAMETROS!$C$12,IF($H43&gt;0,$G43*CURVA!BP43/$H43,0)*BP$6,0))</f>
        <v>0</v>
      </c>
      <c r="BQ43" s="19" t="n">
        <f aca="false">IF($B43="",0,SUMIFS(INCORRIDO!$C$6:$C$5005,INCORRIDO!$D$6:$D$5005,$B43,INCORRIDO!$E$6:$E$5005,BQ$7)+IF(BQ$7&gt;PARAMETROS!$C$12,IF($H43&gt;0,$G43*CURVA!BQ43/$H43,0)*BQ$6,0))</f>
        <v>0</v>
      </c>
      <c r="BR43" s="19" t="n">
        <f aca="false">IF($B43="",0,SUMIFS(INCORRIDO!$C$6:$C$5005,INCORRIDO!$D$6:$D$5005,$B43,INCORRIDO!$E$6:$E$5005,BR$7)+IF(BR$7&gt;PARAMETROS!$C$12,IF($H43&gt;0,$G43*CURVA!BR43/$H43,0)*BR$6,0))</f>
        <v>0</v>
      </c>
      <c r="BS43" s="19" t="n">
        <f aca="false">IF($B43="",0,SUMIFS(INCORRIDO!$C$6:$C$5005,INCORRIDO!$D$6:$D$5005,$B43,INCORRIDO!$E$6:$E$5005,BS$7)+IF(BS$7&gt;PARAMETROS!$C$12,IF($H43&gt;0,$G43*CURVA!BS43/$H43,0)*BS$6,0))</f>
        <v>0</v>
      </c>
      <c r="BT43" s="19" t="n">
        <f aca="false">IF($B43="",0,SUMIFS(INCORRIDO!$C$6:$C$5005,INCORRIDO!$D$6:$D$5005,$B43,INCORRIDO!$E$6:$E$5005,BT$7)+IF(BT$7&gt;PARAMETROS!$C$12,IF($H43&gt;0,$G43*CURVA!BT43/$H43,0)*BT$6,0))</f>
        <v>0</v>
      </c>
      <c r="BU43" s="19" t="n">
        <f aca="false">IF($B43="",0,SUMIFS(INCORRIDO!$C$6:$C$5005,INCORRIDO!$D$6:$D$5005,$B43,INCORRIDO!$E$6:$E$5005,BU$7)+IF(BU$7&gt;PARAMETROS!$C$12,IF($H43&gt;0,$G43*CURVA!BU43/$H43,0)*BU$6,0))</f>
        <v>0</v>
      </c>
      <c r="BV43" s="19" t="n">
        <f aca="false">IF($B43="",0,SUMIFS(INCORRIDO!$C$6:$C$5005,INCORRIDO!$D$6:$D$5005,$B43,INCORRIDO!$E$6:$E$5005,BV$7)+IF(BV$7&gt;PARAMETROS!$C$12,IF($H43&gt;0,$G43*CURVA!BV43/$H43,0)*BV$6,0))</f>
        <v>0</v>
      </c>
      <c r="BW43" s="19" t="n">
        <f aca="false">IF($B43="",0,SUMIFS(INCORRIDO!$C$6:$C$5005,INCORRIDO!$D$6:$D$5005,$B43,INCORRIDO!$E$6:$E$5005,BW$7)+IF(BW$7&gt;PARAMETROS!$C$12,IF($H43&gt;0,$G43*CURVA!BW43/$H43,0)*BW$6,0))</f>
        <v>0</v>
      </c>
      <c r="BX43" s="19" t="n">
        <f aca="false">IF($B43="",0,SUMIFS(INCORRIDO!$C$6:$C$5005,INCORRIDO!$D$6:$D$5005,$B43,INCORRIDO!$E$6:$E$5005,BX$7)+IF(BX$7&gt;PARAMETROS!$C$12,IF($H43&gt;0,$G43*CURVA!BX43/$H43,0)*BX$6,0))</f>
        <v>0</v>
      </c>
      <c r="BY43" s="19" t="n">
        <f aca="false">IF($B43="",0,SUMIFS(INCORRIDO!$C$6:$C$5005,INCORRIDO!$D$6:$D$5005,$B43,INCORRIDO!$E$6:$E$5005,BY$7)+IF(BY$7&gt;PARAMETROS!$C$12,IF($H43&gt;0,$G43*CURVA!BY43/$H43,0)*BY$6,0))</f>
        <v>0</v>
      </c>
      <c r="BZ43" s="19" t="n">
        <f aca="false">IF($B43="",0,SUMIFS(INCORRIDO!$C$6:$C$5005,INCORRIDO!$D$6:$D$5005,$B43,INCORRIDO!$E$6:$E$5005,BZ$7)+IF(BZ$7&gt;PARAMETROS!$C$12,IF($H43&gt;0,$G43*CURVA!BZ43/$H43,0)*BZ$6,0))</f>
        <v>0</v>
      </c>
      <c r="CA43" s="19" t="n">
        <f aca="false">IF($B43="",0,SUMIFS(INCORRIDO!$C$6:$C$5005,INCORRIDO!$D$6:$D$5005,$B43,INCORRIDO!$E$6:$E$5005,CA$7)+IF(CA$7&gt;PARAMETROS!$C$12,IF($H43&gt;0,$G43*CURVA!CA43/$H43,0)*CA$6,0))</f>
        <v>0</v>
      </c>
      <c r="CB43" s="19" t="n">
        <f aca="false">IF($B43="",0,SUMIFS(INCORRIDO!$C$6:$C$5005,INCORRIDO!$D$6:$D$5005,$B43,INCORRIDO!$E$6:$E$5005,CB$7)+IF(CB$7&gt;PARAMETROS!$C$12,IF($H43&gt;0,$G43*CURVA!CB43/$H43,0)*CB$6,0))</f>
        <v>0</v>
      </c>
      <c r="CC43" s="19" t="n">
        <f aca="false">IF($B43="",0,SUMIFS(INCORRIDO!$C$6:$C$5005,INCORRIDO!$D$6:$D$5005,$B43,INCORRIDO!$E$6:$E$5005,CC$7)+IF(CC$7&gt;PARAMETROS!$C$12,IF($H43&gt;0,$G43*CURVA!CC43/$H43,0)*CC$6,0))</f>
        <v>0</v>
      </c>
    </row>
    <row r="44" customFormat="false" ht="15" hidden="false" customHeight="false" outlineLevel="0" collapsed="false">
      <c r="A44" s="31" t="str">
        <f aca="false">IF(ORCAMENTO!A42="","",ORCAMENTO!A42)</f>
        <v>37</v>
      </c>
      <c r="B44" s="31" t="str">
        <f aca="false">IF(ORCAMENTO!B42="","",ORCAMENTO!B42)</f>
        <v>LIMPEZA FINAL DE OBRA</v>
      </c>
      <c r="C44" s="31" t="str">
        <f aca="false">IF(ORCAMENTO!C42="","",ORCAMENTO!C42)</f>
        <v>ACABAMENTOS</v>
      </c>
      <c r="D44" s="32" t="n">
        <f aca="false">IF($B44="",0,ORCAMENTO!E42)</f>
        <v>935395.03</v>
      </c>
      <c r="E44" s="19" t="n">
        <f aca="false">IF($B44="",0,SUMIFS(INCORRIDO!$C$6:$C$5005,INCORRIDO!$D$6:$D$5005,$B44,INCORRIDO!$E$6:$E$5005,"&lt;="&amp;PARAMETROS!$C$12))</f>
        <v>0</v>
      </c>
      <c r="F44" s="19" t="n">
        <f aca="false">IF($B44="",0,SUMIFS(INCORRIDO!$C$6:$C$5005,INCORRIDO!$D$6:$D$5005,$B44,INCORRIDO!$E$6:$E$5005,"&gt;"&amp;PARAMETROS!$C$12))</f>
        <v>0</v>
      </c>
      <c r="G44" s="19" t="n">
        <f aca="false">MAX(0,D44-E44-F44)</f>
        <v>935395.03</v>
      </c>
      <c r="H44" s="32" t="n">
        <f aca="false">CURVA!H44</f>
        <v>934927.34</v>
      </c>
      <c r="I44" s="19" t="n">
        <f aca="false">SUM(J44:CC44)</f>
        <v>935395.03</v>
      </c>
      <c r="J44" s="19" t="n">
        <f aca="false">IF($B44="",0,SUMIFS(INCORRIDO!$C$6:$C$5005,INCORRIDO!$D$6:$D$5005,$B44,INCORRIDO!$E$6:$E$5005,"&lt;="&amp;J$7)+IF(J$7&gt;PARAMETROS!$C$12,IF($H44&gt;0,$G44*CURVA!J44/$H44,0)*J$6,0))</f>
        <v>0</v>
      </c>
      <c r="K44" s="19" t="n">
        <f aca="false">IF($B44="",0,SUMIFS(INCORRIDO!$C$6:$C$5005,INCORRIDO!$D$6:$D$5005,$B44,INCORRIDO!$E$6:$E$5005,K$7)+IF(K$7&gt;PARAMETROS!$C$12,IF($H44&gt;0,$G44*CURVA!K44/$H44,0)*K$6,0))</f>
        <v>0</v>
      </c>
      <c r="L44" s="19" t="n">
        <f aca="false">IF($B44="",0,SUMIFS(INCORRIDO!$C$6:$C$5005,INCORRIDO!$D$6:$D$5005,$B44,INCORRIDO!$E$6:$E$5005,L$7)+IF(L$7&gt;PARAMETROS!$C$12,IF($H44&gt;0,$G44*CURVA!L44/$H44,0)*L$6,0))</f>
        <v>0</v>
      </c>
      <c r="M44" s="19" t="n">
        <f aca="false">IF($B44="",0,SUMIFS(INCORRIDO!$C$6:$C$5005,INCORRIDO!$D$6:$D$5005,$B44,INCORRIDO!$E$6:$E$5005,M$7)+IF(M$7&gt;PARAMETROS!$C$12,IF($H44&gt;0,$G44*CURVA!M44/$H44,0)*M$6,0))</f>
        <v>0</v>
      </c>
      <c r="N44" s="19" t="n">
        <f aca="false">IF($B44="",0,SUMIFS(INCORRIDO!$C$6:$C$5005,INCORRIDO!$D$6:$D$5005,$B44,INCORRIDO!$E$6:$E$5005,N$7)+IF(N$7&gt;PARAMETROS!$C$12,IF($H44&gt;0,$G44*CURVA!N44/$H44,0)*N$6,0))</f>
        <v>0</v>
      </c>
      <c r="O44" s="19" t="n">
        <f aca="false">IF($B44="",0,SUMIFS(INCORRIDO!$C$6:$C$5005,INCORRIDO!$D$6:$D$5005,$B44,INCORRIDO!$E$6:$E$5005,O$7)+IF(O$7&gt;PARAMETROS!$C$12,IF($H44&gt;0,$G44*CURVA!O44/$H44,0)*O$6,0))</f>
        <v>0</v>
      </c>
      <c r="P44" s="19" t="n">
        <f aca="false">IF($B44="",0,SUMIFS(INCORRIDO!$C$6:$C$5005,INCORRIDO!$D$6:$D$5005,$B44,INCORRIDO!$E$6:$E$5005,P$7)+IF(P$7&gt;PARAMETROS!$C$12,IF($H44&gt;0,$G44*CURVA!P44/$H44,0)*P$6,0))</f>
        <v>0</v>
      </c>
      <c r="Q44" s="19" t="n">
        <f aca="false">IF($B44="",0,SUMIFS(INCORRIDO!$C$6:$C$5005,INCORRIDO!$D$6:$D$5005,$B44,INCORRIDO!$E$6:$E$5005,Q$7)+IF(Q$7&gt;PARAMETROS!$C$12,IF($H44&gt;0,$G44*CURVA!Q44/$H44,0)*Q$6,0))</f>
        <v>0</v>
      </c>
      <c r="R44" s="19" t="n">
        <f aca="false">IF($B44="",0,SUMIFS(INCORRIDO!$C$6:$C$5005,INCORRIDO!$D$6:$D$5005,$B44,INCORRIDO!$E$6:$E$5005,R$7)+IF(R$7&gt;PARAMETROS!$C$12,IF($H44&gt;0,$G44*CURVA!R44/$H44,0)*R$6,0))</f>
        <v>0</v>
      </c>
      <c r="S44" s="19" t="n">
        <f aca="false">IF($B44="",0,SUMIFS(INCORRIDO!$C$6:$C$5005,INCORRIDO!$D$6:$D$5005,$B44,INCORRIDO!$E$6:$E$5005,S$7)+IF(S$7&gt;PARAMETROS!$C$12,IF($H44&gt;0,$G44*CURVA!S44/$H44,0)*S$6,0))</f>
        <v>0</v>
      </c>
      <c r="T44" s="19" t="n">
        <f aca="false">IF($B44="",0,SUMIFS(INCORRIDO!$C$6:$C$5005,INCORRIDO!$D$6:$D$5005,$B44,INCORRIDO!$E$6:$E$5005,T$7)+IF(T$7&gt;PARAMETROS!$C$12,IF($H44&gt;0,$G44*CURVA!T44/$H44,0)*T$6,0))</f>
        <v>0</v>
      </c>
      <c r="U44" s="19" t="n">
        <f aca="false">IF($B44="",0,SUMIFS(INCORRIDO!$C$6:$C$5005,INCORRIDO!$D$6:$D$5005,$B44,INCORRIDO!$E$6:$E$5005,U$7)+IF(U$7&gt;PARAMETROS!$C$12,IF($H44&gt;0,$G44*CURVA!U44/$H44,0)*U$6,0))</f>
        <v>0</v>
      </c>
      <c r="V44" s="19" t="n">
        <f aca="false">IF($B44="",0,SUMIFS(INCORRIDO!$C$6:$C$5005,INCORRIDO!$D$6:$D$5005,$B44,INCORRIDO!$E$6:$E$5005,V$7)+IF(V$7&gt;PARAMETROS!$C$12,IF($H44&gt;0,$G44*CURVA!V44/$H44,0)*V$6,0))</f>
        <v>0</v>
      </c>
      <c r="W44" s="19" t="n">
        <f aca="false">IF($B44="",0,SUMIFS(INCORRIDO!$C$6:$C$5005,INCORRIDO!$D$6:$D$5005,$B44,INCORRIDO!$E$6:$E$5005,W$7)+IF(W$7&gt;PARAMETROS!$C$12,IF($H44&gt;0,$G44*CURVA!W44/$H44,0)*W$6,0))</f>
        <v>0</v>
      </c>
      <c r="X44" s="19" t="n">
        <f aca="false">IF($B44="",0,SUMIFS(INCORRIDO!$C$6:$C$5005,INCORRIDO!$D$6:$D$5005,$B44,INCORRIDO!$E$6:$E$5005,X$7)+IF(X$7&gt;PARAMETROS!$C$12,IF($H44&gt;0,$G44*CURVA!X44/$H44,0)*X$6,0))</f>
        <v>0</v>
      </c>
      <c r="Y44" s="19" t="n">
        <f aca="false">IF($B44="",0,SUMIFS(INCORRIDO!$C$6:$C$5005,INCORRIDO!$D$6:$D$5005,$B44,INCORRIDO!$E$6:$E$5005,Y$7)+IF(Y$7&gt;PARAMETROS!$C$12,IF($H44&gt;0,$G44*CURVA!Y44/$H44,0)*Y$6,0))</f>
        <v>0</v>
      </c>
      <c r="Z44" s="19" t="n">
        <f aca="false">IF($B44="",0,SUMIFS(INCORRIDO!$C$6:$C$5005,INCORRIDO!$D$6:$D$5005,$B44,INCORRIDO!$E$6:$E$5005,Z$7)+IF(Z$7&gt;PARAMETROS!$C$12,IF($H44&gt;0,$G44*CURVA!Z44/$H44,0)*Z$6,0))</f>
        <v>0</v>
      </c>
      <c r="AA44" s="19" t="n">
        <f aca="false">IF($B44="",0,SUMIFS(INCORRIDO!$C$6:$C$5005,INCORRIDO!$D$6:$D$5005,$B44,INCORRIDO!$E$6:$E$5005,AA$7)+IF(AA$7&gt;PARAMETROS!$C$12,IF($H44&gt;0,$G44*CURVA!AA44/$H44,0)*AA$6,0))</f>
        <v>0</v>
      </c>
      <c r="AB44" s="19" t="n">
        <f aca="false">IF($B44="",0,SUMIFS(INCORRIDO!$C$6:$C$5005,INCORRIDO!$D$6:$D$5005,$B44,INCORRIDO!$E$6:$E$5005,AB$7)+IF(AB$7&gt;PARAMETROS!$C$12,IF($H44&gt;0,$G44*CURVA!AB44/$H44,0)*AB$6,0))</f>
        <v>0</v>
      </c>
      <c r="AC44" s="19" t="n">
        <f aca="false">IF($B44="",0,SUMIFS(INCORRIDO!$C$6:$C$5005,INCORRIDO!$D$6:$D$5005,$B44,INCORRIDO!$E$6:$E$5005,AC$7)+IF(AC$7&gt;PARAMETROS!$C$12,IF($H44&gt;0,$G44*CURVA!AC44/$H44,0)*AC$6,0))</f>
        <v>0</v>
      </c>
      <c r="AD44" s="19" t="n">
        <f aca="false">IF($B44="",0,SUMIFS(INCORRIDO!$C$6:$C$5005,INCORRIDO!$D$6:$D$5005,$B44,INCORRIDO!$E$6:$E$5005,AD$7)+IF(AD$7&gt;PARAMETROS!$C$12,IF($H44&gt;0,$G44*CURVA!AD44/$H44,0)*AD$6,0))</f>
        <v>0</v>
      </c>
      <c r="AE44" s="19" t="n">
        <f aca="false">IF($B44="",0,SUMIFS(INCORRIDO!$C$6:$C$5005,INCORRIDO!$D$6:$D$5005,$B44,INCORRIDO!$E$6:$E$5005,AE$7)+IF(AE$7&gt;PARAMETROS!$C$12,IF($H44&gt;0,$G44*CURVA!AE44/$H44,0)*AE$6,0))</f>
        <v>0</v>
      </c>
      <c r="AF44" s="19" t="n">
        <f aca="false">IF($B44="",0,SUMIFS(INCORRIDO!$C$6:$C$5005,INCORRIDO!$D$6:$D$5005,$B44,INCORRIDO!$E$6:$E$5005,AF$7)+IF(AF$7&gt;PARAMETROS!$C$12,IF($H44&gt;0,$G44*CURVA!AF44/$H44,0)*AF$6,0))</f>
        <v>0</v>
      </c>
      <c r="AG44" s="19" t="n">
        <f aca="false">IF($B44="",0,SUMIFS(INCORRIDO!$C$6:$C$5005,INCORRIDO!$D$6:$D$5005,$B44,INCORRIDO!$E$6:$E$5005,AG$7)+IF(AG$7&gt;PARAMETROS!$C$12,IF($H44&gt;0,$G44*CURVA!AG44/$H44,0)*AG$6,0))</f>
        <v>0</v>
      </c>
      <c r="AH44" s="19" t="n">
        <f aca="false">IF($B44="",0,SUMIFS(INCORRIDO!$C$6:$C$5005,INCORRIDO!$D$6:$D$5005,$B44,INCORRIDO!$E$6:$E$5005,AH$7)+IF(AH$7&gt;PARAMETROS!$C$12,IF($H44&gt;0,$G44*CURVA!AH44/$H44,0)*AH$6,0))</f>
        <v>0</v>
      </c>
      <c r="AI44" s="19" t="n">
        <f aca="false">IF($B44="",0,SUMIFS(INCORRIDO!$C$6:$C$5005,INCORRIDO!$D$6:$D$5005,$B44,INCORRIDO!$E$6:$E$5005,AI$7)+IF(AI$7&gt;PARAMETROS!$C$12,IF($H44&gt;0,$G44*CURVA!AI44/$H44,0)*AI$6,0))</f>
        <v>0</v>
      </c>
      <c r="AJ44" s="19" t="n">
        <f aca="false">IF($B44="",0,SUMIFS(INCORRIDO!$C$6:$C$5005,INCORRIDO!$D$6:$D$5005,$B44,INCORRIDO!$E$6:$E$5005,AJ$7)+IF(AJ$7&gt;PARAMETROS!$C$12,IF($H44&gt;0,$G44*CURVA!AJ44/$H44,0)*AJ$6,0))</f>
        <v>0</v>
      </c>
      <c r="AK44" s="19" t="n">
        <f aca="false">IF($B44="",0,SUMIFS(INCORRIDO!$C$6:$C$5005,INCORRIDO!$D$6:$D$5005,$B44,INCORRIDO!$E$6:$E$5005,AK$7)+IF(AK$7&gt;PARAMETROS!$C$12,IF($H44&gt;0,$G44*CURVA!AK44/$H44,0)*AK$6,0))</f>
        <v>0</v>
      </c>
      <c r="AL44" s="19" t="n">
        <f aca="false">IF($B44="",0,SUMIFS(INCORRIDO!$C$6:$C$5005,INCORRIDO!$D$6:$D$5005,$B44,INCORRIDO!$E$6:$E$5005,AL$7)+IF(AL$7&gt;PARAMETROS!$C$12,IF($H44&gt;0,$G44*CURVA!AL44/$H44,0)*AL$6,0))</f>
        <v>0</v>
      </c>
      <c r="AM44" s="19" t="n">
        <f aca="false">IF($B44="",0,SUMIFS(INCORRIDO!$C$6:$C$5005,INCORRIDO!$D$6:$D$5005,$B44,INCORRIDO!$E$6:$E$5005,AM$7)+IF(AM$7&gt;PARAMETROS!$C$12,IF($H44&gt;0,$G44*CURVA!AM44/$H44,0)*AM$6,0))</f>
        <v>0</v>
      </c>
      <c r="AN44" s="19" t="n">
        <f aca="false">IF($B44="",0,SUMIFS(INCORRIDO!$C$6:$C$5005,INCORRIDO!$D$6:$D$5005,$B44,INCORRIDO!$E$6:$E$5005,AN$7)+IF(AN$7&gt;PARAMETROS!$C$12,IF($H44&gt;0,$G44*CURVA!AN44/$H44,0)*AN$6,0))</f>
        <v>0</v>
      </c>
      <c r="AO44" s="19" t="n">
        <f aca="false">IF($B44="",0,SUMIFS(INCORRIDO!$C$6:$C$5005,INCORRIDO!$D$6:$D$5005,$B44,INCORRIDO!$E$6:$E$5005,AO$7)+IF(AO$7&gt;PARAMETROS!$C$12,IF($H44&gt;0,$G44*CURVA!AO44/$H44,0)*AO$6,0))</f>
        <v>0</v>
      </c>
      <c r="AP44" s="19" t="n">
        <f aca="false">IF($B44="",0,SUMIFS(INCORRIDO!$C$6:$C$5005,INCORRIDO!$D$6:$D$5005,$B44,INCORRIDO!$E$6:$E$5005,AP$7)+IF(AP$7&gt;PARAMETROS!$C$12,IF($H44&gt;0,$G44*CURVA!AP44/$H44,0)*AP$6,0))</f>
        <v>0</v>
      </c>
      <c r="AQ44" s="19" t="n">
        <f aca="false">IF($B44="",0,SUMIFS(INCORRIDO!$C$6:$C$5005,INCORRIDO!$D$6:$D$5005,$B44,INCORRIDO!$E$6:$E$5005,AQ$7)+IF(AQ$7&gt;PARAMETROS!$C$12,IF($H44&gt;0,$G44*CURVA!AQ44/$H44,0)*AQ$6,0))</f>
        <v>0</v>
      </c>
      <c r="AR44" s="19" t="n">
        <f aca="false">IF($B44="",0,SUMIFS(INCORRIDO!$C$6:$C$5005,INCORRIDO!$D$6:$D$5005,$B44,INCORRIDO!$E$6:$E$5005,AR$7)+IF(AR$7&gt;PARAMETROS!$C$12,IF($H44&gt;0,$G44*CURVA!AR44/$H44,0)*AR$6,0))</f>
        <v>0</v>
      </c>
      <c r="AS44" s="19" t="n">
        <f aca="false">IF($B44="",0,SUMIFS(INCORRIDO!$C$6:$C$5005,INCORRIDO!$D$6:$D$5005,$B44,INCORRIDO!$E$6:$E$5005,AS$7)+IF(AS$7&gt;PARAMETROS!$C$12,IF($H44&gt;0,$G44*CURVA!AS44/$H44,0)*AS$6,0))</f>
        <v>0</v>
      </c>
      <c r="AT44" s="19" t="n">
        <f aca="false">IF($B44="",0,SUMIFS(INCORRIDO!$C$6:$C$5005,INCORRIDO!$D$6:$D$5005,$B44,INCORRIDO!$E$6:$E$5005,AT$7)+IF(AT$7&gt;PARAMETROS!$C$12,IF($H44&gt;0,$G44*CURVA!AT44/$H44,0)*AT$6,0))</f>
        <v>0</v>
      </c>
      <c r="AU44" s="19" t="n">
        <f aca="false">IF($B44="",0,SUMIFS(INCORRIDO!$C$6:$C$5005,INCORRIDO!$D$6:$D$5005,$B44,INCORRIDO!$E$6:$E$5005,AU$7)+IF(AU$7&gt;PARAMETROS!$C$12,IF($H44&gt;0,$G44*CURVA!AU44/$H44,0)*AU$6,0))</f>
        <v>0</v>
      </c>
      <c r="AV44" s="19" t="n">
        <f aca="false">IF($B44="",0,SUMIFS(INCORRIDO!$C$6:$C$5005,INCORRIDO!$D$6:$D$5005,$B44,INCORRIDO!$E$6:$E$5005,AV$7)+IF(AV$7&gt;PARAMETROS!$C$12,IF($H44&gt;0,$G44*CURVA!AV44/$H44,0)*AV$6,0))</f>
        <v>0</v>
      </c>
      <c r="AW44" s="19" t="n">
        <f aca="false">IF($B44="",0,SUMIFS(INCORRIDO!$C$6:$C$5005,INCORRIDO!$D$6:$D$5005,$B44,INCORRIDO!$E$6:$E$5005,AW$7)+IF(AW$7&gt;PARAMETROS!$C$12,IF($H44&gt;0,$G44*CURVA!AW44/$H44,0)*AW$6,0))</f>
        <v>0</v>
      </c>
      <c r="AX44" s="19" t="n">
        <f aca="false">IF($B44="",0,SUMIFS(INCORRIDO!$C$6:$C$5005,INCORRIDO!$D$6:$D$5005,$B44,INCORRIDO!$E$6:$E$5005,AX$7)+IF(AX$7&gt;PARAMETROS!$C$12,IF($H44&gt;0,$G44*CURVA!AX44/$H44,0)*AX$6,0))</f>
        <v>19091.605649442</v>
      </c>
      <c r="AY44" s="19" t="n">
        <f aca="false">IF($B44="",0,SUMIFS(INCORRIDO!$C$6:$C$5005,INCORRIDO!$D$6:$D$5005,$B44,INCORRIDO!$E$6:$E$5005,AY$7)+IF(AY$7&gt;PARAMETROS!$C$12,IF($H44&gt;0,$G44*CURVA!AY44/$H44,0)*AY$6,0))</f>
        <v>36124.3118657087</v>
      </c>
      <c r="AZ44" s="19" t="n">
        <f aca="false">IF($B44="",0,SUMIFS(INCORRIDO!$C$6:$C$5005,INCORRIDO!$D$6:$D$5005,$B44,INCORRIDO!$E$6:$E$5005,AZ$7)+IF(AZ$7&gt;PARAMETROS!$C$12,IF($H44&gt;0,$G44*CURVA!AZ44/$H44,0)*AZ$6,0))</f>
        <v>66071.9254318915</v>
      </c>
      <c r="BA44" s="19" t="n">
        <f aca="false">IF($B44="",0,SUMIFS(INCORRIDO!$C$6:$C$5005,INCORRIDO!$D$6:$D$5005,$B44,INCORRIDO!$E$6:$E$5005,BA$7)+IF(BA$7&gt;PARAMETROS!$C$12,IF($H44&gt;0,$G44*CURVA!BA44/$H44,0)*BA$6,0))</f>
        <v>81045.7322149829</v>
      </c>
      <c r="BB44" s="19" t="n">
        <f aca="false">IF($B44="",0,SUMIFS(INCORRIDO!$C$6:$C$5005,INCORRIDO!$D$6:$D$5005,$B44,INCORRIDO!$E$6:$E$5005,BB$7)+IF(BB$7&gt;PARAMETROS!$C$12,IF($H44&gt;0,$G44*CURVA!BB44/$H44,0)*BB$6,0))</f>
        <v>86473.7361733533</v>
      </c>
      <c r="BC44" s="19" t="n">
        <f aca="false">IF($B44="",0,SUMIFS(INCORRIDO!$C$6:$C$5005,INCORRIDO!$D$6:$D$5005,$B44,INCORRIDO!$E$6:$E$5005,BC$7)+IF(BC$7&gt;PARAMETROS!$C$12,IF($H44&gt;0,$G44*CURVA!BC44/$H44,0)*BC$6,0))</f>
        <v>83385.3920260916</v>
      </c>
      <c r="BD44" s="19" t="n">
        <f aca="false">IF($B44="",0,SUMIFS(INCORRIDO!$C$6:$C$5005,INCORRIDO!$D$6:$D$5005,$B44,INCORRIDO!$E$6:$E$5005,BD$7)+IF(BD$7&gt;PARAMETROS!$C$12,IF($H44&gt;0,$G44*CURVA!BD44/$H44,0)*BD$6,0))</f>
        <v>83478.978818736</v>
      </c>
      <c r="BE44" s="19" t="n">
        <f aca="false">IF($B44="",0,SUMIFS(INCORRIDO!$C$6:$C$5005,INCORRIDO!$D$6:$D$5005,$B44,INCORRIDO!$E$6:$E$5005,BE$7)+IF(BE$7&gt;PARAMETROS!$C$12,IF($H44&gt;0,$G44*CURVA!BE44/$H44,0)*BE$6,0))</f>
        <v>77863.8012750767</v>
      </c>
      <c r="BF44" s="19" t="n">
        <f aca="false">IF($B44="",0,SUMIFS(INCORRIDO!$C$6:$C$5005,INCORRIDO!$D$6:$D$5005,$B44,INCORRIDO!$E$6:$E$5005,BF$7)+IF(BF$7&gt;PARAMETROS!$C$12,IF($H44&gt;0,$G44*CURVA!BF44/$H44,0)*BF$6,0))</f>
        <v>69253.8563717977</v>
      </c>
      <c r="BG44" s="19" t="n">
        <f aca="false">IF($B44="",0,SUMIFS(INCORRIDO!$C$6:$C$5005,INCORRIDO!$D$6:$D$5005,$B44,INCORRIDO!$E$6:$E$5005,BG$7)+IF(BG$7&gt;PARAMETROS!$C$12,IF($H44&gt;0,$G44*CURVA!BG44/$H44,0)*BG$6,0))</f>
        <v>55871.0150586594</v>
      </c>
      <c r="BH44" s="19" t="n">
        <f aca="false">IF($B44="",0,SUMIFS(INCORRIDO!$C$6:$C$5005,INCORRIDO!$D$6:$D$5005,$B44,INCORRIDO!$E$6:$E$5005,BH$7)+IF(BH$7&gt;PARAMETROS!$C$12,IF($H44&gt;0,$G44*CURVA!BH44/$H44,0)*BH$6,0))</f>
        <v>95832.3654127854</v>
      </c>
      <c r="BI44" s="19" t="n">
        <f aca="false">IF($B44="",0,SUMIFS(INCORRIDO!$C$6:$C$5005,INCORRIDO!$D$6:$D$5005,$B44,INCORRIDO!$E$6:$E$5005,BI$7)+IF(BI$7&gt;PARAMETROS!$C$12,IF($H44&gt;0,$G44*CURVA!BI44/$H44,0)*BI$6,0))</f>
        <v>86754.4965512867</v>
      </c>
      <c r="BJ44" s="19" t="n">
        <f aca="false">IF($B44="",0,SUMIFS(INCORRIDO!$C$6:$C$5005,INCORRIDO!$D$6:$D$5005,$B44,INCORRIDO!$E$6:$E$5005,BJ$7)+IF(BJ$7&gt;PARAMETROS!$C$12,IF($H44&gt;0,$G44*CURVA!BJ44/$H44,0)*BJ$6,0))</f>
        <v>81981.5901364249</v>
      </c>
      <c r="BK44" s="19" t="n">
        <f aca="false">IF($B44="",0,SUMIFS(INCORRIDO!$C$6:$C$5005,INCORRIDO!$D$6:$D$5005,$B44,INCORRIDO!$E$6:$E$5005,BK$7)+IF(BK$7&gt;PARAMETROS!$C$12,IF($H44&gt;0,$G44*CURVA!BK44/$H44,0)*BK$6,0))</f>
        <v>12166.223013763</v>
      </c>
      <c r="BL44" s="19" t="n">
        <f aca="false">IF($B44="",0,SUMIFS(INCORRIDO!$C$6:$C$5005,INCORRIDO!$D$6:$D$5005,$B44,INCORRIDO!$E$6:$E$5005,BL$7)+IF(BL$7&gt;PARAMETROS!$C$12,IF($H44&gt;0,$G44*CURVA!BL44/$H44,0)*BL$6,0))</f>
        <v>0</v>
      </c>
      <c r="BM44" s="19" t="n">
        <f aca="false">IF($B44="",0,SUMIFS(INCORRIDO!$C$6:$C$5005,INCORRIDO!$D$6:$D$5005,$B44,INCORRIDO!$E$6:$E$5005,BM$7)+IF(BM$7&gt;PARAMETROS!$C$12,IF($H44&gt;0,$G44*CURVA!BM44/$H44,0)*BM$6,0))</f>
        <v>0</v>
      </c>
      <c r="BN44" s="19" t="n">
        <f aca="false">IF($B44="",0,SUMIFS(INCORRIDO!$C$6:$C$5005,INCORRIDO!$D$6:$D$5005,$B44,INCORRIDO!$E$6:$E$5005,BN$7)+IF(BN$7&gt;PARAMETROS!$C$12,IF($H44&gt;0,$G44*CURVA!BN44/$H44,0)*BN$6,0))</f>
        <v>0</v>
      </c>
      <c r="BO44" s="19" t="n">
        <f aca="false">IF($B44="",0,SUMIFS(INCORRIDO!$C$6:$C$5005,INCORRIDO!$D$6:$D$5005,$B44,INCORRIDO!$E$6:$E$5005,BO$7)+IF(BO$7&gt;PARAMETROS!$C$12,IF($H44&gt;0,$G44*CURVA!BO44/$H44,0)*BO$6,0))</f>
        <v>0</v>
      </c>
      <c r="BP44" s="19" t="n">
        <f aca="false">IF($B44="",0,SUMIFS(INCORRIDO!$C$6:$C$5005,INCORRIDO!$D$6:$D$5005,$B44,INCORRIDO!$E$6:$E$5005,BP$7)+IF(BP$7&gt;PARAMETROS!$C$12,IF($H44&gt;0,$G44*CURVA!BP44/$H44,0)*BP$6,0))</f>
        <v>0</v>
      </c>
      <c r="BQ44" s="19" t="n">
        <f aca="false">IF($B44="",0,SUMIFS(INCORRIDO!$C$6:$C$5005,INCORRIDO!$D$6:$D$5005,$B44,INCORRIDO!$E$6:$E$5005,BQ$7)+IF(BQ$7&gt;PARAMETROS!$C$12,IF($H44&gt;0,$G44*CURVA!BQ44/$H44,0)*BQ$6,0))</f>
        <v>0</v>
      </c>
      <c r="BR44" s="19" t="n">
        <f aca="false">IF($B44="",0,SUMIFS(INCORRIDO!$C$6:$C$5005,INCORRIDO!$D$6:$D$5005,$B44,INCORRIDO!$E$6:$E$5005,BR$7)+IF(BR$7&gt;PARAMETROS!$C$12,IF($H44&gt;0,$G44*CURVA!BR44/$H44,0)*BR$6,0))</f>
        <v>0</v>
      </c>
      <c r="BS44" s="19" t="n">
        <f aca="false">IF($B44="",0,SUMIFS(INCORRIDO!$C$6:$C$5005,INCORRIDO!$D$6:$D$5005,$B44,INCORRIDO!$E$6:$E$5005,BS$7)+IF(BS$7&gt;PARAMETROS!$C$12,IF($H44&gt;0,$G44*CURVA!BS44/$H44,0)*BS$6,0))</f>
        <v>0</v>
      </c>
      <c r="BT44" s="19" t="n">
        <f aca="false">IF($B44="",0,SUMIFS(INCORRIDO!$C$6:$C$5005,INCORRIDO!$D$6:$D$5005,$B44,INCORRIDO!$E$6:$E$5005,BT$7)+IF(BT$7&gt;PARAMETROS!$C$12,IF($H44&gt;0,$G44*CURVA!BT44/$H44,0)*BT$6,0))</f>
        <v>0</v>
      </c>
      <c r="BU44" s="19" t="n">
        <f aca="false">IF($B44="",0,SUMIFS(INCORRIDO!$C$6:$C$5005,INCORRIDO!$D$6:$D$5005,$B44,INCORRIDO!$E$6:$E$5005,BU$7)+IF(BU$7&gt;PARAMETROS!$C$12,IF($H44&gt;0,$G44*CURVA!BU44/$H44,0)*BU$6,0))</f>
        <v>0</v>
      </c>
      <c r="BV44" s="19" t="n">
        <f aca="false">IF($B44="",0,SUMIFS(INCORRIDO!$C$6:$C$5005,INCORRIDO!$D$6:$D$5005,$B44,INCORRIDO!$E$6:$E$5005,BV$7)+IF(BV$7&gt;PARAMETROS!$C$12,IF($H44&gt;0,$G44*CURVA!BV44/$H44,0)*BV$6,0))</f>
        <v>0</v>
      </c>
      <c r="BW44" s="19" t="n">
        <f aca="false">IF($B44="",0,SUMIFS(INCORRIDO!$C$6:$C$5005,INCORRIDO!$D$6:$D$5005,$B44,INCORRIDO!$E$6:$E$5005,BW$7)+IF(BW$7&gt;PARAMETROS!$C$12,IF($H44&gt;0,$G44*CURVA!BW44/$H44,0)*BW$6,0))</f>
        <v>0</v>
      </c>
      <c r="BX44" s="19" t="n">
        <f aca="false">IF($B44="",0,SUMIFS(INCORRIDO!$C$6:$C$5005,INCORRIDO!$D$6:$D$5005,$B44,INCORRIDO!$E$6:$E$5005,BX$7)+IF(BX$7&gt;PARAMETROS!$C$12,IF($H44&gt;0,$G44*CURVA!BX44/$H44,0)*BX$6,0))</f>
        <v>0</v>
      </c>
      <c r="BY44" s="19" t="n">
        <f aca="false">IF($B44="",0,SUMIFS(INCORRIDO!$C$6:$C$5005,INCORRIDO!$D$6:$D$5005,$B44,INCORRIDO!$E$6:$E$5005,BY$7)+IF(BY$7&gt;PARAMETROS!$C$12,IF($H44&gt;0,$G44*CURVA!BY44/$H44,0)*BY$6,0))</f>
        <v>0</v>
      </c>
      <c r="BZ44" s="19" t="n">
        <f aca="false">IF($B44="",0,SUMIFS(INCORRIDO!$C$6:$C$5005,INCORRIDO!$D$6:$D$5005,$B44,INCORRIDO!$E$6:$E$5005,BZ$7)+IF(BZ$7&gt;PARAMETROS!$C$12,IF($H44&gt;0,$G44*CURVA!BZ44/$H44,0)*BZ$6,0))</f>
        <v>0</v>
      </c>
      <c r="CA44" s="19" t="n">
        <f aca="false">IF($B44="",0,SUMIFS(INCORRIDO!$C$6:$C$5005,INCORRIDO!$D$6:$D$5005,$B44,INCORRIDO!$E$6:$E$5005,CA$7)+IF(CA$7&gt;PARAMETROS!$C$12,IF($H44&gt;0,$G44*CURVA!CA44/$H44,0)*CA$6,0))</f>
        <v>0</v>
      </c>
      <c r="CB44" s="19" t="n">
        <f aca="false">IF($B44="",0,SUMIFS(INCORRIDO!$C$6:$C$5005,INCORRIDO!$D$6:$D$5005,$B44,INCORRIDO!$E$6:$E$5005,CB$7)+IF(CB$7&gt;PARAMETROS!$C$12,IF($H44&gt;0,$G44*CURVA!CB44/$H44,0)*CB$6,0))</f>
        <v>0</v>
      </c>
      <c r="CC44" s="19" t="n">
        <f aca="false">IF($B44="",0,SUMIFS(INCORRIDO!$C$6:$C$5005,INCORRIDO!$D$6:$D$5005,$B44,INCORRIDO!$E$6:$E$5005,CC$7)+IF(CC$7&gt;PARAMETROS!$C$12,IF($H44&gt;0,$G44*CURVA!CC44/$H44,0)*CC$6,0))</f>
        <v>0</v>
      </c>
    </row>
    <row r="45" customFormat="false" ht="15" hidden="false" customHeight="false" outlineLevel="0" collapsed="false">
      <c r="A45" s="31" t="str">
        <f aca="false">IF(ORCAMENTO!A43="","",ORCAMENTO!A43)</f>
        <v>38</v>
      </c>
      <c r="B45" s="31" t="str">
        <f aca="false">IF(ORCAMENTO!B43="","",ORCAMENTO!B43)</f>
        <v>TAXA DE ADMINISTRAÇÃO</v>
      </c>
      <c r="C45" s="31" t="str">
        <f aca="false">IF(ORCAMENTO!C43="","",ORCAMENTO!C43)</f>
        <v>TAXA DE ADMINISTRAÇÃO</v>
      </c>
      <c r="D45" s="32" t="n">
        <f aca="false">IF($B45="",0,ORCAMENTO!E43)</f>
        <v>566105.29</v>
      </c>
      <c r="E45" s="19" t="n">
        <f aca="false">IF($B45="",0,SUMIFS(INCORRIDO!$C$6:$C$5005,INCORRIDO!$D$6:$D$5005,$B45,INCORRIDO!$E$6:$E$5005,"&lt;="&amp;PARAMETROS!$C$12))</f>
        <v>566105.29</v>
      </c>
      <c r="F45" s="19" t="n">
        <f aca="false">IF($B45="",0,SUMIFS(INCORRIDO!$C$6:$C$5005,INCORRIDO!$D$6:$D$5005,$B45,INCORRIDO!$E$6:$E$5005,"&gt;"&amp;PARAMETROS!$C$12))</f>
        <v>0</v>
      </c>
      <c r="G45" s="19" t="n">
        <f aca="false">MAX(0,D45-E45-F45)</f>
        <v>0</v>
      </c>
      <c r="H45" s="32" t="n">
        <f aca="false">CURVA!H45</f>
        <v>0</v>
      </c>
      <c r="I45" s="19" t="n">
        <f aca="false">SUM(J45:CC45)</f>
        <v>566105.29</v>
      </c>
      <c r="J45" s="19" t="n">
        <f aca="false">IF($B45="",0,SUMIFS(INCORRIDO!$C$6:$C$5005,INCORRIDO!$D$6:$D$5005,$B45,INCORRIDO!$E$6:$E$5005,"&lt;="&amp;J$7)+IF(J$7&gt;PARAMETROS!$C$12,IF($H45&gt;0,$G45*CURVA!J45/$H45,0)*J$6,0))</f>
        <v>137450</v>
      </c>
      <c r="K45" s="19" t="n">
        <f aca="false">IF($B45="",0,SUMIFS(INCORRIDO!$C$6:$C$5005,INCORRIDO!$D$6:$D$5005,$B45,INCORRIDO!$E$6:$E$5005,K$7)+IF(K$7&gt;PARAMETROS!$C$12,IF($H45&gt;0,$G45*CURVA!K45/$H45,0)*K$6,0))</f>
        <v>36922.46</v>
      </c>
      <c r="L45" s="19" t="n">
        <f aca="false">IF($B45="",0,SUMIFS(INCORRIDO!$C$6:$C$5005,INCORRIDO!$D$6:$D$5005,$B45,INCORRIDO!$E$6:$E$5005,L$7)+IF(L$7&gt;PARAMETROS!$C$12,IF($H45&gt;0,$G45*CURVA!L45/$H45,0)*L$6,0))</f>
        <v>0</v>
      </c>
      <c r="M45" s="19" t="n">
        <f aca="false">IF($B45="",0,SUMIFS(INCORRIDO!$C$6:$C$5005,INCORRIDO!$D$6:$D$5005,$B45,INCORRIDO!$E$6:$E$5005,M$7)+IF(M$7&gt;PARAMETROS!$C$12,IF($H45&gt;0,$G45*CURVA!M45/$H45,0)*M$6,0))</f>
        <v>34045.51</v>
      </c>
      <c r="N45" s="19" t="n">
        <f aca="false">IF($B45="",0,SUMIFS(INCORRIDO!$C$6:$C$5005,INCORRIDO!$D$6:$D$5005,$B45,INCORRIDO!$E$6:$E$5005,N$7)+IF(N$7&gt;PARAMETROS!$C$12,IF($H45&gt;0,$G45*CURVA!N45/$H45,0)*N$6,0))</f>
        <v>14154.82</v>
      </c>
      <c r="O45" s="19" t="n">
        <f aca="false">IF($B45="",0,SUMIFS(INCORRIDO!$C$6:$C$5005,INCORRIDO!$D$6:$D$5005,$B45,INCORRIDO!$E$6:$E$5005,O$7)+IF(O$7&gt;PARAMETROS!$C$12,IF($H45&gt;0,$G45*CURVA!O45/$H45,0)*O$6,0))</f>
        <v>71756.69</v>
      </c>
      <c r="P45" s="19" t="n">
        <f aca="false">IF($B45="",0,SUMIFS(INCORRIDO!$C$6:$C$5005,INCORRIDO!$D$6:$D$5005,$B45,INCORRIDO!$E$6:$E$5005,P$7)+IF(P$7&gt;PARAMETROS!$C$12,IF($H45&gt;0,$G45*CURVA!P45/$H45,0)*P$6,0))</f>
        <v>6521.51</v>
      </c>
      <c r="Q45" s="19" t="n">
        <f aca="false">IF($B45="",0,SUMIFS(INCORRIDO!$C$6:$C$5005,INCORRIDO!$D$6:$D$5005,$B45,INCORRIDO!$E$6:$E$5005,Q$7)+IF(Q$7&gt;PARAMETROS!$C$12,IF($H45&gt;0,$G45*CURVA!Q45/$H45,0)*Q$6,0))</f>
        <v>13570.62</v>
      </c>
      <c r="R45" s="19" t="n">
        <f aca="false">IF($B45="",0,SUMIFS(INCORRIDO!$C$6:$C$5005,INCORRIDO!$D$6:$D$5005,$B45,INCORRIDO!$E$6:$E$5005,R$7)+IF(R$7&gt;PARAMETROS!$C$12,IF($H45&gt;0,$G45*CURVA!R45/$H45,0)*R$6,0))</f>
        <v>26242.32</v>
      </c>
      <c r="S45" s="19" t="n">
        <f aca="false">IF($B45="",0,SUMIFS(INCORRIDO!$C$6:$C$5005,INCORRIDO!$D$6:$D$5005,$B45,INCORRIDO!$E$6:$E$5005,S$7)+IF(S$7&gt;PARAMETROS!$C$12,IF($H45&gt;0,$G45*CURVA!S45/$H45,0)*S$6,0))</f>
        <v>34986.5</v>
      </c>
      <c r="T45" s="19" t="n">
        <f aca="false">IF($B45="",0,SUMIFS(INCORRIDO!$C$6:$C$5005,INCORRIDO!$D$6:$D$5005,$B45,INCORRIDO!$E$6:$E$5005,T$7)+IF(T$7&gt;PARAMETROS!$C$12,IF($H45&gt;0,$G45*CURVA!T45/$H45,0)*T$6,0))</f>
        <v>70987.17</v>
      </c>
      <c r="U45" s="19" t="n">
        <f aca="false">IF($B45="",0,SUMIFS(INCORRIDO!$C$6:$C$5005,INCORRIDO!$D$6:$D$5005,$B45,INCORRIDO!$E$6:$E$5005,U$7)+IF(U$7&gt;PARAMETROS!$C$12,IF($H45&gt;0,$G45*CURVA!U45/$H45,0)*U$6,0))</f>
        <v>119467.69</v>
      </c>
      <c r="V45" s="19" t="n">
        <f aca="false">IF($B45="",0,SUMIFS(INCORRIDO!$C$6:$C$5005,INCORRIDO!$D$6:$D$5005,$B45,INCORRIDO!$E$6:$E$5005,V$7)+IF(V$7&gt;PARAMETROS!$C$12,IF($H45&gt;0,$G45*CURVA!V45/$H45,0)*V$6,0))</f>
        <v>0</v>
      </c>
      <c r="W45" s="19" t="n">
        <f aca="false">IF($B45="",0,SUMIFS(INCORRIDO!$C$6:$C$5005,INCORRIDO!$D$6:$D$5005,$B45,INCORRIDO!$E$6:$E$5005,W$7)+IF(W$7&gt;PARAMETROS!$C$12,IF($H45&gt;0,$G45*CURVA!W45/$H45,0)*W$6,0))</f>
        <v>0</v>
      </c>
      <c r="X45" s="19" t="n">
        <f aca="false">IF($B45="",0,SUMIFS(INCORRIDO!$C$6:$C$5005,INCORRIDO!$D$6:$D$5005,$B45,INCORRIDO!$E$6:$E$5005,X$7)+IF(X$7&gt;PARAMETROS!$C$12,IF($H45&gt;0,$G45*CURVA!X45/$H45,0)*X$6,0))</f>
        <v>0</v>
      </c>
      <c r="Y45" s="19" t="n">
        <f aca="false">IF($B45="",0,SUMIFS(INCORRIDO!$C$6:$C$5005,INCORRIDO!$D$6:$D$5005,$B45,INCORRIDO!$E$6:$E$5005,Y$7)+IF(Y$7&gt;PARAMETROS!$C$12,IF($H45&gt;0,$G45*CURVA!Y45/$H45,0)*Y$6,0))</f>
        <v>0</v>
      </c>
      <c r="Z45" s="19" t="n">
        <f aca="false">IF($B45="",0,SUMIFS(INCORRIDO!$C$6:$C$5005,INCORRIDO!$D$6:$D$5005,$B45,INCORRIDO!$E$6:$E$5005,Z$7)+IF(Z$7&gt;PARAMETROS!$C$12,IF($H45&gt;0,$G45*CURVA!Z45/$H45,0)*Z$6,0))</f>
        <v>0</v>
      </c>
      <c r="AA45" s="19" t="n">
        <f aca="false">IF($B45="",0,SUMIFS(INCORRIDO!$C$6:$C$5005,INCORRIDO!$D$6:$D$5005,$B45,INCORRIDO!$E$6:$E$5005,AA$7)+IF(AA$7&gt;PARAMETROS!$C$12,IF($H45&gt;0,$G45*CURVA!AA45/$H45,0)*AA$6,0))</f>
        <v>0</v>
      </c>
      <c r="AB45" s="19" t="n">
        <f aca="false">IF($B45="",0,SUMIFS(INCORRIDO!$C$6:$C$5005,INCORRIDO!$D$6:$D$5005,$B45,INCORRIDO!$E$6:$E$5005,AB$7)+IF(AB$7&gt;PARAMETROS!$C$12,IF($H45&gt;0,$G45*CURVA!AB45/$H45,0)*AB$6,0))</f>
        <v>0</v>
      </c>
      <c r="AC45" s="19" t="n">
        <f aca="false">IF($B45="",0,SUMIFS(INCORRIDO!$C$6:$C$5005,INCORRIDO!$D$6:$D$5005,$B45,INCORRIDO!$E$6:$E$5005,AC$7)+IF(AC$7&gt;PARAMETROS!$C$12,IF($H45&gt;0,$G45*CURVA!AC45/$H45,0)*AC$6,0))</f>
        <v>0</v>
      </c>
      <c r="AD45" s="19" t="n">
        <f aca="false">IF($B45="",0,SUMIFS(INCORRIDO!$C$6:$C$5005,INCORRIDO!$D$6:$D$5005,$B45,INCORRIDO!$E$6:$E$5005,AD$7)+IF(AD$7&gt;PARAMETROS!$C$12,IF($H45&gt;0,$G45*CURVA!AD45/$H45,0)*AD$6,0))</f>
        <v>0</v>
      </c>
      <c r="AE45" s="19" t="n">
        <f aca="false">IF($B45="",0,SUMIFS(INCORRIDO!$C$6:$C$5005,INCORRIDO!$D$6:$D$5005,$B45,INCORRIDO!$E$6:$E$5005,AE$7)+IF(AE$7&gt;PARAMETROS!$C$12,IF($H45&gt;0,$G45*CURVA!AE45/$H45,0)*AE$6,0))</f>
        <v>0</v>
      </c>
      <c r="AF45" s="19" t="n">
        <f aca="false">IF($B45="",0,SUMIFS(INCORRIDO!$C$6:$C$5005,INCORRIDO!$D$6:$D$5005,$B45,INCORRIDO!$E$6:$E$5005,AF$7)+IF(AF$7&gt;PARAMETROS!$C$12,IF($H45&gt;0,$G45*CURVA!AF45/$H45,0)*AF$6,0))</f>
        <v>0</v>
      </c>
      <c r="AG45" s="19" t="n">
        <f aca="false">IF($B45="",0,SUMIFS(INCORRIDO!$C$6:$C$5005,INCORRIDO!$D$6:$D$5005,$B45,INCORRIDO!$E$6:$E$5005,AG$7)+IF(AG$7&gt;PARAMETROS!$C$12,IF($H45&gt;0,$G45*CURVA!AG45/$H45,0)*AG$6,0))</f>
        <v>0</v>
      </c>
      <c r="AH45" s="19" t="n">
        <f aca="false">IF($B45="",0,SUMIFS(INCORRIDO!$C$6:$C$5005,INCORRIDO!$D$6:$D$5005,$B45,INCORRIDO!$E$6:$E$5005,AH$7)+IF(AH$7&gt;PARAMETROS!$C$12,IF($H45&gt;0,$G45*CURVA!AH45/$H45,0)*AH$6,0))</f>
        <v>0</v>
      </c>
      <c r="AI45" s="19" t="n">
        <f aca="false">IF($B45="",0,SUMIFS(INCORRIDO!$C$6:$C$5005,INCORRIDO!$D$6:$D$5005,$B45,INCORRIDO!$E$6:$E$5005,AI$7)+IF(AI$7&gt;PARAMETROS!$C$12,IF($H45&gt;0,$G45*CURVA!AI45/$H45,0)*AI$6,0))</f>
        <v>0</v>
      </c>
      <c r="AJ45" s="19" t="n">
        <f aca="false">IF($B45="",0,SUMIFS(INCORRIDO!$C$6:$C$5005,INCORRIDO!$D$6:$D$5005,$B45,INCORRIDO!$E$6:$E$5005,AJ$7)+IF(AJ$7&gt;PARAMETROS!$C$12,IF($H45&gt;0,$G45*CURVA!AJ45/$H45,0)*AJ$6,0))</f>
        <v>0</v>
      </c>
      <c r="AK45" s="19" t="n">
        <f aca="false">IF($B45="",0,SUMIFS(INCORRIDO!$C$6:$C$5005,INCORRIDO!$D$6:$D$5005,$B45,INCORRIDO!$E$6:$E$5005,AK$7)+IF(AK$7&gt;PARAMETROS!$C$12,IF($H45&gt;0,$G45*CURVA!AK45/$H45,0)*AK$6,0))</f>
        <v>0</v>
      </c>
      <c r="AL45" s="19" t="n">
        <f aca="false">IF($B45="",0,SUMIFS(INCORRIDO!$C$6:$C$5005,INCORRIDO!$D$6:$D$5005,$B45,INCORRIDO!$E$6:$E$5005,AL$7)+IF(AL$7&gt;PARAMETROS!$C$12,IF($H45&gt;0,$G45*CURVA!AL45/$H45,0)*AL$6,0))</f>
        <v>0</v>
      </c>
      <c r="AM45" s="19" t="n">
        <f aca="false">IF($B45="",0,SUMIFS(INCORRIDO!$C$6:$C$5005,INCORRIDO!$D$6:$D$5005,$B45,INCORRIDO!$E$6:$E$5005,AM$7)+IF(AM$7&gt;PARAMETROS!$C$12,IF($H45&gt;0,$G45*CURVA!AM45/$H45,0)*AM$6,0))</f>
        <v>0</v>
      </c>
      <c r="AN45" s="19" t="n">
        <f aca="false">IF($B45="",0,SUMIFS(INCORRIDO!$C$6:$C$5005,INCORRIDO!$D$6:$D$5005,$B45,INCORRIDO!$E$6:$E$5005,AN$7)+IF(AN$7&gt;PARAMETROS!$C$12,IF($H45&gt;0,$G45*CURVA!AN45/$H45,0)*AN$6,0))</f>
        <v>0</v>
      </c>
      <c r="AO45" s="19" t="n">
        <f aca="false">IF($B45="",0,SUMIFS(INCORRIDO!$C$6:$C$5005,INCORRIDO!$D$6:$D$5005,$B45,INCORRIDO!$E$6:$E$5005,AO$7)+IF(AO$7&gt;PARAMETROS!$C$12,IF($H45&gt;0,$G45*CURVA!AO45/$H45,0)*AO$6,0))</f>
        <v>0</v>
      </c>
      <c r="AP45" s="19" t="n">
        <f aca="false">IF($B45="",0,SUMIFS(INCORRIDO!$C$6:$C$5005,INCORRIDO!$D$6:$D$5005,$B45,INCORRIDO!$E$6:$E$5005,AP$7)+IF(AP$7&gt;PARAMETROS!$C$12,IF($H45&gt;0,$G45*CURVA!AP45/$H45,0)*AP$6,0))</f>
        <v>0</v>
      </c>
      <c r="AQ45" s="19" t="n">
        <f aca="false">IF($B45="",0,SUMIFS(INCORRIDO!$C$6:$C$5005,INCORRIDO!$D$6:$D$5005,$B45,INCORRIDO!$E$6:$E$5005,AQ$7)+IF(AQ$7&gt;PARAMETROS!$C$12,IF($H45&gt;0,$G45*CURVA!AQ45/$H45,0)*AQ$6,0))</f>
        <v>0</v>
      </c>
      <c r="AR45" s="19" t="n">
        <f aca="false">IF($B45="",0,SUMIFS(INCORRIDO!$C$6:$C$5005,INCORRIDO!$D$6:$D$5005,$B45,INCORRIDO!$E$6:$E$5005,AR$7)+IF(AR$7&gt;PARAMETROS!$C$12,IF($H45&gt;0,$G45*CURVA!AR45/$H45,0)*AR$6,0))</f>
        <v>0</v>
      </c>
      <c r="AS45" s="19" t="n">
        <f aca="false">IF($B45="",0,SUMIFS(INCORRIDO!$C$6:$C$5005,INCORRIDO!$D$6:$D$5005,$B45,INCORRIDO!$E$6:$E$5005,AS$7)+IF(AS$7&gt;PARAMETROS!$C$12,IF($H45&gt;0,$G45*CURVA!AS45/$H45,0)*AS$6,0))</f>
        <v>0</v>
      </c>
      <c r="AT45" s="19" t="n">
        <f aca="false">IF($B45="",0,SUMIFS(INCORRIDO!$C$6:$C$5005,INCORRIDO!$D$6:$D$5005,$B45,INCORRIDO!$E$6:$E$5005,AT$7)+IF(AT$7&gt;PARAMETROS!$C$12,IF($H45&gt;0,$G45*CURVA!AT45/$H45,0)*AT$6,0))</f>
        <v>0</v>
      </c>
      <c r="AU45" s="19" t="n">
        <f aca="false">IF($B45="",0,SUMIFS(INCORRIDO!$C$6:$C$5005,INCORRIDO!$D$6:$D$5005,$B45,INCORRIDO!$E$6:$E$5005,AU$7)+IF(AU$7&gt;PARAMETROS!$C$12,IF($H45&gt;0,$G45*CURVA!AU45/$H45,0)*AU$6,0))</f>
        <v>0</v>
      </c>
      <c r="AV45" s="19" t="n">
        <f aca="false">IF($B45="",0,SUMIFS(INCORRIDO!$C$6:$C$5005,INCORRIDO!$D$6:$D$5005,$B45,INCORRIDO!$E$6:$E$5005,AV$7)+IF(AV$7&gt;PARAMETROS!$C$12,IF($H45&gt;0,$G45*CURVA!AV45/$H45,0)*AV$6,0))</f>
        <v>0</v>
      </c>
      <c r="AW45" s="19" t="n">
        <f aca="false">IF($B45="",0,SUMIFS(INCORRIDO!$C$6:$C$5005,INCORRIDO!$D$6:$D$5005,$B45,INCORRIDO!$E$6:$E$5005,AW$7)+IF(AW$7&gt;PARAMETROS!$C$12,IF($H45&gt;0,$G45*CURVA!AW45/$H45,0)*AW$6,0))</f>
        <v>0</v>
      </c>
      <c r="AX45" s="19" t="n">
        <f aca="false">IF($B45="",0,SUMIFS(INCORRIDO!$C$6:$C$5005,INCORRIDO!$D$6:$D$5005,$B45,INCORRIDO!$E$6:$E$5005,AX$7)+IF(AX$7&gt;PARAMETROS!$C$12,IF($H45&gt;0,$G45*CURVA!AX45/$H45,0)*AX$6,0))</f>
        <v>0</v>
      </c>
      <c r="AY45" s="19" t="n">
        <f aca="false">IF($B45="",0,SUMIFS(INCORRIDO!$C$6:$C$5005,INCORRIDO!$D$6:$D$5005,$B45,INCORRIDO!$E$6:$E$5005,AY$7)+IF(AY$7&gt;PARAMETROS!$C$12,IF($H45&gt;0,$G45*CURVA!AY45/$H45,0)*AY$6,0))</f>
        <v>0</v>
      </c>
      <c r="AZ45" s="19" t="n">
        <f aca="false">IF($B45="",0,SUMIFS(INCORRIDO!$C$6:$C$5005,INCORRIDO!$D$6:$D$5005,$B45,INCORRIDO!$E$6:$E$5005,AZ$7)+IF(AZ$7&gt;PARAMETROS!$C$12,IF($H45&gt;0,$G45*CURVA!AZ45/$H45,0)*AZ$6,0))</f>
        <v>0</v>
      </c>
      <c r="BA45" s="19" t="n">
        <f aca="false">IF($B45="",0,SUMIFS(INCORRIDO!$C$6:$C$5005,INCORRIDO!$D$6:$D$5005,$B45,INCORRIDO!$E$6:$E$5005,BA$7)+IF(BA$7&gt;PARAMETROS!$C$12,IF($H45&gt;0,$G45*CURVA!BA45/$H45,0)*BA$6,0))</f>
        <v>0</v>
      </c>
      <c r="BB45" s="19" t="n">
        <f aca="false">IF($B45="",0,SUMIFS(INCORRIDO!$C$6:$C$5005,INCORRIDO!$D$6:$D$5005,$B45,INCORRIDO!$E$6:$E$5005,BB$7)+IF(BB$7&gt;PARAMETROS!$C$12,IF($H45&gt;0,$G45*CURVA!BB45/$H45,0)*BB$6,0))</f>
        <v>0</v>
      </c>
      <c r="BC45" s="19" t="n">
        <f aca="false">IF($B45="",0,SUMIFS(INCORRIDO!$C$6:$C$5005,INCORRIDO!$D$6:$D$5005,$B45,INCORRIDO!$E$6:$E$5005,BC$7)+IF(BC$7&gt;PARAMETROS!$C$12,IF($H45&gt;0,$G45*CURVA!BC45/$H45,0)*BC$6,0))</f>
        <v>0</v>
      </c>
      <c r="BD45" s="19" t="n">
        <f aca="false">IF($B45="",0,SUMIFS(INCORRIDO!$C$6:$C$5005,INCORRIDO!$D$6:$D$5005,$B45,INCORRIDO!$E$6:$E$5005,BD$7)+IF(BD$7&gt;PARAMETROS!$C$12,IF($H45&gt;0,$G45*CURVA!BD45/$H45,0)*BD$6,0))</f>
        <v>0</v>
      </c>
      <c r="BE45" s="19" t="n">
        <f aca="false">IF($B45="",0,SUMIFS(INCORRIDO!$C$6:$C$5005,INCORRIDO!$D$6:$D$5005,$B45,INCORRIDO!$E$6:$E$5005,BE$7)+IF(BE$7&gt;PARAMETROS!$C$12,IF($H45&gt;0,$G45*CURVA!BE45/$H45,0)*BE$6,0))</f>
        <v>0</v>
      </c>
      <c r="BF45" s="19" t="n">
        <f aca="false">IF($B45="",0,SUMIFS(INCORRIDO!$C$6:$C$5005,INCORRIDO!$D$6:$D$5005,$B45,INCORRIDO!$E$6:$E$5005,BF$7)+IF(BF$7&gt;PARAMETROS!$C$12,IF($H45&gt;0,$G45*CURVA!BF45/$H45,0)*BF$6,0))</f>
        <v>0</v>
      </c>
      <c r="BG45" s="19" t="n">
        <f aca="false">IF($B45="",0,SUMIFS(INCORRIDO!$C$6:$C$5005,INCORRIDO!$D$6:$D$5005,$B45,INCORRIDO!$E$6:$E$5005,BG$7)+IF(BG$7&gt;PARAMETROS!$C$12,IF($H45&gt;0,$G45*CURVA!BG45/$H45,0)*BG$6,0))</f>
        <v>0</v>
      </c>
      <c r="BH45" s="19" t="n">
        <f aca="false">IF($B45="",0,SUMIFS(INCORRIDO!$C$6:$C$5005,INCORRIDO!$D$6:$D$5005,$B45,INCORRIDO!$E$6:$E$5005,BH$7)+IF(BH$7&gt;PARAMETROS!$C$12,IF($H45&gt;0,$G45*CURVA!BH45/$H45,0)*BH$6,0))</f>
        <v>0</v>
      </c>
      <c r="BI45" s="19" t="n">
        <f aca="false">IF($B45="",0,SUMIFS(INCORRIDO!$C$6:$C$5005,INCORRIDO!$D$6:$D$5005,$B45,INCORRIDO!$E$6:$E$5005,BI$7)+IF(BI$7&gt;PARAMETROS!$C$12,IF($H45&gt;0,$G45*CURVA!BI45/$H45,0)*BI$6,0))</f>
        <v>0</v>
      </c>
      <c r="BJ45" s="19" t="n">
        <f aca="false">IF($B45="",0,SUMIFS(INCORRIDO!$C$6:$C$5005,INCORRIDO!$D$6:$D$5005,$B45,INCORRIDO!$E$6:$E$5005,BJ$7)+IF(BJ$7&gt;PARAMETROS!$C$12,IF($H45&gt;0,$G45*CURVA!BJ45/$H45,0)*BJ$6,0))</f>
        <v>0</v>
      </c>
      <c r="BK45" s="19" t="n">
        <f aca="false">IF($B45="",0,SUMIFS(INCORRIDO!$C$6:$C$5005,INCORRIDO!$D$6:$D$5005,$B45,INCORRIDO!$E$6:$E$5005,BK$7)+IF(BK$7&gt;PARAMETROS!$C$12,IF($H45&gt;0,$G45*CURVA!BK45/$H45,0)*BK$6,0))</f>
        <v>0</v>
      </c>
      <c r="BL45" s="19" t="n">
        <f aca="false">IF($B45="",0,SUMIFS(INCORRIDO!$C$6:$C$5005,INCORRIDO!$D$6:$D$5005,$B45,INCORRIDO!$E$6:$E$5005,BL$7)+IF(BL$7&gt;PARAMETROS!$C$12,IF($H45&gt;0,$G45*CURVA!BL45/$H45,0)*BL$6,0))</f>
        <v>0</v>
      </c>
      <c r="BM45" s="19" t="n">
        <f aca="false">IF($B45="",0,SUMIFS(INCORRIDO!$C$6:$C$5005,INCORRIDO!$D$6:$D$5005,$B45,INCORRIDO!$E$6:$E$5005,BM$7)+IF(BM$7&gt;PARAMETROS!$C$12,IF($H45&gt;0,$G45*CURVA!BM45/$H45,0)*BM$6,0))</f>
        <v>0</v>
      </c>
      <c r="BN45" s="19" t="n">
        <f aca="false">IF($B45="",0,SUMIFS(INCORRIDO!$C$6:$C$5005,INCORRIDO!$D$6:$D$5005,$B45,INCORRIDO!$E$6:$E$5005,BN$7)+IF(BN$7&gt;PARAMETROS!$C$12,IF($H45&gt;0,$G45*CURVA!BN45/$H45,0)*BN$6,0))</f>
        <v>0</v>
      </c>
      <c r="BO45" s="19" t="n">
        <f aca="false">IF($B45="",0,SUMIFS(INCORRIDO!$C$6:$C$5005,INCORRIDO!$D$6:$D$5005,$B45,INCORRIDO!$E$6:$E$5005,BO$7)+IF(BO$7&gt;PARAMETROS!$C$12,IF($H45&gt;0,$G45*CURVA!BO45/$H45,0)*BO$6,0))</f>
        <v>0</v>
      </c>
      <c r="BP45" s="19" t="n">
        <f aca="false">IF($B45="",0,SUMIFS(INCORRIDO!$C$6:$C$5005,INCORRIDO!$D$6:$D$5005,$B45,INCORRIDO!$E$6:$E$5005,BP$7)+IF(BP$7&gt;PARAMETROS!$C$12,IF($H45&gt;0,$G45*CURVA!BP45/$H45,0)*BP$6,0))</f>
        <v>0</v>
      </c>
      <c r="BQ45" s="19" t="n">
        <f aca="false">IF($B45="",0,SUMIFS(INCORRIDO!$C$6:$C$5005,INCORRIDO!$D$6:$D$5005,$B45,INCORRIDO!$E$6:$E$5005,BQ$7)+IF(BQ$7&gt;PARAMETROS!$C$12,IF($H45&gt;0,$G45*CURVA!BQ45/$H45,0)*BQ$6,0))</f>
        <v>0</v>
      </c>
      <c r="BR45" s="19" t="n">
        <f aca="false">IF($B45="",0,SUMIFS(INCORRIDO!$C$6:$C$5005,INCORRIDO!$D$6:$D$5005,$B45,INCORRIDO!$E$6:$E$5005,BR$7)+IF(BR$7&gt;PARAMETROS!$C$12,IF($H45&gt;0,$G45*CURVA!BR45/$H45,0)*BR$6,0))</f>
        <v>0</v>
      </c>
      <c r="BS45" s="19" t="n">
        <f aca="false">IF($B45="",0,SUMIFS(INCORRIDO!$C$6:$C$5005,INCORRIDO!$D$6:$D$5005,$B45,INCORRIDO!$E$6:$E$5005,BS$7)+IF(BS$7&gt;PARAMETROS!$C$12,IF($H45&gt;0,$G45*CURVA!BS45/$H45,0)*BS$6,0))</f>
        <v>0</v>
      </c>
      <c r="BT45" s="19" t="n">
        <f aca="false">IF($B45="",0,SUMIFS(INCORRIDO!$C$6:$C$5005,INCORRIDO!$D$6:$D$5005,$B45,INCORRIDO!$E$6:$E$5005,BT$7)+IF(BT$7&gt;PARAMETROS!$C$12,IF($H45&gt;0,$G45*CURVA!BT45/$H45,0)*BT$6,0))</f>
        <v>0</v>
      </c>
      <c r="BU45" s="19" t="n">
        <f aca="false">IF($B45="",0,SUMIFS(INCORRIDO!$C$6:$C$5005,INCORRIDO!$D$6:$D$5005,$B45,INCORRIDO!$E$6:$E$5005,BU$7)+IF(BU$7&gt;PARAMETROS!$C$12,IF($H45&gt;0,$G45*CURVA!BU45/$H45,0)*BU$6,0))</f>
        <v>0</v>
      </c>
      <c r="BV45" s="19" t="n">
        <f aca="false">IF($B45="",0,SUMIFS(INCORRIDO!$C$6:$C$5005,INCORRIDO!$D$6:$D$5005,$B45,INCORRIDO!$E$6:$E$5005,BV$7)+IF(BV$7&gt;PARAMETROS!$C$12,IF($H45&gt;0,$G45*CURVA!BV45/$H45,0)*BV$6,0))</f>
        <v>0</v>
      </c>
      <c r="BW45" s="19" t="n">
        <f aca="false">IF($B45="",0,SUMIFS(INCORRIDO!$C$6:$C$5005,INCORRIDO!$D$6:$D$5005,$B45,INCORRIDO!$E$6:$E$5005,BW$7)+IF(BW$7&gt;PARAMETROS!$C$12,IF($H45&gt;0,$G45*CURVA!BW45/$H45,0)*BW$6,0))</f>
        <v>0</v>
      </c>
      <c r="BX45" s="19" t="n">
        <f aca="false">IF($B45="",0,SUMIFS(INCORRIDO!$C$6:$C$5005,INCORRIDO!$D$6:$D$5005,$B45,INCORRIDO!$E$6:$E$5005,BX$7)+IF(BX$7&gt;PARAMETROS!$C$12,IF($H45&gt;0,$G45*CURVA!BX45/$H45,0)*BX$6,0))</f>
        <v>0</v>
      </c>
      <c r="BY45" s="19" t="n">
        <f aca="false">IF($B45="",0,SUMIFS(INCORRIDO!$C$6:$C$5005,INCORRIDO!$D$6:$D$5005,$B45,INCORRIDO!$E$6:$E$5005,BY$7)+IF(BY$7&gt;PARAMETROS!$C$12,IF($H45&gt;0,$G45*CURVA!BY45/$H45,0)*BY$6,0))</f>
        <v>0</v>
      </c>
      <c r="BZ45" s="19" t="n">
        <f aca="false">IF($B45="",0,SUMIFS(INCORRIDO!$C$6:$C$5005,INCORRIDO!$D$6:$D$5005,$B45,INCORRIDO!$E$6:$E$5005,BZ$7)+IF(BZ$7&gt;PARAMETROS!$C$12,IF($H45&gt;0,$G45*CURVA!BZ45/$H45,0)*BZ$6,0))</f>
        <v>0</v>
      </c>
      <c r="CA45" s="19" t="n">
        <f aca="false">IF($B45="",0,SUMIFS(INCORRIDO!$C$6:$C$5005,INCORRIDO!$D$6:$D$5005,$B45,INCORRIDO!$E$6:$E$5005,CA$7)+IF(CA$7&gt;PARAMETROS!$C$12,IF($H45&gt;0,$G45*CURVA!CA45/$H45,0)*CA$6,0))</f>
        <v>0</v>
      </c>
      <c r="CB45" s="19" t="n">
        <f aca="false">IF($B45="",0,SUMIFS(INCORRIDO!$C$6:$C$5005,INCORRIDO!$D$6:$D$5005,$B45,INCORRIDO!$E$6:$E$5005,CB$7)+IF(CB$7&gt;PARAMETROS!$C$12,IF($H45&gt;0,$G45*CURVA!CB45/$H45,0)*CB$6,0))</f>
        <v>0</v>
      </c>
      <c r="CC45" s="19" t="n">
        <f aca="false">IF($B45="",0,SUMIFS(INCORRIDO!$C$6:$C$5005,INCORRIDO!$D$6:$D$5005,$B45,INCORRIDO!$E$6:$E$5005,CC$7)+IF(CC$7&gt;PARAMETROS!$C$12,IF($H45&gt;0,$G45*CURVA!CC45/$H45,0)*CC$6,0))</f>
        <v>0</v>
      </c>
    </row>
    <row r="46" customFormat="false" ht="15" hidden="false" customHeight="false" outlineLevel="0" collapsed="false">
      <c r="A46" s="31" t="str">
        <f aca="false">IF(ORCAMENTO!A44="","",ORCAMENTO!A44)</f>
        <v/>
      </c>
      <c r="B46" s="31" t="str">
        <f aca="false">IF(ORCAMENTO!B44="","",ORCAMENTO!B44)</f>
        <v/>
      </c>
      <c r="C46" s="31" t="str">
        <f aca="false">IF(ORCAMENTO!C44="","",ORCAMENTO!C44)</f>
        <v/>
      </c>
      <c r="D46" s="32" t="n">
        <f aca="false">IF($B46="",0,ORCAMENTO!E44)</f>
        <v>0</v>
      </c>
      <c r="E46" s="19" t="n">
        <f aca="false">IF($B46="",0,SUMIFS(INCORRIDO!$C$6:$C$5005,INCORRIDO!$D$6:$D$5005,$B46,INCORRIDO!$E$6:$E$5005,"&lt;="&amp;PARAMETROS!$C$12))</f>
        <v>0</v>
      </c>
      <c r="F46" s="19" t="n">
        <f aca="false">IF($B46="",0,SUMIFS(INCORRIDO!$C$6:$C$5005,INCORRIDO!$D$6:$D$5005,$B46,INCORRIDO!$E$6:$E$5005,"&gt;"&amp;PARAMETROS!$C$12))</f>
        <v>0</v>
      </c>
      <c r="G46" s="19" t="n">
        <f aca="false">MAX(0,D46-E46-F46)</f>
        <v>0</v>
      </c>
      <c r="H46" s="32" t="n">
        <f aca="false">CURVA!H46</f>
        <v>0</v>
      </c>
      <c r="I46" s="19" t="n">
        <f aca="false">SUM(J46:CC46)</f>
        <v>0</v>
      </c>
      <c r="J46" s="19" t="n">
        <f aca="false">IF($B46="",0,SUMIFS(INCORRIDO!$C$6:$C$5005,INCORRIDO!$D$6:$D$5005,$B46,INCORRIDO!$E$6:$E$5005,"&lt;="&amp;J$7)+IF(J$7&gt;PARAMETROS!$C$12,IF($H46&gt;0,$G46*CURVA!J46/$H46,0)*J$6,0))</f>
        <v>0</v>
      </c>
      <c r="K46" s="19" t="n">
        <f aca="false">IF($B46="",0,SUMIFS(INCORRIDO!$C$6:$C$5005,INCORRIDO!$D$6:$D$5005,$B46,INCORRIDO!$E$6:$E$5005,K$7)+IF(K$7&gt;PARAMETROS!$C$12,IF($H46&gt;0,$G46*CURVA!K46/$H46,0)*K$6,0))</f>
        <v>0</v>
      </c>
      <c r="L46" s="19" t="n">
        <f aca="false">IF($B46="",0,SUMIFS(INCORRIDO!$C$6:$C$5005,INCORRIDO!$D$6:$D$5005,$B46,INCORRIDO!$E$6:$E$5005,L$7)+IF(L$7&gt;PARAMETROS!$C$12,IF($H46&gt;0,$G46*CURVA!L46/$H46,0)*L$6,0))</f>
        <v>0</v>
      </c>
      <c r="M46" s="19" t="n">
        <f aca="false">IF($B46="",0,SUMIFS(INCORRIDO!$C$6:$C$5005,INCORRIDO!$D$6:$D$5005,$B46,INCORRIDO!$E$6:$E$5005,M$7)+IF(M$7&gt;PARAMETROS!$C$12,IF($H46&gt;0,$G46*CURVA!M46/$H46,0)*M$6,0))</f>
        <v>0</v>
      </c>
      <c r="N46" s="19" t="n">
        <f aca="false">IF($B46="",0,SUMIFS(INCORRIDO!$C$6:$C$5005,INCORRIDO!$D$6:$D$5005,$B46,INCORRIDO!$E$6:$E$5005,N$7)+IF(N$7&gt;PARAMETROS!$C$12,IF($H46&gt;0,$G46*CURVA!N46/$H46,0)*N$6,0))</f>
        <v>0</v>
      </c>
      <c r="O46" s="19" t="n">
        <f aca="false">IF($B46="",0,SUMIFS(INCORRIDO!$C$6:$C$5005,INCORRIDO!$D$6:$D$5005,$B46,INCORRIDO!$E$6:$E$5005,O$7)+IF(O$7&gt;PARAMETROS!$C$12,IF($H46&gt;0,$G46*CURVA!O46/$H46,0)*O$6,0))</f>
        <v>0</v>
      </c>
      <c r="P46" s="19" t="n">
        <f aca="false">IF($B46="",0,SUMIFS(INCORRIDO!$C$6:$C$5005,INCORRIDO!$D$6:$D$5005,$B46,INCORRIDO!$E$6:$E$5005,P$7)+IF(P$7&gt;PARAMETROS!$C$12,IF($H46&gt;0,$G46*CURVA!P46/$H46,0)*P$6,0))</f>
        <v>0</v>
      </c>
      <c r="Q46" s="19" t="n">
        <f aca="false">IF($B46="",0,SUMIFS(INCORRIDO!$C$6:$C$5005,INCORRIDO!$D$6:$D$5005,$B46,INCORRIDO!$E$6:$E$5005,Q$7)+IF(Q$7&gt;PARAMETROS!$C$12,IF($H46&gt;0,$G46*CURVA!Q46/$H46,0)*Q$6,0))</f>
        <v>0</v>
      </c>
      <c r="R46" s="19" t="n">
        <f aca="false">IF($B46="",0,SUMIFS(INCORRIDO!$C$6:$C$5005,INCORRIDO!$D$6:$D$5005,$B46,INCORRIDO!$E$6:$E$5005,R$7)+IF(R$7&gt;PARAMETROS!$C$12,IF($H46&gt;0,$G46*CURVA!R46/$H46,0)*R$6,0))</f>
        <v>0</v>
      </c>
      <c r="S46" s="19" t="n">
        <f aca="false">IF($B46="",0,SUMIFS(INCORRIDO!$C$6:$C$5005,INCORRIDO!$D$6:$D$5005,$B46,INCORRIDO!$E$6:$E$5005,S$7)+IF(S$7&gt;PARAMETROS!$C$12,IF($H46&gt;0,$G46*CURVA!S46/$H46,0)*S$6,0))</f>
        <v>0</v>
      </c>
      <c r="T46" s="19" t="n">
        <f aca="false">IF($B46="",0,SUMIFS(INCORRIDO!$C$6:$C$5005,INCORRIDO!$D$6:$D$5005,$B46,INCORRIDO!$E$6:$E$5005,T$7)+IF(T$7&gt;PARAMETROS!$C$12,IF($H46&gt;0,$G46*CURVA!T46/$H46,0)*T$6,0))</f>
        <v>0</v>
      </c>
      <c r="U46" s="19" t="n">
        <f aca="false">IF($B46="",0,SUMIFS(INCORRIDO!$C$6:$C$5005,INCORRIDO!$D$6:$D$5005,$B46,INCORRIDO!$E$6:$E$5005,U$7)+IF(U$7&gt;PARAMETROS!$C$12,IF($H46&gt;0,$G46*CURVA!U46/$H46,0)*U$6,0))</f>
        <v>0</v>
      </c>
      <c r="V46" s="19" t="n">
        <f aca="false">IF($B46="",0,SUMIFS(INCORRIDO!$C$6:$C$5005,INCORRIDO!$D$6:$D$5005,$B46,INCORRIDO!$E$6:$E$5005,V$7)+IF(V$7&gt;PARAMETROS!$C$12,IF($H46&gt;0,$G46*CURVA!V46/$H46,0)*V$6,0))</f>
        <v>0</v>
      </c>
      <c r="W46" s="19" t="n">
        <f aca="false">IF($B46="",0,SUMIFS(INCORRIDO!$C$6:$C$5005,INCORRIDO!$D$6:$D$5005,$B46,INCORRIDO!$E$6:$E$5005,W$7)+IF(W$7&gt;PARAMETROS!$C$12,IF($H46&gt;0,$G46*CURVA!W46/$H46,0)*W$6,0))</f>
        <v>0</v>
      </c>
      <c r="X46" s="19" t="n">
        <f aca="false">IF($B46="",0,SUMIFS(INCORRIDO!$C$6:$C$5005,INCORRIDO!$D$6:$D$5005,$B46,INCORRIDO!$E$6:$E$5005,X$7)+IF(X$7&gt;PARAMETROS!$C$12,IF($H46&gt;0,$G46*CURVA!X46/$H46,0)*X$6,0))</f>
        <v>0</v>
      </c>
      <c r="Y46" s="19" t="n">
        <f aca="false">IF($B46="",0,SUMIFS(INCORRIDO!$C$6:$C$5005,INCORRIDO!$D$6:$D$5005,$B46,INCORRIDO!$E$6:$E$5005,Y$7)+IF(Y$7&gt;PARAMETROS!$C$12,IF($H46&gt;0,$G46*CURVA!Y46/$H46,0)*Y$6,0))</f>
        <v>0</v>
      </c>
      <c r="Z46" s="19" t="n">
        <f aca="false">IF($B46="",0,SUMIFS(INCORRIDO!$C$6:$C$5005,INCORRIDO!$D$6:$D$5005,$B46,INCORRIDO!$E$6:$E$5005,Z$7)+IF(Z$7&gt;PARAMETROS!$C$12,IF($H46&gt;0,$G46*CURVA!Z46/$H46,0)*Z$6,0))</f>
        <v>0</v>
      </c>
      <c r="AA46" s="19" t="n">
        <f aca="false">IF($B46="",0,SUMIFS(INCORRIDO!$C$6:$C$5005,INCORRIDO!$D$6:$D$5005,$B46,INCORRIDO!$E$6:$E$5005,AA$7)+IF(AA$7&gt;PARAMETROS!$C$12,IF($H46&gt;0,$G46*CURVA!AA46/$H46,0)*AA$6,0))</f>
        <v>0</v>
      </c>
      <c r="AB46" s="19" t="n">
        <f aca="false">IF($B46="",0,SUMIFS(INCORRIDO!$C$6:$C$5005,INCORRIDO!$D$6:$D$5005,$B46,INCORRIDO!$E$6:$E$5005,AB$7)+IF(AB$7&gt;PARAMETROS!$C$12,IF($H46&gt;0,$G46*CURVA!AB46/$H46,0)*AB$6,0))</f>
        <v>0</v>
      </c>
      <c r="AC46" s="19" t="n">
        <f aca="false">IF($B46="",0,SUMIFS(INCORRIDO!$C$6:$C$5005,INCORRIDO!$D$6:$D$5005,$B46,INCORRIDO!$E$6:$E$5005,AC$7)+IF(AC$7&gt;PARAMETROS!$C$12,IF($H46&gt;0,$G46*CURVA!AC46/$H46,0)*AC$6,0))</f>
        <v>0</v>
      </c>
      <c r="AD46" s="19" t="n">
        <f aca="false">IF($B46="",0,SUMIFS(INCORRIDO!$C$6:$C$5005,INCORRIDO!$D$6:$D$5005,$B46,INCORRIDO!$E$6:$E$5005,AD$7)+IF(AD$7&gt;PARAMETROS!$C$12,IF($H46&gt;0,$G46*CURVA!AD46/$H46,0)*AD$6,0))</f>
        <v>0</v>
      </c>
      <c r="AE46" s="19" t="n">
        <f aca="false">IF($B46="",0,SUMIFS(INCORRIDO!$C$6:$C$5005,INCORRIDO!$D$6:$D$5005,$B46,INCORRIDO!$E$6:$E$5005,AE$7)+IF(AE$7&gt;PARAMETROS!$C$12,IF($H46&gt;0,$G46*CURVA!AE46/$H46,0)*AE$6,0))</f>
        <v>0</v>
      </c>
      <c r="AF46" s="19" t="n">
        <f aca="false">IF($B46="",0,SUMIFS(INCORRIDO!$C$6:$C$5005,INCORRIDO!$D$6:$D$5005,$B46,INCORRIDO!$E$6:$E$5005,AF$7)+IF(AF$7&gt;PARAMETROS!$C$12,IF($H46&gt;0,$G46*CURVA!AF46/$H46,0)*AF$6,0))</f>
        <v>0</v>
      </c>
      <c r="AG46" s="19" t="n">
        <f aca="false">IF($B46="",0,SUMIFS(INCORRIDO!$C$6:$C$5005,INCORRIDO!$D$6:$D$5005,$B46,INCORRIDO!$E$6:$E$5005,AG$7)+IF(AG$7&gt;PARAMETROS!$C$12,IF($H46&gt;0,$G46*CURVA!AG46/$H46,0)*AG$6,0))</f>
        <v>0</v>
      </c>
      <c r="AH46" s="19" t="n">
        <f aca="false">IF($B46="",0,SUMIFS(INCORRIDO!$C$6:$C$5005,INCORRIDO!$D$6:$D$5005,$B46,INCORRIDO!$E$6:$E$5005,AH$7)+IF(AH$7&gt;PARAMETROS!$C$12,IF($H46&gt;0,$G46*CURVA!AH46/$H46,0)*AH$6,0))</f>
        <v>0</v>
      </c>
      <c r="AI46" s="19" t="n">
        <f aca="false">IF($B46="",0,SUMIFS(INCORRIDO!$C$6:$C$5005,INCORRIDO!$D$6:$D$5005,$B46,INCORRIDO!$E$6:$E$5005,AI$7)+IF(AI$7&gt;PARAMETROS!$C$12,IF($H46&gt;0,$G46*CURVA!AI46/$H46,0)*AI$6,0))</f>
        <v>0</v>
      </c>
      <c r="AJ46" s="19" t="n">
        <f aca="false">IF($B46="",0,SUMIFS(INCORRIDO!$C$6:$C$5005,INCORRIDO!$D$6:$D$5005,$B46,INCORRIDO!$E$6:$E$5005,AJ$7)+IF(AJ$7&gt;PARAMETROS!$C$12,IF($H46&gt;0,$G46*CURVA!AJ46/$H46,0)*AJ$6,0))</f>
        <v>0</v>
      </c>
      <c r="AK46" s="19" t="n">
        <f aca="false">IF($B46="",0,SUMIFS(INCORRIDO!$C$6:$C$5005,INCORRIDO!$D$6:$D$5005,$B46,INCORRIDO!$E$6:$E$5005,AK$7)+IF(AK$7&gt;PARAMETROS!$C$12,IF($H46&gt;0,$G46*CURVA!AK46/$H46,0)*AK$6,0))</f>
        <v>0</v>
      </c>
      <c r="AL46" s="19" t="n">
        <f aca="false">IF($B46="",0,SUMIFS(INCORRIDO!$C$6:$C$5005,INCORRIDO!$D$6:$D$5005,$B46,INCORRIDO!$E$6:$E$5005,AL$7)+IF(AL$7&gt;PARAMETROS!$C$12,IF($H46&gt;0,$G46*CURVA!AL46/$H46,0)*AL$6,0))</f>
        <v>0</v>
      </c>
      <c r="AM46" s="19" t="n">
        <f aca="false">IF($B46="",0,SUMIFS(INCORRIDO!$C$6:$C$5005,INCORRIDO!$D$6:$D$5005,$B46,INCORRIDO!$E$6:$E$5005,AM$7)+IF(AM$7&gt;PARAMETROS!$C$12,IF($H46&gt;0,$G46*CURVA!AM46/$H46,0)*AM$6,0))</f>
        <v>0</v>
      </c>
      <c r="AN46" s="19" t="n">
        <f aca="false">IF($B46="",0,SUMIFS(INCORRIDO!$C$6:$C$5005,INCORRIDO!$D$6:$D$5005,$B46,INCORRIDO!$E$6:$E$5005,AN$7)+IF(AN$7&gt;PARAMETROS!$C$12,IF($H46&gt;0,$G46*CURVA!AN46/$H46,0)*AN$6,0))</f>
        <v>0</v>
      </c>
      <c r="AO46" s="19" t="n">
        <f aca="false">IF($B46="",0,SUMIFS(INCORRIDO!$C$6:$C$5005,INCORRIDO!$D$6:$D$5005,$B46,INCORRIDO!$E$6:$E$5005,AO$7)+IF(AO$7&gt;PARAMETROS!$C$12,IF($H46&gt;0,$G46*CURVA!AO46/$H46,0)*AO$6,0))</f>
        <v>0</v>
      </c>
      <c r="AP46" s="19" t="n">
        <f aca="false">IF($B46="",0,SUMIFS(INCORRIDO!$C$6:$C$5005,INCORRIDO!$D$6:$D$5005,$B46,INCORRIDO!$E$6:$E$5005,AP$7)+IF(AP$7&gt;PARAMETROS!$C$12,IF($H46&gt;0,$G46*CURVA!AP46/$H46,0)*AP$6,0))</f>
        <v>0</v>
      </c>
      <c r="AQ46" s="19" t="n">
        <f aca="false">IF($B46="",0,SUMIFS(INCORRIDO!$C$6:$C$5005,INCORRIDO!$D$6:$D$5005,$B46,INCORRIDO!$E$6:$E$5005,AQ$7)+IF(AQ$7&gt;PARAMETROS!$C$12,IF($H46&gt;0,$G46*CURVA!AQ46/$H46,0)*AQ$6,0))</f>
        <v>0</v>
      </c>
      <c r="AR46" s="19" t="n">
        <f aca="false">IF($B46="",0,SUMIFS(INCORRIDO!$C$6:$C$5005,INCORRIDO!$D$6:$D$5005,$B46,INCORRIDO!$E$6:$E$5005,AR$7)+IF(AR$7&gt;PARAMETROS!$C$12,IF($H46&gt;0,$G46*CURVA!AR46/$H46,0)*AR$6,0))</f>
        <v>0</v>
      </c>
      <c r="AS46" s="19" t="n">
        <f aca="false">IF($B46="",0,SUMIFS(INCORRIDO!$C$6:$C$5005,INCORRIDO!$D$6:$D$5005,$B46,INCORRIDO!$E$6:$E$5005,AS$7)+IF(AS$7&gt;PARAMETROS!$C$12,IF($H46&gt;0,$G46*CURVA!AS46/$H46,0)*AS$6,0))</f>
        <v>0</v>
      </c>
      <c r="AT46" s="19" t="n">
        <f aca="false">IF($B46="",0,SUMIFS(INCORRIDO!$C$6:$C$5005,INCORRIDO!$D$6:$D$5005,$B46,INCORRIDO!$E$6:$E$5005,AT$7)+IF(AT$7&gt;PARAMETROS!$C$12,IF($H46&gt;0,$G46*CURVA!AT46/$H46,0)*AT$6,0))</f>
        <v>0</v>
      </c>
      <c r="AU46" s="19" t="n">
        <f aca="false">IF($B46="",0,SUMIFS(INCORRIDO!$C$6:$C$5005,INCORRIDO!$D$6:$D$5005,$B46,INCORRIDO!$E$6:$E$5005,AU$7)+IF(AU$7&gt;PARAMETROS!$C$12,IF($H46&gt;0,$G46*CURVA!AU46/$H46,0)*AU$6,0))</f>
        <v>0</v>
      </c>
      <c r="AV46" s="19" t="n">
        <f aca="false">IF($B46="",0,SUMIFS(INCORRIDO!$C$6:$C$5005,INCORRIDO!$D$6:$D$5005,$B46,INCORRIDO!$E$6:$E$5005,AV$7)+IF(AV$7&gt;PARAMETROS!$C$12,IF($H46&gt;0,$G46*CURVA!AV46/$H46,0)*AV$6,0))</f>
        <v>0</v>
      </c>
      <c r="AW46" s="19" t="n">
        <f aca="false">IF($B46="",0,SUMIFS(INCORRIDO!$C$6:$C$5005,INCORRIDO!$D$6:$D$5005,$B46,INCORRIDO!$E$6:$E$5005,AW$7)+IF(AW$7&gt;PARAMETROS!$C$12,IF($H46&gt;0,$G46*CURVA!AW46/$H46,0)*AW$6,0))</f>
        <v>0</v>
      </c>
      <c r="AX46" s="19" t="n">
        <f aca="false">IF($B46="",0,SUMIFS(INCORRIDO!$C$6:$C$5005,INCORRIDO!$D$6:$D$5005,$B46,INCORRIDO!$E$6:$E$5005,AX$7)+IF(AX$7&gt;PARAMETROS!$C$12,IF($H46&gt;0,$G46*CURVA!AX46/$H46,0)*AX$6,0))</f>
        <v>0</v>
      </c>
      <c r="AY46" s="19" t="n">
        <f aca="false">IF($B46="",0,SUMIFS(INCORRIDO!$C$6:$C$5005,INCORRIDO!$D$6:$D$5005,$B46,INCORRIDO!$E$6:$E$5005,AY$7)+IF(AY$7&gt;PARAMETROS!$C$12,IF($H46&gt;0,$G46*CURVA!AY46/$H46,0)*AY$6,0))</f>
        <v>0</v>
      </c>
      <c r="AZ46" s="19" t="n">
        <f aca="false">IF($B46="",0,SUMIFS(INCORRIDO!$C$6:$C$5005,INCORRIDO!$D$6:$D$5005,$B46,INCORRIDO!$E$6:$E$5005,AZ$7)+IF(AZ$7&gt;PARAMETROS!$C$12,IF($H46&gt;0,$G46*CURVA!AZ46/$H46,0)*AZ$6,0))</f>
        <v>0</v>
      </c>
      <c r="BA46" s="19" t="n">
        <f aca="false">IF($B46="",0,SUMIFS(INCORRIDO!$C$6:$C$5005,INCORRIDO!$D$6:$D$5005,$B46,INCORRIDO!$E$6:$E$5005,BA$7)+IF(BA$7&gt;PARAMETROS!$C$12,IF($H46&gt;0,$G46*CURVA!BA46/$H46,0)*BA$6,0))</f>
        <v>0</v>
      </c>
      <c r="BB46" s="19" t="n">
        <f aca="false">IF($B46="",0,SUMIFS(INCORRIDO!$C$6:$C$5005,INCORRIDO!$D$6:$D$5005,$B46,INCORRIDO!$E$6:$E$5005,BB$7)+IF(BB$7&gt;PARAMETROS!$C$12,IF($H46&gt;0,$G46*CURVA!BB46/$H46,0)*BB$6,0))</f>
        <v>0</v>
      </c>
      <c r="BC46" s="19" t="n">
        <f aca="false">IF($B46="",0,SUMIFS(INCORRIDO!$C$6:$C$5005,INCORRIDO!$D$6:$D$5005,$B46,INCORRIDO!$E$6:$E$5005,BC$7)+IF(BC$7&gt;PARAMETROS!$C$12,IF($H46&gt;0,$G46*CURVA!BC46/$H46,0)*BC$6,0))</f>
        <v>0</v>
      </c>
      <c r="BD46" s="19" t="n">
        <f aca="false">IF($B46="",0,SUMIFS(INCORRIDO!$C$6:$C$5005,INCORRIDO!$D$6:$D$5005,$B46,INCORRIDO!$E$6:$E$5005,BD$7)+IF(BD$7&gt;PARAMETROS!$C$12,IF($H46&gt;0,$G46*CURVA!BD46/$H46,0)*BD$6,0))</f>
        <v>0</v>
      </c>
      <c r="BE46" s="19" t="n">
        <f aca="false">IF($B46="",0,SUMIFS(INCORRIDO!$C$6:$C$5005,INCORRIDO!$D$6:$D$5005,$B46,INCORRIDO!$E$6:$E$5005,BE$7)+IF(BE$7&gt;PARAMETROS!$C$12,IF($H46&gt;0,$G46*CURVA!BE46/$H46,0)*BE$6,0))</f>
        <v>0</v>
      </c>
      <c r="BF46" s="19" t="n">
        <f aca="false">IF($B46="",0,SUMIFS(INCORRIDO!$C$6:$C$5005,INCORRIDO!$D$6:$D$5005,$B46,INCORRIDO!$E$6:$E$5005,BF$7)+IF(BF$7&gt;PARAMETROS!$C$12,IF($H46&gt;0,$G46*CURVA!BF46/$H46,0)*BF$6,0))</f>
        <v>0</v>
      </c>
      <c r="BG46" s="19" t="n">
        <f aca="false">IF($B46="",0,SUMIFS(INCORRIDO!$C$6:$C$5005,INCORRIDO!$D$6:$D$5005,$B46,INCORRIDO!$E$6:$E$5005,BG$7)+IF(BG$7&gt;PARAMETROS!$C$12,IF($H46&gt;0,$G46*CURVA!BG46/$H46,0)*BG$6,0))</f>
        <v>0</v>
      </c>
      <c r="BH46" s="19" t="n">
        <f aca="false">IF($B46="",0,SUMIFS(INCORRIDO!$C$6:$C$5005,INCORRIDO!$D$6:$D$5005,$B46,INCORRIDO!$E$6:$E$5005,BH$7)+IF(BH$7&gt;PARAMETROS!$C$12,IF($H46&gt;0,$G46*CURVA!BH46/$H46,0)*BH$6,0))</f>
        <v>0</v>
      </c>
      <c r="BI46" s="19" t="n">
        <f aca="false">IF($B46="",0,SUMIFS(INCORRIDO!$C$6:$C$5005,INCORRIDO!$D$6:$D$5005,$B46,INCORRIDO!$E$6:$E$5005,BI$7)+IF(BI$7&gt;PARAMETROS!$C$12,IF($H46&gt;0,$G46*CURVA!BI46/$H46,0)*BI$6,0))</f>
        <v>0</v>
      </c>
      <c r="BJ46" s="19" t="n">
        <f aca="false">IF($B46="",0,SUMIFS(INCORRIDO!$C$6:$C$5005,INCORRIDO!$D$6:$D$5005,$B46,INCORRIDO!$E$6:$E$5005,BJ$7)+IF(BJ$7&gt;PARAMETROS!$C$12,IF($H46&gt;0,$G46*CURVA!BJ46/$H46,0)*BJ$6,0))</f>
        <v>0</v>
      </c>
      <c r="BK46" s="19" t="n">
        <f aca="false">IF($B46="",0,SUMIFS(INCORRIDO!$C$6:$C$5005,INCORRIDO!$D$6:$D$5005,$B46,INCORRIDO!$E$6:$E$5005,BK$7)+IF(BK$7&gt;PARAMETROS!$C$12,IF($H46&gt;0,$G46*CURVA!BK46/$H46,0)*BK$6,0))</f>
        <v>0</v>
      </c>
      <c r="BL46" s="19" t="n">
        <f aca="false">IF($B46="",0,SUMIFS(INCORRIDO!$C$6:$C$5005,INCORRIDO!$D$6:$D$5005,$B46,INCORRIDO!$E$6:$E$5005,BL$7)+IF(BL$7&gt;PARAMETROS!$C$12,IF($H46&gt;0,$G46*CURVA!BL46/$H46,0)*BL$6,0))</f>
        <v>0</v>
      </c>
      <c r="BM46" s="19" t="n">
        <f aca="false">IF($B46="",0,SUMIFS(INCORRIDO!$C$6:$C$5005,INCORRIDO!$D$6:$D$5005,$B46,INCORRIDO!$E$6:$E$5005,BM$7)+IF(BM$7&gt;PARAMETROS!$C$12,IF($H46&gt;0,$G46*CURVA!BM46/$H46,0)*BM$6,0))</f>
        <v>0</v>
      </c>
      <c r="BN46" s="19" t="n">
        <f aca="false">IF($B46="",0,SUMIFS(INCORRIDO!$C$6:$C$5005,INCORRIDO!$D$6:$D$5005,$B46,INCORRIDO!$E$6:$E$5005,BN$7)+IF(BN$7&gt;PARAMETROS!$C$12,IF($H46&gt;0,$G46*CURVA!BN46/$H46,0)*BN$6,0))</f>
        <v>0</v>
      </c>
      <c r="BO46" s="19" t="n">
        <f aca="false">IF($B46="",0,SUMIFS(INCORRIDO!$C$6:$C$5005,INCORRIDO!$D$6:$D$5005,$B46,INCORRIDO!$E$6:$E$5005,BO$7)+IF(BO$7&gt;PARAMETROS!$C$12,IF($H46&gt;0,$G46*CURVA!BO46/$H46,0)*BO$6,0))</f>
        <v>0</v>
      </c>
      <c r="BP46" s="19" t="n">
        <f aca="false">IF($B46="",0,SUMIFS(INCORRIDO!$C$6:$C$5005,INCORRIDO!$D$6:$D$5005,$B46,INCORRIDO!$E$6:$E$5005,BP$7)+IF(BP$7&gt;PARAMETROS!$C$12,IF($H46&gt;0,$G46*CURVA!BP46/$H46,0)*BP$6,0))</f>
        <v>0</v>
      </c>
      <c r="BQ46" s="19" t="n">
        <f aca="false">IF($B46="",0,SUMIFS(INCORRIDO!$C$6:$C$5005,INCORRIDO!$D$6:$D$5005,$B46,INCORRIDO!$E$6:$E$5005,BQ$7)+IF(BQ$7&gt;PARAMETROS!$C$12,IF($H46&gt;0,$G46*CURVA!BQ46/$H46,0)*BQ$6,0))</f>
        <v>0</v>
      </c>
      <c r="BR46" s="19" t="n">
        <f aca="false">IF($B46="",0,SUMIFS(INCORRIDO!$C$6:$C$5005,INCORRIDO!$D$6:$D$5005,$B46,INCORRIDO!$E$6:$E$5005,BR$7)+IF(BR$7&gt;PARAMETROS!$C$12,IF($H46&gt;0,$G46*CURVA!BR46/$H46,0)*BR$6,0))</f>
        <v>0</v>
      </c>
      <c r="BS46" s="19" t="n">
        <f aca="false">IF($B46="",0,SUMIFS(INCORRIDO!$C$6:$C$5005,INCORRIDO!$D$6:$D$5005,$B46,INCORRIDO!$E$6:$E$5005,BS$7)+IF(BS$7&gt;PARAMETROS!$C$12,IF($H46&gt;0,$G46*CURVA!BS46/$H46,0)*BS$6,0))</f>
        <v>0</v>
      </c>
      <c r="BT46" s="19" t="n">
        <f aca="false">IF($B46="",0,SUMIFS(INCORRIDO!$C$6:$C$5005,INCORRIDO!$D$6:$D$5005,$B46,INCORRIDO!$E$6:$E$5005,BT$7)+IF(BT$7&gt;PARAMETROS!$C$12,IF($H46&gt;0,$G46*CURVA!BT46/$H46,0)*BT$6,0))</f>
        <v>0</v>
      </c>
      <c r="BU46" s="19" t="n">
        <f aca="false">IF($B46="",0,SUMIFS(INCORRIDO!$C$6:$C$5005,INCORRIDO!$D$6:$D$5005,$B46,INCORRIDO!$E$6:$E$5005,BU$7)+IF(BU$7&gt;PARAMETROS!$C$12,IF($H46&gt;0,$G46*CURVA!BU46/$H46,0)*BU$6,0))</f>
        <v>0</v>
      </c>
      <c r="BV46" s="19" t="n">
        <f aca="false">IF($B46="",0,SUMIFS(INCORRIDO!$C$6:$C$5005,INCORRIDO!$D$6:$D$5005,$B46,INCORRIDO!$E$6:$E$5005,BV$7)+IF(BV$7&gt;PARAMETROS!$C$12,IF($H46&gt;0,$G46*CURVA!BV46/$H46,0)*BV$6,0))</f>
        <v>0</v>
      </c>
      <c r="BW46" s="19" t="n">
        <f aca="false">IF($B46="",0,SUMIFS(INCORRIDO!$C$6:$C$5005,INCORRIDO!$D$6:$D$5005,$B46,INCORRIDO!$E$6:$E$5005,BW$7)+IF(BW$7&gt;PARAMETROS!$C$12,IF($H46&gt;0,$G46*CURVA!BW46/$H46,0)*BW$6,0))</f>
        <v>0</v>
      </c>
      <c r="BX46" s="19" t="n">
        <f aca="false">IF($B46="",0,SUMIFS(INCORRIDO!$C$6:$C$5005,INCORRIDO!$D$6:$D$5005,$B46,INCORRIDO!$E$6:$E$5005,BX$7)+IF(BX$7&gt;PARAMETROS!$C$12,IF($H46&gt;0,$G46*CURVA!BX46/$H46,0)*BX$6,0))</f>
        <v>0</v>
      </c>
      <c r="BY46" s="19" t="n">
        <f aca="false">IF($B46="",0,SUMIFS(INCORRIDO!$C$6:$C$5005,INCORRIDO!$D$6:$D$5005,$B46,INCORRIDO!$E$6:$E$5005,BY$7)+IF(BY$7&gt;PARAMETROS!$C$12,IF($H46&gt;0,$G46*CURVA!BY46/$H46,0)*BY$6,0))</f>
        <v>0</v>
      </c>
      <c r="BZ46" s="19" t="n">
        <f aca="false">IF($B46="",0,SUMIFS(INCORRIDO!$C$6:$C$5005,INCORRIDO!$D$6:$D$5005,$B46,INCORRIDO!$E$6:$E$5005,BZ$7)+IF(BZ$7&gt;PARAMETROS!$C$12,IF($H46&gt;0,$G46*CURVA!BZ46/$H46,0)*BZ$6,0))</f>
        <v>0</v>
      </c>
      <c r="CA46" s="19" t="n">
        <f aca="false">IF($B46="",0,SUMIFS(INCORRIDO!$C$6:$C$5005,INCORRIDO!$D$6:$D$5005,$B46,INCORRIDO!$E$6:$E$5005,CA$7)+IF(CA$7&gt;PARAMETROS!$C$12,IF($H46&gt;0,$G46*CURVA!CA46/$H46,0)*CA$6,0))</f>
        <v>0</v>
      </c>
      <c r="CB46" s="19" t="n">
        <f aca="false">IF($B46="",0,SUMIFS(INCORRIDO!$C$6:$C$5005,INCORRIDO!$D$6:$D$5005,$B46,INCORRIDO!$E$6:$E$5005,CB$7)+IF(CB$7&gt;PARAMETROS!$C$12,IF($H46&gt;0,$G46*CURVA!CB46/$H46,0)*CB$6,0))</f>
        <v>0</v>
      </c>
      <c r="CC46" s="19" t="n">
        <f aca="false">IF($B46="",0,SUMIFS(INCORRIDO!$C$6:$C$5005,INCORRIDO!$D$6:$D$5005,$B46,INCORRIDO!$E$6:$E$5005,CC$7)+IF(CC$7&gt;PARAMETROS!$C$12,IF($H46&gt;0,$G46*CURVA!CC46/$H46,0)*CC$6,0))</f>
        <v>0</v>
      </c>
    </row>
    <row r="47" customFormat="false" ht="15" hidden="false" customHeight="false" outlineLevel="0" collapsed="false">
      <c r="A47" s="31" t="str">
        <f aca="false">IF(ORCAMENTO!A45="","",ORCAMENTO!A45)</f>
        <v/>
      </c>
      <c r="B47" s="31" t="str">
        <f aca="false">IF(ORCAMENTO!B45="","",ORCAMENTO!B45)</f>
        <v/>
      </c>
      <c r="C47" s="31" t="str">
        <f aca="false">IF(ORCAMENTO!C45="","",ORCAMENTO!C45)</f>
        <v/>
      </c>
      <c r="D47" s="32" t="n">
        <f aca="false">IF($B47="",0,ORCAMENTO!E45)</f>
        <v>0</v>
      </c>
      <c r="E47" s="19" t="n">
        <f aca="false">IF($B47="",0,SUMIFS(INCORRIDO!$C$6:$C$5005,INCORRIDO!$D$6:$D$5005,$B47,INCORRIDO!$E$6:$E$5005,"&lt;="&amp;PARAMETROS!$C$12))</f>
        <v>0</v>
      </c>
      <c r="F47" s="19" t="n">
        <f aca="false">IF($B47="",0,SUMIFS(INCORRIDO!$C$6:$C$5005,INCORRIDO!$D$6:$D$5005,$B47,INCORRIDO!$E$6:$E$5005,"&gt;"&amp;PARAMETROS!$C$12))</f>
        <v>0</v>
      </c>
      <c r="G47" s="19" t="n">
        <f aca="false">MAX(0,D47-E47-F47)</f>
        <v>0</v>
      </c>
      <c r="H47" s="32" t="n">
        <f aca="false">CURVA!H47</f>
        <v>0</v>
      </c>
      <c r="I47" s="19" t="n">
        <f aca="false">SUM(J47:CC47)</f>
        <v>0</v>
      </c>
      <c r="J47" s="19" t="n">
        <f aca="false">IF($B47="",0,SUMIFS(INCORRIDO!$C$6:$C$5005,INCORRIDO!$D$6:$D$5005,$B47,INCORRIDO!$E$6:$E$5005,"&lt;="&amp;J$7)+IF(J$7&gt;PARAMETROS!$C$12,IF($H47&gt;0,$G47*CURVA!J47/$H47,0)*J$6,0))</f>
        <v>0</v>
      </c>
      <c r="K47" s="19" t="n">
        <f aca="false">IF($B47="",0,SUMIFS(INCORRIDO!$C$6:$C$5005,INCORRIDO!$D$6:$D$5005,$B47,INCORRIDO!$E$6:$E$5005,K$7)+IF(K$7&gt;PARAMETROS!$C$12,IF($H47&gt;0,$G47*CURVA!K47/$H47,0)*K$6,0))</f>
        <v>0</v>
      </c>
      <c r="L47" s="19" t="n">
        <f aca="false">IF($B47="",0,SUMIFS(INCORRIDO!$C$6:$C$5005,INCORRIDO!$D$6:$D$5005,$B47,INCORRIDO!$E$6:$E$5005,L$7)+IF(L$7&gt;PARAMETROS!$C$12,IF($H47&gt;0,$G47*CURVA!L47/$H47,0)*L$6,0))</f>
        <v>0</v>
      </c>
      <c r="M47" s="19" t="n">
        <f aca="false">IF($B47="",0,SUMIFS(INCORRIDO!$C$6:$C$5005,INCORRIDO!$D$6:$D$5005,$B47,INCORRIDO!$E$6:$E$5005,M$7)+IF(M$7&gt;PARAMETROS!$C$12,IF($H47&gt;0,$G47*CURVA!M47/$H47,0)*M$6,0))</f>
        <v>0</v>
      </c>
      <c r="N47" s="19" t="n">
        <f aca="false">IF($B47="",0,SUMIFS(INCORRIDO!$C$6:$C$5005,INCORRIDO!$D$6:$D$5005,$B47,INCORRIDO!$E$6:$E$5005,N$7)+IF(N$7&gt;PARAMETROS!$C$12,IF($H47&gt;0,$G47*CURVA!N47/$H47,0)*N$6,0))</f>
        <v>0</v>
      </c>
      <c r="O47" s="19" t="n">
        <f aca="false">IF($B47="",0,SUMIFS(INCORRIDO!$C$6:$C$5005,INCORRIDO!$D$6:$D$5005,$B47,INCORRIDO!$E$6:$E$5005,O$7)+IF(O$7&gt;PARAMETROS!$C$12,IF($H47&gt;0,$G47*CURVA!O47/$H47,0)*O$6,0))</f>
        <v>0</v>
      </c>
      <c r="P47" s="19" t="n">
        <f aca="false">IF($B47="",0,SUMIFS(INCORRIDO!$C$6:$C$5005,INCORRIDO!$D$6:$D$5005,$B47,INCORRIDO!$E$6:$E$5005,P$7)+IF(P$7&gt;PARAMETROS!$C$12,IF($H47&gt;0,$G47*CURVA!P47/$H47,0)*P$6,0))</f>
        <v>0</v>
      </c>
      <c r="Q47" s="19" t="n">
        <f aca="false">IF($B47="",0,SUMIFS(INCORRIDO!$C$6:$C$5005,INCORRIDO!$D$6:$D$5005,$B47,INCORRIDO!$E$6:$E$5005,Q$7)+IF(Q$7&gt;PARAMETROS!$C$12,IF($H47&gt;0,$G47*CURVA!Q47/$H47,0)*Q$6,0))</f>
        <v>0</v>
      </c>
      <c r="R47" s="19" t="n">
        <f aca="false">IF($B47="",0,SUMIFS(INCORRIDO!$C$6:$C$5005,INCORRIDO!$D$6:$D$5005,$B47,INCORRIDO!$E$6:$E$5005,R$7)+IF(R$7&gt;PARAMETROS!$C$12,IF($H47&gt;0,$G47*CURVA!R47/$H47,0)*R$6,0))</f>
        <v>0</v>
      </c>
      <c r="S47" s="19" t="n">
        <f aca="false">IF($B47="",0,SUMIFS(INCORRIDO!$C$6:$C$5005,INCORRIDO!$D$6:$D$5005,$B47,INCORRIDO!$E$6:$E$5005,S$7)+IF(S$7&gt;PARAMETROS!$C$12,IF($H47&gt;0,$G47*CURVA!S47/$H47,0)*S$6,0))</f>
        <v>0</v>
      </c>
      <c r="T47" s="19" t="n">
        <f aca="false">IF($B47="",0,SUMIFS(INCORRIDO!$C$6:$C$5005,INCORRIDO!$D$6:$D$5005,$B47,INCORRIDO!$E$6:$E$5005,T$7)+IF(T$7&gt;PARAMETROS!$C$12,IF($H47&gt;0,$G47*CURVA!T47/$H47,0)*T$6,0))</f>
        <v>0</v>
      </c>
      <c r="U47" s="19" t="n">
        <f aca="false">IF($B47="",0,SUMIFS(INCORRIDO!$C$6:$C$5005,INCORRIDO!$D$6:$D$5005,$B47,INCORRIDO!$E$6:$E$5005,U$7)+IF(U$7&gt;PARAMETROS!$C$12,IF($H47&gt;0,$G47*CURVA!U47/$H47,0)*U$6,0))</f>
        <v>0</v>
      </c>
      <c r="V47" s="19" t="n">
        <f aca="false">IF($B47="",0,SUMIFS(INCORRIDO!$C$6:$C$5005,INCORRIDO!$D$6:$D$5005,$B47,INCORRIDO!$E$6:$E$5005,V$7)+IF(V$7&gt;PARAMETROS!$C$12,IF($H47&gt;0,$G47*CURVA!V47/$H47,0)*V$6,0))</f>
        <v>0</v>
      </c>
      <c r="W47" s="19" t="n">
        <f aca="false">IF($B47="",0,SUMIFS(INCORRIDO!$C$6:$C$5005,INCORRIDO!$D$6:$D$5005,$B47,INCORRIDO!$E$6:$E$5005,W$7)+IF(W$7&gt;PARAMETROS!$C$12,IF($H47&gt;0,$G47*CURVA!W47/$H47,0)*W$6,0))</f>
        <v>0</v>
      </c>
      <c r="X47" s="19" t="n">
        <f aca="false">IF($B47="",0,SUMIFS(INCORRIDO!$C$6:$C$5005,INCORRIDO!$D$6:$D$5005,$B47,INCORRIDO!$E$6:$E$5005,X$7)+IF(X$7&gt;PARAMETROS!$C$12,IF($H47&gt;0,$G47*CURVA!X47/$H47,0)*X$6,0))</f>
        <v>0</v>
      </c>
      <c r="Y47" s="19" t="n">
        <f aca="false">IF($B47="",0,SUMIFS(INCORRIDO!$C$6:$C$5005,INCORRIDO!$D$6:$D$5005,$B47,INCORRIDO!$E$6:$E$5005,Y$7)+IF(Y$7&gt;PARAMETROS!$C$12,IF($H47&gt;0,$G47*CURVA!Y47/$H47,0)*Y$6,0))</f>
        <v>0</v>
      </c>
      <c r="Z47" s="19" t="n">
        <f aca="false">IF($B47="",0,SUMIFS(INCORRIDO!$C$6:$C$5005,INCORRIDO!$D$6:$D$5005,$B47,INCORRIDO!$E$6:$E$5005,Z$7)+IF(Z$7&gt;PARAMETROS!$C$12,IF($H47&gt;0,$G47*CURVA!Z47/$H47,0)*Z$6,0))</f>
        <v>0</v>
      </c>
      <c r="AA47" s="19" t="n">
        <f aca="false">IF($B47="",0,SUMIFS(INCORRIDO!$C$6:$C$5005,INCORRIDO!$D$6:$D$5005,$B47,INCORRIDO!$E$6:$E$5005,AA$7)+IF(AA$7&gt;PARAMETROS!$C$12,IF($H47&gt;0,$G47*CURVA!AA47/$H47,0)*AA$6,0))</f>
        <v>0</v>
      </c>
      <c r="AB47" s="19" t="n">
        <f aca="false">IF($B47="",0,SUMIFS(INCORRIDO!$C$6:$C$5005,INCORRIDO!$D$6:$D$5005,$B47,INCORRIDO!$E$6:$E$5005,AB$7)+IF(AB$7&gt;PARAMETROS!$C$12,IF($H47&gt;0,$G47*CURVA!AB47/$H47,0)*AB$6,0))</f>
        <v>0</v>
      </c>
      <c r="AC47" s="19" t="n">
        <f aca="false">IF($B47="",0,SUMIFS(INCORRIDO!$C$6:$C$5005,INCORRIDO!$D$6:$D$5005,$B47,INCORRIDO!$E$6:$E$5005,AC$7)+IF(AC$7&gt;PARAMETROS!$C$12,IF($H47&gt;0,$G47*CURVA!AC47/$H47,0)*AC$6,0))</f>
        <v>0</v>
      </c>
      <c r="AD47" s="19" t="n">
        <f aca="false">IF($B47="",0,SUMIFS(INCORRIDO!$C$6:$C$5005,INCORRIDO!$D$6:$D$5005,$B47,INCORRIDO!$E$6:$E$5005,AD$7)+IF(AD$7&gt;PARAMETROS!$C$12,IF($H47&gt;0,$G47*CURVA!AD47/$H47,0)*AD$6,0))</f>
        <v>0</v>
      </c>
      <c r="AE47" s="19" t="n">
        <f aca="false">IF($B47="",0,SUMIFS(INCORRIDO!$C$6:$C$5005,INCORRIDO!$D$6:$D$5005,$B47,INCORRIDO!$E$6:$E$5005,AE$7)+IF(AE$7&gt;PARAMETROS!$C$12,IF($H47&gt;0,$G47*CURVA!AE47/$H47,0)*AE$6,0))</f>
        <v>0</v>
      </c>
      <c r="AF47" s="19" t="n">
        <f aca="false">IF($B47="",0,SUMIFS(INCORRIDO!$C$6:$C$5005,INCORRIDO!$D$6:$D$5005,$B47,INCORRIDO!$E$6:$E$5005,AF$7)+IF(AF$7&gt;PARAMETROS!$C$12,IF($H47&gt;0,$G47*CURVA!AF47/$H47,0)*AF$6,0))</f>
        <v>0</v>
      </c>
      <c r="AG47" s="19" t="n">
        <f aca="false">IF($B47="",0,SUMIFS(INCORRIDO!$C$6:$C$5005,INCORRIDO!$D$6:$D$5005,$B47,INCORRIDO!$E$6:$E$5005,AG$7)+IF(AG$7&gt;PARAMETROS!$C$12,IF($H47&gt;0,$G47*CURVA!AG47/$H47,0)*AG$6,0))</f>
        <v>0</v>
      </c>
      <c r="AH47" s="19" t="n">
        <f aca="false">IF($B47="",0,SUMIFS(INCORRIDO!$C$6:$C$5005,INCORRIDO!$D$6:$D$5005,$B47,INCORRIDO!$E$6:$E$5005,AH$7)+IF(AH$7&gt;PARAMETROS!$C$12,IF($H47&gt;0,$G47*CURVA!AH47/$H47,0)*AH$6,0))</f>
        <v>0</v>
      </c>
      <c r="AI47" s="19" t="n">
        <f aca="false">IF($B47="",0,SUMIFS(INCORRIDO!$C$6:$C$5005,INCORRIDO!$D$6:$D$5005,$B47,INCORRIDO!$E$6:$E$5005,AI$7)+IF(AI$7&gt;PARAMETROS!$C$12,IF($H47&gt;0,$G47*CURVA!AI47/$H47,0)*AI$6,0))</f>
        <v>0</v>
      </c>
      <c r="AJ47" s="19" t="n">
        <f aca="false">IF($B47="",0,SUMIFS(INCORRIDO!$C$6:$C$5005,INCORRIDO!$D$6:$D$5005,$B47,INCORRIDO!$E$6:$E$5005,AJ$7)+IF(AJ$7&gt;PARAMETROS!$C$12,IF($H47&gt;0,$G47*CURVA!AJ47/$H47,0)*AJ$6,0))</f>
        <v>0</v>
      </c>
      <c r="AK47" s="19" t="n">
        <f aca="false">IF($B47="",0,SUMIFS(INCORRIDO!$C$6:$C$5005,INCORRIDO!$D$6:$D$5005,$B47,INCORRIDO!$E$6:$E$5005,AK$7)+IF(AK$7&gt;PARAMETROS!$C$12,IF($H47&gt;0,$G47*CURVA!AK47/$H47,0)*AK$6,0))</f>
        <v>0</v>
      </c>
      <c r="AL47" s="19" t="n">
        <f aca="false">IF($B47="",0,SUMIFS(INCORRIDO!$C$6:$C$5005,INCORRIDO!$D$6:$D$5005,$B47,INCORRIDO!$E$6:$E$5005,AL$7)+IF(AL$7&gt;PARAMETROS!$C$12,IF($H47&gt;0,$G47*CURVA!AL47/$H47,0)*AL$6,0))</f>
        <v>0</v>
      </c>
      <c r="AM47" s="19" t="n">
        <f aca="false">IF($B47="",0,SUMIFS(INCORRIDO!$C$6:$C$5005,INCORRIDO!$D$6:$D$5005,$B47,INCORRIDO!$E$6:$E$5005,AM$7)+IF(AM$7&gt;PARAMETROS!$C$12,IF($H47&gt;0,$G47*CURVA!AM47/$H47,0)*AM$6,0))</f>
        <v>0</v>
      </c>
      <c r="AN47" s="19" t="n">
        <f aca="false">IF($B47="",0,SUMIFS(INCORRIDO!$C$6:$C$5005,INCORRIDO!$D$6:$D$5005,$B47,INCORRIDO!$E$6:$E$5005,AN$7)+IF(AN$7&gt;PARAMETROS!$C$12,IF($H47&gt;0,$G47*CURVA!AN47/$H47,0)*AN$6,0))</f>
        <v>0</v>
      </c>
      <c r="AO47" s="19" t="n">
        <f aca="false">IF($B47="",0,SUMIFS(INCORRIDO!$C$6:$C$5005,INCORRIDO!$D$6:$D$5005,$B47,INCORRIDO!$E$6:$E$5005,AO$7)+IF(AO$7&gt;PARAMETROS!$C$12,IF($H47&gt;0,$G47*CURVA!AO47/$H47,0)*AO$6,0))</f>
        <v>0</v>
      </c>
      <c r="AP47" s="19" t="n">
        <f aca="false">IF($B47="",0,SUMIFS(INCORRIDO!$C$6:$C$5005,INCORRIDO!$D$6:$D$5005,$B47,INCORRIDO!$E$6:$E$5005,AP$7)+IF(AP$7&gt;PARAMETROS!$C$12,IF($H47&gt;0,$G47*CURVA!AP47/$H47,0)*AP$6,0))</f>
        <v>0</v>
      </c>
      <c r="AQ47" s="19" t="n">
        <f aca="false">IF($B47="",0,SUMIFS(INCORRIDO!$C$6:$C$5005,INCORRIDO!$D$6:$D$5005,$B47,INCORRIDO!$E$6:$E$5005,AQ$7)+IF(AQ$7&gt;PARAMETROS!$C$12,IF($H47&gt;0,$G47*CURVA!AQ47/$H47,0)*AQ$6,0))</f>
        <v>0</v>
      </c>
      <c r="AR47" s="19" t="n">
        <f aca="false">IF($B47="",0,SUMIFS(INCORRIDO!$C$6:$C$5005,INCORRIDO!$D$6:$D$5005,$B47,INCORRIDO!$E$6:$E$5005,AR$7)+IF(AR$7&gt;PARAMETROS!$C$12,IF($H47&gt;0,$G47*CURVA!AR47/$H47,0)*AR$6,0))</f>
        <v>0</v>
      </c>
      <c r="AS47" s="19" t="n">
        <f aca="false">IF($B47="",0,SUMIFS(INCORRIDO!$C$6:$C$5005,INCORRIDO!$D$6:$D$5005,$B47,INCORRIDO!$E$6:$E$5005,AS$7)+IF(AS$7&gt;PARAMETROS!$C$12,IF($H47&gt;0,$G47*CURVA!AS47/$H47,0)*AS$6,0))</f>
        <v>0</v>
      </c>
      <c r="AT47" s="19" t="n">
        <f aca="false">IF($B47="",0,SUMIFS(INCORRIDO!$C$6:$C$5005,INCORRIDO!$D$6:$D$5005,$B47,INCORRIDO!$E$6:$E$5005,AT$7)+IF(AT$7&gt;PARAMETROS!$C$12,IF($H47&gt;0,$G47*CURVA!AT47/$H47,0)*AT$6,0))</f>
        <v>0</v>
      </c>
      <c r="AU47" s="19" t="n">
        <f aca="false">IF($B47="",0,SUMIFS(INCORRIDO!$C$6:$C$5005,INCORRIDO!$D$6:$D$5005,$B47,INCORRIDO!$E$6:$E$5005,AU$7)+IF(AU$7&gt;PARAMETROS!$C$12,IF($H47&gt;0,$G47*CURVA!AU47/$H47,0)*AU$6,0))</f>
        <v>0</v>
      </c>
      <c r="AV47" s="19" t="n">
        <f aca="false">IF($B47="",0,SUMIFS(INCORRIDO!$C$6:$C$5005,INCORRIDO!$D$6:$D$5005,$B47,INCORRIDO!$E$6:$E$5005,AV$7)+IF(AV$7&gt;PARAMETROS!$C$12,IF($H47&gt;0,$G47*CURVA!AV47/$H47,0)*AV$6,0))</f>
        <v>0</v>
      </c>
      <c r="AW47" s="19" t="n">
        <f aca="false">IF($B47="",0,SUMIFS(INCORRIDO!$C$6:$C$5005,INCORRIDO!$D$6:$D$5005,$B47,INCORRIDO!$E$6:$E$5005,AW$7)+IF(AW$7&gt;PARAMETROS!$C$12,IF($H47&gt;0,$G47*CURVA!AW47/$H47,0)*AW$6,0))</f>
        <v>0</v>
      </c>
      <c r="AX47" s="19" t="n">
        <f aca="false">IF($B47="",0,SUMIFS(INCORRIDO!$C$6:$C$5005,INCORRIDO!$D$6:$D$5005,$B47,INCORRIDO!$E$6:$E$5005,AX$7)+IF(AX$7&gt;PARAMETROS!$C$12,IF($H47&gt;0,$G47*CURVA!AX47/$H47,0)*AX$6,0))</f>
        <v>0</v>
      </c>
      <c r="AY47" s="19" t="n">
        <f aca="false">IF($B47="",0,SUMIFS(INCORRIDO!$C$6:$C$5005,INCORRIDO!$D$6:$D$5005,$B47,INCORRIDO!$E$6:$E$5005,AY$7)+IF(AY$7&gt;PARAMETROS!$C$12,IF($H47&gt;0,$G47*CURVA!AY47/$H47,0)*AY$6,0))</f>
        <v>0</v>
      </c>
      <c r="AZ47" s="19" t="n">
        <f aca="false">IF($B47="",0,SUMIFS(INCORRIDO!$C$6:$C$5005,INCORRIDO!$D$6:$D$5005,$B47,INCORRIDO!$E$6:$E$5005,AZ$7)+IF(AZ$7&gt;PARAMETROS!$C$12,IF($H47&gt;0,$G47*CURVA!AZ47/$H47,0)*AZ$6,0))</f>
        <v>0</v>
      </c>
      <c r="BA47" s="19" t="n">
        <f aca="false">IF($B47="",0,SUMIFS(INCORRIDO!$C$6:$C$5005,INCORRIDO!$D$6:$D$5005,$B47,INCORRIDO!$E$6:$E$5005,BA$7)+IF(BA$7&gt;PARAMETROS!$C$12,IF($H47&gt;0,$G47*CURVA!BA47/$H47,0)*BA$6,0))</f>
        <v>0</v>
      </c>
      <c r="BB47" s="19" t="n">
        <f aca="false">IF($B47="",0,SUMIFS(INCORRIDO!$C$6:$C$5005,INCORRIDO!$D$6:$D$5005,$B47,INCORRIDO!$E$6:$E$5005,BB$7)+IF(BB$7&gt;PARAMETROS!$C$12,IF($H47&gt;0,$G47*CURVA!BB47/$H47,0)*BB$6,0))</f>
        <v>0</v>
      </c>
      <c r="BC47" s="19" t="n">
        <f aca="false">IF($B47="",0,SUMIFS(INCORRIDO!$C$6:$C$5005,INCORRIDO!$D$6:$D$5005,$B47,INCORRIDO!$E$6:$E$5005,BC$7)+IF(BC$7&gt;PARAMETROS!$C$12,IF($H47&gt;0,$G47*CURVA!BC47/$H47,0)*BC$6,0))</f>
        <v>0</v>
      </c>
      <c r="BD47" s="19" t="n">
        <f aca="false">IF($B47="",0,SUMIFS(INCORRIDO!$C$6:$C$5005,INCORRIDO!$D$6:$D$5005,$B47,INCORRIDO!$E$6:$E$5005,BD$7)+IF(BD$7&gt;PARAMETROS!$C$12,IF($H47&gt;0,$G47*CURVA!BD47/$H47,0)*BD$6,0))</f>
        <v>0</v>
      </c>
      <c r="BE47" s="19" t="n">
        <f aca="false">IF($B47="",0,SUMIFS(INCORRIDO!$C$6:$C$5005,INCORRIDO!$D$6:$D$5005,$B47,INCORRIDO!$E$6:$E$5005,BE$7)+IF(BE$7&gt;PARAMETROS!$C$12,IF($H47&gt;0,$G47*CURVA!BE47/$H47,0)*BE$6,0))</f>
        <v>0</v>
      </c>
      <c r="BF47" s="19" t="n">
        <f aca="false">IF($B47="",0,SUMIFS(INCORRIDO!$C$6:$C$5005,INCORRIDO!$D$6:$D$5005,$B47,INCORRIDO!$E$6:$E$5005,BF$7)+IF(BF$7&gt;PARAMETROS!$C$12,IF($H47&gt;0,$G47*CURVA!BF47/$H47,0)*BF$6,0))</f>
        <v>0</v>
      </c>
      <c r="BG47" s="19" t="n">
        <f aca="false">IF($B47="",0,SUMIFS(INCORRIDO!$C$6:$C$5005,INCORRIDO!$D$6:$D$5005,$B47,INCORRIDO!$E$6:$E$5005,BG$7)+IF(BG$7&gt;PARAMETROS!$C$12,IF($H47&gt;0,$G47*CURVA!BG47/$H47,0)*BG$6,0))</f>
        <v>0</v>
      </c>
      <c r="BH47" s="19" t="n">
        <f aca="false">IF($B47="",0,SUMIFS(INCORRIDO!$C$6:$C$5005,INCORRIDO!$D$6:$D$5005,$B47,INCORRIDO!$E$6:$E$5005,BH$7)+IF(BH$7&gt;PARAMETROS!$C$12,IF($H47&gt;0,$G47*CURVA!BH47/$H47,0)*BH$6,0))</f>
        <v>0</v>
      </c>
      <c r="BI47" s="19" t="n">
        <f aca="false">IF($B47="",0,SUMIFS(INCORRIDO!$C$6:$C$5005,INCORRIDO!$D$6:$D$5005,$B47,INCORRIDO!$E$6:$E$5005,BI$7)+IF(BI$7&gt;PARAMETROS!$C$12,IF($H47&gt;0,$G47*CURVA!BI47/$H47,0)*BI$6,0))</f>
        <v>0</v>
      </c>
      <c r="BJ47" s="19" t="n">
        <f aca="false">IF($B47="",0,SUMIFS(INCORRIDO!$C$6:$C$5005,INCORRIDO!$D$6:$D$5005,$B47,INCORRIDO!$E$6:$E$5005,BJ$7)+IF(BJ$7&gt;PARAMETROS!$C$12,IF($H47&gt;0,$G47*CURVA!BJ47/$H47,0)*BJ$6,0))</f>
        <v>0</v>
      </c>
      <c r="BK47" s="19" t="n">
        <f aca="false">IF($B47="",0,SUMIFS(INCORRIDO!$C$6:$C$5005,INCORRIDO!$D$6:$D$5005,$B47,INCORRIDO!$E$6:$E$5005,BK$7)+IF(BK$7&gt;PARAMETROS!$C$12,IF($H47&gt;0,$G47*CURVA!BK47/$H47,0)*BK$6,0))</f>
        <v>0</v>
      </c>
      <c r="BL47" s="19" t="n">
        <f aca="false">IF($B47="",0,SUMIFS(INCORRIDO!$C$6:$C$5005,INCORRIDO!$D$6:$D$5005,$B47,INCORRIDO!$E$6:$E$5005,BL$7)+IF(BL$7&gt;PARAMETROS!$C$12,IF($H47&gt;0,$G47*CURVA!BL47/$H47,0)*BL$6,0))</f>
        <v>0</v>
      </c>
      <c r="BM47" s="19" t="n">
        <f aca="false">IF($B47="",0,SUMIFS(INCORRIDO!$C$6:$C$5005,INCORRIDO!$D$6:$D$5005,$B47,INCORRIDO!$E$6:$E$5005,BM$7)+IF(BM$7&gt;PARAMETROS!$C$12,IF($H47&gt;0,$G47*CURVA!BM47/$H47,0)*BM$6,0))</f>
        <v>0</v>
      </c>
      <c r="BN47" s="19" t="n">
        <f aca="false">IF($B47="",0,SUMIFS(INCORRIDO!$C$6:$C$5005,INCORRIDO!$D$6:$D$5005,$B47,INCORRIDO!$E$6:$E$5005,BN$7)+IF(BN$7&gt;PARAMETROS!$C$12,IF($H47&gt;0,$G47*CURVA!BN47/$H47,0)*BN$6,0))</f>
        <v>0</v>
      </c>
      <c r="BO47" s="19" t="n">
        <f aca="false">IF($B47="",0,SUMIFS(INCORRIDO!$C$6:$C$5005,INCORRIDO!$D$6:$D$5005,$B47,INCORRIDO!$E$6:$E$5005,BO$7)+IF(BO$7&gt;PARAMETROS!$C$12,IF($H47&gt;0,$G47*CURVA!BO47/$H47,0)*BO$6,0))</f>
        <v>0</v>
      </c>
      <c r="BP47" s="19" t="n">
        <f aca="false">IF($B47="",0,SUMIFS(INCORRIDO!$C$6:$C$5005,INCORRIDO!$D$6:$D$5005,$B47,INCORRIDO!$E$6:$E$5005,BP$7)+IF(BP$7&gt;PARAMETROS!$C$12,IF($H47&gt;0,$G47*CURVA!BP47/$H47,0)*BP$6,0))</f>
        <v>0</v>
      </c>
      <c r="BQ47" s="19" t="n">
        <f aca="false">IF($B47="",0,SUMIFS(INCORRIDO!$C$6:$C$5005,INCORRIDO!$D$6:$D$5005,$B47,INCORRIDO!$E$6:$E$5005,BQ$7)+IF(BQ$7&gt;PARAMETROS!$C$12,IF($H47&gt;0,$G47*CURVA!BQ47/$H47,0)*BQ$6,0))</f>
        <v>0</v>
      </c>
      <c r="BR47" s="19" t="n">
        <f aca="false">IF($B47="",0,SUMIFS(INCORRIDO!$C$6:$C$5005,INCORRIDO!$D$6:$D$5005,$B47,INCORRIDO!$E$6:$E$5005,BR$7)+IF(BR$7&gt;PARAMETROS!$C$12,IF($H47&gt;0,$G47*CURVA!BR47/$H47,0)*BR$6,0))</f>
        <v>0</v>
      </c>
      <c r="BS47" s="19" t="n">
        <f aca="false">IF($B47="",0,SUMIFS(INCORRIDO!$C$6:$C$5005,INCORRIDO!$D$6:$D$5005,$B47,INCORRIDO!$E$6:$E$5005,BS$7)+IF(BS$7&gt;PARAMETROS!$C$12,IF($H47&gt;0,$G47*CURVA!BS47/$H47,0)*BS$6,0))</f>
        <v>0</v>
      </c>
      <c r="BT47" s="19" t="n">
        <f aca="false">IF($B47="",0,SUMIFS(INCORRIDO!$C$6:$C$5005,INCORRIDO!$D$6:$D$5005,$B47,INCORRIDO!$E$6:$E$5005,BT$7)+IF(BT$7&gt;PARAMETROS!$C$12,IF($H47&gt;0,$G47*CURVA!BT47/$H47,0)*BT$6,0))</f>
        <v>0</v>
      </c>
      <c r="BU47" s="19" t="n">
        <f aca="false">IF($B47="",0,SUMIFS(INCORRIDO!$C$6:$C$5005,INCORRIDO!$D$6:$D$5005,$B47,INCORRIDO!$E$6:$E$5005,BU$7)+IF(BU$7&gt;PARAMETROS!$C$12,IF($H47&gt;0,$G47*CURVA!BU47/$H47,0)*BU$6,0))</f>
        <v>0</v>
      </c>
      <c r="BV47" s="19" t="n">
        <f aca="false">IF($B47="",0,SUMIFS(INCORRIDO!$C$6:$C$5005,INCORRIDO!$D$6:$D$5005,$B47,INCORRIDO!$E$6:$E$5005,BV$7)+IF(BV$7&gt;PARAMETROS!$C$12,IF($H47&gt;0,$G47*CURVA!BV47/$H47,0)*BV$6,0))</f>
        <v>0</v>
      </c>
      <c r="BW47" s="19" t="n">
        <f aca="false">IF($B47="",0,SUMIFS(INCORRIDO!$C$6:$C$5005,INCORRIDO!$D$6:$D$5005,$B47,INCORRIDO!$E$6:$E$5005,BW$7)+IF(BW$7&gt;PARAMETROS!$C$12,IF($H47&gt;0,$G47*CURVA!BW47/$H47,0)*BW$6,0))</f>
        <v>0</v>
      </c>
      <c r="BX47" s="19" t="n">
        <f aca="false">IF($B47="",0,SUMIFS(INCORRIDO!$C$6:$C$5005,INCORRIDO!$D$6:$D$5005,$B47,INCORRIDO!$E$6:$E$5005,BX$7)+IF(BX$7&gt;PARAMETROS!$C$12,IF($H47&gt;0,$G47*CURVA!BX47/$H47,0)*BX$6,0))</f>
        <v>0</v>
      </c>
      <c r="BY47" s="19" t="n">
        <f aca="false">IF($B47="",0,SUMIFS(INCORRIDO!$C$6:$C$5005,INCORRIDO!$D$6:$D$5005,$B47,INCORRIDO!$E$6:$E$5005,BY$7)+IF(BY$7&gt;PARAMETROS!$C$12,IF($H47&gt;0,$G47*CURVA!BY47/$H47,0)*BY$6,0))</f>
        <v>0</v>
      </c>
      <c r="BZ47" s="19" t="n">
        <f aca="false">IF($B47="",0,SUMIFS(INCORRIDO!$C$6:$C$5005,INCORRIDO!$D$6:$D$5005,$B47,INCORRIDO!$E$6:$E$5005,BZ$7)+IF(BZ$7&gt;PARAMETROS!$C$12,IF($H47&gt;0,$G47*CURVA!BZ47/$H47,0)*BZ$6,0))</f>
        <v>0</v>
      </c>
      <c r="CA47" s="19" t="n">
        <f aca="false">IF($B47="",0,SUMIFS(INCORRIDO!$C$6:$C$5005,INCORRIDO!$D$6:$D$5005,$B47,INCORRIDO!$E$6:$E$5005,CA$7)+IF(CA$7&gt;PARAMETROS!$C$12,IF($H47&gt;0,$G47*CURVA!CA47/$H47,0)*CA$6,0))</f>
        <v>0</v>
      </c>
      <c r="CB47" s="19" t="n">
        <f aca="false">IF($B47="",0,SUMIFS(INCORRIDO!$C$6:$C$5005,INCORRIDO!$D$6:$D$5005,$B47,INCORRIDO!$E$6:$E$5005,CB$7)+IF(CB$7&gt;PARAMETROS!$C$12,IF($H47&gt;0,$G47*CURVA!CB47/$H47,0)*CB$6,0))</f>
        <v>0</v>
      </c>
      <c r="CC47" s="19" t="n">
        <f aca="false">IF($B47="",0,SUMIFS(INCORRIDO!$C$6:$C$5005,INCORRIDO!$D$6:$D$5005,$B47,INCORRIDO!$E$6:$E$5005,CC$7)+IF(CC$7&gt;PARAMETROS!$C$12,IF($H47&gt;0,$G47*CURVA!CC47/$H47,0)*CC$6,0))</f>
        <v>0</v>
      </c>
    </row>
    <row r="48" customFormat="false" ht="15" hidden="false" customHeight="false" outlineLevel="0" collapsed="false">
      <c r="A48" s="31" t="str">
        <f aca="false">IF(ORCAMENTO!A46="","",ORCAMENTO!A46)</f>
        <v/>
      </c>
      <c r="B48" s="31" t="str">
        <f aca="false">IF(ORCAMENTO!B46="","",ORCAMENTO!B46)</f>
        <v/>
      </c>
      <c r="C48" s="31" t="str">
        <f aca="false">IF(ORCAMENTO!C46="","",ORCAMENTO!C46)</f>
        <v/>
      </c>
      <c r="D48" s="32" t="n">
        <f aca="false">IF($B48="",0,ORCAMENTO!E46)</f>
        <v>0</v>
      </c>
      <c r="E48" s="19" t="n">
        <f aca="false">IF($B48="",0,SUMIFS(INCORRIDO!$C$6:$C$5005,INCORRIDO!$D$6:$D$5005,$B48,INCORRIDO!$E$6:$E$5005,"&lt;="&amp;PARAMETROS!$C$12))</f>
        <v>0</v>
      </c>
      <c r="F48" s="19" t="n">
        <f aca="false">IF($B48="",0,SUMIFS(INCORRIDO!$C$6:$C$5005,INCORRIDO!$D$6:$D$5005,$B48,INCORRIDO!$E$6:$E$5005,"&gt;"&amp;PARAMETROS!$C$12))</f>
        <v>0</v>
      </c>
      <c r="G48" s="19" t="n">
        <f aca="false">MAX(0,D48-E48-F48)</f>
        <v>0</v>
      </c>
      <c r="H48" s="32" t="n">
        <f aca="false">CURVA!H48</f>
        <v>0</v>
      </c>
      <c r="I48" s="19" t="n">
        <f aca="false">SUM(J48:CC48)</f>
        <v>0</v>
      </c>
      <c r="J48" s="19" t="n">
        <f aca="false">IF($B48="",0,SUMIFS(INCORRIDO!$C$6:$C$5005,INCORRIDO!$D$6:$D$5005,$B48,INCORRIDO!$E$6:$E$5005,"&lt;="&amp;J$7)+IF(J$7&gt;PARAMETROS!$C$12,IF($H48&gt;0,$G48*CURVA!J48/$H48,0)*J$6,0))</f>
        <v>0</v>
      </c>
      <c r="K48" s="19" t="n">
        <f aca="false">IF($B48="",0,SUMIFS(INCORRIDO!$C$6:$C$5005,INCORRIDO!$D$6:$D$5005,$B48,INCORRIDO!$E$6:$E$5005,K$7)+IF(K$7&gt;PARAMETROS!$C$12,IF($H48&gt;0,$G48*CURVA!K48/$H48,0)*K$6,0))</f>
        <v>0</v>
      </c>
      <c r="L48" s="19" t="n">
        <f aca="false">IF($B48="",0,SUMIFS(INCORRIDO!$C$6:$C$5005,INCORRIDO!$D$6:$D$5005,$B48,INCORRIDO!$E$6:$E$5005,L$7)+IF(L$7&gt;PARAMETROS!$C$12,IF($H48&gt;0,$G48*CURVA!L48/$H48,0)*L$6,0))</f>
        <v>0</v>
      </c>
      <c r="M48" s="19" t="n">
        <f aca="false">IF($B48="",0,SUMIFS(INCORRIDO!$C$6:$C$5005,INCORRIDO!$D$6:$D$5005,$B48,INCORRIDO!$E$6:$E$5005,M$7)+IF(M$7&gt;PARAMETROS!$C$12,IF($H48&gt;0,$G48*CURVA!M48/$H48,0)*M$6,0))</f>
        <v>0</v>
      </c>
      <c r="N48" s="19" t="n">
        <f aca="false">IF($B48="",0,SUMIFS(INCORRIDO!$C$6:$C$5005,INCORRIDO!$D$6:$D$5005,$B48,INCORRIDO!$E$6:$E$5005,N$7)+IF(N$7&gt;PARAMETROS!$C$12,IF($H48&gt;0,$G48*CURVA!N48/$H48,0)*N$6,0))</f>
        <v>0</v>
      </c>
      <c r="O48" s="19" t="n">
        <f aca="false">IF($B48="",0,SUMIFS(INCORRIDO!$C$6:$C$5005,INCORRIDO!$D$6:$D$5005,$B48,INCORRIDO!$E$6:$E$5005,O$7)+IF(O$7&gt;PARAMETROS!$C$12,IF($H48&gt;0,$G48*CURVA!O48/$H48,0)*O$6,0))</f>
        <v>0</v>
      </c>
      <c r="P48" s="19" t="n">
        <f aca="false">IF($B48="",0,SUMIFS(INCORRIDO!$C$6:$C$5005,INCORRIDO!$D$6:$D$5005,$B48,INCORRIDO!$E$6:$E$5005,P$7)+IF(P$7&gt;PARAMETROS!$C$12,IF($H48&gt;0,$G48*CURVA!P48/$H48,0)*P$6,0))</f>
        <v>0</v>
      </c>
      <c r="Q48" s="19" t="n">
        <f aca="false">IF($B48="",0,SUMIFS(INCORRIDO!$C$6:$C$5005,INCORRIDO!$D$6:$D$5005,$B48,INCORRIDO!$E$6:$E$5005,Q$7)+IF(Q$7&gt;PARAMETROS!$C$12,IF($H48&gt;0,$G48*CURVA!Q48/$H48,0)*Q$6,0))</f>
        <v>0</v>
      </c>
      <c r="R48" s="19" t="n">
        <f aca="false">IF($B48="",0,SUMIFS(INCORRIDO!$C$6:$C$5005,INCORRIDO!$D$6:$D$5005,$B48,INCORRIDO!$E$6:$E$5005,R$7)+IF(R$7&gt;PARAMETROS!$C$12,IF($H48&gt;0,$G48*CURVA!R48/$H48,0)*R$6,0))</f>
        <v>0</v>
      </c>
      <c r="S48" s="19" t="n">
        <f aca="false">IF($B48="",0,SUMIFS(INCORRIDO!$C$6:$C$5005,INCORRIDO!$D$6:$D$5005,$B48,INCORRIDO!$E$6:$E$5005,S$7)+IF(S$7&gt;PARAMETROS!$C$12,IF($H48&gt;0,$G48*CURVA!S48/$H48,0)*S$6,0))</f>
        <v>0</v>
      </c>
      <c r="T48" s="19" t="n">
        <f aca="false">IF($B48="",0,SUMIFS(INCORRIDO!$C$6:$C$5005,INCORRIDO!$D$6:$D$5005,$B48,INCORRIDO!$E$6:$E$5005,T$7)+IF(T$7&gt;PARAMETROS!$C$12,IF($H48&gt;0,$G48*CURVA!T48/$H48,0)*T$6,0))</f>
        <v>0</v>
      </c>
      <c r="U48" s="19" t="n">
        <f aca="false">IF($B48="",0,SUMIFS(INCORRIDO!$C$6:$C$5005,INCORRIDO!$D$6:$D$5005,$B48,INCORRIDO!$E$6:$E$5005,U$7)+IF(U$7&gt;PARAMETROS!$C$12,IF($H48&gt;0,$G48*CURVA!U48/$H48,0)*U$6,0))</f>
        <v>0</v>
      </c>
      <c r="V48" s="19" t="n">
        <f aca="false">IF($B48="",0,SUMIFS(INCORRIDO!$C$6:$C$5005,INCORRIDO!$D$6:$D$5005,$B48,INCORRIDO!$E$6:$E$5005,V$7)+IF(V$7&gt;PARAMETROS!$C$12,IF($H48&gt;0,$G48*CURVA!V48/$H48,0)*V$6,0))</f>
        <v>0</v>
      </c>
      <c r="W48" s="19" t="n">
        <f aca="false">IF($B48="",0,SUMIFS(INCORRIDO!$C$6:$C$5005,INCORRIDO!$D$6:$D$5005,$B48,INCORRIDO!$E$6:$E$5005,W$7)+IF(W$7&gt;PARAMETROS!$C$12,IF($H48&gt;0,$G48*CURVA!W48/$H48,0)*W$6,0))</f>
        <v>0</v>
      </c>
      <c r="X48" s="19" t="n">
        <f aca="false">IF($B48="",0,SUMIFS(INCORRIDO!$C$6:$C$5005,INCORRIDO!$D$6:$D$5005,$B48,INCORRIDO!$E$6:$E$5005,X$7)+IF(X$7&gt;PARAMETROS!$C$12,IF($H48&gt;0,$G48*CURVA!X48/$H48,0)*X$6,0))</f>
        <v>0</v>
      </c>
      <c r="Y48" s="19" t="n">
        <f aca="false">IF($B48="",0,SUMIFS(INCORRIDO!$C$6:$C$5005,INCORRIDO!$D$6:$D$5005,$B48,INCORRIDO!$E$6:$E$5005,Y$7)+IF(Y$7&gt;PARAMETROS!$C$12,IF($H48&gt;0,$G48*CURVA!Y48/$H48,0)*Y$6,0))</f>
        <v>0</v>
      </c>
      <c r="Z48" s="19" t="n">
        <f aca="false">IF($B48="",0,SUMIFS(INCORRIDO!$C$6:$C$5005,INCORRIDO!$D$6:$D$5005,$B48,INCORRIDO!$E$6:$E$5005,Z$7)+IF(Z$7&gt;PARAMETROS!$C$12,IF($H48&gt;0,$G48*CURVA!Z48/$H48,0)*Z$6,0))</f>
        <v>0</v>
      </c>
      <c r="AA48" s="19" t="n">
        <f aca="false">IF($B48="",0,SUMIFS(INCORRIDO!$C$6:$C$5005,INCORRIDO!$D$6:$D$5005,$B48,INCORRIDO!$E$6:$E$5005,AA$7)+IF(AA$7&gt;PARAMETROS!$C$12,IF($H48&gt;0,$G48*CURVA!AA48/$H48,0)*AA$6,0))</f>
        <v>0</v>
      </c>
      <c r="AB48" s="19" t="n">
        <f aca="false">IF($B48="",0,SUMIFS(INCORRIDO!$C$6:$C$5005,INCORRIDO!$D$6:$D$5005,$B48,INCORRIDO!$E$6:$E$5005,AB$7)+IF(AB$7&gt;PARAMETROS!$C$12,IF($H48&gt;0,$G48*CURVA!AB48/$H48,0)*AB$6,0))</f>
        <v>0</v>
      </c>
      <c r="AC48" s="19" t="n">
        <f aca="false">IF($B48="",0,SUMIFS(INCORRIDO!$C$6:$C$5005,INCORRIDO!$D$6:$D$5005,$B48,INCORRIDO!$E$6:$E$5005,AC$7)+IF(AC$7&gt;PARAMETROS!$C$12,IF($H48&gt;0,$G48*CURVA!AC48/$H48,0)*AC$6,0))</f>
        <v>0</v>
      </c>
      <c r="AD48" s="19" t="n">
        <f aca="false">IF($B48="",0,SUMIFS(INCORRIDO!$C$6:$C$5005,INCORRIDO!$D$6:$D$5005,$B48,INCORRIDO!$E$6:$E$5005,AD$7)+IF(AD$7&gt;PARAMETROS!$C$12,IF($H48&gt;0,$G48*CURVA!AD48/$H48,0)*AD$6,0))</f>
        <v>0</v>
      </c>
      <c r="AE48" s="19" t="n">
        <f aca="false">IF($B48="",0,SUMIFS(INCORRIDO!$C$6:$C$5005,INCORRIDO!$D$6:$D$5005,$B48,INCORRIDO!$E$6:$E$5005,AE$7)+IF(AE$7&gt;PARAMETROS!$C$12,IF($H48&gt;0,$G48*CURVA!AE48/$H48,0)*AE$6,0))</f>
        <v>0</v>
      </c>
      <c r="AF48" s="19" t="n">
        <f aca="false">IF($B48="",0,SUMIFS(INCORRIDO!$C$6:$C$5005,INCORRIDO!$D$6:$D$5005,$B48,INCORRIDO!$E$6:$E$5005,AF$7)+IF(AF$7&gt;PARAMETROS!$C$12,IF($H48&gt;0,$G48*CURVA!AF48/$H48,0)*AF$6,0))</f>
        <v>0</v>
      </c>
      <c r="AG48" s="19" t="n">
        <f aca="false">IF($B48="",0,SUMIFS(INCORRIDO!$C$6:$C$5005,INCORRIDO!$D$6:$D$5005,$B48,INCORRIDO!$E$6:$E$5005,AG$7)+IF(AG$7&gt;PARAMETROS!$C$12,IF($H48&gt;0,$G48*CURVA!AG48/$H48,0)*AG$6,0))</f>
        <v>0</v>
      </c>
      <c r="AH48" s="19" t="n">
        <f aca="false">IF($B48="",0,SUMIFS(INCORRIDO!$C$6:$C$5005,INCORRIDO!$D$6:$D$5005,$B48,INCORRIDO!$E$6:$E$5005,AH$7)+IF(AH$7&gt;PARAMETROS!$C$12,IF($H48&gt;0,$G48*CURVA!AH48/$H48,0)*AH$6,0))</f>
        <v>0</v>
      </c>
      <c r="AI48" s="19" t="n">
        <f aca="false">IF($B48="",0,SUMIFS(INCORRIDO!$C$6:$C$5005,INCORRIDO!$D$6:$D$5005,$B48,INCORRIDO!$E$6:$E$5005,AI$7)+IF(AI$7&gt;PARAMETROS!$C$12,IF($H48&gt;0,$G48*CURVA!AI48/$H48,0)*AI$6,0))</f>
        <v>0</v>
      </c>
      <c r="AJ48" s="19" t="n">
        <f aca="false">IF($B48="",0,SUMIFS(INCORRIDO!$C$6:$C$5005,INCORRIDO!$D$6:$D$5005,$B48,INCORRIDO!$E$6:$E$5005,AJ$7)+IF(AJ$7&gt;PARAMETROS!$C$12,IF($H48&gt;0,$G48*CURVA!AJ48/$H48,0)*AJ$6,0))</f>
        <v>0</v>
      </c>
      <c r="AK48" s="19" t="n">
        <f aca="false">IF($B48="",0,SUMIFS(INCORRIDO!$C$6:$C$5005,INCORRIDO!$D$6:$D$5005,$B48,INCORRIDO!$E$6:$E$5005,AK$7)+IF(AK$7&gt;PARAMETROS!$C$12,IF($H48&gt;0,$G48*CURVA!AK48/$H48,0)*AK$6,0))</f>
        <v>0</v>
      </c>
      <c r="AL48" s="19" t="n">
        <f aca="false">IF($B48="",0,SUMIFS(INCORRIDO!$C$6:$C$5005,INCORRIDO!$D$6:$D$5005,$B48,INCORRIDO!$E$6:$E$5005,AL$7)+IF(AL$7&gt;PARAMETROS!$C$12,IF($H48&gt;0,$G48*CURVA!AL48/$H48,0)*AL$6,0))</f>
        <v>0</v>
      </c>
      <c r="AM48" s="19" t="n">
        <f aca="false">IF($B48="",0,SUMIFS(INCORRIDO!$C$6:$C$5005,INCORRIDO!$D$6:$D$5005,$B48,INCORRIDO!$E$6:$E$5005,AM$7)+IF(AM$7&gt;PARAMETROS!$C$12,IF($H48&gt;0,$G48*CURVA!AM48/$H48,0)*AM$6,0))</f>
        <v>0</v>
      </c>
      <c r="AN48" s="19" t="n">
        <f aca="false">IF($B48="",0,SUMIFS(INCORRIDO!$C$6:$C$5005,INCORRIDO!$D$6:$D$5005,$B48,INCORRIDO!$E$6:$E$5005,AN$7)+IF(AN$7&gt;PARAMETROS!$C$12,IF($H48&gt;0,$G48*CURVA!AN48/$H48,0)*AN$6,0))</f>
        <v>0</v>
      </c>
      <c r="AO48" s="19" t="n">
        <f aca="false">IF($B48="",0,SUMIFS(INCORRIDO!$C$6:$C$5005,INCORRIDO!$D$6:$D$5005,$B48,INCORRIDO!$E$6:$E$5005,AO$7)+IF(AO$7&gt;PARAMETROS!$C$12,IF($H48&gt;0,$G48*CURVA!AO48/$H48,0)*AO$6,0))</f>
        <v>0</v>
      </c>
      <c r="AP48" s="19" t="n">
        <f aca="false">IF($B48="",0,SUMIFS(INCORRIDO!$C$6:$C$5005,INCORRIDO!$D$6:$D$5005,$B48,INCORRIDO!$E$6:$E$5005,AP$7)+IF(AP$7&gt;PARAMETROS!$C$12,IF($H48&gt;0,$G48*CURVA!AP48/$H48,0)*AP$6,0))</f>
        <v>0</v>
      </c>
      <c r="AQ48" s="19" t="n">
        <f aca="false">IF($B48="",0,SUMIFS(INCORRIDO!$C$6:$C$5005,INCORRIDO!$D$6:$D$5005,$B48,INCORRIDO!$E$6:$E$5005,AQ$7)+IF(AQ$7&gt;PARAMETROS!$C$12,IF($H48&gt;0,$G48*CURVA!AQ48/$H48,0)*AQ$6,0))</f>
        <v>0</v>
      </c>
      <c r="AR48" s="19" t="n">
        <f aca="false">IF($B48="",0,SUMIFS(INCORRIDO!$C$6:$C$5005,INCORRIDO!$D$6:$D$5005,$B48,INCORRIDO!$E$6:$E$5005,AR$7)+IF(AR$7&gt;PARAMETROS!$C$12,IF($H48&gt;0,$G48*CURVA!AR48/$H48,0)*AR$6,0))</f>
        <v>0</v>
      </c>
      <c r="AS48" s="19" t="n">
        <f aca="false">IF($B48="",0,SUMIFS(INCORRIDO!$C$6:$C$5005,INCORRIDO!$D$6:$D$5005,$B48,INCORRIDO!$E$6:$E$5005,AS$7)+IF(AS$7&gt;PARAMETROS!$C$12,IF($H48&gt;0,$G48*CURVA!AS48/$H48,0)*AS$6,0))</f>
        <v>0</v>
      </c>
      <c r="AT48" s="19" t="n">
        <f aca="false">IF($B48="",0,SUMIFS(INCORRIDO!$C$6:$C$5005,INCORRIDO!$D$6:$D$5005,$B48,INCORRIDO!$E$6:$E$5005,AT$7)+IF(AT$7&gt;PARAMETROS!$C$12,IF($H48&gt;0,$G48*CURVA!AT48/$H48,0)*AT$6,0))</f>
        <v>0</v>
      </c>
      <c r="AU48" s="19" t="n">
        <f aca="false">IF($B48="",0,SUMIFS(INCORRIDO!$C$6:$C$5005,INCORRIDO!$D$6:$D$5005,$B48,INCORRIDO!$E$6:$E$5005,AU$7)+IF(AU$7&gt;PARAMETROS!$C$12,IF($H48&gt;0,$G48*CURVA!AU48/$H48,0)*AU$6,0))</f>
        <v>0</v>
      </c>
      <c r="AV48" s="19" t="n">
        <f aca="false">IF($B48="",0,SUMIFS(INCORRIDO!$C$6:$C$5005,INCORRIDO!$D$6:$D$5005,$B48,INCORRIDO!$E$6:$E$5005,AV$7)+IF(AV$7&gt;PARAMETROS!$C$12,IF($H48&gt;0,$G48*CURVA!AV48/$H48,0)*AV$6,0))</f>
        <v>0</v>
      </c>
      <c r="AW48" s="19" t="n">
        <f aca="false">IF($B48="",0,SUMIFS(INCORRIDO!$C$6:$C$5005,INCORRIDO!$D$6:$D$5005,$B48,INCORRIDO!$E$6:$E$5005,AW$7)+IF(AW$7&gt;PARAMETROS!$C$12,IF($H48&gt;0,$G48*CURVA!AW48/$H48,0)*AW$6,0))</f>
        <v>0</v>
      </c>
      <c r="AX48" s="19" t="n">
        <f aca="false">IF($B48="",0,SUMIFS(INCORRIDO!$C$6:$C$5005,INCORRIDO!$D$6:$D$5005,$B48,INCORRIDO!$E$6:$E$5005,AX$7)+IF(AX$7&gt;PARAMETROS!$C$12,IF($H48&gt;0,$G48*CURVA!AX48/$H48,0)*AX$6,0))</f>
        <v>0</v>
      </c>
      <c r="AY48" s="19" t="n">
        <f aca="false">IF($B48="",0,SUMIFS(INCORRIDO!$C$6:$C$5005,INCORRIDO!$D$6:$D$5005,$B48,INCORRIDO!$E$6:$E$5005,AY$7)+IF(AY$7&gt;PARAMETROS!$C$12,IF($H48&gt;0,$G48*CURVA!AY48/$H48,0)*AY$6,0))</f>
        <v>0</v>
      </c>
      <c r="AZ48" s="19" t="n">
        <f aca="false">IF($B48="",0,SUMIFS(INCORRIDO!$C$6:$C$5005,INCORRIDO!$D$6:$D$5005,$B48,INCORRIDO!$E$6:$E$5005,AZ$7)+IF(AZ$7&gt;PARAMETROS!$C$12,IF($H48&gt;0,$G48*CURVA!AZ48/$H48,0)*AZ$6,0))</f>
        <v>0</v>
      </c>
      <c r="BA48" s="19" t="n">
        <f aca="false">IF($B48="",0,SUMIFS(INCORRIDO!$C$6:$C$5005,INCORRIDO!$D$6:$D$5005,$B48,INCORRIDO!$E$6:$E$5005,BA$7)+IF(BA$7&gt;PARAMETROS!$C$12,IF($H48&gt;0,$G48*CURVA!BA48/$H48,0)*BA$6,0))</f>
        <v>0</v>
      </c>
      <c r="BB48" s="19" t="n">
        <f aca="false">IF($B48="",0,SUMIFS(INCORRIDO!$C$6:$C$5005,INCORRIDO!$D$6:$D$5005,$B48,INCORRIDO!$E$6:$E$5005,BB$7)+IF(BB$7&gt;PARAMETROS!$C$12,IF($H48&gt;0,$G48*CURVA!BB48/$H48,0)*BB$6,0))</f>
        <v>0</v>
      </c>
      <c r="BC48" s="19" t="n">
        <f aca="false">IF($B48="",0,SUMIFS(INCORRIDO!$C$6:$C$5005,INCORRIDO!$D$6:$D$5005,$B48,INCORRIDO!$E$6:$E$5005,BC$7)+IF(BC$7&gt;PARAMETROS!$C$12,IF($H48&gt;0,$G48*CURVA!BC48/$H48,0)*BC$6,0))</f>
        <v>0</v>
      </c>
      <c r="BD48" s="19" t="n">
        <f aca="false">IF($B48="",0,SUMIFS(INCORRIDO!$C$6:$C$5005,INCORRIDO!$D$6:$D$5005,$B48,INCORRIDO!$E$6:$E$5005,BD$7)+IF(BD$7&gt;PARAMETROS!$C$12,IF($H48&gt;0,$G48*CURVA!BD48/$H48,0)*BD$6,0))</f>
        <v>0</v>
      </c>
      <c r="BE48" s="19" t="n">
        <f aca="false">IF($B48="",0,SUMIFS(INCORRIDO!$C$6:$C$5005,INCORRIDO!$D$6:$D$5005,$B48,INCORRIDO!$E$6:$E$5005,BE$7)+IF(BE$7&gt;PARAMETROS!$C$12,IF($H48&gt;0,$G48*CURVA!BE48/$H48,0)*BE$6,0))</f>
        <v>0</v>
      </c>
      <c r="BF48" s="19" t="n">
        <f aca="false">IF($B48="",0,SUMIFS(INCORRIDO!$C$6:$C$5005,INCORRIDO!$D$6:$D$5005,$B48,INCORRIDO!$E$6:$E$5005,BF$7)+IF(BF$7&gt;PARAMETROS!$C$12,IF($H48&gt;0,$G48*CURVA!BF48/$H48,0)*BF$6,0))</f>
        <v>0</v>
      </c>
      <c r="BG48" s="19" t="n">
        <f aca="false">IF($B48="",0,SUMIFS(INCORRIDO!$C$6:$C$5005,INCORRIDO!$D$6:$D$5005,$B48,INCORRIDO!$E$6:$E$5005,BG$7)+IF(BG$7&gt;PARAMETROS!$C$12,IF($H48&gt;0,$G48*CURVA!BG48/$H48,0)*BG$6,0))</f>
        <v>0</v>
      </c>
      <c r="BH48" s="19" t="n">
        <f aca="false">IF($B48="",0,SUMIFS(INCORRIDO!$C$6:$C$5005,INCORRIDO!$D$6:$D$5005,$B48,INCORRIDO!$E$6:$E$5005,BH$7)+IF(BH$7&gt;PARAMETROS!$C$12,IF($H48&gt;0,$G48*CURVA!BH48/$H48,0)*BH$6,0))</f>
        <v>0</v>
      </c>
      <c r="BI48" s="19" t="n">
        <f aca="false">IF($B48="",0,SUMIFS(INCORRIDO!$C$6:$C$5005,INCORRIDO!$D$6:$D$5005,$B48,INCORRIDO!$E$6:$E$5005,BI$7)+IF(BI$7&gt;PARAMETROS!$C$12,IF($H48&gt;0,$G48*CURVA!BI48/$H48,0)*BI$6,0))</f>
        <v>0</v>
      </c>
      <c r="BJ48" s="19" t="n">
        <f aca="false">IF($B48="",0,SUMIFS(INCORRIDO!$C$6:$C$5005,INCORRIDO!$D$6:$D$5005,$B48,INCORRIDO!$E$6:$E$5005,BJ$7)+IF(BJ$7&gt;PARAMETROS!$C$12,IF($H48&gt;0,$G48*CURVA!BJ48/$H48,0)*BJ$6,0))</f>
        <v>0</v>
      </c>
      <c r="BK48" s="19" t="n">
        <f aca="false">IF($B48="",0,SUMIFS(INCORRIDO!$C$6:$C$5005,INCORRIDO!$D$6:$D$5005,$B48,INCORRIDO!$E$6:$E$5005,BK$7)+IF(BK$7&gt;PARAMETROS!$C$12,IF($H48&gt;0,$G48*CURVA!BK48/$H48,0)*BK$6,0))</f>
        <v>0</v>
      </c>
      <c r="BL48" s="19" t="n">
        <f aca="false">IF($B48="",0,SUMIFS(INCORRIDO!$C$6:$C$5005,INCORRIDO!$D$6:$D$5005,$B48,INCORRIDO!$E$6:$E$5005,BL$7)+IF(BL$7&gt;PARAMETROS!$C$12,IF($H48&gt;0,$G48*CURVA!BL48/$H48,0)*BL$6,0))</f>
        <v>0</v>
      </c>
      <c r="BM48" s="19" t="n">
        <f aca="false">IF($B48="",0,SUMIFS(INCORRIDO!$C$6:$C$5005,INCORRIDO!$D$6:$D$5005,$B48,INCORRIDO!$E$6:$E$5005,BM$7)+IF(BM$7&gt;PARAMETROS!$C$12,IF($H48&gt;0,$G48*CURVA!BM48/$H48,0)*BM$6,0))</f>
        <v>0</v>
      </c>
      <c r="BN48" s="19" t="n">
        <f aca="false">IF($B48="",0,SUMIFS(INCORRIDO!$C$6:$C$5005,INCORRIDO!$D$6:$D$5005,$B48,INCORRIDO!$E$6:$E$5005,BN$7)+IF(BN$7&gt;PARAMETROS!$C$12,IF($H48&gt;0,$G48*CURVA!BN48/$H48,0)*BN$6,0))</f>
        <v>0</v>
      </c>
      <c r="BO48" s="19" t="n">
        <f aca="false">IF($B48="",0,SUMIFS(INCORRIDO!$C$6:$C$5005,INCORRIDO!$D$6:$D$5005,$B48,INCORRIDO!$E$6:$E$5005,BO$7)+IF(BO$7&gt;PARAMETROS!$C$12,IF($H48&gt;0,$G48*CURVA!BO48/$H48,0)*BO$6,0))</f>
        <v>0</v>
      </c>
      <c r="BP48" s="19" t="n">
        <f aca="false">IF($B48="",0,SUMIFS(INCORRIDO!$C$6:$C$5005,INCORRIDO!$D$6:$D$5005,$B48,INCORRIDO!$E$6:$E$5005,BP$7)+IF(BP$7&gt;PARAMETROS!$C$12,IF($H48&gt;0,$G48*CURVA!BP48/$H48,0)*BP$6,0))</f>
        <v>0</v>
      </c>
      <c r="BQ48" s="19" t="n">
        <f aca="false">IF($B48="",0,SUMIFS(INCORRIDO!$C$6:$C$5005,INCORRIDO!$D$6:$D$5005,$B48,INCORRIDO!$E$6:$E$5005,BQ$7)+IF(BQ$7&gt;PARAMETROS!$C$12,IF($H48&gt;0,$G48*CURVA!BQ48/$H48,0)*BQ$6,0))</f>
        <v>0</v>
      </c>
      <c r="BR48" s="19" t="n">
        <f aca="false">IF($B48="",0,SUMIFS(INCORRIDO!$C$6:$C$5005,INCORRIDO!$D$6:$D$5005,$B48,INCORRIDO!$E$6:$E$5005,BR$7)+IF(BR$7&gt;PARAMETROS!$C$12,IF($H48&gt;0,$G48*CURVA!BR48/$H48,0)*BR$6,0))</f>
        <v>0</v>
      </c>
      <c r="BS48" s="19" t="n">
        <f aca="false">IF($B48="",0,SUMIFS(INCORRIDO!$C$6:$C$5005,INCORRIDO!$D$6:$D$5005,$B48,INCORRIDO!$E$6:$E$5005,BS$7)+IF(BS$7&gt;PARAMETROS!$C$12,IF($H48&gt;0,$G48*CURVA!BS48/$H48,0)*BS$6,0))</f>
        <v>0</v>
      </c>
      <c r="BT48" s="19" t="n">
        <f aca="false">IF($B48="",0,SUMIFS(INCORRIDO!$C$6:$C$5005,INCORRIDO!$D$6:$D$5005,$B48,INCORRIDO!$E$6:$E$5005,BT$7)+IF(BT$7&gt;PARAMETROS!$C$12,IF($H48&gt;0,$G48*CURVA!BT48/$H48,0)*BT$6,0))</f>
        <v>0</v>
      </c>
      <c r="BU48" s="19" t="n">
        <f aca="false">IF($B48="",0,SUMIFS(INCORRIDO!$C$6:$C$5005,INCORRIDO!$D$6:$D$5005,$B48,INCORRIDO!$E$6:$E$5005,BU$7)+IF(BU$7&gt;PARAMETROS!$C$12,IF($H48&gt;0,$G48*CURVA!BU48/$H48,0)*BU$6,0))</f>
        <v>0</v>
      </c>
      <c r="BV48" s="19" t="n">
        <f aca="false">IF($B48="",0,SUMIFS(INCORRIDO!$C$6:$C$5005,INCORRIDO!$D$6:$D$5005,$B48,INCORRIDO!$E$6:$E$5005,BV$7)+IF(BV$7&gt;PARAMETROS!$C$12,IF($H48&gt;0,$G48*CURVA!BV48/$H48,0)*BV$6,0))</f>
        <v>0</v>
      </c>
      <c r="BW48" s="19" t="n">
        <f aca="false">IF($B48="",0,SUMIFS(INCORRIDO!$C$6:$C$5005,INCORRIDO!$D$6:$D$5005,$B48,INCORRIDO!$E$6:$E$5005,BW$7)+IF(BW$7&gt;PARAMETROS!$C$12,IF($H48&gt;0,$G48*CURVA!BW48/$H48,0)*BW$6,0))</f>
        <v>0</v>
      </c>
      <c r="BX48" s="19" t="n">
        <f aca="false">IF($B48="",0,SUMIFS(INCORRIDO!$C$6:$C$5005,INCORRIDO!$D$6:$D$5005,$B48,INCORRIDO!$E$6:$E$5005,BX$7)+IF(BX$7&gt;PARAMETROS!$C$12,IF($H48&gt;0,$G48*CURVA!BX48/$H48,0)*BX$6,0))</f>
        <v>0</v>
      </c>
      <c r="BY48" s="19" t="n">
        <f aca="false">IF($B48="",0,SUMIFS(INCORRIDO!$C$6:$C$5005,INCORRIDO!$D$6:$D$5005,$B48,INCORRIDO!$E$6:$E$5005,BY$7)+IF(BY$7&gt;PARAMETROS!$C$12,IF($H48&gt;0,$G48*CURVA!BY48/$H48,0)*BY$6,0))</f>
        <v>0</v>
      </c>
      <c r="BZ48" s="19" t="n">
        <f aca="false">IF($B48="",0,SUMIFS(INCORRIDO!$C$6:$C$5005,INCORRIDO!$D$6:$D$5005,$B48,INCORRIDO!$E$6:$E$5005,BZ$7)+IF(BZ$7&gt;PARAMETROS!$C$12,IF($H48&gt;0,$G48*CURVA!BZ48/$H48,0)*BZ$6,0))</f>
        <v>0</v>
      </c>
      <c r="CA48" s="19" t="n">
        <f aca="false">IF($B48="",0,SUMIFS(INCORRIDO!$C$6:$C$5005,INCORRIDO!$D$6:$D$5005,$B48,INCORRIDO!$E$6:$E$5005,CA$7)+IF(CA$7&gt;PARAMETROS!$C$12,IF($H48&gt;0,$G48*CURVA!CA48/$H48,0)*CA$6,0))</f>
        <v>0</v>
      </c>
      <c r="CB48" s="19" t="n">
        <f aca="false">IF($B48="",0,SUMIFS(INCORRIDO!$C$6:$C$5005,INCORRIDO!$D$6:$D$5005,$B48,INCORRIDO!$E$6:$E$5005,CB$7)+IF(CB$7&gt;PARAMETROS!$C$12,IF($H48&gt;0,$G48*CURVA!CB48/$H48,0)*CB$6,0))</f>
        <v>0</v>
      </c>
      <c r="CC48" s="19" t="n">
        <f aca="false">IF($B48="",0,SUMIFS(INCORRIDO!$C$6:$C$5005,INCORRIDO!$D$6:$D$5005,$B48,INCORRIDO!$E$6:$E$5005,CC$7)+IF(CC$7&gt;PARAMETROS!$C$12,IF($H48&gt;0,$G48*CURVA!CC48/$H48,0)*CC$6,0))</f>
        <v>0</v>
      </c>
    </row>
    <row r="49" customFormat="false" ht="15" hidden="false" customHeight="false" outlineLevel="0" collapsed="false">
      <c r="A49" s="31" t="str">
        <f aca="false">IF(ORCAMENTO!A47="","",ORCAMENTO!A47)</f>
        <v/>
      </c>
      <c r="B49" s="31" t="str">
        <f aca="false">IF(ORCAMENTO!B47="","",ORCAMENTO!B47)</f>
        <v/>
      </c>
      <c r="C49" s="31" t="str">
        <f aca="false">IF(ORCAMENTO!C47="","",ORCAMENTO!C47)</f>
        <v/>
      </c>
      <c r="D49" s="32" t="n">
        <f aca="false">IF($B49="",0,ORCAMENTO!E47)</f>
        <v>0</v>
      </c>
      <c r="E49" s="19" t="n">
        <f aca="false">IF($B49="",0,SUMIFS(INCORRIDO!$C$6:$C$5005,INCORRIDO!$D$6:$D$5005,$B49,INCORRIDO!$E$6:$E$5005,"&lt;="&amp;PARAMETROS!$C$12))</f>
        <v>0</v>
      </c>
      <c r="F49" s="19" t="n">
        <f aca="false">IF($B49="",0,SUMIFS(INCORRIDO!$C$6:$C$5005,INCORRIDO!$D$6:$D$5005,$B49,INCORRIDO!$E$6:$E$5005,"&gt;"&amp;PARAMETROS!$C$12))</f>
        <v>0</v>
      </c>
      <c r="G49" s="19" t="n">
        <f aca="false">MAX(0,D49-E49-F49)</f>
        <v>0</v>
      </c>
      <c r="H49" s="32" t="n">
        <f aca="false">CURVA!H49</f>
        <v>0</v>
      </c>
      <c r="I49" s="19" t="n">
        <f aca="false">SUM(J49:CC49)</f>
        <v>0</v>
      </c>
      <c r="J49" s="19" t="n">
        <f aca="false">IF($B49="",0,SUMIFS(INCORRIDO!$C$6:$C$5005,INCORRIDO!$D$6:$D$5005,$B49,INCORRIDO!$E$6:$E$5005,"&lt;="&amp;J$7)+IF(J$7&gt;PARAMETROS!$C$12,IF($H49&gt;0,$G49*CURVA!J49/$H49,0)*J$6,0))</f>
        <v>0</v>
      </c>
      <c r="K49" s="19" t="n">
        <f aca="false">IF($B49="",0,SUMIFS(INCORRIDO!$C$6:$C$5005,INCORRIDO!$D$6:$D$5005,$B49,INCORRIDO!$E$6:$E$5005,K$7)+IF(K$7&gt;PARAMETROS!$C$12,IF($H49&gt;0,$G49*CURVA!K49/$H49,0)*K$6,0))</f>
        <v>0</v>
      </c>
      <c r="L49" s="19" t="n">
        <f aca="false">IF($B49="",0,SUMIFS(INCORRIDO!$C$6:$C$5005,INCORRIDO!$D$6:$D$5005,$B49,INCORRIDO!$E$6:$E$5005,L$7)+IF(L$7&gt;PARAMETROS!$C$12,IF($H49&gt;0,$G49*CURVA!L49/$H49,0)*L$6,0))</f>
        <v>0</v>
      </c>
      <c r="M49" s="19" t="n">
        <f aca="false">IF($B49="",0,SUMIFS(INCORRIDO!$C$6:$C$5005,INCORRIDO!$D$6:$D$5005,$B49,INCORRIDO!$E$6:$E$5005,M$7)+IF(M$7&gt;PARAMETROS!$C$12,IF($H49&gt;0,$G49*CURVA!M49/$H49,0)*M$6,0))</f>
        <v>0</v>
      </c>
      <c r="N49" s="19" t="n">
        <f aca="false">IF($B49="",0,SUMIFS(INCORRIDO!$C$6:$C$5005,INCORRIDO!$D$6:$D$5005,$B49,INCORRIDO!$E$6:$E$5005,N$7)+IF(N$7&gt;PARAMETROS!$C$12,IF($H49&gt;0,$G49*CURVA!N49/$H49,0)*N$6,0))</f>
        <v>0</v>
      </c>
      <c r="O49" s="19" t="n">
        <f aca="false">IF($B49="",0,SUMIFS(INCORRIDO!$C$6:$C$5005,INCORRIDO!$D$6:$D$5005,$B49,INCORRIDO!$E$6:$E$5005,O$7)+IF(O$7&gt;PARAMETROS!$C$12,IF($H49&gt;0,$G49*CURVA!O49/$H49,0)*O$6,0))</f>
        <v>0</v>
      </c>
      <c r="P49" s="19" t="n">
        <f aca="false">IF($B49="",0,SUMIFS(INCORRIDO!$C$6:$C$5005,INCORRIDO!$D$6:$D$5005,$B49,INCORRIDO!$E$6:$E$5005,P$7)+IF(P$7&gt;PARAMETROS!$C$12,IF($H49&gt;0,$G49*CURVA!P49/$H49,0)*P$6,0))</f>
        <v>0</v>
      </c>
      <c r="Q49" s="19" t="n">
        <f aca="false">IF($B49="",0,SUMIFS(INCORRIDO!$C$6:$C$5005,INCORRIDO!$D$6:$D$5005,$B49,INCORRIDO!$E$6:$E$5005,Q$7)+IF(Q$7&gt;PARAMETROS!$C$12,IF($H49&gt;0,$G49*CURVA!Q49/$H49,0)*Q$6,0))</f>
        <v>0</v>
      </c>
      <c r="R49" s="19" t="n">
        <f aca="false">IF($B49="",0,SUMIFS(INCORRIDO!$C$6:$C$5005,INCORRIDO!$D$6:$D$5005,$B49,INCORRIDO!$E$6:$E$5005,R$7)+IF(R$7&gt;PARAMETROS!$C$12,IF($H49&gt;0,$G49*CURVA!R49/$H49,0)*R$6,0))</f>
        <v>0</v>
      </c>
      <c r="S49" s="19" t="n">
        <f aca="false">IF($B49="",0,SUMIFS(INCORRIDO!$C$6:$C$5005,INCORRIDO!$D$6:$D$5005,$B49,INCORRIDO!$E$6:$E$5005,S$7)+IF(S$7&gt;PARAMETROS!$C$12,IF($H49&gt;0,$G49*CURVA!S49/$H49,0)*S$6,0))</f>
        <v>0</v>
      </c>
      <c r="T49" s="19" t="n">
        <f aca="false">IF($B49="",0,SUMIFS(INCORRIDO!$C$6:$C$5005,INCORRIDO!$D$6:$D$5005,$B49,INCORRIDO!$E$6:$E$5005,T$7)+IF(T$7&gt;PARAMETROS!$C$12,IF($H49&gt;0,$G49*CURVA!T49/$H49,0)*T$6,0))</f>
        <v>0</v>
      </c>
      <c r="U49" s="19" t="n">
        <f aca="false">IF($B49="",0,SUMIFS(INCORRIDO!$C$6:$C$5005,INCORRIDO!$D$6:$D$5005,$B49,INCORRIDO!$E$6:$E$5005,U$7)+IF(U$7&gt;PARAMETROS!$C$12,IF($H49&gt;0,$G49*CURVA!U49/$H49,0)*U$6,0))</f>
        <v>0</v>
      </c>
      <c r="V49" s="19" t="n">
        <f aca="false">IF($B49="",0,SUMIFS(INCORRIDO!$C$6:$C$5005,INCORRIDO!$D$6:$D$5005,$B49,INCORRIDO!$E$6:$E$5005,V$7)+IF(V$7&gt;PARAMETROS!$C$12,IF($H49&gt;0,$G49*CURVA!V49/$H49,0)*V$6,0))</f>
        <v>0</v>
      </c>
      <c r="W49" s="19" t="n">
        <f aca="false">IF($B49="",0,SUMIFS(INCORRIDO!$C$6:$C$5005,INCORRIDO!$D$6:$D$5005,$B49,INCORRIDO!$E$6:$E$5005,W$7)+IF(W$7&gt;PARAMETROS!$C$12,IF($H49&gt;0,$G49*CURVA!W49/$H49,0)*W$6,0))</f>
        <v>0</v>
      </c>
      <c r="X49" s="19" t="n">
        <f aca="false">IF($B49="",0,SUMIFS(INCORRIDO!$C$6:$C$5005,INCORRIDO!$D$6:$D$5005,$B49,INCORRIDO!$E$6:$E$5005,X$7)+IF(X$7&gt;PARAMETROS!$C$12,IF($H49&gt;0,$G49*CURVA!X49/$H49,0)*X$6,0))</f>
        <v>0</v>
      </c>
      <c r="Y49" s="19" t="n">
        <f aca="false">IF($B49="",0,SUMIFS(INCORRIDO!$C$6:$C$5005,INCORRIDO!$D$6:$D$5005,$B49,INCORRIDO!$E$6:$E$5005,Y$7)+IF(Y$7&gt;PARAMETROS!$C$12,IF($H49&gt;0,$G49*CURVA!Y49/$H49,0)*Y$6,0))</f>
        <v>0</v>
      </c>
      <c r="Z49" s="19" t="n">
        <f aca="false">IF($B49="",0,SUMIFS(INCORRIDO!$C$6:$C$5005,INCORRIDO!$D$6:$D$5005,$B49,INCORRIDO!$E$6:$E$5005,Z$7)+IF(Z$7&gt;PARAMETROS!$C$12,IF($H49&gt;0,$G49*CURVA!Z49/$H49,0)*Z$6,0))</f>
        <v>0</v>
      </c>
      <c r="AA49" s="19" t="n">
        <f aca="false">IF($B49="",0,SUMIFS(INCORRIDO!$C$6:$C$5005,INCORRIDO!$D$6:$D$5005,$B49,INCORRIDO!$E$6:$E$5005,AA$7)+IF(AA$7&gt;PARAMETROS!$C$12,IF($H49&gt;0,$G49*CURVA!AA49/$H49,0)*AA$6,0))</f>
        <v>0</v>
      </c>
      <c r="AB49" s="19" t="n">
        <f aca="false">IF($B49="",0,SUMIFS(INCORRIDO!$C$6:$C$5005,INCORRIDO!$D$6:$D$5005,$B49,INCORRIDO!$E$6:$E$5005,AB$7)+IF(AB$7&gt;PARAMETROS!$C$12,IF($H49&gt;0,$G49*CURVA!AB49/$H49,0)*AB$6,0))</f>
        <v>0</v>
      </c>
      <c r="AC49" s="19" t="n">
        <f aca="false">IF($B49="",0,SUMIFS(INCORRIDO!$C$6:$C$5005,INCORRIDO!$D$6:$D$5005,$B49,INCORRIDO!$E$6:$E$5005,AC$7)+IF(AC$7&gt;PARAMETROS!$C$12,IF($H49&gt;0,$G49*CURVA!AC49/$H49,0)*AC$6,0))</f>
        <v>0</v>
      </c>
      <c r="AD49" s="19" t="n">
        <f aca="false">IF($B49="",0,SUMIFS(INCORRIDO!$C$6:$C$5005,INCORRIDO!$D$6:$D$5005,$B49,INCORRIDO!$E$6:$E$5005,AD$7)+IF(AD$7&gt;PARAMETROS!$C$12,IF($H49&gt;0,$G49*CURVA!AD49/$H49,0)*AD$6,0))</f>
        <v>0</v>
      </c>
      <c r="AE49" s="19" t="n">
        <f aca="false">IF($B49="",0,SUMIFS(INCORRIDO!$C$6:$C$5005,INCORRIDO!$D$6:$D$5005,$B49,INCORRIDO!$E$6:$E$5005,AE$7)+IF(AE$7&gt;PARAMETROS!$C$12,IF($H49&gt;0,$G49*CURVA!AE49/$H49,0)*AE$6,0))</f>
        <v>0</v>
      </c>
      <c r="AF49" s="19" t="n">
        <f aca="false">IF($B49="",0,SUMIFS(INCORRIDO!$C$6:$C$5005,INCORRIDO!$D$6:$D$5005,$B49,INCORRIDO!$E$6:$E$5005,AF$7)+IF(AF$7&gt;PARAMETROS!$C$12,IF($H49&gt;0,$G49*CURVA!AF49/$H49,0)*AF$6,0))</f>
        <v>0</v>
      </c>
      <c r="AG49" s="19" t="n">
        <f aca="false">IF($B49="",0,SUMIFS(INCORRIDO!$C$6:$C$5005,INCORRIDO!$D$6:$D$5005,$B49,INCORRIDO!$E$6:$E$5005,AG$7)+IF(AG$7&gt;PARAMETROS!$C$12,IF($H49&gt;0,$G49*CURVA!AG49/$H49,0)*AG$6,0))</f>
        <v>0</v>
      </c>
      <c r="AH49" s="19" t="n">
        <f aca="false">IF($B49="",0,SUMIFS(INCORRIDO!$C$6:$C$5005,INCORRIDO!$D$6:$D$5005,$B49,INCORRIDO!$E$6:$E$5005,AH$7)+IF(AH$7&gt;PARAMETROS!$C$12,IF($H49&gt;0,$G49*CURVA!AH49/$H49,0)*AH$6,0))</f>
        <v>0</v>
      </c>
      <c r="AI49" s="19" t="n">
        <f aca="false">IF($B49="",0,SUMIFS(INCORRIDO!$C$6:$C$5005,INCORRIDO!$D$6:$D$5005,$B49,INCORRIDO!$E$6:$E$5005,AI$7)+IF(AI$7&gt;PARAMETROS!$C$12,IF($H49&gt;0,$G49*CURVA!AI49/$H49,0)*AI$6,0))</f>
        <v>0</v>
      </c>
      <c r="AJ49" s="19" t="n">
        <f aca="false">IF($B49="",0,SUMIFS(INCORRIDO!$C$6:$C$5005,INCORRIDO!$D$6:$D$5005,$B49,INCORRIDO!$E$6:$E$5005,AJ$7)+IF(AJ$7&gt;PARAMETROS!$C$12,IF($H49&gt;0,$G49*CURVA!AJ49/$H49,0)*AJ$6,0))</f>
        <v>0</v>
      </c>
      <c r="AK49" s="19" t="n">
        <f aca="false">IF($B49="",0,SUMIFS(INCORRIDO!$C$6:$C$5005,INCORRIDO!$D$6:$D$5005,$B49,INCORRIDO!$E$6:$E$5005,AK$7)+IF(AK$7&gt;PARAMETROS!$C$12,IF($H49&gt;0,$G49*CURVA!AK49/$H49,0)*AK$6,0))</f>
        <v>0</v>
      </c>
      <c r="AL49" s="19" t="n">
        <f aca="false">IF($B49="",0,SUMIFS(INCORRIDO!$C$6:$C$5005,INCORRIDO!$D$6:$D$5005,$B49,INCORRIDO!$E$6:$E$5005,AL$7)+IF(AL$7&gt;PARAMETROS!$C$12,IF($H49&gt;0,$G49*CURVA!AL49/$H49,0)*AL$6,0))</f>
        <v>0</v>
      </c>
      <c r="AM49" s="19" t="n">
        <f aca="false">IF($B49="",0,SUMIFS(INCORRIDO!$C$6:$C$5005,INCORRIDO!$D$6:$D$5005,$B49,INCORRIDO!$E$6:$E$5005,AM$7)+IF(AM$7&gt;PARAMETROS!$C$12,IF($H49&gt;0,$G49*CURVA!AM49/$H49,0)*AM$6,0))</f>
        <v>0</v>
      </c>
      <c r="AN49" s="19" t="n">
        <f aca="false">IF($B49="",0,SUMIFS(INCORRIDO!$C$6:$C$5005,INCORRIDO!$D$6:$D$5005,$B49,INCORRIDO!$E$6:$E$5005,AN$7)+IF(AN$7&gt;PARAMETROS!$C$12,IF($H49&gt;0,$G49*CURVA!AN49/$H49,0)*AN$6,0))</f>
        <v>0</v>
      </c>
      <c r="AO49" s="19" t="n">
        <f aca="false">IF($B49="",0,SUMIFS(INCORRIDO!$C$6:$C$5005,INCORRIDO!$D$6:$D$5005,$B49,INCORRIDO!$E$6:$E$5005,AO$7)+IF(AO$7&gt;PARAMETROS!$C$12,IF($H49&gt;0,$G49*CURVA!AO49/$H49,0)*AO$6,0))</f>
        <v>0</v>
      </c>
      <c r="AP49" s="19" t="n">
        <f aca="false">IF($B49="",0,SUMIFS(INCORRIDO!$C$6:$C$5005,INCORRIDO!$D$6:$D$5005,$B49,INCORRIDO!$E$6:$E$5005,AP$7)+IF(AP$7&gt;PARAMETROS!$C$12,IF($H49&gt;0,$G49*CURVA!AP49/$H49,0)*AP$6,0))</f>
        <v>0</v>
      </c>
      <c r="AQ49" s="19" t="n">
        <f aca="false">IF($B49="",0,SUMIFS(INCORRIDO!$C$6:$C$5005,INCORRIDO!$D$6:$D$5005,$B49,INCORRIDO!$E$6:$E$5005,AQ$7)+IF(AQ$7&gt;PARAMETROS!$C$12,IF($H49&gt;0,$G49*CURVA!AQ49/$H49,0)*AQ$6,0))</f>
        <v>0</v>
      </c>
      <c r="AR49" s="19" t="n">
        <f aca="false">IF($B49="",0,SUMIFS(INCORRIDO!$C$6:$C$5005,INCORRIDO!$D$6:$D$5005,$B49,INCORRIDO!$E$6:$E$5005,AR$7)+IF(AR$7&gt;PARAMETROS!$C$12,IF($H49&gt;0,$G49*CURVA!AR49/$H49,0)*AR$6,0))</f>
        <v>0</v>
      </c>
      <c r="AS49" s="19" t="n">
        <f aca="false">IF($B49="",0,SUMIFS(INCORRIDO!$C$6:$C$5005,INCORRIDO!$D$6:$D$5005,$B49,INCORRIDO!$E$6:$E$5005,AS$7)+IF(AS$7&gt;PARAMETROS!$C$12,IF($H49&gt;0,$G49*CURVA!AS49/$H49,0)*AS$6,0))</f>
        <v>0</v>
      </c>
      <c r="AT49" s="19" t="n">
        <f aca="false">IF($B49="",0,SUMIFS(INCORRIDO!$C$6:$C$5005,INCORRIDO!$D$6:$D$5005,$B49,INCORRIDO!$E$6:$E$5005,AT$7)+IF(AT$7&gt;PARAMETROS!$C$12,IF($H49&gt;0,$G49*CURVA!AT49/$H49,0)*AT$6,0))</f>
        <v>0</v>
      </c>
      <c r="AU49" s="19" t="n">
        <f aca="false">IF($B49="",0,SUMIFS(INCORRIDO!$C$6:$C$5005,INCORRIDO!$D$6:$D$5005,$B49,INCORRIDO!$E$6:$E$5005,AU$7)+IF(AU$7&gt;PARAMETROS!$C$12,IF($H49&gt;0,$G49*CURVA!AU49/$H49,0)*AU$6,0))</f>
        <v>0</v>
      </c>
      <c r="AV49" s="19" t="n">
        <f aca="false">IF($B49="",0,SUMIFS(INCORRIDO!$C$6:$C$5005,INCORRIDO!$D$6:$D$5005,$B49,INCORRIDO!$E$6:$E$5005,AV$7)+IF(AV$7&gt;PARAMETROS!$C$12,IF($H49&gt;0,$G49*CURVA!AV49/$H49,0)*AV$6,0))</f>
        <v>0</v>
      </c>
      <c r="AW49" s="19" t="n">
        <f aca="false">IF($B49="",0,SUMIFS(INCORRIDO!$C$6:$C$5005,INCORRIDO!$D$6:$D$5005,$B49,INCORRIDO!$E$6:$E$5005,AW$7)+IF(AW$7&gt;PARAMETROS!$C$12,IF($H49&gt;0,$G49*CURVA!AW49/$H49,0)*AW$6,0))</f>
        <v>0</v>
      </c>
      <c r="AX49" s="19" t="n">
        <f aca="false">IF($B49="",0,SUMIFS(INCORRIDO!$C$6:$C$5005,INCORRIDO!$D$6:$D$5005,$B49,INCORRIDO!$E$6:$E$5005,AX$7)+IF(AX$7&gt;PARAMETROS!$C$12,IF($H49&gt;0,$G49*CURVA!AX49/$H49,0)*AX$6,0))</f>
        <v>0</v>
      </c>
      <c r="AY49" s="19" t="n">
        <f aca="false">IF($B49="",0,SUMIFS(INCORRIDO!$C$6:$C$5005,INCORRIDO!$D$6:$D$5005,$B49,INCORRIDO!$E$6:$E$5005,AY$7)+IF(AY$7&gt;PARAMETROS!$C$12,IF($H49&gt;0,$G49*CURVA!AY49/$H49,0)*AY$6,0))</f>
        <v>0</v>
      </c>
      <c r="AZ49" s="19" t="n">
        <f aca="false">IF($B49="",0,SUMIFS(INCORRIDO!$C$6:$C$5005,INCORRIDO!$D$6:$D$5005,$B49,INCORRIDO!$E$6:$E$5005,AZ$7)+IF(AZ$7&gt;PARAMETROS!$C$12,IF($H49&gt;0,$G49*CURVA!AZ49/$H49,0)*AZ$6,0))</f>
        <v>0</v>
      </c>
      <c r="BA49" s="19" t="n">
        <f aca="false">IF($B49="",0,SUMIFS(INCORRIDO!$C$6:$C$5005,INCORRIDO!$D$6:$D$5005,$B49,INCORRIDO!$E$6:$E$5005,BA$7)+IF(BA$7&gt;PARAMETROS!$C$12,IF($H49&gt;0,$G49*CURVA!BA49/$H49,0)*BA$6,0))</f>
        <v>0</v>
      </c>
      <c r="BB49" s="19" t="n">
        <f aca="false">IF($B49="",0,SUMIFS(INCORRIDO!$C$6:$C$5005,INCORRIDO!$D$6:$D$5005,$B49,INCORRIDO!$E$6:$E$5005,BB$7)+IF(BB$7&gt;PARAMETROS!$C$12,IF($H49&gt;0,$G49*CURVA!BB49/$H49,0)*BB$6,0))</f>
        <v>0</v>
      </c>
      <c r="BC49" s="19" t="n">
        <f aca="false">IF($B49="",0,SUMIFS(INCORRIDO!$C$6:$C$5005,INCORRIDO!$D$6:$D$5005,$B49,INCORRIDO!$E$6:$E$5005,BC$7)+IF(BC$7&gt;PARAMETROS!$C$12,IF($H49&gt;0,$G49*CURVA!BC49/$H49,0)*BC$6,0))</f>
        <v>0</v>
      </c>
      <c r="BD49" s="19" t="n">
        <f aca="false">IF($B49="",0,SUMIFS(INCORRIDO!$C$6:$C$5005,INCORRIDO!$D$6:$D$5005,$B49,INCORRIDO!$E$6:$E$5005,BD$7)+IF(BD$7&gt;PARAMETROS!$C$12,IF($H49&gt;0,$G49*CURVA!BD49/$H49,0)*BD$6,0))</f>
        <v>0</v>
      </c>
      <c r="BE49" s="19" t="n">
        <f aca="false">IF($B49="",0,SUMIFS(INCORRIDO!$C$6:$C$5005,INCORRIDO!$D$6:$D$5005,$B49,INCORRIDO!$E$6:$E$5005,BE$7)+IF(BE$7&gt;PARAMETROS!$C$12,IF($H49&gt;0,$G49*CURVA!BE49/$H49,0)*BE$6,0))</f>
        <v>0</v>
      </c>
      <c r="BF49" s="19" t="n">
        <f aca="false">IF($B49="",0,SUMIFS(INCORRIDO!$C$6:$C$5005,INCORRIDO!$D$6:$D$5005,$B49,INCORRIDO!$E$6:$E$5005,BF$7)+IF(BF$7&gt;PARAMETROS!$C$12,IF($H49&gt;0,$G49*CURVA!BF49/$H49,0)*BF$6,0))</f>
        <v>0</v>
      </c>
      <c r="BG49" s="19" t="n">
        <f aca="false">IF($B49="",0,SUMIFS(INCORRIDO!$C$6:$C$5005,INCORRIDO!$D$6:$D$5005,$B49,INCORRIDO!$E$6:$E$5005,BG$7)+IF(BG$7&gt;PARAMETROS!$C$12,IF($H49&gt;0,$G49*CURVA!BG49/$H49,0)*BG$6,0))</f>
        <v>0</v>
      </c>
      <c r="BH49" s="19" t="n">
        <f aca="false">IF($B49="",0,SUMIFS(INCORRIDO!$C$6:$C$5005,INCORRIDO!$D$6:$D$5005,$B49,INCORRIDO!$E$6:$E$5005,BH$7)+IF(BH$7&gt;PARAMETROS!$C$12,IF($H49&gt;0,$G49*CURVA!BH49/$H49,0)*BH$6,0))</f>
        <v>0</v>
      </c>
      <c r="BI49" s="19" t="n">
        <f aca="false">IF($B49="",0,SUMIFS(INCORRIDO!$C$6:$C$5005,INCORRIDO!$D$6:$D$5005,$B49,INCORRIDO!$E$6:$E$5005,BI$7)+IF(BI$7&gt;PARAMETROS!$C$12,IF($H49&gt;0,$G49*CURVA!BI49/$H49,0)*BI$6,0))</f>
        <v>0</v>
      </c>
      <c r="BJ49" s="19" t="n">
        <f aca="false">IF($B49="",0,SUMIFS(INCORRIDO!$C$6:$C$5005,INCORRIDO!$D$6:$D$5005,$B49,INCORRIDO!$E$6:$E$5005,BJ$7)+IF(BJ$7&gt;PARAMETROS!$C$12,IF($H49&gt;0,$G49*CURVA!BJ49/$H49,0)*BJ$6,0))</f>
        <v>0</v>
      </c>
      <c r="BK49" s="19" t="n">
        <f aca="false">IF($B49="",0,SUMIFS(INCORRIDO!$C$6:$C$5005,INCORRIDO!$D$6:$D$5005,$B49,INCORRIDO!$E$6:$E$5005,BK$7)+IF(BK$7&gt;PARAMETROS!$C$12,IF($H49&gt;0,$G49*CURVA!BK49/$H49,0)*BK$6,0))</f>
        <v>0</v>
      </c>
      <c r="BL49" s="19" t="n">
        <f aca="false">IF($B49="",0,SUMIFS(INCORRIDO!$C$6:$C$5005,INCORRIDO!$D$6:$D$5005,$B49,INCORRIDO!$E$6:$E$5005,BL$7)+IF(BL$7&gt;PARAMETROS!$C$12,IF($H49&gt;0,$G49*CURVA!BL49/$H49,0)*BL$6,0))</f>
        <v>0</v>
      </c>
      <c r="BM49" s="19" t="n">
        <f aca="false">IF($B49="",0,SUMIFS(INCORRIDO!$C$6:$C$5005,INCORRIDO!$D$6:$D$5005,$B49,INCORRIDO!$E$6:$E$5005,BM$7)+IF(BM$7&gt;PARAMETROS!$C$12,IF($H49&gt;0,$G49*CURVA!BM49/$H49,0)*BM$6,0))</f>
        <v>0</v>
      </c>
      <c r="BN49" s="19" t="n">
        <f aca="false">IF($B49="",0,SUMIFS(INCORRIDO!$C$6:$C$5005,INCORRIDO!$D$6:$D$5005,$B49,INCORRIDO!$E$6:$E$5005,BN$7)+IF(BN$7&gt;PARAMETROS!$C$12,IF($H49&gt;0,$G49*CURVA!BN49/$H49,0)*BN$6,0))</f>
        <v>0</v>
      </c>
      <c r="BO49" s="19" t="n">
        <f aca="false">IF($B49="",0,SUMIFS(INCORRIDO!$C$6:$C$5005,INCORRIDO!$D$6:$D$5005,$B49,INCORRIDO!$E$6:$E$5005,BO$7)+IF(BO$7&gt;PARAMETROS!$C$12,IF($H49&gt;0,$G49*CURVA!BO49/$H49,0)*BO$6,0))</f>
        <v>0</v>
      </c>
      <c r="BP49" s="19" t="n">
        <f aca="false">IF($B49="",0,SUMIFS(INCORRIDO!$C$6:$C$5005,INCORRIDO!$D$6:$D$5005,$B49,INCORRIDO!$E$6:$E$5005,BP$7)+IF(BP$7&gt;PARAMETROS!$C$12,IF($H49&gt;0,$G49*CURVA!BP49/$H49,0)*BP$6,0))</f>
        <v>0</v>
      </c>
      <c r="BQ49" s="19" t="n">
        <f aca="false">IF($B49="",0,SUMIFS(INCORRIDO!$C$6:$C$5005,INCORRIDO!$D$6:$D$5005,$B49,INCORRIDO!$E$6:$E$5005,BQ$7)+IF(BQ$7&gt;PARAMETROS!$C$12,IF($H49&gt;0,$G49*CURVA!BQ49/$H49,0)*BQ$6,0))</f>
        <v>0</v>
      </c>
      <c r="BR49" s="19" t="n">
        <f aca="false">IF($B49="",0,SUMIFS(INCORRIDO!$C$6:$C$5005,INCORRIDO!$D$6:$D$5005,$B49,INCORRIDO!$E$6:$E$5005,BR$7)+IF(BR$7&gt;PARAMETROS!$C$12,IF($H49&gt;0,$G49*CURVA!BR49/$H49,0)*BR$6,0))</f>
        <v>0</v>
      </c>
      <c r="BS49" s="19" t="n">
        <f aca="false">IF($B49="",0,SUMIFS(INCORRIDO!$C$6:$C$5005,INCORRIDO!$D$6:$D$5005,$B49,INCORRIDO!$E$6:$E$5005,BS$7)+IF(BS$7&gt;PARAMETROS!$C$12,IF($H49&gt;0,$G49*CURVA!BS49/$H49,0)*BS$6,0))</f>
        <v>0</v>
      </c>
      <c r="BT49" s="19" t="n">
        <f aca="false">IF($B49="",0,SUMIFS(INCORRIDO!$C$6:$C$5005,INCORRIDO!$D$6:$D$5005,$B49,INCORRIDO!$E$6:$E$5005,BT$7)+IF(BT$7&gt;PARAMETROS!$C$12,IF($H49&gt;0,$G49*CURVA!BT49/$H49,0)*BT$6,0))</f>
        <v>0</v>
      </c>
      <c r="BU49" s="19" t="n">
        <f aca="false">IF($B49="",0,SUMIFS(INCORRIDO!$C$6:$C$5005,INCORRIDO!$D$6:$D$5005,$B49,INCORRIDO!$E$6:$E$5005,BU$7)+IF(BU$7&gt;PARAMETROS!$C$12,IF($H49&gt;0,$G49*CURVA!BU49/$H49,0)*BU$6,0))</f>
        <v>0</v>
      </c>
      <c r="BV49" s="19" t="n">
        <f aca="false">IF($B49="",0,SUMIFS(INCORRIDO!$C$6:$C$5005,INCORRIDO!$D$6:$D$5005,$B49,INCORRIDO!$E$6:$E$5005,BV$7)+IF(BV$7&gt;PARAMETROS!$C$12,IF($H49&gt;0,$G49*CURVA!BV49/$H49,0)*BV$6,0))</f>
        <v>0</v>
      </c>
      <c r="BW49" s="19" t="n">
        <f aca="false">IF($B49="",0,SUMIFS(INCORRIDO!$C$6:$C$5005,INCORRIDO!$D$6:$D$5005,$B49,INCORRIDO!$E$6:$E$5005,BW$7)+IF(BW$7&gt;PARAMETROS!$C$12,IF($H49&gt;0,$G49*CURVA!BW49/$H49,0)*BW$6,0))</f>
        <v>0</v>
      </c>
      <c r="BX49" s="19" t="n">
        <f aca="false">IF($B49="",0,SUMIFS(INCORRIDO!$C$6:$C$5005,INCORRIDO!$D$6:$D$5005,$B49,INCORRIDO!$E$6:$E$5005,BX$7)+IF(BX$7&gt;PARAMETROS!$C$12,IF($H49&gt;0,$G49*CURVA!BX49/$H49,0)*BX$6,0))</f>
        <v>0</v>
      </c>
      <c r="BY49" s="19" t="n">
        <f aca="false">IF($B49="",0,SUMIFS(INCORRIDO!$C$6:$C$5005,INCORRIDO!$D$6:$D$5005,$B49,INCORRIDO!$E$6:$E$5005,BY$7)+IF(BY$7&gt;PARAMETROS!$C$12,IF($H49&gt;0,$G49*CURVA!BY49/$H49,0)*BY$6,0))</f>
        <v>0</v>
      </c>
      <c r="BZ49" s="19" t="n">
        <f aca="false">IF($B49="",0,SUMIFS(INCORRIDO!$C$6:$C$5005,INCORRIDO!$D$6:$D$5005,$B49,INCORRIDO!$E$6:$E$5005,BZ$7)+IF(BZ$7&gt;PARAMETROS!$C$12,IF($H49&gt;0,$G49*CURVA!BZ49/$H49,0)*BZ$6,0))</f>
        <v>0</v>
      </c>
      <c r="CA49" s="19" t="n">
        <f aca="false">IF($B49="",0,SUMIFS(INCORRIDO!$C$6:$C$5005,INCORRIDO!$D$6:$D$5005,$B49,INCORRIDO!$E$6:$E$5005,CA$7)+IF(CA$7&gt;PARAMETROS!$C$12,IF($H49&gt;0,$G49*CURVA!CA49/$H49,0)*CA$6,0))</f>
        <v>0</v>
      </c>
      <c r="CB49" s="19" t="n">
        <f aca="false">IF($B49="",0,SUMIFS(INCORRIDO!$C$6:$C$5005,INCORRIDO!$D$6:$D$5005,$B49,INCORRIDO!$E$6:$E$5005,CB$7)+IF(CB$7&gt;PARAMETROS!$C$12,IF($H49&gt;0,$G49*CURVA!CB49/$H49,0)*CB$6,0))</f>
        <v>0</v>
      </c>
      <c r="CC49" s="19" t="n">
        <f aca="false">IF($B49="",0,SUMIFS(INCORRIDO!$C$6:$C$5005,INCORRIDO!$D$6:$D$5005,$B49,INCORRIDO!$E$6:$E$5005,CC$7)+IF(CC$7&gt;PARAMETROS!$C$12,IF($H49&gt;0,$G49*CURVA!CC49/$H49,0)*CC$6,0))</f>
        <v>0</v>
      </c>
    </row>
    <row r="50" customFormat="false" ht="15" hidden="false" customHeight="false" outlineLevel="0" collapsed="false">
      <c r="A50" s="31" t="str">
        <f aca="false">IF(ORCAMENTO!A48="","",ORCAMENTO!A48)</f>
        <v/>
      </c>
      <c r="B50" s="31" t="str">
        <f aca="false">IF(ORCAMENTO!B48="","",ORCAMENTO!B48)</f>
        <v/>
      </c>
      <c r="C50" s="31" t="str">
        <f aca="false">IF(ORCAMENTO!C48="","",ORCAMENTO!C48)</f>
        <v/>
      </c>
      <c r="D50" s="32" t="n">
        <f aca="false">IF($B50="",0,ORCAMENTO!E48)</f>
        <v>0</v>
      </c>
      <c r="E50" s="19" t="n">
        <f aca="false">IF($B50="",0,SUMIFS(INCORRIDO!$C$6:$C$5005,INCORRIDO!$D$6:$D$5005,$B50,INCORRIDO!$E$6:$E$5005,"&lt;="&amp;PARAMETROS!$C$12))</f>
        <v>0</v>
      </c>
      <c r="F50" s="19" t="n">
        <f aca="false">IF($B50="",0,SUMIFS(INCORRIDO!$C$6:$C$5005,INCORRIDO!$D$6:$D$5005,$B50,INCORRIDO!$E$6:$E$5005,"&gt;"&amp;PARAMETROS!$C$12))</f>
        <v>0</v>
      </c>
      <c r="G50" s="19" t="n">
        <f aca="false">MAX(0,D50-E50-F50)</f>
        <v>0</v>
      </c>
      <c r="H50" s="32" t="n">
        <f aca="false">CURVA!H50</f>
        <v>0</v>
      </c>
      <c r="I50" s="19" t="n">
        <f aca="false">SUM(J50:CC50)</f>
        <v>0</v>
      </c>
      <c r="J50" s="19" t="n">
        <f aca="false">IF($B50="",0,SUMIFS(INCORRIDO!$C$6:$C$5005,INCORRIDO!$D$6:$D$5005,$B50,INCORRIDO!$E$6:$E$5005,"&lt;="&amp;J$7)+IF(J$7&gt;PARAMETROS!$C$12,IF($H50&gt;0,$G50*CURVA!J50/$H50,0)*J$6,0))</f>
        <v>0</v>
      </c>
      <c r="K50" s="19" t="n">
        <f aca="false">IF($B50="",0,SUMIFS(INCORRIDO!$C$6:$C$5005,INCORRIDO!$D$6:$D$5005,$B50,INCORRIDO!$E$6:$E$5005,K$7)+IF(K$7&gt;PARAMETROS!$C$12,IF($H50&gt;0,$G50*CURVA!K50/$H50,0)*K$6,0))</f>
        <v>0</v>
      </c>
      <c r="L50" s="19" t="n">
        <f aca="false">IF($B50="",0,SUMIFS(INCORRIDO!$C$6:$C$5005,INCORRIDO!$D$6:$D$5005,$B50,INCORRIDO!$E$6:$E$5005,L$7)+IF(L$7&gt;PARAMETROS!$C$12,IF($H50&gt;0,$G50*CURVA!L50/$H50,0)*L$6,0))</f>
        <v>0</v>
      </c>
      <c r="M50" s="19" t="n">
        <f aca="false">IF($B50="",0,SUMIFS(INCORRIDO!$C$6:$C$5005,INCORRIDO!$D$6:$D$5005,$B50,INCORRIDO!$E$6:$E$5005,M$7)+IF(M$7&gt;PARAMETROS!$C$12,IF($H50&gt;0,$G50*CURVA!M50/$H50,0)*M$6,0))</f>
        <v>0</v>
      </c>
      <c r="N50" s="19" t="n">
        <f aca="false">IF($B50="",0,SUMIFS(INCORRIDO!$C$6:$C$5005,INCORRIDO!$D$6:$D$5005,$B50,INCORRIDO!$E$6:$E$5005,N$7)+IF(N$7&gt;PARAMETROS!$C$12,IF($H50&gt;0,$G50*CURVA!N50/$H50,0)*N$6,0))</f>
        <v>0</v>
      </c>
      <c r="O50" s="19" t="n">
        <f aca="false">IF($B50="",0,SUMIFS(INCORRIDO!$C$6:$C$5005,INCORRIDO!$D$6:$D$5005,$B50,INCORRIDO!$E$6:$E$5005,O$7)+IF(O$7&gt;PARAMETROS!$C$12,IF($H50&gt;0,$G50*CURVA!O50/$H50,0)*O$6,0))</f>
        <v>0</v>
      </c>
      <c r="P50" s="19" t="n">
        <f aca="false">IF($B50="",0,SUMIFS(INCORRIDO!$C$6:$C$5005,INCORRIDO!$D$6:$D$5005,$B50,INCORRIDO!$E$6:$E$5005,P$7)+IF(P$7&gt;PARAMETROS!$C$12,IF($H50&gt;0,$G50*CURVA!P50/$H50,0)*P$6,0))</f>
        <v>0</v>
      </c>
      <c r="Q50" s="19" t="n">
        <f aca="false">IF($B50="",0,SUMIFS(INCORRIDO!$C$6:$C$5005,INCORRIDO!$D$6:$D$5005,$B50,INCORRIDO!$E$6:$E$5005,Q$7)+IF(Q$7&gt;PARAMETROS!$C$12,IF($H50&gt;0,$G50*CURVA!Q50/$H50,0)*Q$6,0))</f>
        <v>0</v>
      </c>
      <c r="R50" s="19" t="n">
        <f aca="false">IF($B50="",0,SUMIFS(INCORRIDO!$C$6:$C$5005,INCORRIDO!$D$6:$D$5005,$B50,INCORRIDO!$E$6:$E$5005,R$7)+IF(R$7&gt;PARAMETROS!$C$12,IF($H50&gt;0,$G50*CURVA!R50/$H50,0)*R$6,0))</f>
        <v>0</v>
      </c>
      <c r="S50" s="19" t="n">
        <f aca="false">IF($B50="",0,SUMIFS(INCORRIDO!$C$6:$C$5005,INCORRIDO!$D$6:$D$5005,$B50,INCORRIDO!$E$6:$E$5005,S$7)+IF(S$7&gt;PARAMETROS!$C$12,IF($H50&gt;0,$G50*CURVA!S50/$H50,0)*S$6,0))</f>
        <v>0</v>
      </c>
      <c r="T50" s="19" t="n">
        <f aca="false">IF($B50="",0,SUMIFS(INCORRIDO!$C$6:$C$5005,INCORRIDO!$D$6:$D$5005,$B50,INCORRIDO!$E$6:$E$5005,T$7)+IF(T$7&gt;PARAMETROS!$C$12,IF($H50&gt;0,$G50*CURVA!T50/$H50,0)*T$6,0))</f>
        <v>0</v>
      </c>
      <c r="U50" s="19" t="n">
        <f aca="false">IF($B50="",0,SUMIFS(INCORRIDO!$C$6:$C$5005,INCORRIDO!$D$6:$D$5005,$B50,INCORRIDO!$E$6:$E$5005,U$7)+IF(U$7&gt;PARAMETROS!$C$12,IF($H50&gt;0,$G50*CURVA!U50/$H50,0)*U$6,0))</f>
        <v>0</v>
      </c>
      <c r="V50" s="19" t="n">
        <f aca="false">IF($B50="",0,SUMIFS(INCORRIDO!$C$6:$C$5005,INCORRIDO!$D$6:$D$5005,$B50,INCORRIDO!$E$6:$E$5005,V$7)+IF(V$7&gt;PARAMETROS!$C$12,IF($H50&gt;0,$G50*CURVA!V50/$H50,0)*V$6,0))</f>
        <v>0</v>
      </c>
      <c r="W50" s="19" t="n">
        <f aca="false">IF($B50="",0,SUMIFS(INCORRIDO!$C$6:$C$5005,INCORRIDO!$D$6:$D$5005,$B50,INCORRIDO!$E$6:$E$5005,W$7)+IF(W$7&gt;PARAMETROS!$C$12,IF($H50&gt;0,$G50*CURVA!W50/$H50,0)*W$6,0))</f>
        <v>0</v>
      </c>
      <c r="X50" s="19" t="n">
        <f aca="false">IF($B50="",0,SUMIFS(INCORRIDO!$C$6:$C$5005,INCORRIDO!$D$6:$D$5005,$B50,INCORRIDO!$E$6:$E$5005,X$7)+IF(X$7&gt;PARAMETROS!$C$12,IF($H50&gt;0,$G50*CURVA!X50/$H50,0)*X$6,0))</f>
        <v>0</v>
      </c>
      <c r="Y50" s="19" t="n">
        <f aca="false">IF($B50="",0,SUMIFS(INCORRIDO!$C$6:$C$5005,INCORRIDO!$D$6:$D$5005,$B50,INCORRIDO!$E$6:$E$5005,Y$7)+IF(Y$7&gt;PARAMETROS!$C$12,IF($H50&gt;0,$G50*CURVA!Y50/$H50,0)*Y$6,0))</f>
        <v>0</v>
      </c>
      <c r="Z50" s="19" t="n">
        <f aca="false">IF($B50="",0,SUMIFS(INCORRIDO!$C$6:$C$5005,INCORRIDO!$D$6:$D$5005,$B50,INCORRIDO!$E$6:$E$5005,Z$7)+IF(Z$7&gt;PARAMETROS!$C$12,IF($H50&gt;0,$G50*CURVA!Z50/$H50,0)*Z$6,0))</f>
        <v>0</v>
      </c>
      <c r="AA50" s="19" t="n">
        <f aca="false">IF($B50="",0,SUMIFS(INCORRIDO!$C$6:$C$5005,INCORRIDO!$D$6:$D$5005,$B50,INCORRIDO!$E$6:$E$5005,AA$7)+IF(AA$7&gt;PARAMETROS!$C$12,IF($H50&gt;0,$G50*CURVA!AA50/$H50,0)*AA$6,0))</f>
        <v>0</v>
      </c>
      <c r="AB50" s="19" t="n">
        <f aca="false">IF($B50="",0,SUMIFS(INCORRIDO!$C$6:$C$5005,INCORRIDO!$D$6:$D$5005,$B50,INCORRIDO!$E$6:$E$5005,AB$7)+IF(AB$7&gt;PARAMETROS!$C$12,IF($H50&gt;0,$G50*CURVA!AB50/$H50,0)*AB$6,0))</f>
        <v>0</v>
      </c>
      <c r="AC50" s="19" t="n">
        <f aca="false">IF($B50="",0,SUMIFS(INCORRIDO!$C$6:$C$5005,INCORRIDO!$D$6:$D$5005,$B50,INCORRIDO!$E$6:$E$5005,AC$7)+IF(AC$7&gt;PARAMETROS!$C$12,IF($H50&gt;0,$G50*CURVA!AC50/$H50,0)*AC$6,0))</f>
        <v>0</v>
      </c>
      <c r="AD50" s="19" t="n">
        <f aca="false">IF($B50="",0,SUMIFS(INCORRIDO!$C$6:$C$5005,INCORRIDO!$D$6:$D$5005,$B50,INCORRIDO!$E$6:$E$5005,AD$7)+IF(AD$7&gt;PARAMETROS!$C$12,IF($H50&gt;0,$G50*CURVA!AD50/$H50,0)*AD$6,0))</f>
        <v>0</v>
      </c>
      <c r="AE50" s="19" t="n">
        <f aca="false">IF($B50="",0,SUMIFS(INCORRIDO!$C$6:$C$5005,INCORRIDO!$D$6:$D$5005,$B50,INCORRIDO!$E$6:$E$5005,AE$7)+IF(AE$7&gt;PARAMETROS!$C$12,IF($H50&gt;0,$G50*CURVA!AE50/$H50,0)*AE$6,0))</f>
        <v>0</v>
      </c>
      <c r="AF50" s="19" t="n">
        <f aca="false">IF($B50="",0,SUMIFS(INCORRIDO!$C$6:$C$5005,INCORRIDO!$D$6:$D$5005,$B50,INCORRIDO!$E$6:$E$5005,AF$7)+IF(AF$7&gt;PARAMETROS!$C$12,IF($H50&gt;0,$G50*CURVA!AF50/$H50,0)*AF$6,0))</f>
        <v>0</v>
      </c>
      <c r="AG50" s="19" t="n">
        <f aca="false">IF($B50="",0,SUMIFS(INCORRIDO!$C$6:$C$5005,INCORRIDO!$D$6:$D$5005,$B50,INCORRIDO!$E$6:$E$5005,AG$7)+IF(AG$7&gt;PARAMETROS!$C$12,IF($H50&gt;0,$G50*CURVA!AG50/$H50,0)*AG$6,0))</f>
        <v>0</v>
      </c>
      <c r="AH50" s="19" t="n">
        <f aca="false">IF($B50="",0,SUMIFS(INCORRIDO!$C$6:$C$5005,INCORRIDO!$D$6:$D$5005,$B50,INCORRIDO!$E$6:$E$5005,AH$7)+IF(AH$7&gt;PARAMETROS!$C$12,IF($H50&gt;0,$G50*CURVA!AH50/$H50,0)*AH$6,0))</f>
        <v>0</v>
      </c>
      <c r="AI50" s="19" t="n">
        <f aca="false">IF($B50="",0,SUMIFS(INCORRIDO!$C$6:$C$5005,INCORRIDO!$D$6:$D$5005,$B50,INCORRIDO!$E$6:$E$5005,AI$7)+IF(AI$7&gt;PARAMETROS!$C$12,IF($H50&gt;0,$G50*CURVA!AI50/$H50,0)*AI$6,0))</f>
        <v>0</v>
      </c>
      <c r="AJ50" s="19" t="n">
        <f aca="false">IF($B50="",0,SUMIFS(INCORRIDO!$C$6:$C$5005,INCORRIDO!$D$6:$D$5005,$B50,INCORRIDO!$E$6:$E$5005,AJ$7)+IF(AJ$7&gt;PARAMETROS!$C$12,IF($H50&gt;0,$G50*CURVA!AJ50/$H50,0)*AJ$6,0))</f>
        <v>0</v>
      </c>
      <c r="AK50" s="19" t="n">
        <f aca="false">IF($B50="",0,SUMIFS(INCORRIDO!$C$6:$C$5005,INCORRIDO!$D$6:$D$5005,$B50,INCORRIDO!$E$6:$E$5005,AK$7)+IF(AK$7&gt;PARAMETROS!$C$12,IF($H50&gt;0,$G50*CURVA!AK50/$H50,0)*AK$6,0))</f>
        <v>0</v>
      </c>
      <c r="AL50" s="19" t="n">
        <f aca="false">IF($B50="",0,SUMIFS(INCORRIDO!$C$6:$C$5005,INCORRIDO!$D$6:$D$5005,$B50,INCORRIDO!$E$6:$E$5005,AL$7)+IF(AL$7&gt;PARAMETROS!$C$12,IF($H50&gt;0,$G50*CURVA!AL50/$H50,0)*AL$6,0))</f>
        <v>0</v>
      </c>
      <c r="AM50" s="19" t="n">
        <f aca="false">IF($B50="",0,SUMIFS(INCORRIDO!$C$6:$C$5005,INCORRIDO!$D$6:$D$5005,$B50,INCORRIDO!$E$6:$E$5005,AM$7)+IF(AM$7&gt;PARAMETROS!$C$12,IF($H50&gt;0,$G50*CURVA!AM50/$H50,0)*AM$6,0))</f>
        <v>0</v>
      </c>
      <c r="AN50" s="19" t="n">
        <f aca="false">IF($B50="",0,SUMIFS(INCORRIDO!$C$6:$C$5005,INCORRIDO!$D$6:$D$5005,$B50,INCORRIDO!$E$6:$E$5005,AN$7)+IF(AN$7&gt;PARAMETROS!$C$12,IF($H50&gt;0,$G50*CURVA!AN50/$H50,0)*AN$6,0))</f>
        <v>0</v>
      </c>
      <c r="AO50" s="19" t="n">
        <f aca="false">IF($B50="",0,SUMIFS(INCORRIDO!$C$6:$C$5005,INCORRIDO!$D$6:$D$5005,$B50,INCORRIDO!$E$6:$E$5005,AO$7)+IF(AO$7&gt;PARAMETROS!$C$12,IF($H50&gt;0,$G50*CURVA!AO50/$H50,0)*AO$6,0))</f>
        <v>0</v>
      </c>
      <c r="AP50" s="19" t="n">
        <f aca="false">IF($B50="",0,SUMIFS(INCORRIDO!$C$6:$C$5005,INCORRIDO!$D$6:$D$5005,$B50,INCORRIDO!$E$6:$E$5005,AP$7)+IF(AP$7&gt;PARAMETROS!$C$12,IF($H50&gt;0,$G50*CURVA!AP50/$H50,0)*AP$6,0))</f>
        <v>0</v>
      </c>
      <c r="AQ50" s="19" t="n">
        <f aca="false">IF($B50="",0,SUMIFS(INCORRIDO!$C$6:$C$5005,INCORRIDO!$D$6:$D$5005,$B50,INCORRIDO!$E$6:$E$5005,AQ$7)+IF(AQ$7&gt;PARAMETROS!$C$12,IF($H50&gt;0,$G50*CURVA!AQ50/$H50,0)*AQ$6,0))</f>
        <v>0</v>
      </c>
      <c r="AR50" s="19" t="n">
        <f aca="false">IF($B50="",0,SUMIFS(INCORRIDO!$C$6:$C$5005,INCORRIDO!$D$6:$D$5005,$B50,INCORRIDO!$E$6:$E$5005,AR$7)+IF(AR$7&gt;PARAMETROS!$C$12,IF($H50&gt;0,$G50*CURVA!AR50/$H50,0)*AR$6,0))</f>
        <v>0</v>
      </c>
      <c r="AS50" s="19" t="n">
        <f aca="false">IF($B50="",0,SUMIFS(INCORRIDO!$C$6:$C$5005,INCORRIDO!$D$6:$D$5005,$B50,INCORRIDO!$E$6:$E$5005,AS$7)+IF(AS$7&gt;PARAMETROS!$C$12,IF($H50&gt;0,$G50*CURVA!AS50/$H50,0)*AS$6,0))</f>
        <v>0</v>
      </c>
      <c r="AT50" s="19" t="n">
        <f aca="false">IF($B50="",0,SUMIFS(INCORRIDO!$C$6:$C$5005,INCORRIDO!$D$6:$D$5005,$B50,INCORRIDO!$E$6:$E$5005,AT$7)+IF(AT$7&gt;PARAMETROS!$C$12,IF($H50&gt;0,$G50*CURVA!AT50/$H50,0)*AT$6,0))</f>
        <v>0</v>
      </c>
      <c r="AU50" s="19" t="n">
        <f aca="false">IF($B50="",0,SUMIFS(INCORRIDO!$C$6:$C$5005,INCORRIDO!$D$6:$D$5005,$B50,INCORRIDO!$E$6:$E$5005,AU$7)+IF(AU$7&gt;PARAMETROS!$C$12,IF($H50&gt;0,$G50*CURVA!AU50/$H50,0)*AU$6,0))</f>
        <v>0</v>
      </c>
      <c r="AV50" s="19" t="n">
        <f aca="false">IF($B50="",0,SUMIFS(INCORRIDO!$C$6:$C$5005,INCORRIDO!$D$6:$D$5005,$B50,INCORRIDO!$E$6:$E$5005,AV$7)+IF(AV$7&gt;PARAMETROS!$C$12,IF($H50&gt;0,$G50*CURVA!AV50/$H50,0)*AV$6,0))</f>
        <v>0</v>
      </c>
      <c r="AW50" s="19" t="n">
        <f aca="false">IF($B50="",0,SUMIFS(INCORRIDO!$C$6:$C$5005,INCORRIDO!$D$6:$D$5005,$B50,INCORRIDO!$E$6:$E$5005,AW$7)+IF(AW$7&gt;PARAMETROS!$C$12,IF($H50&gt;0,$G50*CURVA!AW50/$H50,0)*AW$6,0))</f>
        <v>0</v>
      </c>
      <c r="AX50" s="19" t="n">
        <f aca="false">IF($B50="",0,SUMIFS(INCORRIDO!$C$6:$C$5005,INCORRIDO!$D$6:$D$5005,$B50,INCORRIDO!$E$6:$E$5005,AX$7)+IF(AX$7&gt;PARAMETROS!$C$12,IF($H50&gt;0,$G50*CURVA!AX50/$H50,0)*AX$6,0))</f>
        <v>0</v>
      </c>
      <c r="AY50" s="19" t="n">
        <f aca="false">IF($B50="",0,SUMIFS(INCORRIDO!$C$6:$C$5005,INCORRIDO!$D$6:$D$5005,$B50,INCORRIDO!$E$6:$E$5005,AY$7)+IF(AY$7&gt;PARAMETROS!$C$12,IF($H50&gt;0,$G50*CURVA!AY50/$H50,0)*AY$6,0))</f>
        <v>0</v>
      </c>
      <c r="AZ50" s="19" t="n">
        <f aca="false">IF($B50="",0,SUMIFS(INCORRIDO!$C$6:$C$5005,INCORRIDO!$D$6:$D$5005,$B50,INCORRIDO!$E$6:$E$5005,AZ$7)+IF(AZ$7&gt;PARAMETROS!$C$12,IF($H50&gt;0,$G50*CURVA!AZ50/$H50,0)*AZ$6,0))</f>
        <v>0</v>
      </c>
      <c r="BA50" s="19" t="n">
        <f aca="false">IF($B50="",0,SUMIFS(INCORRIDO!$C$6:$C$5005,INCORRIDO!$D$6:$D$5005,$B50,INCORRIDO!$E$6:$E$5005,BA$7)+IF(BA$7&gt;PARAMETROS!$C$12,IF($H50&gt;0,$G50*CURVA!BA50/$H50,0)*BA$6,0))</f>
        <v>0</v>
      </c>
      <c r="BB50" s="19" t="n">
        <f aca="false">IF($B50="",0,SUMIFS(INCORRIDO!$C$6:$C$5005,INCORRIDO!$D$6:$D$5005,$B50,INCORRIDO!$E$6:$E$5005,BB$7)+IF(BB$7&gt;PARAMETROS!$C$12,IF($H50&gt;0,$G50*CURVA!BB50/$H50,0)*BB$6,0))</f>
        <v>0</v>
      </c>
      <c r="BC50" s="19" t="n">
        <f aca="false">IF($B50="",0,SUMIFS(INCORRIDO!$C$6:$C$5005,INCORRIDO!$D$6:$D$5005,$B50,INCORRIDO!$E$6:$E$5005,BC$7)+IF(BC$7&gt;PARAMETROS!$C$12,IF($H50&gt;0,$G50*CURVA!BC50/$H50,0)*BC$6,0))</f>
        <v>0</v>
      </c>
      <c r="BD50" s="19" t="n">
        <f aca="false">IF($B50="",0,SUMIFS(INCORRIDO!$C$6:$C$5005,INCORRIDO!$D$6:$D$5005,$B50,INCORRIDO!$E$6:$E$5005,BD$7)+IF(BD$7&gt;PARAMETROS!$C$12,IF($H50&gt;0,$G50*CURVA!BD50/$H50,0)*BD$6,0))</f>
        <v>0</v>
      </c>
      <c r="BE50" s="19" t="n">
        <f aca="false">IF($B50="",0,SUMIFS(INCORRIDO!$C$6:$C$5005,INCORRIDO!$D$6:$D$5005,$B50,INCORRIDO!$E$6:$E$5005,BE$7)+IF(BE$7&gt;PARAMETROS!$C$12,IF($H50&gt;0,$G50*CURVA!BE50/$H50,0)*BE$6,0))</f>
        <v>0</v>
      </c>
      <c r="BF50" s="19" t="n">
        <f aca="false">IF($B50="",0,SUMIFS(INCORRIDO!$C$6:$C$5005,INCORRIDO!$D$6:$D$5005,$B50,INCORRIDO!$E$6:$E$5005,BF$7)+IF(BF$7&gt;PARAMETROS!$C$12,IF($H50&gt;0,$G50*CURVA!BF50/$H50,0)*BF$6,0))</f>
        <v>0</v>
      </c>
      <c r="BG50" s="19" t="n">
        <f aca="false">IF($B50="",0,SUMIFS(INCORRIDO!$C$6:$C$5005,INCORRIDO!$D$6:$D$5005,$B50,INCORRIDO!$E$6:$E$5005,BG$7)+IF(BG$7&gt;PARAMETROS!$C$12,IF($H50&gt;0,$G50*CURVA!BG50/$H50,0)*BG$6,0))</f>
        <v>0</v>
      </c>
      <c r="BH50" s="19" t="n">
        <f aca="false">IF($B50="",0,SUMIFS(INCORRIDO!$C$6:$C$5005,INCORRIDO!$D$6:$D$5005,$B50,INCORRIDO!$E$6:$E$5005,BH$7)+IF(BH$7&gt;PARAMETROS!$C$12,IF($H50&gt;0,$G50*CURVA!BH50/$H50,0)*BH$6,0))</f>
        <v>0</v>
      </c>
      <c r="BI50" s="19" t="n">
        <f aca="false">IF($B50="",0,SUMIFS(INCORRIDO!$C$6:$C$5005,INCORRIDO!$D$6:$D$5005,$B50,INCORRIDO!$E$6:$E$5005,BI$7)+IF(BI$7&gt;PARAMETROS!$C$12,IF($H50&gt;0,$G50*CURVA!BI50/$H50,0)*BI$6,0))</f>
        <v>0</v>
      </c>
      <c r="BJ50" s="19" t="n">
        <f aca="false">IF($B50="",0,SUMIFS(INCORRIDO!$C$6:$C$5005,INCORRIDO!$D$6:$D$5005,$B50,INCORRIDO!$E$6:$E$5005,BJ$7)+IF(BJ$7&gt;PARAMETROS!$C$12,IF($H50&gt;0,$G50*CURVA!BJ50/$H50,0)*BJ$6,0))</f>
        <v>0</v>
      </c>
      <c r="BK50" s="19" t="n">
        <f aca="false">IF($B50="",0,SUMIFS(INCORRIDO!$C$6:$C$5005,INCORRIDO!$D$6:$D$5005,$B50,INCORRIDO!$E$6:$E$5005,BK$7)+IF(BK$7&gt;PARAMETROS!$C$12,IF($H50&gt;0,$G50*CURVA!BK50/$H50,0)*BK$6,0))</f>
        <v>0</v>
      </c>
      <c r="BL50" s="19" t="n">
        <f aca="false">IF($B50="",0,SUMIFS(INCORRIDO!$C$6:$C$5005,INCORRIDO!$D$6:$D$5005,$B50,INCORRIDO!$E$6:$E$5005,BL$7)+IF(BL$7&gt;PARAMETROS!$C$12,IF($H50&gt;0,$G50*CURVA!BL50/$H50,0)*BL$6,0))</f>
        <v>0</v>
      </c>
      <c r="BM50" s="19" t="n">
        <f aca="false">IF($B50="",0,SUMIFS(INCORRIDO!$C$6:$C$5005,INCORRIDO!$D$6:$D$5005,$B50,INCORRIDO!$E$6:$E$5005,BM$7)+IF(BM$7&gt;PARAMETROS!$C$12,IF($H50&gt;0,$G50*CURVA!BM50/$H50,0)*BM$6,0))</f>
        <v>0</v>
      </c>
      <c r="BN50" s="19" t="n">
        <f aca="false">IF($B50="",0,SUMIFS(INCORRIDO!$C$6:$C$5005,INCORRIDO!$D$6:$D$5005,$B50,INCORRIDO!$E$6:$E$5005,BN$7)+IF(BN$7&gt;PARAMETROS!$C$12,IF($H50&gt;0,$G50*CURVA!BN50/$H50,0)*BN$6,0))</f>
        <v>0</v>
      </c>
      <c r="BO50" s="19" t="n">
        <f aca="false">IF($B50="",0,SUMIFS(INCORRIDO!$C$6:$C$5005,INCORRIDO!$D$6:$D$5005,$B50,INCORRIDO!$E$6:$E$5005,BO$7)+IF(BO$7&gt;PARAMETROS!$C$12,IF($H50&gt;0,$G50*CURVA!BO50/$H50,0)*BO$6,0))</f>
        <v>0</v>
      </c>
      <c r="BP50" s="19" t="n">
        <f aca="false">IF($B50="",0,SUMIFS(INCORRIDO!$C$6:$C$5005,INCORRIDO!$D$6:$D$5005,$B50,INCORRIDO!$E$6:$E$5005,BP$7)+IF(BP$7&gt;PARAMETROS!$C$12,IF($H50&gt;0,$G50*CURVA!BP50/$H50,0)*BP$6,0))</f>
        <v>0</v>
      </c>
      <c r="BQ50" s="19" t="n">
        <f aca="false">IF($B50="",0,SUMIFS(INCORRIDO!$C$6:$C$5005,INCORRIDO!$D$6:$D$5005,$B50,INCORRIDO!$E$6:$E$5005,BQ$7)+IF(BQ$7&gt;PARAMETROS!$C$12,IF($H50&gt;0,$G50*CURVA!BQ50/$H50,0)*BQ$6,0))</f>
        <v>0</v>
      </c>
      <c r="BR50" s="19" t="n">
        <f aca="false">IF($B50="",0,SUMIFS(INCORRIDO!$C$6:$C$5005,INCORRIDO!$D$6:$D$5005,$B50,INCORRIDO!$E$6:$E$5005,BR$7)+IF(BR$7&gt;PARAMETROS!$C$12,IF($H50&gt;0,$G50*CURVA!BR50/$H50,0)*BR$6,0))</f>
        <v>0</v>
      </c>
      <c r="BS50" s="19" t="n">
        <f aca="false">IF($B50="",0,SUMIFS(INCORRIDO!$C$6:$C$5005,INCORRIDO!$D$6:$D$5005,$B50,INCORRIDO!$E$6:$E$5005,BS$7)+IF(BS$7&gt;PARAMETROS!$C$12,IF($H50&gt;0,$G50*CURVA!BS50/$H50,0)*BS$6,0))</f>
        <v>0</v>
      </c>
      <c r="BT50" s="19" t="n">
        <f aca="false">IF($B50="",0,SUMIFS(INCORRIDO!$C$6:$C$5005,INCORRIDO!$D$6:$D$5005,$B50,INCORRIDO!$E$6:$E$5005,BT$7)+IF(BT$7&gt;PARAMETROS!$C$12,IF($H50&gt;0,$G50*CURVA!BT50/$H50,0)*BT$6,0))</f>
        <v>0</v>
      </c>
      <c r="BU50" s="19" t="n">
        <f aca="false">IF($B50="",0,SUMIFS(INCORRIDO!$C$6:$C$5005,INCORRIDO!$D$6:$D$5005,$B50,INCORRIDO!$E$6:$E$5005,BU$7)+IF(BU$7&gt;PARAMETROS!$C$12,IF($H50&gt;0,$G50*CURVA!BU50/$H50,0)*BU$6,0))</f>
        <v>0</v>
      </c>
      <c r="BV50" s="19" t="n">
        <f aca="false">IF($B50="",0,SUMIFS(INCORRIDO!$C$6:$C$5005,INCORRIDO!$D$6:$D$5005,$B50,INCORRIDO!$E$6:$E$5005,BV$7)+IF(BV$7&gt;PARAMETROS!$C$12,IF($H50&gt;0,$G50*CURVA!BV50/$H50,0)*BV$6,0))</f>
        <v>0</v>
      </c>
      <c r="BW50" s="19" t="n">
        <f aca="false">IF($B50="",0,SUMIFS(INCORRIDO!$C$6:$C$5005,INCORRIDO!$D$6:$D$5005,$B50,INCORRIDO!$E$6:$E$5005,BW$7)+IF(BW$7&gt;PARAMETROS!$C$12,IF($H50&gt;0,$G50*CURVA!BW50/$H50,0)*BW$6,0))</f>
        <v>0</v>
      </c>
      <c r="BX50" s="19" t="n">
        <f aca="false">IF($B50="",0,SUMIFS(INCORRIDO!$C$6:$C$5005,INCORRIDO!$D$6:$D$5005,$B50,INCORRIDO!$E$6:$E$5005,BX$7)+IF(BX$7&gt;PARAMETROS!$C$12,IF($H50&gt;0,$G50*CURVA!BX50/$H50,0)*BX$6,0))</f>
        <v>0</v>
      </c>
      <c r="BY50" s="19" t="n">
        <f aca="false">IF($B50="",0,SUMIFS(INCORRIDO!$C$6:$C$5005,INCORRIDO!$D$6:$D$5005,$B50,INCORRIDO!$E$6:$E$5005,BY$7)+IF(BY$7&gt;PARAMETROS!$C$12,IF($H50&gt;0,$G50*CURVA!BY50/$H50,0)*BY$6,0))</f>
        <v>0</v>
      </c>
      <c r="BZ50" s="19" t="n">
        <f aca="false">IF($B50="",0,SUMIFS(INCORRIDO!$C$6:$C$5005,INCORRIDO!$D$6:$D$5005,$B50,INCORRIDO!$E$6:$E$5005,BZ$7)+IF(BZ$7&gt;PARAMETROS!$C$12,IF($H50&gt;0,$G50*CURVA!BZ50/$H50,0)*BZ$6,0))</f>
        <v>0</v>
      </c>
      <c r="CA50" s="19" t="n">
        <f aca="false">IF($B50="",0,SUMIFS(INCORRIDO!$C$6:$C$5005,INCORRIDO!$D$6:$D$5005,$B50,INCORRIDO!$E$6:$E$5005,CA$7)+IF(CA$7&gt;PARAMETROS!$C$12,IF($H50&gt;0,$G50*CURVA!CA50/$H50,0)*CA$6,0))</f>
        <v>0</v>
      </c>
      <c r="CB50" s="19" t="n">
        <f aca="false">IF($B50="",0,SUMIFS(INCORRIDO!$C$6:$C$5005,INCORRIDO!$D$6:$D$5005,$B50,INCORRIDO!$E$6:$E$5005,CB$7)+IF(CB$7&gt;PARAMETROS!$C$12,IF($H50&gt;0,$G50*CURVA!CB50/$H50,0)*CB$6,0))</f>
        <v>0</v>
      </c>
      <c r="CC50" s="19" t="n">
        <f aca="false">IF($B50="",0,SUMIFS(INCORRIDO!$C$6:$C$5005,INCORRIDO!$D$6:$D$5005,$B50,INCORRIDO!$E$6:$E$5005,CC$7)+IF(CC$7&gt;PARAMETROS!$C$12,IF($H50&gt;0,$G50*CURVA!CC50/$H50,0)*CC$6,0))</f>
        <v>0</v>
      </c>
    </row>
    <row r="51" customFormat="false" ht="15" hidden="false" customHeight="false" outlineLevel="0" collapsed="false">
      <c r="A51" s="31" t="str">
        <f aca="false">IF(ORCAMENTO!A49="","",ORCAMENTO!A49)</f>
        <v/>
      </c>
      <c r="B51" s="31" t="str">
        <f aca="false">IF(ORCAMENTO!B49="","",ORCAMENTO!B49)</f>
        <v/>
      </c>
      <c r="C51" s="31" t="str">
        <f aca="false">IF(ORCAMENTO!C49="","",ORCAMENTO!C49)</f>
        <v/>
      </c>
      <c r="D51" s="32" t="n">
        <f aca="false">IF($B51="",0,ORCAMENTO!E49)</f>
        <v>0</v>
      </c>
      <c r="E51" s="19" t="n">
        <f aca="false">IF($B51="",0,SUMIFS(INCORRIDO!$C$6:$C$5005,INCORRIDO!$D$6:$D$5005,$B51,INCORRIDO!$E$6:$E$5005,"&lt;="&amp;PARAMETROS!$C$12))</f>
        <v>0</v>
      </c>
      <c r="F51" s="19" t="n">
        <f aca="false">IF($B51="",0,SUMIFS(INCORRIDO!$C$6:$C$5005,INCORRIDO!$D$6:$D$5005,$B51,INCORRIDO!$E$6:$E$5005,"&gt;"&amp;PARAMETROS!$C$12))</f>
        <v>0</v>
      </c>
      <c r="G51" s="19" t="n">
        <f aca="false">MAX(0,D51-E51-F51)</f>
        <v>0</v>
      </c>
      <c r="H51" s="32" t="n">
        <f aca="false">CURVA!H51</f>
        <v>0</v>
      </c>
      <c r="I51" s="19" t="n">
        <f aca="false">SUM(J51:CC51)</f>
        <v>0</v>
      </c>
      <c r="J51" s="19" t="n">
        <f aca="false">IF($B51="",0,SUMIFS(INCORRIDO!$C$6:$C$5005,INCORRIDO!$D$6:$D$5005,$B51,INCORRIDO!$E$6:$E$5005,"&lt;="&amp;J$7)+IF(J$7&gt;PARAMETROS!$C$12,IF($H51&gt;0,$G51*CURVA!J51/$H51,0)*J$6,0))</f>
        <v>0</v>
      </c>
      <c r="K51" s="19" t="n">
        <f aca="false">IF($B51="",0,SUMIFS(INCORRIDO!$C$6:$C$5005,INCORRIDO!$D$6:$D$5005,$B51,INCORRIDO!$E$6:$E$5005,K$7)+IF(K$7&gt;PARAMETROS!$C$12,IF($H51&gt;0,$G51*CURVA!K51/$H51,0)*K$6,0))</f>
        <v>0</v>
      </c>
      <c r="L51" s="19" t="n">
        <f aca="false">IF($B51="",0,SUMIFS(INCORRIDO!$C$6:$C$5005,INCORRIDO!$D$6:$D$5005,$B51,INCORRIDO!$E$6:$E$5005,L$7)+IF(L$7&gt;PARAMETROS!$C$12,IF($H51&gt;0,$G51*CURVA!L51/$H51,0)*L$6,0))</f>
        <v>0</v>
      </c>
      <c r="M51" s="19" t="n">
        <f aca="false">IF($B51="",0,SUMIFS(INCORRIDO!$C$6:$C$5005,INCORRIDO!$D$6:$D$5005,$B51,INCORRIDO!$E$6:$E$5005,M$7)+IF(M$7&gt;PARAMETROS!$C$12,IF($H51&gt;0,$G51*CURVA!M51/$H51,0)*M$6,0))</f>
        <v>0</v>
      </c>
      <c r="N51" s="19" t="n">
        <f aca="false">IF($B51="",0,SUMIFS(INCORRIDO!$C$6:$C$5005,INCORRIDO!$D$6:$D$5005,$B51,INCORRIDO!$E$6:$E$5005,N$7)+IF(N$7&gt;PARAMETROS!$C$12,IF($H51&gt;0,$G51*CURVA!N51/$H51,0)*N$6,0))</f>
        <v>0</v>
      </c>
      <c r="O51" s="19" t="n">
        <f aca="false">IF($B51="",0,SUMIFS(INCORRIDO!$C$6:$C$5005,INCORRIDO!$D$6:$D$5005,$B51,INCORRIDO!$E$6:$E$5005,O$7)+IF(O$7&gt;PARAMETROS!$C$12,IF($H51&gt;0,$G51*CURVA!O51/$H51,0)*O$6,0))</f>
        <v>0</v>
      </c>
      <c r="P51" s="19" t="n">
        <f aca="false">IF($B51="",0,SUMIFS(INCORRIDO!$C$6:$C$5005,INCORRIDO!$D$6:$D$5005,$B51,INCORRIDO!$E$6:$E$5005,P$7)+IF(P$7&gt;PARAMETROS!$C$12,IF($H51&gt;0,$G51*CURVA!P51/$H51,0)*P$6,0))</f>
        <v>0</v>
      </c>
      <c r="Q51" s="19" t="n">
        <f aca="false">IF($B51="",0,SUMIFS(INCORRIDO!$C$6:$C$5005,INCORRIDO!$D$6:$D$5005,$B51,INCORRIDO!$E$6:$E$5005,Q$7)+IF(Q$7&gt;PARAMETROS!$C$12,IF($H51&gt;0,$G51*CURVA!Q51/$H51,0)*Q$6,0))</f>
        <v>0</v>
      </c>
      <c r="R51" s="19" t="n">
        <f aca="false">IF($B51="",0,SUMIFS(INCORRIDO!$C$6:$C$5005,INCORRIDO!$D$6:$D$5005,$B51,INCORRIDO!$E$6:$E$5005,R$7)+IF(R$7&gt;PARAMETROS!$C$12,IF($H51&gt;0,$G51*CURVA!R51/$H51,0)*R$6,0))</f>
        <v>0</v>
      </c>
      <c r="S51" s="19" t="n">
        <f aca="false">IF($B51="",0,SUMIFS(INCORRIDO!$C$6:$C$5005,INCORRIDO!$D$6:$D$5005,$B51,INCORRIDO!$E$6:$E$5005,S$7)+IF(S$7&gt;PARAMETROS!$C$12,IF($H51&gt;0,$G51*CURVA!S51/$H51,0)*S$6,0))</f>
        <v>0</v>
      </c>
      <c r="T51" s="19" t="n">
        <f aca="false">IF($B51="",0,SUMIFS(INCORRIDO!$C$6:$C$5005,INCORRIDO!$D$6:$D$5005,$B51,INCORRIDO!$E$6:$E$5005,T$7)+IF(T$7&gt;PARAMETROS!$C$12,IF($H51&gt;0,$G51*CURVA!T51/$H51,0)*T$6,0))</f>
        <v>0</v>
      </c>
      <c r="U51" s="19" t="n">
        <f aca="false">IF($B51="",0,SUMIFS(INCORRIDO!$C$6:$C$5005,INCORRIDO!$D$6:$D$5005,$B51,INCORRIDO!$E$6:$E$5005,U$7)+IF(U$7&gt;PARAMETROS!$C$12,IF($H51&gt;0,$G51*CURVA!U51/$H51,0)*U$6,0))</f>
        <v>0</v>
      </c>
      <c r="V51" s="19" t="n">
        <f aca="false">IF($B51="",0,SUMIFS(INCORRIDO!$C$6:$C$5005,INCORRIDO!$D$6:$D$5005,$B51,INCORRIDO!$E$6:$E$5005,V$7)+IF(V$7&gt;PARAMETROS!$C$12,IF($H51&gt;0,$G51*CURVA!V51/$H51,0)*V$6,0))</f>
        <v>0</v>
      </c>
      <c r="W51" s="19" t="n">
        <f aca="false">IF($B51="",0,SUMIFS(INCORRIDO!$C$6:$C$5005,INCORRIDO!$D$6:$D$5005,$B51,INCORRIDO!$E$6:$E$5005,W$7)+IF(W$7&gt;PARAMETROS!$C$12,IF($H51&gt;0,$G51*CURVA!W51/$H51,0)*W$6,0))</f>
        <v>0</v>
      </c>
      <c r="X51" s="19" t="n">
        <f aca="false">IF($B51="",0,SUMIFS(INCORRIDO!$C$6:$C$5005,INCORRIDO!$D$6:$D$5005,$B51,INCORRIDO!$E$6:$E$5005,X$7)+IF(X$7&gt;PARAMETROS!$C$12,IF($H51&gt;0,$G51*CURVA!X51/$H51,0)*X$6,0))</f>
        <v>0</v>
      </c>
      <c r="Y51" s="19" t="n">
        <f aca="false">IF($B51="",0,SUMIFS(INCORRIDO!$C$6:$C$5005,INCORRIDO!$D$6:$D$5005,$B51,INCORRIDO!$E$6:$E$5005,Y$7)+IF(Y$7&gt;PARAMETROS!$C$12,IF($H51&gt;0,$G51*CURVA!Y51/$H51,0)*Y$6,0))</f>
        <v>0</v>
      </c>
      <c r="Z51" s="19" t="n">
        <f aca="false">IF($B51="",0,SUMIFS(INCORRIDO!$C$6:$C$5005,INCORRIDO!$D$6:$D$5005,$B51,INCORRIDO!$E$6:$E$5005,Z$7)+IF(Z$7&gt;PARAMETROS!$C$12,IF($H51&gt;0,$G51*CURVA!Z51/$H51,0)*Z$6,0))</f>
        <v>0</v>
      </c>
      <c r="AA51" s="19" t="n">
        <f aca="false">IF($B51="",0,SUMIFS(INCORRIDO!$C$6:$C$5005,INCORRIDO!$D$6:$D$5005,$B51,INCORRIDO!$E$6:$E$5005,AA$7)+IF(AA$7&gt;PARAMETROS!$C$12,IF($H51&gt;0,$G51*CURVA!AA51/$H51,0)*AA$6,0))</f>
        <v>0</v>
      </c>
      <c r="AB51" s="19" t="n">
        <f aca="false">IF($B51="",0,SUMIFS(INCORRIDO!$C$6:$C$5005,INCORRIDO!$D$6:$D$5005,$B51,INCORRIDO!$E$6:$E$5005,AB$7)+IF(AB$7&gt;PARAMETROS!$C$12,IF($H51&gt;0,$G51*CURVA!AB51/$H51,0)*AB$6,0))</f>
        <v>0</v>
      </c>
      <c r="AC51" s="19" t="n">
        <f aca="false">IF($B51="",0,SUMIFS(INCORRIDO!$C$6:$C$5005,INCORRIDO!$D$6:$D$5005,$B51,INCORRIDO!$E$6:$E$5005,AC$7)+IF(AC$7&gt;PARAMETROS!$C$12,IF($H51&gt;0,$G51*CURVA!AC51/$H51,0)*AC$6,0))</f>
        <v>0</v>
      </c>
      <c r="AD51" s="19" t="n">
        <f aca="false">IF($B51="",0,SUMIFS(INCORRIDO!$C$6:$C$5005,INCORRIDO!$D$6:$D$5005,$B51,INCORRIDO!$E$6:$E$5005,AD$7)+IF(AD$7&gt;PARAMETROS!$C$12,IF($H51&gt;0,$G51*CURVA!AD51/$H51,0)*AD$6,0))</f>
        <v>0</v>
      </c>
      <c r="AE51" s="19" t="n">
        <f aca="false">IF($B51="",0,SUMIFS(INCORRIDO!$C$6:$C$5005,INCORRIDO!$D$6:$D$5005,$B51,INCORRIDO!$E$6:$E$5005,AE$7)+IF(AE$7&gt;PARAMETROS!$C$12,IF($H51&gt;0,$G51*CURVA!AE51/$H51,0)*AE$6,0))</f>
        <v>0</v>
      </c>
      <c r="AF51" s="19" t="n">
        <f aca="false">IF($B51="",0,SUMIFS(INCORRIDO!$C$6:$C$5005,INCORRIDO!$D$6:$D$5005,$B51,INCORRIDO!$E$6:$E$5005,AF$7)+IF(AF$7&gt;PARAMETROS!$C$12,IF($H51&gt;0,$G51*CURVA!AF51/$H51,0)*AF$6,0))</f>
        <v>0</v>
      </c>
      <c r="AG51" s="19" t="n">
        <f aca="false">IF($B51="",0,SUMIFS(INCORRIDO!$C$6:$C$5005,INCORRIDO!$D$6:$D$5005,$B51,INCORRIDO!$E$6:$E$5005,AG$7)+IF(AG$7&gt;PARAMETROS!$C$12,IF($H51&gt;0,$G51*CURVA!AG51/$H51,0)*AG$6,0))</f>
        <v>0</v>
      </c>
      <c r="AH51" s="19" t="n">
        <f aca="false">IF($B51="",0,SUMIFS(INCORRIDO!$C$6:$C$5005,INCORRIDO!$D$6:$D$5005,$B51,INCORRIDO!$E$6:$E$5005,AH$7)+IF(AH$7&gt;PARAMETROS!$C$12,IF($H51&gt;0,$G51*CURVA!AH51/$H51,0)*AH$6,0))</f>
        <v>0</v>
      </c>
      <c r="AI51" s="19" t="n">
        <f aca="false">IF($B51="",0,SUMIFS(INCORRIDO!$C$6:$C$5005,INCORRIDO!$D$6:$D$5005,$B51,INCORRIDO!$E$6:$E$5005,AI$7)+IF(AI$7&gt;PARAMETROS!$C$12,IF($H51&gt;0,$G51*CURVA!AI51/$H51,0)*AI$6,0))</f>
        <v>0</v>
      </c>
      <c r="AJ51" s="19" t="n">
        <f aca="false">IF($B51="",0,SUMIFS(INCORRIDO!$C$6:$C$5005,INCORRIDO!$D$6:$D$5005,$B51,INCORRIDO!$E$6:$E$5005,AJ$7)+IF(AJ$7&gt;PARAMETROS!$C$12,IF($H51&gt;0,$G51*CURVA!AJ51/$H51,0)*AJ$6,0))</f>
        <v>0</v>
      </c>
      <c r="AK51" s="19" t="n">
        <f aca="false">IF($B51="",0,SUMIFS(INCORRIDO!$C$6:$C$5005,INCORRIDO!$D$6:$D$5005,$B51,INCORRIDO!$E$6:$E$5005,AK$7)+IF(AK$7&gt;PARAMETROS!$C$12,IF($H51&gt;0,$G51*CURVA!AK51/$H51,0)*AK$6,0))</f>
        <v>0</v>
      </c>
      <c r="AL51" s="19" t="n">
        <f aca="false">IF($B51="",0,SUMIFS(INCORRIDO!$C$6:$C$5005,INCORRIDO!$D$6:$D$5005,$B51,INCORRIDO!$E$6:$E$5005,AL$7)+IF(AL$7&gt;PARAMETROS!$C$12,IF($H51&gt;0,$G51*CURVA!AL51/$H51,0)*AL$6,0))</f>
        <v>0</v>
      </c>
      <c r="AM51" s="19" t="n">
        <f aca="false">IF($B51="",0,SUMIFS(INCORRIDO!$C$6:$C$5005,INCORRIDO!$D$6:$D$5005,$B51,INCORRIDO!$E$6:$E$5005,AM$7)+IF(AM$7&gt;PARAMETROS!$C$12,IF($H51&gt;0,$G51*CURVA!AM51/$H51,0)*AM$6,0))</f>
        <v>0</v>
      </c>
      <c r="AN51" s="19" t="n">
        <f aca="false">IF($B51="",0,SUMIFS(INCORRIDO!$C$6:$C$5005,INCORRIDO!$D$6:$D$5005,$B51,INCORRIDO!$E$6:$E$5005,AN$7)+IF(AN$7&gt;PARAMETROS!$C$12,IF($H51&gt;0,$G51*CURVA!AN51/$H51,0)*AN$6,0))</f>
        <v>0</v>
      </c>
      <c r="AO51" s="19" t="n">
        <f aca="false">IF($B51="",0,SUMIFS(INCORRIDO!$C$6:$C$5005,INCORRIDO!$D$6:$D$5005,$B51,INCORRIDO!$E$6:$E$5005,AO$7)+IF(AO$7&gt;PARAMETROS!$C$12,IF($H51&gt;0,$G51*CURVA!AO51/$H51,0)*AO$6,0))</f>
        <v>0</v>
      </c>
      <c r="AP51" s="19" t="n">
        <f aca="false">IF($B51="",0,SUMIFS(INCORRIDO!$C$6:$C$5005,INCORRIDO!$D$6:$D$5005,$B51,INCORRIDO!$E$6:$E$5005,AP$7)+IF(AP$7&gt;PARAMETROS!$C$12,IF($H51&gt;0,$G51*CURVA!AP51/$H51,0)*AP$6,0))</f>
        <v>0</v>
      </c>
      <c r="AQ51" s="19" t="n">
        <f aca="false">IF($B51="",0,SUMIFS(INCORRIDO!$C$6:$C$5005,INCORRIDO!$D$6:$D$5005,$B51,INCORRIDO!$E$6:$E$5005,AQ$7)+IF(AQ$7&gt;PARAMETROS!$C$12,IF($H51&gt;0,$G51*CURVA!AQ51/$H51,0)*AQ$6,0))</f>
        <v>0</v>
      </c>
      <c r="AR51" s="19" t="n">
        <f aca="false">IF($B51="",0,SUMIFS(INCORRIDO!$C$6:$C$5005,INCORRIDO!$D$6:$D$5005,$B51,INCORRIDO!$E$6:$E$5005,AR$7)+IF(AR$7&gt;PARAMETROS!$C$12,IF($H51&gt;0,$G51*CURVA!AR51/$H51,0)*AR$6,0))</f>
        <v>0</v>
      </c>
      <c r="AS51" s="19" t="n">
        <f aca="false">IF($B51="",0,SUMIFS(INCORRIDO!$C$6:$C$5005,INCORRIDO!$D$6:$D$5005,$B51,INCORRIDO!$E$6:$E$5005,AS$7)+IF(AS$7&gt;PARAMETROS!$C$12,IF($H51&gt;0,$G51*CURVA!AS51/$H51,0)*AS$6,0))</f>
        <v>0</v>
      </c>
      <c r="AT51" s="19" t="n">
        <f aca="false">IF($B51="",0,SUMIFS(INCORRIDO!$C$6:$C$5005,INCORRIDO!$D$6:$D$5005,$B51,INCORRIDO!$E$6:$E$5005,AT$7)+IF(AT$7&gt;PARAMETROS!$C$12,IF($H51&gt;0,$G51*CURVA!AT51/$H51,0)*AT$6,0))</f>
        <v>0</v>
      </c>
      <c r="AU51" s="19" t="n">
        <f aca="false">IF($B51="",0,SUMIFS(INCORRIDO!$C$6:$C$5005,INCORRIDO!$D$6:$D$5005,$B51,INCORRIDO!$E$6:$E$5005,AU$7)+IF(AU$7&gt;PARAMETROS!$C$12,IF($H51&gt;0,$G51*CURVA!AU51/$H51,0)*AU$6,0))</f>
        <v>0</v>
      </c>
      <c r="AV51" s="19" t="n">
        <f aca="false">IF($B51="",0,SUMIFS(INCORRIDO!$C$6:$C$5005,INCORRIDO!$D$6:$D$5005,$B51,INCORRIDO!$E$6:$E$5005,AV$7)+IF(AV$7&gt;PARAMETROS!$C$12,IF($H51&gt;0,$G51*CURVA!AV51/$H51,0)*AV$6,0))</f>
        <v>0</v>
      </c>
      <c r="AW51" s="19" t="n">
        <f aca="false">IF($B51="",0,SUMIFS(INCORRIDO!$C$6:$C$5005,INCORRIDO!$D$6:$D$5005,$B51,INCORRIDO!$E$6:$E$5005,AW$7)+IF(AW$7&gt;PARAMETROS!$C$12,IF($H51&gt;0,$G51*CURVA!AW51/$H51,0)*AW$6,0))</f>
        <v>0</v>
      </c>
      <c r="AX51" s="19" t="n">
        <f aca="false">IF($B51="",0,SUMIFS(INCORRIDO!$C$6:$C$5005,INCORRIDO!$D$6:$D$5005,$B51,INCORRIDO!$E$6:$E$5005,AX$7)+IF(AX$7&gt;PARAMETROS!$C$12,IF($H51&gt;0,$G51*CURVA!AX51/$H51,0)*AX$6,0))</f>
        <v>0</v>
      </c>
      <c r="AY51" s="19" t="n">
        <f aca="false">IF($B51="",0,SUMIFS(INCORRIDO!$C$6:$C$5005,INCORRIDO!$D$6:$D$5005,$B51,INCORRIDO!$E$6:$E$5005,AY$7)+IF(AY$7&gt;PARAMETROS!$C$12,IF($H51&gt;0,$G51*CURVA!AY51/$H51,0)*AY$6,0))</f>
        <v>0</v>
      </c>
      <c r="AZ51" s="19" t="n">
        <f aca="false">IF($B51="",0,SUMIFS(INCORRIDO!$C$6:$C$5005,INCORRIDO!$D$6:$D$5005,$B51,INCORRIDO!$E$6:$E$5005,AZ$7)+IF(AZ$7&gt;PARAMETROS!$C$12,IF($H51&gt;0,$G51*CURVA!AZ51/$H51,0)*AZ$6,0))</f>
        <v>0</v>
      </c>
      <c r="BA51" s="19" t="n">
        <f aca="false">IF($B51="",0,SUMIFS(INCORRIDO!$C$6:$C$5005,INCORRIDO!$D$6:$D$5005,$B51,INCORRIDO!$E$6:$E$5005,BA$7)+IF(BA$7&gt;PARAMETROS!$C$12,IF($H51&gt;0,$G51*CURVA!BA51/$H51,0)*BA$6,0))</f>
        <v>0</v>
      </c>
      <c r="BB51" s="19" t="n">
        <f aca="false">IF($B51="",0,SUMIFS(INCORRIDO!$C$6:$C$5005,INCORRIDO!$D$6:$D$5005,$B51,INCORRIDO!$E$6:$E$5005,BB$7)+IF(BB$7&gt;PARAMETROS!$C$12,IF($H51&gt;0,$G51*CURVA!BB51/$H51,0)*BB$6,0))</f>
        <v>0</v>
      </c>
      <c r="BC51" s="19" t="n">
        <f aca="false">IF($B51="",0,SUMIFS(INCORRIDO!$C$6:$C$5005,INCORRIDO!$D$6:$D$5005,$B51,INCORRIDO!$E$6:$E$5005,BC$7)+IF(BC$7&gt;PARAMETROS!$C$12,IF($H51&gt;0,$G51*CURVA!BC51/$H51,0)*BC$6,0))</f>
        <v>0</v>
      </c>
      <c r="BD51" s="19" t="n">
        <f aca="false">IF($B51="",0,SUMIFS(INCORRIDO!$C$6:$C$5005,INCORRIDO!$D$6:$D$5005,$B51,INCORRIDO!$E$6:$E$5005,BD$7)+IF(BD$7&gt;PARAMETROS!$C$12,IF($H51&gt;0,$G51*CURVA!BD51/$H51,0)*BD$6,0))</f>
        <v>0</v>
      </c>
      <c r="BE51" s="19" t="n">
        <f aca="false">IF($B51="",0,SUMIFS(INCORRIDO!$C$6:$C$5005,INCORRIDO!$D$6:$D$5005,$B51,INCORRIDO!$E$6:$E$5005,BE$7)+IF(BE$7&gt;PARAMETROS!$C$12,IF($H51&gt;0,$G51*CURVA!BE51/$H51,0)*BE$6,0))</f>
        <v>0</v>
      </c>
      <c r="BF51" s="19" t="n">
        <f aca="false">IF($B51="",0,SUMIFS(INCORRIDO!$C$6:$C$5005,INCORRIDO!$D$6:$D$5005,$B51,INCORRIDO!$E$6:$E$5005,BF$7)+IF(BF$7&gt;PARAMETROS!$C$12,IF($H51&gt;0,$G51*CURVA!BF51/$H51,0)*BF$6,0))</f>
        <v>0</v>
      </c>
      <c r="BG51" s="19" t="n">
        <f aca="false">IF($B51="",0,SUMIFS(INCORRIDO!$C$6:$C$5005,INCORRIDO!$D$6:$D$5005,$B51,INCORRIDO!$E$6:$E$5005,BG$7)+IF(BG$7&gt;PARAMETROS!$C$12,IF($H51&gt;0,$G51*CURVA!BG51/$H51,0)*BG$6,0))</f>
        <v>0</v>
      </c>
      <c r="BH51" s="19" t="n">
        <f aca="false">IF($B51="",0,SUMIFS(INCORRIDO!$C$6:$C$5005,INCORRIDO!$D$6:$D$5005,$B51,INCORRIDO!$E$6:$E$5005,BH$7)+IF(BH$7&gt;PARAMETROS!$C$12,IF($H51&gt;0,$G51*CURVA!BH51/$H51,0)*BH$6,0))</f>
        <v>0</v>
      </c>
      <c r="BI51" s="19" t="n">
        <f aca="false">IF($B51="",0,SUMIFS(INCORRIDO!$C$6:$C$5005,INCORRIDO!$D$6:$D$5005,$B51,INCORRIDO!$E$6:$E$5005,BI$7)+IF(BI$7&gt;PARAMETROS!$C$12,IF($H51&gt;0,$G51*CURVA!BI51/$H51,0)*BI$6,0))</f>
        <v>0</v>
      </c>
      <c r="BJ51" s="19" t="n">
        <f aca="false">IF($B51="",0,SUMIFS(INCORRIDO!$C$6:$C$5005,INCORRIDO!$D$6:$D$5005,$B51,INCORRIDO!$E$6:$E$5005,BJ$7)+IF(BJ$7&gt;PARAMETROS!$C$12,IF($H51&gt;0,$G51*CURVA!BJ51/$H51,0)*BJ$6,0))</f>
        <v>0</v>
      </c>
      <c r="BK51" s="19" t="n">
        <f aca="false">IF($B51="",0,SUMIFS(INCORRIDO!$C$6:$C$5005,INCORRIDO!$D$6:$D$5005,$B51,INCORRIDO!$E$6:$E$5005,BK$7)+IF(BK$7&gt;PARAMETROS!$C$12,IF($H51&gt;0,$G51*CURVA!BK51/$H51,0)*BK$6,0))</f>
        <v>0</v>
      </c>
      <c r="BL51" s="19" t="n">
        <f aca="false">IF($B51="",0,SUMIFS(INCORRIDO!$C$6:$C$5005,INCORRIDO!$D$6:$D$5005,$B51,INCORRIDO!$E$6:$E$5005,BL$7)+IF(BL$7&gt;PARAMETROS!$C$12,IF($H51&gt;0,$G51*CURVA!BL51/$H51,0)*BL$6,0))</f>
        <v>0</v>
      </c>
      <c r="BM51" s="19" t="n">
        <f aca="false">IF($B51="",0,SUMIFS(INCORRIDO!$C$6:$C$5005,INCORRIDO!$D$6:$D$5005,$B51,INCORRIDO!$E$6:$E$5005,BM$7)+IF(BM$7&gt;PARAMETROS!$C$12,IF($H51&gt;0,$G51*CURVA!BM51/$H51,0)*BM$6,0))</f>
        <v>0</v>
      </c>
      <c r="BN51" s="19" t="n">
        <f aca="false">IF($B51="",0,SUMIFS(INCORRIDO!$C$6:$C$5005,INCORRIDO!$D$6:$D$5005,$B51,INCORRIDO!$E$6:$E$5005,BN$7)+IF(BN$7&gt;PARAMETROS!$C$12,IF($H51&gt;0,$G51*CURVA!BN51/$H51,0)*BN$6,0))</f>
        <v>0</v>
      </c>
      <c r="BO51" s="19" t="n">
        <f aca="false">IF($B51="",0,SUMIFS(INCORRIDO!$C$6:$C$5005,INCORRIDO!$D$6:$D$5005,$B51,INCORRIDO!$E$6:$E$5005,BO$7)+IF(BO$7&gt;PARAMETROS!$C$12,IF($H51&gt;0,$G51*CURVA!BO51/$H51,0)*BO$6,0))</f>
        <v>0</v>
      </c>
      <c r="BP51" s="19" t="n">
        <f aca="false">IF($B51="",0,SUMIFS(INCORRIDO!$C$6:$C$5005,INCORRIDO!$D$6:$D$5005,$B51,INCORRIDO!$E$6:$E$5005,BP$7)+IF(BP$7&gt;PARAMETROS!$C$12,IF($H51&gt;0,$G51*CURVA!BP51/$H51,0)*BP$6,0))</f>
        <v>0</v>
      </c>
      <c r="BQ51" s="19" t="n">
        <f aca="false">IF($B51="",0,SUMIFS(INCORRIDO!$C$6:$C$5005,INCORRIDO!$D$6:$D$5005,$B51,INCORRIDO!$E$6:$E$5005,BQ$7)+IF(BQ$7&gt;PARAMETROS!$C$12,IF($H51&gt;0,$G51*CURVA!BQ51/$H51,0)*BQ$6,0))</f>
        <v>0</v>
      </c>
      <c r="BR51" s="19" t="n">
        <f aca="false">IF($B51="",0,SUMIFS(INCORRIDO!$C$6:$C$5005,INCORRIDO!$D$6:$D$5005,$B51,INCORRIDO!$E$6:$E$5005,BR$7)+IF(BR$7&gt;PARAMETROS!$C$12,IF($H51&gt;0,$G51*CURVA!BR51/$H51,0)*BR$6,0))</f>
        <v>0</v>
      </c>
      <c r="BS51" s="19" t="n">
        <f aca="false">IF($B51="",0,SUMIFS(INCORRIDO!$C$6:$C$5005,INCORRIDO!$D$6:$D$5005,$B51,INCORRIDO!$E$6:$E$5005,BS$7)+IF(BS$7&gt;PARAMETROS!$C$12,IF($H51&gt;0,$G51*CURVA!BS51/$H51,0)*BS$6,0))</f>
        <v>0</v>
      </c>
      <c r="BT51" s="19" t="n">
        <f aca="false">IF($B51="",0,SUMIFS(INCORRIDO!$C$6:$C$5005,INCORRIDO!$D$6:$D$5005,$B51,INCORRIDO!$E$6:$E$5005,BT$7)+IF(BT$7&gt;PARAMETROS!$C$12,IF($H51&gt;0,$G51*CURVA!BT51/$H51,0)*BT$6,0))</f>
        <v>0</v>
      </c>
      <c r="BU51" s="19" t="n">
        <f aca="false">IF($B51="",0,SUMIFS(INCORRIDO!$C$6:$C$5005,INCORRIDO!$D$6:$D$5005,$B51,INCORRIDO!$E$6:$E$5005,BU$7)+IF(BU$7&gt;PARAMETROS!$C$12,IF($H51&gt;0,$G51*CURVA!BU51/$H51,0)*BU$6,0))</f>
        <v>0</v>
      </c>
      <c r="BV51" s="19" t="n">
        <f aca="false">IF($B51="",0,SUMIFS(INCORRIDO!$C$6:$C$5005,INCORRIDO!$D$6:$D$5005,$B51,INCORRIDO!$E$6:$E$5005,BV$7)+IF(BV$7&gt;PARAMETROS!$C$12,IF($H51&gt;0,$G51*CURVA!BV51/$H51,0)*BV$6,0))</f>
        <v>0</v>
      </c>
      <c r="BW51" s="19" t="n">
        <f aca="false">IF($B51="",0,SUMIFS(INCORRIDO!$C$6:$C$5005,INCORRIDO!$D$6:$D$5005,$B51,INCORRIDO!$E$6:$E$5005,BW$7)+IF(BW$7&gt;PARAMETROS!$C$12,IF($H51&gt;0,$G51*CURVA!BW51/$H51,0)*BW$6,0))</f>
        <v>0</v>
      </c>
      <c r="BX51" s="19" t="n">
        <f aca="false">IF($B51="",0,SUMIFS(INCORRIDO!$C$6:$C$5005,INCORRIDO!$D$6:$D$5005,$B51,INCORRIDO!$E$6:$E$5005,BX$7)+IF(BX$7&gt;PARAMETROS!$C$12,IF($H51&gt;0,$G51*CURVA!BX51/$H51,0)*BX$6,0))</f>
        <v>0</v>
      </c>
      <c r="BY51" s="19" t="n">
        <f aca="false">IF($B51="",0,SUMIFS(INCORRIDO!$C$6:$C$5005,INCORRIDO!$D$6:$D$5005,$B51,INCORRIDO!$E$6:$E$5005,BY$7)+IF(BY$7&gt;PARAMETROS!$C$12,IF($H51&gt;0,$G51*CURVA!BY51/$H51,0)*BY$6,0))</f>
        <v>0</v>
      </c>
      <c r="BZ51" s="19" t="n">
        <f aca="false">IF($B51="",0,SUMIFS(INCORRIDO!$C$6:$C$5005,INCORRIDO!$D$6:$D$5005,$B51,INCORRIDO!$E$6:$E$5005,BZ$7)+IF(BZ$7&gt;PARAMETROS!$C$12,IF($H51&gt;0,$G51*CURVA!BZ51/$H51,0)*BZ$6,0))</f>
        <v>0</v>
      </c>
      <c r="CA51" s="19" t="n">
        <f aca="false">IF($B51="",0,SUMIFS(INCORRIDO!$C$6:$C$5005,INCORRIDO!$D$6:$D$5005,$B51,INCORRIDO!$E$6:$E$5005,CA$7)+IF(CA$7&gt;PARAMETROS!$C$12,IF($H51&gt;0,$G51*CURVA!CA51/$H51,0)*CA$6,0))</f>
        <v>0</v>
      </c>
      <c r="CB51" s="19" t="n">
        <f aca="false">IF($B51="",0,SUMIFS(INCORRIDO!$C$6:$C$5005,INCORRIDO!$D$6:$D$5005,$B51,INCORRIDO!$E$6:$E$5005,CB$7)+IF(CB$7&gt;PARAMETROS!$C$12,IF($H51&gt;0,$G51*CURVA!CB51/$H51,0)*CB$6,0))</f>
        <v>0</v>
      </c>
      <c r="CC51" s="19" t="n">
        <f aca="false">IF($B51="",0,SUMIFS(INCORRIDO!$C$6:$C$5005,INCORRIDO!$D$6:$D$5005,$B51,INCORRIDO!$E$6:$E$5005,CC$7)+IF(CC$7&gt;PARAMETROS!$C$12,IF($H51&gt;0,$G51*CURVA!CC51/$H51,0)*CC$6,0))</f>
        <v>0</v>
      </c>
    </row>
    <row r="52" customFormat="false" ht="15" hidden="false" customHeight="false" outlineLevel="0" collapsed="false">
      <c r="A52" s="31" t="str">
        <f aca="false">IF(ORCAMENTO!A50="","",ORCAMENTO!A50)</f>
        <v/>
      </c>
      <c r="B52" s="31" t="str">
        <f aca="false">IF(ORCAMENTO!B50="","",ORCAMENTO!B50)</f>
        <v/>
      </c>
      <c r="C52" s="31" t="str">
        <f aca="false">IF(ORCAMENTO!C50="","",ORCAMENTO!C50)</f>
        <v/>
      </c>
      <c r="D52" s="32" t="n">
        <f aca="false">IF($B52="",0,ORCAMENTO!E50)</f>
        <v>0</v>
      </c>
      <c r="E52" s="19" t="n">
        <f aca="false">IF($B52="",0,SUMIFS(INCORRIDO!$C$6:$C$5005,INCORRIDO!$D$6:$D$5005,$B52,INCORRIDO!$E$6:$E$5005,"&lt;="&amp;PARAMETROS!$C$12))</f>
        <v>0</v>
      </c>
      <c r="F52" s="19" t="n">
        <f aca="false">IF($B52="",0,SUMIFS(INCORRIDO!$C$6:$C$5005,INCORRIDO!$D$6:$D$5005,$B52,INCORRIDO!$E$6:$E$5005,"&gt;"&amp;PARAMETROS!$C$12))</f>
        <v>0</v>
      </c>
      <c r="G52" s="19" t="n">
        <f aca="false">MAX(0,D52-E52-F52)</f>
        <v>0</v>
      </c>
      <c r="H52" s="32" t="n">
        <f aca="false">CURVA!H52</f>
        <v>0</v>
      </c>
      <c r="I52" s="19" t="n">
        <f aca="false">SUM(J52:CC52)</f>
        <v>0</v>
      </c>
      <c r="J52" s="19" t="n">
        <f aca="false">IF($B52="",0,SUMIFS(INCORRIDO!$C$6:$C$5005,INCORRIDO!$D$6:$D$5005,$B52,INCORRIDO!$E$6:$E$5005,"&lt;="&amp;J$7)+IF(J$7&gt;PARAMETROS!$C$12,IF($H52&gt;0,$G52*CURVA!J52/$H52,0)*J$6,0))</f>
        <v>0</v>
      </c>
      <c r="K52" s="19" t="n">
        <f aca="false">IF($B52="",0,SUMIFS(INCORRIDO!$C$6:$C$5005,INCORRIDO!$D$6:$D$5005,$B52,INCORRIDO!$E$6:$E$5005,K$7)+IF(K$7&gt;PARAMETROS!$C$12,IF($H52&gt;0,$G52*CURVA!K52/$H52,0)*K$6,0))</f>
        <v>0</v>
      </c>
      <c r="L52" s="19" t="n">
        <f aca="false">IF($B52="",0,SUMIFS(INCORRIDO!$C$6:$C$5005,INCORRIDO!$D$6:$D$5005,$B52,INCORRIDO!$E$6:$E$5005,L$7)+IF(L$7&gt;PARAMETROS!$C$12,IF($H52&gt;0,$G52*CURVA!L52/$H52,0)*L$6,0))</f>
        <v>0</v>
      </c>
      <c r="M52" s="19" t="n">
        <f aca="false">IF($B52="",0,SUMIFS(INCORRIDO!$C$6:$C$5005,INCORRIDO!$D$6:$D$5005,$B52,INCORRIDO!$E$6:$E$5005,M$7)+IF(M$7&gt;PARAMETROS!$C$12,IF($H52&gt;0,$G52*CURVA!M52/$H52,0)*M$6,0))</f>
        <v>0</v>
      </c>
      <c r="N52" s="19" t="n">
        <f aca="false">IF($B52="",0,SUMIFS(INCORRIDO!$C$6:$C$5005,INCORRIDO!$D$6:$D$5005,$B52,INCORRIDO!$E$6:$E$5005,N$7)+IF(N$7&gt;PARAMETROS!$C$12,IF($H52&gt;0,$G52*CURVA!N52/$H52,0)*N$6,0))</f>
        <v>0</v>
      </c>
      <c r="O52" s="19" t="n">
        <f aca="false">IF($B52="",0,SUMIFS(INCORRIDO!$C$6:$C$5005,INCORRIDO!$D$6:$D$5005,$B52,INCORRIDO!$E$6:$E$5005,O$7)+IF(O$7&gt;PARAMETROS!$C$12,IF($H52&gt;0,$G52*CURVA!O52/$H52,0)*O$6,0))</f>
        <v>0</v>
      </c>
      <c r="P52" s="19" t="n">
        <f aca="false">IF($B52="",0,SUMIFS(INCORRIDO!$C$6:$C$5005,INCORRIDO!$D$6:$D$5005,$B52,INCORRIDO!$E$6:$E$5005,P$7)+IF(P$7&gt;PARAMETROS!$C$12,IF($H52&gt;0,$G52*CURVA!P52/$H52,0)*P$6,0))</f>
        <v>0</v>
      </c>
      <c r="Q52" s="19" t="n">
        <f aca="false">IF($B52="",0,SUMIFS(INCORRIDO!$C$6:$C$5005,INCORRIDO!$D$6:$D$5005,$B52,INCORRIDO!$E$6:$E$5005,Q$7)+IF(Q$7&gt;PARAMETROS!$C$12,IF($H52&gt;0,$G52*CURVA!Q52/$H52,0)*Q$6,0))</f>
        <v>0</v>
      </c>
      <c r="R52" s="19" t="n">
        <f aca="false">IF($B52="",0,SUMIFS(INCORRIDO!$C$6:$C$5005,INCORRIDO!$D$6:$D$5005,$B52,INCORRIDO!$E$6:$E$5005,R$7)+IF(R$7&gt;PARAMETROS!$C$12,IF($H52&gt;0,$G52*CURVA!R52/$H52,0)*R$6,0))</f>
        <v>0</v>
      </c>
      <c r="S52" s="19" t="n">
        <f aca="false">IF($B52="",0,SUMIFS(INCORRIDO!$C$6:$C$5005,INCORRIDO!$D$6:$D$5005,$B52,INCORRIDO!$E$6:$E$5005,S$7)+IF(S$7&gt;PARAMETROS!$C$12,IF($H52&gt;0,$G52*CURVA!S52/$H52,0)*S$6,0))</f>
        <v>0</v>
      </c>
      <c r="T52" s="19" t="n">
        <f aca="false">IF($B52="",0,SUMIFS(INCORRIDO!$C$6:$C$5005,INCORRIDO!$D$6:$D$5005,$B52,INCORRIDO!$E$6:$E$5005,T$7)+IF(T$7&gt;PARAMETROS!$C$12,IF($H52&gt;0,$G52*CURVA!T52/$H52,0)*T$6,0))</f>
        <v>0</v>
      </c>
      <c r="U52" s="19" t="n">
        <f aca="false">IF($B52="",0,SUMIFS(INCORRIDO!$C$6:$C$5005,INCORRIDO!$D$6:$D$5005,$B52,INCORRIDO!$E$6:$E$5005,U$7)+IF(U$7&gt;PARAMETROS!$C$12,IF($H52&gt;0,$G52*CURVA!U52/$H52,0)*U$6,0))</f>
        <v>0</v>
      </c>
      <c r="V52" s="19" t="n">
        <f aca="false">IF($B52="",0,SUMIFS(INCORRIDO!$C$6:$C$5005,INCORRIDO!$D$6:$D$5005,$B52,INCORRIDO!$E$6:$E$5005,V$7)+IF(V$7&gt;PARAMETROS!$C$12,IF($H52&gt;0,$G52*CURVA!V52/$H52,0)*V$6,0))</f>
        <v>0</v>
      </c>
      <c r="W52" s="19" t="n">
        <f aca="false">IF($B52="",0,SUMIFS(INCORRIDO!$C$6:$C$5005,INCORRIDO!$D$6:$D$5005,$B52,INCORRIDO!$E$6:$E$5005,W$7)+IF(W$7&gt;PARAMETROS!$C$12,IF($H52&gt;0,$G52*CURVA!W52/$H52,0)*W$6,0))</f>
        <v>0</v>
      </c>
      <c r="X52" s="19" t="n">
        <f aca="false">IF($B52="",0,SUMIFS(INCORRIDO!$C$6:$C$5005,INCORRIDO!$D$6:$D$5005,$B52,INCORRIDO!$E$6:$E$5005,X$7)+IF(X$7&gt;PARAMETROS!$C$12,IF($H52&gt;0,$G52*CURVA!X52/$H52,0)*X$6,0))</f>
        <v>0</v>
      </c>
      <c r="Y52" s="19" t="n">
        <f aca="false">IF($B52="",0,SUMIFS(INCORRIDO!$C$6:$C$5005,INCORRIDO!$D$6:$D$5005,$B52,INCORRIDO!$E$6:$E$5005,Y$7)+IF(Y$7&gt;PARAMETROS!$C$12,IF($H52&gt;0,$G52*CURVA!Y52/$H52,0)*Y$6,0))</f>
        <v>0</v>
      </c>
      <c r="Z52" s="19" t="n">
        <f aca="false">IF($B52="",0,SUMIFS(INCORRIDO!$C$6:$C$5005,INCORRIDO!$D$6:$D$5005,$B52,INCORRIDO!$E$6:$E$5005,Z$7)+IF(Z$7&gt;PARAMETROS!$C$12,IF($H52&gt;0,$G52*CURVA!Z52/$H52,0)*Z$6,0))</f>
        <v>0</v>
      </c>
      <c r="AA52" s="19" t="n">
        <f aca="false">IF($B52="",0,SUMIFS(INCORRIDO!$C$6:$C$5005,INCORRIDO!$D$6:$D$5005,$B52,INCORRIDO!$E$6:$E$5005,AA$7)+IF(AA$7&gt;PARAMETROS!$C$12,IF($H52&gt;0,$G52*CURVA!AA52/$H52,0)*AA$6,0))</f>
        <v>0</v>
      </c>
      <c r="AB52" s="19" t="n">
        <f aca="false">IF($B52="",0,SUMIFS(INCORRIDO!$C$6:$C$5005,INCORRIDO!$D$6:$D$5005,$B52,INCORRIDO!$E$6:$E$5005,AB$7)+IF(AB$7&gt;PARAMETROS!$C$12,IF($H52&gt;0,$G52*CURVA!AB52/$H52,0)*AB$6,0))</f>
        <v>0</v>
      </c>
      <c r="AC52" s="19" t="n">
        <f aca="false">IF($B52="",0,SUMIFS(INCORRIDO!$C$6:$C$5005,INCORRIDO!$D$6:$D$5005,$B52,INCORRIDO!$E$6:$E$5005,AC$7)+IF(AC$7&gt;PARAMETROS!$C$12,IF($H52&gt;0,$G52*CURVA!AC52/$H52,0)*AC$6,0))</f>
        <v>0</v>
      </c>
      <c r="AD52" s="19" t="n">
        <f aca="false">IF($B52="",0,SUMIFS(INCORRIDO!$C$6:$C$5005,INCORRIDO!$D$6:$D$5005,$B52,INCORRIDO!$E$6:$E$5005,AD$7)+IF(AD$7&gt;PARAMETROS!$C$12,IF($H52&gt;0,$G52*CURVA!AD52/$H52,0)*AD$6,0))</f>
        <v>0</v>
      </c>
      <c r="AE52" s="19" t="n">
        <f aca="false">IF($B52="",0,SUMIFS(INCORRIDO!$C$6:$C$5005,INCORRIDO!$D$6:$D$5005,$B52,INCORRIDO!$E$6:$E$5005,AE$7)+IF(AE$7&gt;PARAMETROS!$C$12,IF($H52&gt;0,$G52*CURVA!AE52/$H52,0)*AE$6,0))</f>
        <v>0</v>
      </c>
      <c r="AF52" s="19" t="n">
        <f aca="false">IF($B52="",0,SUMIFS(INCORRIDO!$C$6:$C$5005,INCORRIDO!$D$6:$D$5005,$B52,INCORRIDO!$E$6:$E$5005,AF$7)+IF(AF$7&gt;PARAMETROS!$C$12,IF($H52&gt;0,$G52*CURVA!AF52/$H52,0)*AF$6,0))</f>
        <v>0</v>
      </c>
      <c r="AG52" s="19" t="n">
        <f aca="false">IF($B52="",0,SUMIFS(INCORRIDO!$C$6:$C$5005,INCORRIDO!$D$6:$D$5005,$B52,INCORRIDO!$E$6:$E$5005,AG$7)+IF(AG$7&gt;PARAMETROS!$C$12,IF($H52&gt;0,$G52*CURVA!AG52/$H52,0)*AG$6,0))</f>
        <v>0</v>
      </c>
      <c r="AH52" s="19" t="n">
        <f aca="false">IF($B52="",0,SUMIFS(INCORRIDO!$C$6:$C$5005,INCORRIDO!$D$6:$D$5005,$B52,INCORRIDO!$E$6:$E$5005,AH$7)+IF(AH$7&gt;PARAMETROS!$C$12,IF($H52&gt;0,$G52*CURVA!AH52/$H52,0)*AH$6,0))</f>
        <v>0</v>
      </c>
      <c r="AI52" s="19" t="n">
        <f aca="false">IF($B52="",0,SUMIFS(INCORRIDO!$C$6:$C$5005,INCORRIDO!$D$6:$D$5005,$B52,INCORRIDO!$E$6:$E$5005,AI$7)+IF(AI$7&gt;PARAMETROS!$C$12,IF($H52&gt;0,$G52*CURVA!AI52/$H52,0)*AI$6,0))</f>
        <v>0</v>
      </c>
      <c r="AJ52" s="19" t="n">
        <f aca="false">IF($B52="",0,SUMIFS(INCORRIDO!$C$6:$C$5005,INCORRIDO!$D$6:$D$5005,$B52,INCORRIDO!$E$6:$E$5005,AJ$7)+IF(AJ$7&gt;PARAMETROS!$C$12,IF($H52&gt;0,$G52*CURVA!AJ52/$H52,0)*AJ$6,0))</f>
        <v>0</v>
      </c>
      <c r="AK52" s="19" t="n">
        <f aca="false">IF($B52="",0,SUMIFS(INCORRIDO!$C$6:$C$5005,INCORRIDO!$D$6:$D$5005,$B52,INCORRIDO!$E$6:$E$5005,AK$7)+IF(AK$7&gt;PARAMETROS!$C$12,IF($H52&gt;0,$G52*CURVA!AK52/$H52,0)*AK$6,0))</f>
        <v>0</v>
      </c>
      <c r="AL52" s="19" t="n">
        <f aca="false">IF($B52="",0,SUMIFS(INCORRIDO!$C$6:$C$5005,INCORRIDO!$D$6:$D$5005,$B52,INCORRIDO!$E$6:$E$5005,AL$7)+IF(AL$7&gt;PARAMETROS!$C$12,IF($H52&gt;0,$G52*CURVA!AL52/$H52,0)*AL$6,0))</f>
        <v>0</v>
      </c>
      <c r="AM52" s="19" t="n">
        <f aca="false">IF($B52="",0,SUMIFS(INCORRIDO!$C$6:$C$5005,INCORRIDO!$D$6:$D$5005,$B52,INCORRIDO!$E$6:$E$5005,AM$7)+IF(AM$7&gt;PARAMETROS!$C$12,IF($H52&gt;0,$G52*CURVA!AM52/$H52,0)*AM$6,0))</f>
        <v>0</v>
      </c>
      <c r="AN52" s="19" t="n">
        <f aca="false">IF($B52="",0,SUMIFS(INCORRIDO!$C$6:$C$5005,INCORRIDO!$D$6:$D$5005,$B52,INCORRIDO!$E$6:$E$5005,AN$7)+IF(AN$7&gt;PARAMETROS!$C$12,IF($H52&gt;0,$G52*CURVA!AN52/$H52,0)*AN$6,0))</f>
        <v>0</v>
      </c>
      <c r="AO52" s="19" t="n">
        <f aca="false">IF($B52="",0,SUMIFS(INCORRIDO!$C$6:$C$5005,INCORRIDO!$D$6:$D$5005,$B52,INCORRIDO!$E$6:$E$5005,AO$7)+IF(AO$7&gt;PARAMETROS!$C$12,IF($H52&gt;0,$G52*CURVA!AO52/$H52,0)*AO$6,0))</f>
        <v>0</v>
      </c>
      <c r="AP52" s="19" t="n">
        <f aca="false">IF($B52="",0,SUMIFS(INCORRIDO!$C$6:$C$5005,INCORRIDO!$D$6:$D$5005,$B52,INCORRIDO!$E$6:$E$5005,AP$7)+IF(AP$7&gt;PARAMETROS!$C$12,IF($H52&gt;0,$G52*CURVA!AP52/$H52,0)*AP$6,0))</f>
        <v>0</v>
      </c>
      <c r="AQ52" s="19" t="n">
        <f aca="false">IF($B52="",0,SUMIFS(INCORRIDO!$C$6:$C$5005,INCORRIDO!$D$6:$D$5005,$B52,INCORRIDO!$E$6:$E$5005,AQ$7)+IF(AQ$7&gt;PARAMETROS!$C$12,IF($H52&gt;0,$G52*CURVA!AQ52/$H52,0)*AQ$6,0))</f>
        <v>0</v>
      </c>
      <c r="AR52" s="19" t="n">
        <f aca="false">IF($B52="",0,SUMIFS(INCORRIDO!$C$6:$C$5005,INCORRIDO!$D$6:$D$5005,$B52,INCORRIDO!$E$6:$E$5005,AR$7)+IF(AR$7&gt;PARAMETROS!$C$12,IF($H52&gt;0,$G52*CURVA!AR52/$H52,0)*AR$6,0))</f>
        <v>0</v>
      </c>
      <c r="AS52" s="19" t="n">
        <f aca="false">IF($B52="",0,SUMIFS(INCORRIDO!$C$6:$C$5005,INCORRIDO!$D$6:$D$5005,$B52,INCORRIDO!$E$6:$E$5005,AS$7)+IF(AS$7&gt;PARAMETROS!$C$12,IF($H52&gt;0,$G52*CURVA!AS52/$H52,0)*AS$6,0))</f>
        <v>0</v>
      </c>
      <c r="AT52" s="19" t="n">
        <f aca="false">IF($B52="",0,SUMIFS(INCORRIDO!$C$6:$C$5005,INCORRIDO!$D$6:$D$5005,$B52,INCORRIDO!$E$6:$E$5005,AT$7)+IF(AT$7&gt;PARAMETROS!$C$12,IF($H52&gt;0,$G52*CURVA!AT52/$H52,0)*AT$6,0))</f>
        <v>0</v>
      </c>
      <c r="AU52" s="19" t="n">
        <f aca="false">IF($B52="",0,SUMIFS(INCORRIDO!$C$6:$C$5005,INCORRIDO!$D$6:$D$5005,$B52,INCORRIDO!$E$6:$E$5005,AU$7)+IF(AU$7&gt;PARAMETROS!$C$12,IF($H52&gt;0,$G52*CURVA!AU52/$H52,0)*AU$6,0))</f>
        <v>0</v>
      </c>
      <c r="AV52" s="19" t="n">
        <f aca="false">IF($B52="",0,SUMIFS(INCORRIDO!$C$6:$C$5005,INCORRIDO!$D$6:$D$5005,$B52,INCORRIDO!$E$6:$E$5005,AV$7)+IF(AV$7&gt;PARAMETROS!$C$12,IF($H52&gt;0,$G52*CURVA!AV52/$H52,0)*AV$6,0))</f>
        <v>0</v>
      </c>
      <c r="AW52" s="19" t="n">
        <f aca="false">IF($B52="",0,SUMIFS(INCORRIDO!$C$6:$C$5005,INCORRIDO!$D$6:$D$5005,$B52,INCORRIDO!$E$6:$E$5005,AW$7)+IF(AW$7&gt;PARAMETROS!$C$12,IF($H52&gt;0,$G52*CURVA!AW52/$H52,0)*AW$6,0))</f>
        <v>0</v>
      </c>
      <c r="AX52" s="19" t="n">
        <f aca="false">IF($B52="",0,SUMIFS(INCORRIDO!$C$6:$C$5005,INCORRIDO!$D$6:$D$5005,$B52,INCORRIDO!$E$6:$E$5005,AX$7)+IF(AX$7&gt;PARAMETROS!$C$12,IF($H52&gt;0,$G52*CURVA!AX52/$H52,0)*AX$6,0))</f>
        <v>0</v>
      </c>
      <c r="AY52" s="19" t="n">
        <f aca="false">IF($B52="",0,SUMIFS(INCORRIDO!$C$6:$C$5005,INCORRIDO!$D$6:$D$5005,$B52,INCORRIDO!$E$6:$E$5005,AY$7)+IF(AY$7&gt;PARAMETROS!$C$12,IF($H52&gt;0,$G52*CURVA!AY52/$H52,0)*AY$6,0))</f>
        <v>0</v>
      </c>
      <c r="AZ52" s="19" t="n">
        <f aca="false">IF($B52="",0,SUMIFS(INCORRIDO!$C$6:$C$5005,INCORRIDO!$D$6:$D$5005,$B52,INCORRIDO!$E$6:$E$5005,AZ$7)+IF(AZ$7&gt;PARAMETROS!$C$12,IF($H52&gt;0,$G52*CURVA!AZ52/$H52,0)*AZ$6,0))</f>
        <v>0</v>
      </c>
      <c r="BA52" s="19" t="n">
        <f aca="false">IF($B52="",0,SUMIFS(INCORRIDO!$C$6:$C$5005,INCORRIDO!$D$6:$D$5005,$B52,INCORRIDO!$E$6:$E$5005,BA$7)+IF(BA$7&gt;PARAMETROS!$C$12,IF($H52&gt;0,$G52*CURVA!BA52/$H52,0)*BA$6,0))</f>
        <v>0</v>
      </c>
      <c r="BB52" s="19" t="n">
        <f aca="false">IF($B52="",0,SUMIFS(INCORRIDO!$C$6:$C$5005,INCORRIDO!$D$6:$D$5005,$B52,INCORRIDO!$E$6:$E$5005,BB$7)+IF(BB$7&gt;PARAMETROS!$C$12,IF($H52&gt;0,$G52*CURVA!BB52/$H52,0)*BB$6,0))</f>
        <v>0</v>
      </c>
      <c r="BC52" s="19" t="n">
        <f aca="false">IF($B52="",0,SUMIFS(INCORRIDO!$C$6:$C$5005,INCORRIDO!$D$6:$D$5005,$B52,INCORRIDO!$E$6:$E$5005,BC$7)+IF(BC$7&gt;PARAMETROS!$C$12,IF($H52&gt;0,$G52*CURVA!BC52/$H52,0)*BC$6,0))</f>
        <v>0</v>
      </c>
      <c r="BD52" s="19" t="n">
        <f aca="false">IF($B52="",0,SUMIFS(INCORRIDO!$C$6:$C$5005,INCORRIDO!$D$6:$D$5005,$B52,INCORRIDO!$E$6:$E$5005,BD$7)+IF(BD$7&gt;PARAMETROS!$C$12,IF($H52&gt;0,$G52*CURVA!BD52/$H52,0)*BD$6,0))</f>
        <v>0</v>
      </c>
      <c r="BE52" s="19" t="n">
        <f aca="false">IF($B52="",0,SUMIFS(INCORRIDO!$C$6:$C$5005,INCORRIDO!$D$6:$D$5005,$B52,INCORRIDO!$E$6:$E$5005,BE$7)+IF(BE$7&gt;PARAMETROS!$C$12,IF($H52&gt;0,$G52*CURVA!BE52/$H52,0)*BE$6,0))</f>
        <v>0</v>
      </c>
      <c r="BF52" s="19" t="n">
        <f aca="false">IF($B52="",0,SUMIFS(INCORRIDO!$C$6:$C$5005,INCORRIDO!$D$6:$D$5005,$B52,INCORRIDO!$E$6:$E$5005,BF$7)+IF(BF$7&gt;PARAMETROS!$C$12,IF($H52&gt;0,$G52*CURVA!BF52/$H52,0)*BF$6,0))</f>
        <v>0</v>
      </c>
      <c r="BG52" s="19" t="n">
        <f aca="false">IF($B52="",0,SUMIFS(INCORRIDO!$C$6:$C$5005,INCORRIDO!$D$6:$D$5005,$B52,INCORRIDO!$E$6:$E$5005,BG$7)+IF(BG$7&gt;PARAMETROS!$C$12,IF($H52&gt;0,$G52*CURVA!BG52/$H52,0)*BG$6,0))</f>
        <v>0</v>
      </c>
      <c r="BH52" s="19" t="n">
        <f aca="false">IF($B52="",0,SUMIFS(INCORRIDO!$C$6:$C$5005,INCORRIDO!$D$6:$D$5005,$B52,INCORRIDO!$E$6:$E$5005,BH$7)+IF(BH$7&gt;PARAMETROS!$C$12,IF($H52&gt;0,$G52*CURVA!BH52/$H52,0)*BH$6,0))</f>
        <v>0</v>
      </c>
      <c r="BI52" s="19" t="n">
        <f aca="false">IF($B52="",0,SUMIFS(INCORRIDO!$C$6:$C$5005,INCORRIDO!$D$6:$D$5005,$B52,INCORRIDO!$E$6:$E$5005,BI$7)+IF(BI$7&gt;PARAMETROS!$C$12,IF($H52&gt;0,$G52*CURVA!BI52/$H52,0)*BI$6,0))</f>
        <v>0</v>
      </c>
      <c r="BJ52" s="19" t="n">
        <f aca="false">IF($B52="",0,SUMIFS(INCORRIDO!$C$6:$C$5005,INCORRIDO!$D$6:$D$5005,$B52,INCORRIDO!$E$6:$E$5005,BJ$7)+IF(BJ$7&gt;PARAMETROS!$C$12,IF($H52&gt;0,$G52*CURVA!BJ52/$H52,0)*BJ$6,0))</f>
        <v>0</v>
      </c>
      <c r="BK52" s="19" t="n">
        <f aca="false">IF($B52="",0,SUMIFS(INCORRIDO!$C$6:$C$5005,INCORRIDO!$D$6:$D$5005,$B52,INCORRIDO!$E$6:$E$5005,BK$7)+IF(BK$7&gt;PARAMETROS!$C$12,IF($H52&gt;0,$G52*CURVA!BK52/$H52,0)*BK$6,0))</f>
        <v>0</v>
      </c>
      <c r="BL52" s="19" t="n">
        <f aca="false">IF($B52="",0,SUMIFS(INCORRIDO!$C$6:$C$5005,INCORRIDO!$D$6:$D$5005,$B52,INCORRIDO!$E$6:$E$5005,BL$7)+IF(BL$7&gt;PARAMETROS!$C$12,IF($H52&gt;0,$G52*CURVA!BL52/$H52,0)*BL$6,0))</f>
        <v>0</v>
      </c>
      <c r="BM52" s="19" t="n">
        <f aca="false">IF($B52="",0,SUMIFS(INCORRIDO!$C$6:$C$5005,INCORRIDO!$D$6:$D$5005,$B52,INCORRIDO!$E$6:$E$5005,BM$7)+IF(BM$7&gt;PARAMETROS!$C$12,IF($H52&gt;0,$G52*CURVA!BM52/$H52,0)*BM$6,0))</f>
        <v>0</v>
      </c>
      <c r="BN52" s="19" t="n">
        <f aca="false">IF($B52="",0,SUMIFS(INCORRIDO!$C$6:$C$5005,INCORRIDO!$D$6:$D$5005,$B52,INCORRIDO!$E$6:$E$5005,BN$7)+IF(BN$7&gt;PARAMETROS!$C$12,IF($H52&gt;0,$G52*CURVA!BN52/$H52,0)*BN$6,0))</f>
        <v>0</v>
      </c>
      <c r="BO52" s="19" t="n">
        <f aca="false">IF($B52="",0,SUMIFS(INCORRIDO!$C$6:$C$5005,INCORRIDO!$D$6:$D$5005,$B52,INCORRIDO!$E$6:$E$5005,BO$7)+IF(BO$7&gt;PARAMETROS!$C$12,IF($H52&gt;0,$G52*CURVA!BO52/$H52,0)*BO$6,0))</f>
        <v>0</v>
      </c>
      <c r="BP52" s="19" t="n">
        <f aca="false">IF($B52="",0,SUMIFS(INCORRIDO!$C$6:$C$5005,INCORRIDO!$D$6:$D$5005,$B52,INCORRIDO!$E$6:$E$5005,BP$7)+IF(BP$7&gt;PARAMETROS!$C$12,IF($H52&gt;0,$G52*CURVA!BP52/$H52,0)*BP$6,0))</f>
        <v>0</v>
      </c>
      <c r="BQ52" s="19" t="n">
        <f aca="false">IF($B52="",0,SUMIFS(INCORRIDO!$C$6:$C$5005,INCORRIDO!$D$6:$D$5005,$B52,INCORRIDO!$E$6:$E$5005,BQ$7)+IF(BQ$7&gt;PARAMETROS!$C$12,IF($H52&gt;0,$G52*CURVA!BQ52/$H52,0)*BQ$6,0))</f>
        <v>0</v>
      </c>
      <c r="BR52" s="19" t="n">
        <f aca="false">IF($B52="",0,SUMIFS(INCORRIDO!$C$6:$C$5005,INCORRIDO!$D$6:$D$5005,$B52,INCORRIDO!$E$6:$E$5005,BR$7)+IF(BR$7&gt;PARAMETROS!$C$12,IF($H52&gt;0,$G52*CURVA!BR52/$H52,0)*BR$6,0))</f>
        <v>0</v>
      </c>
      <c r="BS52" s="19" t="n">
        <f aca="false">IF($B52="",0,SUMIFS(INCORRIDO!$C$6:$C$5005,INCORRIDO!$D$6:$D$5005,$B52,INCORRIDO!$E$6:$E$5005,BS$7)+IF(BS$7&gt;PARAMETROS!$C$12,IF($H52&gt;0,$G52*CURVA!BS52/$H52,0)*BS$6,0))</f>
        <v>0</v>
      </c>
      <c r="BT52" s="19" t="n">
        <f aca="false">IF($B52="",0,SUMIFS(INCORRIDO!$C$6:$C$5005,INCORRIDO!$D$6:$D$5005,$B52,INCORRIDO!$E$6:$E$5005,BT$7)+IF(BT$7&gt;PARAMETROS!$C$12,IF($H52&gt;0,$G52*CURVA!BT52/$H52,0)*BT$6,0))</f>
        <v>0</v>
      </c>
      <c r="BU52" s="19" t="n">
        <f aca="false">IF($B52="",0,SUMIFS(INCORRIDO!$C$6:$C$5005,INCORRIDO!$D$6:$D$5005,$B52,INCORRIDO!$E$6:$E$5005,BU$7)+IF(BU$7&gt;PARAMETROS!$C$12,IF($H52&gt;0,$G52*CURVA!BU52/$H52,0)*BU$6,0))</f>
        <v>0</v>
      </c>
      <c r="BV52" s="19" t="n">
        <f aca="false">IF($B52="",0,SUMIFS(INCORRIDO!$C$6:$C$5005,INCORRIDO!$D$6:$D$5005,$B52,INCORRIDO!$E$6:$E$5005,BV$7)+IF(BV$7&gt;PARAMETROS!$C$12,IF($H52&gt;0,$G52*CURVA!BV52/$H52,0)*BV$6,0))</f>
        <v>0</v>
      </c>
      <c r="BW52" s="19" t="n">
        <f aca="false">IF($B52="",0,SUMIFS(INCORRIDO!$C$6:$C$5005,INCORRIDO!$D$6:$D$5005,$B52,INCORRIDO!$E$6:$E$5005,BW$7)+IF(BW$7&gt;PARAMETROS!$C$12,IF($H52&gt;0,$G52*CURVA!BW52/$H52,0)*BW$6,0))</f>
        <v>0</v>
      </c>
      <c r="BX52" s="19" t="n">
        <f aca="false">IF($B52="",0,SUMIFS(INCORRIDO!$C$6:$C$5005,INCORRIDO!$D$6:$D$5005,$B52,INCORRIDO!$E$6:$E$5005,BX$7)+IF(BX$7&gt;PARAMETROS!$C$12,IF($H52&gt;0,$G52*CURVA!BX52/$H52,0)*BX$6,0))</f>
        <v>0</v>
      </c>
      <c r="BY52" s="19" t="n">
        <f aca="false">IF($B52="",0,SUMIFS(INCORRIDO!$C$6:$C$5005,INCORRIDO!$D$6:$D$5005,$B52,INCORRIDO!$E$6:$E$5005,BY$7)+IF(BY$7&gt;PARAMETROS!$C$12,IF($H52&gt;0,$G52*CURVA!BY52/$H52,0)*BY$6,0))</f>
        <v>0</v>
      </c>
      <c r="BZ52" s="19" t="n">
        <f aca="false">IF($B52="",0,SUMIFS(INCORRIDO!$C$6:$C$5005,INCORRIDO!$D$6:$D$5005,$B52,INCORRIDO!$E$6:$E$5005,BZ$7)+IF(BZ$7&gt;PARAMETROS!$C$12,IF($H52&gt;0,$G52*CURVA!BZ52/$H52,0)*BZ$6,0))</f>
        <v>0</v>
      </c>
      <c r="CA52" s="19" t="n">
        <f aca="false">IF($B52="",0,SUMIFS(INCORRIDO!$C$6:$C$5005,INCORRIDO!$D$6:$D$5005,$B52,INCORRIDO!$E$6:$E$5005,CA$7)+IF(CA$7&gt;PARAMETROS!$C$12,IF($H52&gt;0,$G52*CURVA!CA52/$H52,0)*CA$6,0))</f>
        <v>0</v>
      </c>
      <c r="CB52" s="19" t="n">
        <f aca="false">IF($B52="",0,SUMIFS(INCORRIDO!$C$6:$C$5005,INCORRIDO!$D$6:$D$5005,$B52,INCORRIDO!$E$6:$E$5005,CB$7)+IF(CB$7&gt;PARAMETROS!$C$12,IF($H52&gt;0,$G52*CURVA!CB52/$H52,0)*CB$6,0))</f>
        <v>0</v>
      </c>
      <c r="CC52" s="19" t="n">
        <f aca="false">IF($B52="",0,SUMIFS(INCORRIDO!$C$6:$C$5005,INCORRIDO!$D$6:$D$5005,$B52,INCORRIDO!$E$6:$E$5005,CC$7)+IF(CC$7&gt;PARAMETROS!$C$12,IF($H52&gt;0,$G52*CURVA!CC52/$H52,0)*CC$6,0))</f>
        <v>0</v>
      </c>
    </row>
    <row r="53" customFormat="false" ht="15" hidden="false" customHeight="false" outlineLevel="0" collapsed="false">
      <c r="A53" s="31" t="str">
        <f aca="false">IF(ORCAMENTO!A51="","",ORCAMENTO!A51)</f>
        <v/>
      </c>
      <c r="B53" s="31" t="str">
        <f aca="false">IF(ORCAMENTO!B51="","",ORCAMENTO!B51)</f>
        <v/>
      </c>
      <c r="C53" s="31" t="str">
        <f aca="false">IF(ORCAMENTO!C51="","",ORCAMENTO!C51)</f>
        <v/>
      </c>
      <c r="D53" s="32" t="n">
        <f aca="false">IF($B53="",0,ORCAMENTO!E51)</f>
        <v>0</v>
      </c>
      <c r="E53" s="19" t="n">
        <f aca="false">IF($B53="",0,SUMIFS(INCORRIDO!$C$6:$C$5005,INCORRIDO!$D$6:$D$5005,$B53,INCORRIDO!$E$6:$E$5005,"&lt;="&amp;PARAMETROS!$C$12))</f>
        <v>0</v>
      </c>
      <c r="F53" s="19" t="n">
        <f aca="false">IF($B53="",0,SUMIFS(INCORRIDO!$C$6:$C$5005,INCORRIDO!$D$6:$D$5005,$B53,INCORRIDO!$E$6:$E$5005,"&gt;"&amp;PARAMETROS!$C$12))</f>
        <v>0</v>
      </c>
      <c r="G53" s="19" t="n">
        <f aca="false">MAX(0,D53-E53-F53)</f>
        <v>0</v>
      </c>
      <c r="H53" s="32" t="n">
        <f aca="false">CURVA!H53</f>
        <v>0</v>
      </c>
      <c r="I53" s="19" t="n">
        <f aca="false">SUM(J53:CC53)</f>
        <v>0</v>
      </c>
      <c r="J53" s="19" t="n">
        <f aca="false">IF($B53="",0,SUMIFS(INCORRIDO!$C$6:$C$5005,INCORRIDO!$D$6:$D$5005,$B53,INCORRIDO!$E$6:$E$5005,"&lt;="&amp;J$7)+IF(J$7&gt;PARAMETROS!$C$12,IF($H53&gt;0,$G53*CURVA!J53/$H53,0)*J$6,0))</f>
        <v>0</v>
      </c>
      <c r="K53" s="19" t="n">
        <f aca="false">IF($B53="",0,SUMIFS(INCORRIDO!$C$6:$C$5005,INCORRIDO!$D$6:$D$5005,$B53,INCORRIDO!$E$6:$E$5005,K$7)+IF(K$7&gt;PARAMETROS!$C$12,IF($H53&gt;0,$G53*CURVA!K53/$H53,0)*K$6,0))</f>
        <v>0</v>
      </c>
      <c r="L53" s="19" t="n">
        <f aca="false">IF($B53="",0,SUMIFS(INCORRIDO!$C$6:$C$5005,INCORRIDO!$D$6:$D$5005,$B53,INCORRIDO!$E$6:$E$5005,L$7)+IF(L$7&gt;PARAMETROS!$C$12,IF($H53&gt;0,$G53*CURVA!L53/$H53,0)*L$6,0))</f>
        <v>0</v>
      </c>
      <c r="M53" s="19" t="n">
        <f aca="false">IF($B53="",0,SUMIFS(INCORRIDO!$C$6:$C$5005,INCORRIDO!$D$6:$D$5005,$B53,INCORRIDO!$E$6:$E$5005,M$7)+IF(M$7&gt;PARAMETROS!$C$12,IF($H53&gt;0,$G53*CURVA!M53/$H53,0)*M$6,0))</f>
        <v>0</v>
      </c>
      <c r="N53" s="19" t="n">
        <f aca="false">IF($B53="",0,SUMIFS(INCORRIDO!$C$6:$C$5005,INCORRIDO!$D$6:$D$5005,$B53,INCORRIDO!$E$6:$E$5005,N$7)+IF(N$7&gt;PARAMETROS!$C$12,IF($H53&gt;0,$G53*CURVA!N53/$H53,0)*N$6,0))</f>
        <v>0</v>
      </c>
      <c r="O53" s="19" t="n">
        <f aca="false">IF($B53="",0,SUMIFS(INCORRIDO!$C$6:$C$5005,INCORRIDO!$D$6:$D$5005,$B53,INCORRIDO!$E$6:$E$5005,O$7)+IF(O$7&gt;PARAMETROS!$C$12,IF($H53&gt;0,$G53*CURVA!O53/$H53,0)*O$6,0))</f>
        <v>0</v>
      </c>
      <c r="P53" s="19" t="n">
        <f aca="false">IF($B53="",0,SUMIFS(INCORRIDO!$C$6:$C$5005,INCORRIDO!$D$6:$D$5005,$B53,INCORRIDO!$E$6:$E$5005,P$7)+IF(P$7&gt;PARAMETROS!$C$12,IF($H53&gt;0,$G53*CURVA!P53/$H53,0)*P$6,0))</f>
        <v>0</v>
      </c>
      <c r="Q53" s="19" t="n">
        <f aca="false">IF($B53="",0,SUMIFS(INCORRIDO!$C$6:$C$5005,INCORRIDO!$D$6:$D$5005,$B53,INCORRIDO!$E$6:$E$5005,Q$7)+IF(Q$7&gt;PARAMETROS!$C$12,IF($H53&gt;0,$G53*CURVA!Q53/$H53,0)*Q$6,0))</f>
        <v>0</v>
      </c>
      <c r="R53" s="19" t="n">
        <f aca="false">IF($B53="",0,SUMIFS(INCORRIDO!$C$6:$C$5005,INCORRIDO!$D$6:$D$5005,$B53,INCORRIDO!$E$6:$E$5005,R$7)+IF(R$7&gt;PARAMETROS!$C$12,IF($H53&gt;0,$G53*CURVA!R53/$H53,0)*R$6,0))</f>
        <v>0</v>
      </c>
      <c r="S53" s="19" t="n">
        <f aca="false">IF($B53="",0,SUMIFS(INCORRIDO!$C$6:$C$5005,INCORRIDO!$D$6:$D$5005,$B53,INCORRIDO!$E$6:$E$5005,S$7)+IF(S$7&gt;PARAMETROS!$C$12,IF($H53&gt;0,$G53*CURVA!S53/$H53,0)*S$6,0))</f>
        <v>0</v>
      </c>
      <c r="T53" s="19" t="n">
        <f aca="false">IF($B53="",0,SUMIFS(INCORRIDO!$C$6:$C$5005,INCORRIDO!$D$6:$D$5005,$B53,INCORRIDO!$E$6:$E$5005,T$7)+IF(T$7&gt;PARAMETROS!$C$12,IF($H53&gt;0,$G53*CURVA!T53/$H53,0)*T$6,0))</f>
        <v>0</v>
      </c>
      <c r="U53" s="19" t="n">
        <f aca="false">IF($B53="",0,SUMIFS(INCORRIDO!$C$6:$C$5005,INCORRIDO!$D$6:$D$5005,$B53,INCORRIDO!$E$6:$E$5005,U$7)+IF(U$7&gt;PARAMETROS!$C$12,IF($H53&gt;0,$G53*CURVA!U53/$H53,0)*U$6,0))</f>
        <v>0</v>
      </c>
      <c r="V53" s="19" t="n">
        <f aca="false">IF($B53="",0,SUMIFS(INCORRIDO!$C$6:$C$5005,INCORRIDO!$D$6:$D$5005,$B53,INCORRIDO!$E$6:$E$5005,V$7)+IF(V$7&gt;PARAMETROS!$C$12,IF($H53&gt;0,$G53*CURVA!V53/$H53,0)*V$6,0))</f>
        <v>0</v>
      </c>
      <c r="W53" s="19" t="n">
        <f aca="false">IF($B53="",0,SUMIFS(INCORRIDO!$C$6:$C$5005,INCORRIDO!$D$6:$D$5005,$B53,INCORRIDO!$E$6:$E$5005,W$7)+IF(W$7&gt;PARAMETROS!$C$12,IF($H53&gt;0,$G53*CURVA!W53/$H53,0)*W$6,0))</f>
        <v>0</v>
      </c>
      <c r="X53" s="19" t="n">
        <f aca="false">IF($B53="",0,SUMIFS(INCORRIDO!$C$6:$C$5005,INCORRIDO!$D$6:$D$5005,$B53,INCORRIDO!$E$6:$E$5005,X$7)+IF(X$7&gt;PARAMETROS!$C$12,IF($H53&gt;0,$G53*CURVA!X53/$H53,0)*X$6,0))</f>
        <v>0</v>
      </c>
      <c r="Y53" s="19" t="n">
        <f aca="false">IF($B53="",0,SUMIFS(INCORRIDO!$C$6:$C$5005,INCORRIDO!$D$6:$D$5005,$B53,INCORRIDO!$E$6:$E$5005,Y$7)+IF(Y$7&gt;PARAMETROS!$C$12,IF($H53&gt;0,$G53*CURVA!Y53/$H53,0)*Y$6,0))</f>
        <v>0</v>
      </c>
      <c r="Z53" s="19" t="n">
        <f aca="false">IF($B53="",0,SUMIFS(INCORRIDO!$C$6:$C$5005,INCORRIDO!$D$6:$D$5005,$B53,INCORRIDO!$E$6:$E$5005,Z$7)+IF(Z$7&gt;PARAMETROS!$C$12,IF($H53&gt;0,$G53*CURVA!Z53/$H53,0)*Z$6,0))</f>
        <v>0</v>
      </c>
      <c r="AA53" s="19" t="n">
        <f aca="false">IF($B53="",0,SUMIFS(INCORRIDO!$C$6:$C$5005,INCORRIDO!$D$6:$D$5005,$B53,INCORRIDO!$E$6:$E$5005,AA$7)+IF(AA$7&gt;PARAMETROS!$C$12,IF($H53&gt;0,$G53*CURVA!AA53/$H53,0)*AA$6,0))</f>
        <v>0</v>
      </c>
      <c r="AB53" s="19" t="n">
        <f aca="false">IF($B53="",0,SUMIFS(INCORRIDO!$C$6:$C$5005,INCORRIDO!$D$6:$D$5005,$B53,INCORRIDO!$E$6:$E$5005,AB$7)+IF(AB$7&gt;PARAMETROS!$C$12,IF($H53&gt;0,$G53*CURVA!AB53/$H53,0)*AB$6,0))</f>
        <v>0</v>
      </c>
      <c r="AC53" s="19" t="n">
        <f aca="false">IF($B53="",0,SUMIFS(INCORRIDO!$C$6:$C$5005,INCORRIDO!$D$6:$D$5005,$B53,INCORRIDO!$E$6:$E$5005,AC$7)+IF(AC$7&gt;PARAMETROS!$C$12,IF($H53&gt;0,$G53*CURVA!AC53/$H53,0)*AC$6,0))</f>
        <v>0</v>
      </c>
      <c r="AD53" s="19" t="n">
        <f aca="false">IF($B53="",0,SUMIFS(INCORRIDO!$C$6:$C$5005,INCORRIDO!$D$6:$D$5005,$B53,INCORRIDO!$E$6:$E$5005,AD$7)+IF(AD$7&gt;PARAMETROS!$C$12,IF($H53&gt;0,$G53*CURVA!AD53/$H53,0)*AD$6,0))</f>
        <v>0</v>
      </c>
      <c r="AE53" s="19" t="n">
        <f aca="false">IF($B53="",0,SUMIFS(INCORRIDO!$C$6:$C$5005,INCORRIDO!$D$6:$D$5005,$B53,INCORRIDO!$E$6:$E$5005,AE$7)+IF(AE$7&gt;PARAMETROS!$C$12,IF($H53&gt;0,$G53*CURVA!AE53/$H53,0)*AE$6,0))</f>
        <v>0</v>
      </c>
      <c r="AF53" s="19" t="n">
        <f aca="false">IF($B53="",0,SUMIFS(INCORRIDO!$C$6:$C$5005,INCORRIDO!$D$6:$D$5005,$B53,INCORRIDO!$E$6:$E$5005,AF$7)+IF(AF$7&gt;PARAMETROS!$C$12,IF($H53&gt;0,$G53*CURVA!AF53/$H53,0)*AF$6,0))</f>
        <v>0</v>
      </c>
      <c r="AG53" s="19" t="n">
        <f aca="false">IF($B53="",0,SUMIFS(INCORRIDO!$C$6:$C$5005,INCORRIDO!$D$6:$D$5005,$B53,INCORRIDO!$E$6:$E$5005,AG$7)+IF(AG$7&gt;PARAMETROS!$C$12,IF($H53&gt;0,$G53*CURVA!AG53/$H53,0)*AG$6,0))</f>
        <v>0</v>
      </c>
      <c r="AH53" s="19" t="n">
        <f aca="false">IF($B53="",0,SUMIFS(INCORRIDO!$C$6:$C$5005,INCORRIDO!$D$6:$D$5005,$B53,INCORRIDO!$E$6:$E$5005,AH$7)+IF(AH$7&gt;PARAMETROS!$C$12,IF($H53&gt;0,$G53*CURVA!AH53/$H53,0)*AH$6,0))</f>
        <v>0</v>
      </c>
      <c r="AI53" s="19" t="n">
        <f aca="false">IF($B53="",0,SUMIFS(INCORRIDO!$C$6:$C$5005,INCORRIDO!$D$6:$D$5005,$B53,INCORRIDO!$E$6:$E$5005,AI$7)+IF(AI$7&gt;PARAMETROS!$C$12,IF($H53&gt;0,$G53*CURVA!AI53/$H53,0)*AI$6,0))</f>
        <v>0</v>
      </c>
      <c r="AJ53" s="19" t="n">
        <f aca="false">IF($B53="",0,SUMIFS(INCORRIDO!$C$6:$C$5005,INCORRIDO!$D$6:$D$5005,$B53,INCORRIDO!$E$6:$E$5005,AJ$7)+IF(AJ$7&gt;PARAMETROS!$C$12,IF($H53&gt;0,$G53*CURVA!AJ53/$H53,0)*AJ$6,0))</f>
        <v>0</v>
      </c>
      <c r="AK53" s="19" t="n">
        <f aca="false">IF($B53="",0,SUMIFS(INCORRIDO!$C$6:$C$5005,INCORRIDO!$D$6:$D$5005,$B53,INCORRIDO!$E$6:$E$5005,AK$7)+IF(AK$7&gt;PARAMETROS!$C$12,IF($H53&gt;0,$G53*CURVA!AK53/$H53,0)*AK$6,0))</f>
        <v>0</v>
      </c>
      <c r="AL53" s="19" t="n">
        <f aca="false">IF($B53="",0,SUMIFS(INCORRIDO!$C$6:$C$5005,INCORRIDO!$D$6:$D$5005,$B53,INCORRIDO!$E$6:$E$5005,AL$7)+IF(AL$7&gt;PARAMETROS!$C$12,IF($H53&gt;0,$G53*CURVA!AL53/$H53,0)*AL$6,0))</f>
        <v>0</v>
      </c>
      <c r="AM53" s="19" t="n">
        <f aca="false">IF($B53="",0,SUMIFS(INCORRIDO!$C$6:$C$5005,INCORRIDO!$D$6:$D$5005,$B53,INCORRIDO!$E$6:$E$5005,AM$7)+IF(AM$7&gt;PARAMETROS!$C$12,IF($H53&gt;0,$G53*CURVA!AM53/$H53,0)*AM$6,0))</f>
        <v>0</v>
      </c>
      <c r="AN53" s="19" t="n">
        <f aca="false">IF($B53="",0,SUMIFS(INCORRIDO!$C$6:$C$5005,INCORRIDO!$D$6:$D$5005,$B53,INCORRIDO!$E$6:$E$5005,AN$7)+IF(AN$7&gt;PARAMETROS!$C$12,IF($H53&gt;0,$G53*CURVA!AN53/$H53,0)*AN$6,0))</f>
        <v>0</v>
      </c>
      <c r="AO53" s="19" t="n">
        <f aca="false">IF($B53="",0,SUMIFS(INCORRIDO!$C$6:$C$5005,INCORRIDO!$D$6:$D$5005,$B53,INCORRIDO!$E$6:$E$5005,AO$7)+IF(AO$7&gt;PARAMETROS!$C$12,IF($H53&gt;0,$G53*CURVA!AO53/$H53,0)*AO$6,0))</f>
        <v>0</v>
      </c>
      <c r="AP53" s="19" t="n">
        <f aca="false">IF($B53="",0,SUMIFS(INCORRIDO!$C$6:$C$5005,INCORRIDO!$D$6:$D$5005,$B53,INCORRIDO!$E$6:$E$5005,AP$7)+IF(AP$7&gt;PARAMETROS!$C$12,IF($H53&gt;0,$G53*CURVA!AP53/$H53,0)*AP$6,0))</f>
        <v>0</v>
      </c>
      <c r="AQ53" s="19" t="n">
        <f aca="false">IF($B53="",0,SUMIFS(INCORRIDO!$C$6:$C$5005,INCORRIDO!$D$6:$D$5005,$B53,INCORRIDO!$E$6:$E$5005,AQ$7)+IF(AQ$7&gt;PARAMETROS!$C$12,IF($H53&gt;0,$G53*CURVA!AQ53/$H53,0)*AQ$6,0))</f>
        <v>0</v>
      </c>
      <c r="AR53" s="19" t="n">
        <f aca="false">IF($B53="",0,SUMIFS(INCORRIDO!$C$6:$C$5005,INCORRIDO!$D$6:$D$5005,$B53,INCORRIDO!$E$6:$E$5005,AR$7)+IF(AR$7&gt;PARAMETROS!$C$12,IF($H53&gt;0,$G53*CURVA!AR53/$H53,0)*AR$6,0))</f>
        <v>0</v>
      </c>
      <c r="AS53" s="19" t="n">
        <f aca="false">IF($B53="",0,SUMIFS(INCORRIDO!$C$6:$C$5005,INCORRIDO!$D$6:$D$5005,$B53,INCORRIDO!$E$6:$E$5005,AS$7)+IF(AS$7&gt;PARAMETROS!$C$12,IF($H53&gt;0,$G53*CURVA!AS53/$H53,0)*AS$6,0))</f>
        <v>0</v>
      </c>
      <c r="AT53" s="19" t="n">
        <f aca="false">IF($B53="",0,SUMIFS(INCORRIDO!$C$6:$C$5005,INCORRIDO!$D$6:$D$5005,$B53,INCORRIDO!$E$6:$E$5005,AT$7)+IF(AT$7&gt;PARAMETROS!$C$12,IF($H53&gt;0,$G53*CURVA!AT53/$H53,0)*AT$6,0))</f>
        <v>0</v>
      </c>
      <c r="AU53" s="19" t="n">
        <f aca="false">IF($B53="",0,SUMIFS(INCORRIDO!$C$6:$C$5005,INCORRIDO!$D$6:$D$5005,$B53,INCORRIDO!$E$6:$E$5005,AU$7)+IF(AU$7&gt;PARAMETROS!$C$12,IF($H53&gt;0,$G53*CURVA!AU53/$H53,0)*AU$6,0))</f>
        <v>0</v>
      </c>
      <c r="AV53" s="19" t="n">
        <f aca="false">IF($B53="",0,SUMIFS(INCORRIDO!$C$6:$C$5005,INCORRIDO!$D$6:$D$5005,$B53,INCORRIDO!$E$6:$E$5005,AV$7)+IF(AV$7&gt;PARAMETROS!$C$12,IF($H53&gt;0,$G53*CURVA!AV53/$H53,0)*AV$6,0))</f>
        <v>0</v>
      </c>
      <c r="AW53" s="19" t="n">
        <f aca="false">IF($B53="",0,SUMIFS(INCORRIDO!$C$6:$C$5005,INCORRIDO!$D$6:$D$5005,$B53,INCORRIDO!$E$6:$E$5005,AW$7)+IF(AW$7&gt;PARAMETROS!$C$12,IF($H53&gt;0,$G53*CURVA!AW53/$H53,0)*AW$6,0))</f>
        <v>0</v>
      </c>
      <c r="AX53" s="19" t="n">
        <f aca="false">IF($B53="",0,SUMIFS(INCORRIDO!$C$6:$C$5005,INCORRIDO!$D$6:$D$5005,$B53,INCORRIDO!$E$6:$E$5005,AX$7)+IF(AX$7&gt;PARAMETROS!$C$12,IF($H53&gt;0,$G53*CURVA!AX53/$H53,0)*AX$6,0))</f>
        <v>0</v>
      </c>
      <c r="AY53" s="19" t="n">
        <f aca="false">IF($B53="",0,SUMIFS(INCORRIDO!$C$6:$C$5005,INCORRIDO!$D$6:$D$5005,$B53,INCORRIDO!$E$6:$E$5005,AY$7)+IF(AY$7&gt;PARAMETROS!$C$12,IF($H53&gt;0,$G53*CURVA!AY53/$H53,0)*AY$6,0))</f>
        <v>0</v>
      </c>
      <c r="AZ53" s="19" t="n">
        <f aca="false">IF($B53="",0,SUMIFS(INCORRIDO!$C$6:$C$5005,INCORRIDO!$D$6:$D$5005,$B53,INCORRIDO!$E$6:$E$5005,AZ$7)+IF(AZ$7&gt;PARAMETROS!$C$12,IF($H53&gt;0,$G53*CURVA!AZ53/$H53,0)*AZ$6,0))</f>
        <v>0</v>
      </c>
      <c r="BA53" s="19" t="n">
        <f aca="false">IF($B53="",0,SUMIFS(INCORRIDO!$C$6:$C$5005,INCORRIDO!$D$6:$D$5005,$B53,INCORRIDO!$E$6:$E$5005,BA$7)+IF(BA$7&gt;PARAMETROS!$C$12,IF($H53&gt;0,$G53*CURVA!BA53/$H53,0)*BA$6,0))</f>
        <v>0</v>
      </c>
      <c r="BB53" s="19" t="n">
        <f aca="false">IF($B53="",0,SUMIFS(INCORRIDO!$C$6:$C$5005,INCORRIDO!$D$6:$D$5005,$B53,INCORRIDO!$E$6:$E$5005,BB$7)+IF(BB$7&gt;PARAMETROS!$C$12,IF($H53&gt;0,$G53*CURVA!BB53/$H53,0)*BB$6,0))</f>
        <v>0</v>
      </c>
      <c r="BC53" s="19" t="n">
        <f aca="false">IF($B53="",0,SUMIFS(INCORRIDO!$C$6:$C$5005,INCORRIDO!$D$6:$D$5005,$B53,INCORRIDO!$E$6:$E$5005,BC$7)+IF(BC$7&gt;PARAMETROS!$C$12,IF($H53&gt;0,$G53*CURVA!BC53/$H53,0)*BC$6,0))</f>
        <v>0</v>
      </c>
      <c r="BD53" s="19" t="n">
        <f aca="false">IF($B53="",0,SUMIFS(INCORRIDO!$C$6:$C$5005,INCORRIDO!$D$6:$D$5005,$B53,INCORRIDO!$E$6:$E$5005,BD$7)+IF(BD$7&gt;PARAMETROS!$C$12,IF($H53&gt;0,$G53*CURVA!BD53/$H53,0)*BD$6,0))</f>
        <v>0</v>
      </c>
      <c r="BE53" s="19" t="n">
        <f aca="false">IF($B53="",0,SUMIFS(INCORRIDO!$C$6:$C$5005,INCORRIDO!$D$6:$D$5005,$B53,INCORRIDO!$E$6:$E$5005,BE$7)+IF(BE$7&gt;PARAMETROS!$C$12,IF($H53&gt;0,$G53*CURVA!BE53/$H53,0)*BE$6,0))</f>
        <v>0</v>
      </c>
      <c r="BF53" s="19" t="n">
        <f aca="false">IF($B53="",0,SUMIFS(INCORRIDO!$C$6:$C$5005,INCORRIDO!$D$6:$D$5005,$B53,INCORRIDO!$E$6:$E$5005,BF$7)+IF(BF$7&gt;PARAMETROS!$C$12,IF($H53&gt;0,$G53*CURVA!BF53/$H53,0)*BF$6,0))</f>
        <v>0</v>
      </c>
      <c r="BG53" s="19" t="n">
        <f aca="false">IF($B53="",0,SUMIFS(INCORRIDO!$C$6:$C$5005,INCORRIDO!$D$6:$D$5005,$B53,INCORRIDO!$E$6:$E$5005,BG$7)+IF(BG$7&gt;PARAMETROS!$C$12,IF($H53&gt;0,$G53*CURVA!BG53/$H53,0)*BG$6,0))</f>
        <v>0</v>
      </c>
      <c r="BH53" s="19" t="n">
        <f aca="false">IF($B53="",0,SUMIFS(INCORRIDO!$C$6:$C$5005,INCORRIDO!$D$6:$D$5005,$B53,INCORRIDO!$E$6:$E$5005,BH$7)+IF(BH$7&gt;PARAMETROS!$C$12,IF($H53&gt;0,$G53*CURVA!BH53/$H53,0)*BH$6,0))</f>
        <v>0</v>
      </c>
      <c r="BI53" s="19" t="n">
        <f aca="false">IF($B53="",0,SUMIFS(INCORRIDO!$C$6:$C$5005,INCORRIDO!$D$6:$D$5005,$B53,INCORRIDO!$E$6:$E$5005,BI$7)+IF(BI$7&gt;PARAMETROS!$C$12,IF($H53&gt;0,$G53*CURVA!BI53/$H53,0)*BI$6,0))</f>
        <v>0</v>
      </c>
      <c r="BJ53" s="19" t="n">
        <f aca="false">IF($B53="",0,SUMIFS(INCORRIDO!$C$6:$C$5005,INCORRIDO!$D$6:$D$5005,$B53,INCORRIDO!$E$6:$E$5005,BJ$7)+IF(BJ$7&gt;PARAMETROS!$C$12,IF($H53&gt;0,$G53*CURVA!BJ53/$H53,0)*BJ$6,0))</f>
        <v>0</v>
      </c>
      <c r="BK53" s="19" t="n">
        <f aca="false">IF($B53="",0,SUMIFS(INCORRIDO!$C$6:$C$5005,INCORRIDO!$D$6:$D$5005,$B53,INCORRIDO!$E$6:$E$5005,BK$7)+IF(BK$7&gt;PARAMETROS!$C$12,IF($H53&gt;0,$G53*CURVA!BK53/$H53,0)*BK$6,0))</f>
        <v>0</v>
      </c>
      <c r="BL53" s="19" t="n">
        <f aca="false">IF($B53="",0,SUMIFS(INCORRIDO!$C$6:$C$5005,INCORRIDO!$D$6:$D$5005,$B53,INCORRIDO!$E$6:$E$5005,BL$7)+IF(BL$7&gt;PARAMETROS!$C$12,IF($H53&gt;0,$G53*CURVA!BL53/$H53,0)*BL$6,0))</f>
        <v>0</v>
      </c>
      <c r="BM53" s="19" t="n">
        <f aca="false">IF($B53="",0,SUMIFS(INCORRIDO!$C$6:$C$5005,INCORRIDO!$D$6:$D$5005,$B53,INCORRIDO!$E$6:$E$5005,BM$7)+IF(BM$7&gt;PARAMETROS!$C$12,IF($H53&gt;0,$G53*CURVA!BM53/$H53,0)*BM$6,0))</f>
        <v>0</v>
      </c>
      <c r="BN53" s="19" t="n">
        <f aca="false">IF($B53="",0,SUMIFS(INCORRIDO!$C$6:$C$5005,INCORRIDO!$D$6:$D$5005,$B53,INCORRIDO!$E$6:$E$5005,BN$7)+IF(BN$7&gt;PARAMETROS!$C$12,IF($H53&gt;0,$G53*CURVA!BN53/$H53,0)*BN$6,0))</f>
        <v>0</v>
      </c>
      <c r="BO53" s="19" t="n">
        <f aca="false">IF($B53="",0,SUMIFS(INCORRIDO!$C$6:$C$5005,INCORRIDO!$D$6:$D$5005,$B53,INCORRIDO!$E$6:$E$5005,BO$7)+IF(BO$7&gt;PARAMETROS!$C$12,IF($H53&gt;0,$G53*CURVA!BO53/$H53,0)*BO$6,0))</f>
        <v>0</v>
      </c>
      <c r="BP53" s="19" t="n">
        <f aca="false">IF($B53="",0,SUMIFS(INCORRIDO!$C$6:$C$5005,INCORRIDO!$D$6:$D$5005,$B53,INCORRIDO!$E$6:$E$5005,BP$7)+IF(BP$7&gt;PARAMETROS!$C$12,IF($H53&gt;0,$G53*CURVA!BP53/$H53,0)*BP$6,0))</f>
        <v>0</v>
      </c>
      <c r="BQ53" s="19" t="n">
        <f aca="false">IF($B53="",0,SUMIFS(INCORRIDO!$C$6:$C$5005,INCORRIDO!$D$6:$D$5005,$B53,INCORRIDO!$E$6:$E$5005,BQ$7)+IF(BQ$7&gt;PARAMETROS!$C$12,IF($H53&gt;0,$G53*CURVA!BQ53/$H53,0)*BQ$6,0))</f>
        <v>0</v>
      </c>
      <c r="BR53" s="19" t="n">
        <f aca="false">IF($B53="",0,SUMIFS(INCORRIDO!$C$6:$C$5005,INCORRIDO!$D$6:$D$5005,$B53,INCORRIDO!$E$6:$E$5005,BR$7)+IF(BR$7&gt;PARAMETROS!$C$12,IF($H53&gt;0,$G53*CURVA!BR53/$H53,0)*BR$6,0))</f>
        <v>0</v>
      </c>
      <c r="BS53" s="19" t="n">
        <f aca="false">IF($B53="",0,SUMIFS(INCORRIDO!$C$6:$C$5005,INCORRIDO!$D$6:$D$5005,$B53,INCORRIDO!$E$6:$E$5005,BS$7)+IF(BS$7&gt;PARAMETROS!$C$12,IF($H53&gt;0,$G53*CURVA!BS53/$H53,0)*BS$6,0))</f>
        <v>0</v>
      </c>
      <c r="BT53" s="19" t="n">
        <f aca="false">IF($B53="",0,SUMIFS(INCORRIDO!$C$6:$C$5005,INCORRIDO!$D$6:$D$5005,$B53,INCORRIDO!$E$6:$E$5005,BT$7)+IF(BT$7&gt;PARAMETROS!$C$12,IF($H53&gt;0,$G53*CURVA!BT53/$H53,0)*BT$6,0))</f>
        <v>0</v>
      </c>
      <c r="BU53" s="19" t="n">
        <f aca="false">IF($B53="",0,SUMIFS(INCORRIDO!$C$6:$C$5005,INCORRIDO!$D$6:$D$5005,$B53,INCORRIDO!$E$6:$E$5005,BU$7)+IF(BU$7&gt;PARAMETROS!$C$12,IF($H53&gt;0,$G53*CURVA!BU53/$H53,0)*BU$6,0))</f>
        <v>0</v>
      </c>
      <c r="BV53" s="19" t="n">
        <f aca="false">IF($B53="",0,SUMIFS(INCORRIDO!$C$6:$C$5005,INCORRIDO!$D$6:$D$5005,$B53,INCORRIDO!$E$6:$E$5005,BV$7)+IF(BV$7&gt;PARAMETROS!$C$12,IF($H53&gt;0,$G53*CURVA!BV53/$H53,0)*BV$6,0))</f>
        <v>0</v>
      </c>
      <c r="BW53" s="19" t="n">
        <f aca="false">IF($B53="",0,SUMIFS(INCORRIDO!$C$6:$C$5005,INCORRIDO!$D$6:$D$5005,$B53,INCORRIDO!$E$6:$E$5005,BW$7)+IF(BW$7&gt;PARAMETROS!$C$12,IF($H53&gt;0,$G53*CURVA!BW53/$H53,0)*BW$6,0))</f>
        <v>0</v>
      </c>
      <c r="BX53" s="19" t="n">
        <f aca="false">IF($B53="",0,SUMIFS(INCORRIDO!$C$6:$C$5005,INCORRIDO!$D$6:$D$5005,$B53,INCORRIDO!$E$6:$E$5005,BX$7)+IF(BX$7&gt;PARAMETROS!$C$12,IF($H53&gt;0,$G53*CURVA!BX53/$H53,0)*BX$6,0))</f>
        <v>0</v>
      </c>
      <c r="BY53" s="19" t="n">
        <f aca="false">IF($B53="",0,SUMIFS(INCORRIDO!$C$6:$C$5005,INCORRIDO!$D$6:$D$5005,$B53,INCORRIDO!$E$6:$E$5005,BY$7)+IF(BY$7&gt;PARAMETROS!$C$12,IF($H53&gt;0,$G53*CURVA!BY53/$H53,0)*BY$6,0))</f>
        <v>0</v>
      </c>
      <c r="BZ53" s="19" t="n">
        <f aca="false">IF($B53="",0,SUMIFS(INCORRIDO!$C$6:$C$5005,INCORRIDO!$D$6:$D$5005,$B53,INCORRIDO!$E$6:$E$5005,BZ$7)+IF(BZ$7&gt;PARAMETROS!$C$12,IF($H53&gt;0,$G53*CURVA!BZ53/$H53,0)*BZ$6,0))</f>
        <v>0</v>
      </c>
      <c r="CA53" s="19" t="n">
        <f aca="false">IF($B53="",0,SUMIFS(INCORRIDO!$C$6:$C$5005,INCORRIDO!$D$6:$D$5005,$B53,INCORRIDO!$E$6:$E$5005,CA$7)+IF(CA$7&gt;PARAMETROS!$C$12,IF($H53&gt;0,$G53*CURVA!CA53/$H53,0)*CA$6,0))</f>
        <v>0</v>
      </c>
      <c r="CB53" s="19" t="n">
        <f aca="false">IF($B53="",0,SUMIFS(INCORRIDO!$C$6:$C$5005,INCORRIDO!$D$6:$D$5005,$B53,INCORRIDO!$E$6:$E$5005,CB$7)+IF(CB$7&gt;PARAMETROS!$C$12,IF($H53&gt;0,$G53*CURVA!CB53/$H53,0)*CB$6,0))</f>
        <v>0</v>
      </c>
      <c r="CC53" s="19" t="n">
        <f aca="false">IF($B53="",0,SUMIFS(INCORRIDO!$C$6:$C$5005,INCORRIDO!$D$6:$D$5005,$B53,INCORRIDO!$E$6:$E$5005,CC$7)+IF(CC$7&gt;PARAMETROS!$C$12,IF($H53&gt;0,$G53*CURVA!CC53/$H53,0)*CC$6,0))</f>
        <v>0</v>
      </c>
    </row>
    <row r="54" customFormat="false" ht="15" hidden="false" customHeight="false" outlineLevel="0" collapsed="false">
      <c r="A54" s="31" t="str">
        <f aca="false">IF(ORCAMENTO!A52="","",ORCAMENTO!A52)</f>
        <v/>
      </c>
      <c r="B54" s="31" t="str">
        <f aca="false">IF(ORCAMENTO!B52="","",ORCAMENTO!B52)</f>
        <v/>
      </c>
      <c r="C54" s="31" t="str">
        <f aca="false">IF(ORCAMENTO!C52="","",ORCAMENTO!C52)</f>
        <v/>
      </c>
      <c r="D54" s="32" t="n">
        <f aca="false">IF($B54="",0,ORCAMENTO!E52)</f>
        <v>0</v>
      </c>
      <c r="E54" s="19" t="n">
        <f aca="false">IF($B54="",0,SUMIFS(INCORRIDO!$C$6:$C$5005,INCORRIDO!$D$6:$D$5005,$B54,INCORRIDO!$E$6:$E$5005,"&lt;="&amp;PARAMETROS!$C$12))</f>
        <v>0</v>
      </c>
      <c r="F54" s="19" t="n">
        <f aca="false">IF($B54="",0,SUMIFS(INCORRIDO!$C$6:$C$5005,INCORRIDO!$D$6:$D$5005,$B54,INCORRIDO!$E$6:$E$5005,"&gt;"&amp;PARAMETROS!$C$12))</f>
        <v>0</v>
      </c>
      <c r="G54" s="19" t="n">
        <f aca="false">MAX(0,D54-E54-F54)</f>
        <v>0</v>
      </c>
      <c r="H54" s="32" t="n">
        <f aca="false">CURVA!H54</f>
        <v>0</v>
      </c>
      <c r="I54" s="19" t="n">
        <f aca="false">SUM(J54:CC54)</f>
        <v>0</v>
      </c>
      <c r="J54" s="19" t="n">
        <f aca="false">IF($B54="",0,SUMIFS(INCORRIDO!$C$6:$C$5005,INCORRIDO!$D$6:$D$5005,$B54,INCORRIDO!$E$6:$E$5005,"&lt;="&amp;J$7)+IF(J$7&gt;PARAMETROS!$C$12,IF($H54&gt;0,$G54*CURVA!J54/$H54,0)*J$6,0))</f>
        <v>0</v>
      </c>
      <c r="K54" s="19" t="n">
        <f aca="false">IF($B54="",0,SUMIFS(INCORRIDO!$C$6:$C$5005,INCORRIDO!$D$6:$D$5005,$B54,INCORRIDO!$E$6:$E$5005,K$7)+IF(K$7&gt;PARAMETROS!$C$12,IF($H54&gt;0,$G54*CURVA!K54/$H54,0)*K$6,0))</f>
        <v>0</v>
      </c>
      <c r="L54" s="19" t="n">
        <f aca="false">IF($B54="",0,SUMIFS(INCORRIDO!$C$6:$C$5005,INCORRIDO!$D$6:$D$5005,$B54,INCORRIDO!$E$6:$E$5005,L$7)+IF(L$7&gt;PARAMETROS!$C$12,IF($H54&gt;0,$G54*CURVA!L54/$H54,0)*L$6,0))</f>
        <v>0</v>
      </c>
      <c r="M54" s="19" t="n">
        <f aca="false">IF($B54="",0,SUMIFS(INCORRIDO!$C$6:$C$5005,INCORRIDO!$D$6:$D$5005,$B54,INCORRIDO!$E$6:$E$5005,M$7)+IF(M$7&gt;PARAMETROS!$C$12,IF($H54&gt;0,$G54*CURVA!M54/$H54,0)*M$6,0))</f>
        <v>0</v>
      </c>
      <c r="N54" s="19" t="n">
        <f aca="false">IF($B54="",0,SUMIFS(INCORRIDO!$C$6:$C$5005,INCORRIDO!$D$6:$D$5005,$B54,INCORRIDO!$E$6:$E$5005,N$7)+IF(N$7&gt;PARAMETROS!$C$12,IF($H54&gt;0,$G54*CURVA!N54/$H54,0)*N$6,0))</f>
        <v>0</v>
      </c>
      <c r="O54" s="19" t="n">
        <f aca="false">IF($B54="",0,SUMIFS(INCORRIDO!$C$6:$C$5005,INCORRIDO!$D$6:$D$5005,$B54,INCORRIDO!$E$6:$E$5005,O$7)+IF(O$7&gt;PARAMETROS!$C$12,IF($H54&gt;0,$G54*CURVA!O54/$H54,0)*O$6,0))</f>
        <v>0</v>
      </c>
      <c r="P54" s="19" t="n">
        <f aca="false">IF($B54="",0,SUMIFS(INCORRIDO!$C$6:$C$5005,INCORRIDO!$D$6:$D$5005,$B54,INCORRIDO!$E$6:$E$5005,P$7)+IF(P$7&gt;PARAMETROS!$C$12,IF($H54&gt;0,$G54*CURVA!P54/$H54,0)*P$6,0))</f>
        <v>0</v>
      </c>
      <c r="Q54" s="19" t="n">
        <f aca="false">IF($B54="",0,SUMIFS(INCORRIDO!$C$6:$C$5005,INCORRIDO!$D$6:$D$5005,$B54,INCORRIDO!$E$6:$E$5005,Q$7)+IF(Q$7&gt;PARAMETROS!$C$12,IF($H54&gt;0,$G54*CURVA!Q54/$H54,0)*Q$6,0))</f>
        <v>0</v>
      </c>
      <c r="R54" s="19" t="n">
        <f aca="false">IF($B54="",0,SUMIFS(INCORRIDO!$C$6:$C$5005,INCORRIDO!$D$6:$D$5005,$B54,INCORRIDO!$E$6:$E$5005,R$7)+IF(R$7&gt;PARAMETROS!$C$12,IF($H54&gt;0,$G54*CURVA!R54/$H54,0)*R$6,0))</f>
        <v>0</v>
      </c>
      <c r="S54" s="19" t="n">
        <f aca="false">IF($B54="",0,SUMIFS(INCORRIDO!$C$6:$C$5005,INCORRIDO!$D$6:$D$5005,$B54,INCORRIDO!$E$6:$E$5005,S$7)+IF(S$7&gt;PARAMETROS!$C$12,IF($H54&gt;0,$G54*CURVA!S54/$H54,0)*S$6,0))</f>
        <v>0</v>
      </c>
      <c r="T54" s="19" t="n">
        <f aca="false">IF($B54="",0,SUMIFS(INCORRIDO!$C$6:$C$5005,INCORRIDO!$D$6:$D$5005,$B54,INCORRIDO!$E$6:$E$5005,T$7)+IF(T$7&gt;PARAMETROS!$C$12,IF($H54&gt;0,$G54*CURVA!T54/$H54,0)*T$6,0))</f>
        <v>0</v>
      </c>
      <c r="U54" s="19" t="n">
        <f aca="false">IF($B54="",0,SUMIFS(INCORRIDO!$C$6:$C$5005,INCORRIDO!$D$6:$D$5005,$B54,INCORRIDO!$E$6:$E$5005,U$7)+IF(U$7&gt;PARAMETROS!$C$12,IF($H54&gt;0,$G54*CURVA!U54/$H54,0)*U$6,0))</f>
        <v>0</v>
      </c>
      <c r="V54" s="19" t="n">
        <f aca="false">IF($B54="",0,SUMIFS(INCORRIDO!$C$6:$C$5005,INCORRIDO!$D$6:$D$5005,$B54,INCORRIDO!$E$6:$E$5005,V$7)+IF(V$7&gt;PARAMETROS!$C$12,IF($H54&gt;0,$G54*CURVA!V54/$H54,0)*V$6,0))</f>
        <v>0</v>
      </c>
      <c r="W54" s="19" t="n">
        <f aca="false">IF($B54="",0,SUMIFS(INCORRIDO!$C$6:$C$5005,INCORRIDO!$D$6:$D$5005,$B54,INCORRIDO!$E$6:$E$5005,W$7)+IF(W$7&gt;PARAMETROS!$C$12,IF($H54&gt;0,$G54*CURVA!W54/$H54,0)*W$6,0))</f>
        <v>0</v>
      </c>
      <c r="X54" s="19" t="n">
        <f aca="false">IF($B54="",0,SUMIFS(INCORRIDO!$C$6:$C$5005,INCORRIDO!$D$6:$D$5005,$B54,INCORRIDO!$E$6:$E$5005,X$7)+IF(X$7&gt;PARAMETROS!$C$12,IF($H54&gt;0,$G54*CURVA!X54/$H54,0)*X$6,0))</f>
        <v>0</v>
      </c>
      <c r="Y54" s="19" t="n">
        <f aca="false">IF($B54="",0,SUMIFS(INCORRIDO!$C$6:$C$5005,INCORRIDO!$D$6:$D$5005,$B54,INCORRIDO!$E$6:$E$5005,Y$7)+IF(Y$7&gt;PARAMETROS!$C$12,IF($H54&gt;0,$G54*CURVA!Y54/$H54,0)*Y$6,0))</f>
        <v>0</v>
      </c>
      <c r="Z54" s="19" t="n">
        <f aca="false">IF($B54="",0,SUMIFS(INCORRIDO!$C$6:$C$5005,INCORRIDO!$D$6:$D$5005,$B54,INCORRIDO!$E$6:$E$5005,Z$7)+IF(Z$7&gt;PARAMETROS!$C$12,IF($H54&gt;0,$G54*CURVA!Z54/$H54,0)*Z$6,0))</f>
        <v>0</v>
      </c>
      <c r="AA54" s="19" t="n">
        <f aca="false">IF($B54="",0,SUMIFS(INCORRIDO!$C$6:$C$5005,INCORRIDO!$D$6:$D$5005,$B54,INCORRIDO!$E$6:$E$5005,AA$7)+IF(AA$7&gt;PARAMETROS!$C$12,IF($H54&gt;0,$G54*CURVA!AA54/$H54,0)*AA$6,0))</f>
        <v>0</v>
      </c>
      <c r="AB54" s="19" t="n">
        <f aca="false">IF($B54="",0,SUMIFS(INCORRIDO!$C$6:$C$5005,INCORRIDO!$D$6:$D$5005,$B54,INCORRIDO!$E$6:$E$5005,AB$7)+IF(AB$7&gt;PARAMETROS!$C$12,IF($H54&gt;0,$G54*CURVA!AB54/$H54,0)*AB$6,0))</f>
        <v>0</v>
      </c>
      <c r="AC54" s="19" t="n">
        <f aca="false">IF($B54="",0,SUMIFS(INCORRIDO!$C$6:$C$5005,INCORRIDO!$D$6:$D$5005,$B54,INCORRIDO!$E$6:$E$5005,AC$7)+IF(AC$7&gt;PARAMETROS!$C$12,IF($H54&gt;0,$G54*CURVA!AC54/$H54,0)*AC$6,0))</f>
        <v>0</v>
      </c>
      <c r="AD54" s="19" t="n">
        <f aca="false">IF($B54="",0,SUMIFS(INCORRIDO!$C$6:$C$5005,INCORRIDO!$D$6:$D$5005,$B54,INCORRIDO!$E$6:$E$5005,AD$7)+IF(AD$7&gt;PARAMETROS!$C$12,IF($H54&gt;0,$G54*CURVA!AD54/$H54,0)*AD$6,0))</f>
        <v>0</v>
      </c>
      <c r="AE54" s="19" t="n">
        <f aca="false">IF($B54="",0,SUMIFS(INCORRIDO!$C$6:$C$5005,INCORRIDO!$D$6:$D$5005,$B54,INCORRIDO!$E$6:$E$5005,AE$7)+IF(AE$7&gt;PARAMETROS!$C$12,IF($H54&gt;0,$G54*CURVA!AE54/$H54,0)*AE$6,0))</f>
        <v>0</v>
      </c>
      <c r="AF54" s="19" t="n">
        <f aca="false">IF($B54="",0,SUMIFS(INCORRIDO!$C$6:$C$5005,INCORRIDO!$D$6:$D$5005,$B54,INCORRIDO!$E$6:$E$5005,AF$7)+IF(AF$7&gt;PARAMETROS!$C$12,IF($H54&gt;0,$G54*CURVA!AF54/$H54,0)*AF$6,0))</f>
        <v>0</v>
      </c>
      <c r="AG54" s="19" t="n">
        <f aca="false">IF($B54="",0,SUMIFS(INCORRIDO!$C$6:$C$5005,INCORRIDO!$D$6:$D$5005,$B54,INCORRIDO!$E$6:$E$5005,AG$7)+IF(AG$7&gt;PARAMETROS!$C$12,IF($H54&gt;0,$G54*CURVA!AG54/$H54,0)*AG$6,0))</f>
        <v>0</v>
      </c>
      <c r="AH54" s="19" t="n">
        <f aca="false">IF($B54="",0,SUMIFS(INCORRIDO!$C$6:$C$5005,INCORRIDO!$D$6:$D$5005,$B54,INCORRIDO!$E$6:$E$5005,AH$7)+IF(AH$7&gt;PARAMETROS!$C$12,IF($H54&gt;0,$G54*CURVA!AH54/$H54,0)*AH$6,0))</f>
        <v>0</v>
      </c>
      <c r="AI54" s="19" t="n">
        <f aca="false">IF($B54="",0,SUMIFS(INCORRIDO!$C$6:$C$5005,INCORRIDO!$D$6:$D$5005,$B54,INCORRIDO!$E$6:$E$5005,AI$7)+IF(AI$7&gt;PARAMETROS!$C$12,IF($H54&gt;0,$G54*CURVA!AI54/$H54,0)*AI$6,0))</f>
        <v>0</v>
      </c>
      <c r="AJ54" s="19" t="n">
        <f aca="false">IF($B54="",0,SUMIFS(INCORRIDO!$C$6:$C$5005,INCORRIDO!$D$6:$D$5005,$B54,INCORRIDO!$E$6:$E$5005,AJ$7)+IF(AJ$7&gt;PARAMETROS!$C$12,IF($H54&gt;0,$G54*CURVA!AJ54/$H54,0)*AJ$6,0))</f>
        <v>0</v>
      </c>
      <c r="AK54" s="19" t="n">
        <f aca="false">IF($B54="",0,SUMIFS(INCORRIDO!$C$6:$C$5005,INCORRIDO!$D$6:$D$5005,$B54,INCORRIDO!$E$6:$E$5005,AK$7)+IF(AK$7&gt;PARAMETROS!$C$12,IF($H54&gt;0,$G54*CURVA!AK54/$H54,0)*AK$6,0))</f>
        <v>0</v>
      </c>
      <c r="AL54" s="19" t="n">
        <f aca="false">IF($B54="",0,SUMIFS(INCORRIDO!$C$6:$C$5005,INCORRIDO!$D$6:$D$5005,$B54,INCORRIDO!$E$6:$E$5005,AL$7)+IF(AL$7&gt;PARAMETROS!$C$12,IF($H54&gt;0,$G54*CURVA!AL54/$H54,0)*AL$6,0))</f>
        <v>0</v>
      </c>
      <c r="AM54" s="19" t="n">
        <f aca="false">IF($B54="",0,SUMIFS(INCORRIDO!$C$6:$C$5005,INCORRIDO!$D$6:$D$5005,$B54,INCORRIDO!$E$6:$E$5005,AM$7)+IF(AM$7&gt;PARAMETROS!$C$12,IF($H54&gt;0,$G54*CURVA!AM54/$H54,0)*AM$6,0))</f>
        <v>0</v>
      </c>
      <c r="AN54" s="19" t="n">
        <f aca="false">IF($B54="",0,SUMIFS(INCORRIDO!$C$6:$C$5005,INCORRIDO!$D$6:$D$5005,$B54,INCORRIDO!$E$6:$E$5005,AN$7)+IF(AN$7&gt;PARAMETROS!$C$12,IF($H54&gt;0,$G54*CURVA!AN54/$H54,0)*AN$6,0))</f>
        <v>0</v>
      </c>
      <c r="AO54" s="19" t="n">
        <f aca="false">IF($B54="",0,SUMIFS(INCORRIDO!$C$6:$C$5005,INCORRIDO!$D$6:$D$5005,$B54,INCORRIDO!$E$6:$E$5005,AO$7)+IF(AO$7&gt;PARAMETROS!$C$12,IF($H54&gt;0,$G54*CURVA!AO54/$H54,0)*AO$6,0))</f>
        <v>0</v>
      </c>
      <c r="AP54" s="19" t="n">
        <f aca="false">IF($B54="",0,SUMIFS(INCORRIDO!$C$6:$C$5005,INCORRIDO!$D$6:$D$5005,$B54,INCORRIDO!$E$6:$E$5005,AP$7)+IF(AP$7&gt;PARAMETROS!$C$12,IF($H54&gt;0,$G54*CURVA!AP54/$H54,0)*AP$6,0))</f>
        <v>0</v>
      </c>
      <c r="AQ54" s="19" t="n">
        <f aca="false">IF($B54="",0,SUMIFS(INCORRIDO!$C$6:$C$5005,INCORRIDO!$D$6:$D$5005,$B54,INCORRIDO!$E$6:$E$5005,AQ$7)+IF(AQ$7&gt;PARAMETROS!$C$12,IF($H54&gt;0,$G54*CURVA!AQ54/$H54,0)*AQ$6,0))</f>
        <v>0</v>
      </c>
      <c r="AR54" s="19" t="n">
        <f aca="false">IF($B54="",0,SUMIFS(INCORRIDO!$C$6:$C$5005,INCORRIDO!$D$6:$D$5005,$B54,INCORRIDO!$E$6:$E$5005,AR$7)+IF(AR$7&gt;PARAMETROS!$C$12,IF($H54&gt;0,$G54*CURVA!AR54/$H54,0)*AR$6,0))</f>
        <v>0</v>
      </c>
      <c r="AS54" s="19" t="n">
        <f aca="false">IF($B54="",0,SUMIFS(INCORRIDO!$C$6:$C$5005,INCORRIDO!$D$6:$D$5005,$B54,INCORRIDO!$E$6:$E$5005,AS$7)+IF(AS$7&gt;PARAMETROS!$C$12,IF($H54&gt;0,$G54*CURVA!AS54/$H54,0)*AS$6,0))</f>
        <v>0</v>
      </c>
      <c r="AT54" s="19" t="n">
        <f aca="false">IF($B54="",0,SUMIFS(INCORRIDO!$C$6:$C$5005,INCORRIDO!$D$6:$D$5005,$B54,INCORRIDO!$E$6:$E$5005,AT$7)+IF(AT$7&gt;PARAMETROS!$C$12,IF($H54&gt;0,$G54*CURVA!AT54/$H54,0)*AT$6,0))</f>
        <v>0</v>
      </c>
      <c r="AU54" s="19" t="n">
        <f aca="false">IF($B54="",0,SUMIFS(INCORRIDO!$C$6:$C$5005,INCORRIDO!$D$6:$D$5005,$B54,INCORRIDO!$E$6:$E$5005,AU$7)+IF(AU$7&gt;PARAMETROS!$C$12,IF($H54&gt;0,$G54*CURVA!AU54/$H54,0)*AU$6,0))</f>
        <v>0</v>
      </c>
      <c r="AV54" s="19" t="n">
        <f aca="false">IF($B54="",0,SUMIFS(INCORRIDO!$C$6:$C$5005,INCORRIDO!$D$6:$D$5005,$B54,INCORRIDO!$E$6:$E$5005,AV$7)+IF(AV$7&gt;PARAMETROS!$C$12,IF($H54&gt;0,$G54*CURVA!AV54/$H54,0)*AV$6,0))</f>
        <v>0</v>
      </c>
      <c r="AW54" s="19" t="n">
        <f aca="false">IF($B54="",0,SUMIFS(INCORRIDO!$C$6:$C$5005,INCORRIDO!$D$6:$D$5005,$B54,INCORRIDO!$E$6:$E$5005,AW$7)+IF(AW$7&gt;PARAMETROS!$C$12,IF($H54&gt;0,$G54*CURVA!AW54/$H54,0)*AW$6,0))</f>
        <v>0</v>
      </c>
      <c r="AX54" s="19" t="n">
        <f aca="false">IF($B54="",0,SUMIFS(INCORRIDO!$C$6:$C$5005,INCORRIDO!$D$6:$D$5005,$B54,INCORRIDO!$E$6:$E$5005,AX$7)+IF(AX$7&gt;PARAMETROS!$C$12,IF($H54&gt;0,$G54*CURVA!AX54/$H54,0)*AX$6,0))</f>
        <v>0</v>
      </c>
      <c r="AY54" s="19" t="n">
        <f aca="false">IF($B54="",0,SUMIFS(INCORRIDO!$C$6:$C$5005,INCORRIDO!$D$6:$D$5005,$B54,INCORRIDO!$E$6:$E$5005,AY$7)+IF(AY$7&gt;PARAMETROS!$C$12,IF($H54&gt;0,$G54*CURVA!AY54/$H54,0)*AY$6,0))</f>
        <v>0</v>
      </c>
      <c r="AZ54" s="19" t="n">
        <f aca="false">IF($B54="",0,SUMIFS(INCORRIDO!$C$6:$C$5005,INCORRIDO!$D$6:$D$5005,$B54,INCORRIDO!$E$6:$E$5005,AZ$7)+IF(AZ$7&gt;PARAMETROS!$C$12,IF($H54&gt;0,$G54*CURVA!AZ54/$H54,0)*AZ$6,0))</f>
        <v>0</v>
      </c>
      <c r="BA54" s="19" t="n">
        <f aca="false">IF($B54="",0,SUMIFS(INCORRIDO!$C$6:$C$5005,INCORRIDO!$D$6:$D$5005,$B54,INCORRIDO!$E$6:$E$5005,BA$7)+IF(BA$7&gt;PARAMETROS!$C$12,IF($H54&gt;0,$G54*CURVA!BA54/$H54,0)*BA$6,0))</f>
        <v>0</v>
      </c>
      <c r="BB54" s="19" t="n">
        <f aca="false">IF($B54="",0,SUMIFS(INCORRIDO!$C$6:$C$5005,INCORRIDO!$D$6:$D$5005,$B54,INCORRIDO!$E$6:$E$5005,BB$7)+IF(BB$7&gt;PARAMETROS!$C$12,IF($H54&gt;0,$G54*CURVA!BB54/$H54,0)*BB$6,0))</f>
        <v>0</v>
      </c>
      <c r="BC54" s="19" t="n">
        <f aca="false">IF($B54="",0,SUMIFS(INCORRIDO!$C$6:$C$5005,INCORRIDO!$D$6:$D$5005,$B54,INCORRIDO!$E$6:$E$5005,BC$7)+IF(BC$7&gt;PARAMETROS!$C$12,IF($H54&gt;0,$G54*CURVA!BC54/$H54,0)*BC$6,0))</f>
        <v>0</v>
      </c>
      <c r="BD54" s="19" t="n">
        <f aca="false">IF($B54="",0,SUMIFS(INCORRIDO!$C$6:$C$5005,INCORRIDO!$D$6:$D$5005,$B54,INCORRIDO!$E$6:$E$5005,BD$7)+IF(BD$7&gt;PARAMETROS!$C$12,IF($H54&gt;0,$G54*CURVA!BD54/$H54,0)*BD$6,0))</f>
        <v>0</v>
      </c>
      <c r="BE54" s="19" t="n">
        <f aca="false">IF($B54="",0,SUMIFS(INCORRIDO!$C$6:$C$5005,INCORRIDO!$D$6:$D$5005,$B54,INCORRIDO!$E$6:$E$5005,BE$7)+IF(BE$7&gt;PARAMETROS!$C$12,IF($H54&gt;0,$G54*CURVA!BE54/$H54,0)*BE$6,0))</f>
        <v>0</v>
      </c>
      <c r="BF54" s="19" t="n">
        <f aca="false">IF($B54="",0,SUMIFS(INCORRIDO!$C$6:$C$5005,INCORRIDO!$D$6:$D$5005,$B54,INCORRIDO!$E$6:$E$5005,BF$7)+IF(BF$7&gt;PARAMETROS!$C$12,IF($H54&gt;0,$G54*CURVA!BF54/$H54,0)*BF$6,0))</f>
        <v>0</v>
      </c>
      <c r="BG54" s="19" t="n">
        <f aca="false">IF($B54="",0,SUMIFS(INCORRIDO!$C$6:$C$5005,INCORRIDO!$D$6:$D$5005,$B54,INCORRIDO!$E$6:$E$5005,BG$7)+IF(BG$7&gt;PARAMETROS!$C$12,IF($H54&gt;0,$G54*CURVA!BG54/$H54,0)*BG$6,0))</f>
        <v>0</v>
      </c>
      <c r="BH54" s="19" t="n">
        <f aca="false">IF($B54="",0,SUMIFS(INCORRIDO!$C$6:$C$5005,INCORRIDO!$D$6:$D$5005,$B54,INCORRIDO!$E$6:$E$5005,BH$7)+IF(BH$7&gt;PARAMETROS!$C$12,IF($H54&gt;0,$G54*CURVA!BH54/$H54,0)*BH$6,0))</f>
        <v>0</v>
      </c>
      <c r="BI54" s="19" t="n">
        <f aca="false">IF($B54="",0,SUMIFS(INCORRIDO!$C$6:$C$5005,INCORRIDO!$D$6:$D$5005,$B54,INCORRIDO!$E$6:$E$5005,BI$7)+IF(BI$7&gt;PARAMETROS!$C$12,IF($H54&gt;0,$G54*CURVA!BI54/$H54,0)*BI$6,0))</f>
        <v>0</v>
      </c>
      <c r="BJ54" s="19" t="n">
        <f aca="false">IF($B54="",0,SUMIFS(INCORRIDO!$C$6:$C$5005,INCORRIDO!$D$6:$D$5005,$B54,INCORRIDO!$E$6:$E$5005,BJ$7)+IF(BJ$7&gt;PARAMETROS!$C$12,IF($H54&gt;0,$G54*CURVA!BJ54/$H54,0)*BJ$6,0))</f>
        <v>0</v>
      </c>
      <c r="BK54" s="19" t="n">
        <f aca="false">IF($B54="",0,SUMIFS(INCORRIDO!$C$6:$C$5005,INCORRIDO!$D$6:$D$5005,$B54,INCORRIDO!$E$6:$E$5005,BK$7)+IF(BK$7&gt;PARAMETROS!$C$12,IF($H54&gt;0,$G54*CURVA!BK54/$H54,0)*BK$6,0))</f>
        <v>0</v>
      </c>
      <c r="BL54" s="19" t="n">
        <f aca="false">IF($B54="",0,SUMIFS(INCORRIDO!$C$6:$C$5005,INCORRIDO!$D$6:$D$5005,$B54,INCORRIDO!$E$6:$E$5005,BL$7)+IF(BL$7&gt;PARAMETROS!$C$12,IF($H54&gt;0,$G54*CURVA!BL54/$H54,0)*BL$6,0))</f>
        <v>0</v>
      </c>
      <c r="BM54" s="19" t="n">
        <f aca="false">IF($B54="",0,SUMIFS(INCORRIDO!$C$6:$C$5005,INCORRIDO!$D$6:$D$5005,$B54,INCORRIDO!$E$6:$E$5005,BM$7)+IF(BM$7&gt;PARAMETROS!$C$12,IF($H54&gt;0,$G54*CURVA!BM54/$H54,0)*BM$6,0))</f>
        <v>0</v>
      </c>
      <c r="BN54" s="19" t="n">
        <f aca="false">IF($B54="",0,SUMIFS(INCORRIDO!$C$6:$C$5005,INCORRIDO!$D$6:$D$5005,$B54,INCORRIDO!$E$6:$E$5005,BN$7)+IF(BN$7&gt;PARAMETROS!$C$12,IF($H54&gt;0,$G54*CURVA!BN54/$H54,0)*BN$6,0))</f>
        <v>0</v>
      </c>
      <c r="BO54" s="19" t="n">
        <f aca="false">IF($B54="",0,SUMIFS(INCORRIDO!$C$6:$C$5005,INCORRIDO!$D$6:$D$5005,$B54,INCORRIDO!$E$6:$E$5005,BO$7)+IF(BO$7&gt;PARAMETROS!$C$12,IF($H54&gt;0,$G54*CURVA!BO54/$H54,0)*BO$6,0))</f>
        <v>0</v>
      </c>
      <c r="BP54" s="19" t="n">
        <f aca="false">IF($B54="",0,SUMIFS(INCORRIDO!$C$6:$C$5005,INCORRIDO!$D$6:$D$5005,$B54,INCORRIDO!$E$6:$E$5005,BP$7)+IF(BP$7&gt;PARAMETROS!$C$12,IF($H54&gt;0,$G54*CURVA!BP54/$H54,0)*BP$6,0))</f>
        <v>0</v>
      </c>
      <c r="BQ54" s="19" t="n">
        <f aca="false">IF($B54="",0,SUMIFS(INCORRIDO!$C$6:$C$5005,INCORRIDO!$D$6:$D$5005,$B54,INCORRIDO!$E$6:$E$5005,BQ$7)+IF(BQ$7&gt;PARAMETROS!$C$12,IF($H54&gt;0,$G54*CURVA!BQ54/$H54,0)*BQ$6,0))</f>
        <v>0</v>
      </c>
      <c r="BR54" s="19" t="n">
        <f aca="false">IF($B54="",0,SUMIFS(INCORRIDO!$C$6:$C$5005,INCORRIDO!$D$6:$D$5005,$B54,INCORRIDO!$E$6:$E$5005,BR$7)+IF(BR$7&gt;PARAMETROS!$C$12,IF($H54&gt;0,$G54*CURVA!BR54/$H54,0)*BR$6,0))</f>
        <v>0</v>
      </c>
      <c r="BS54" s="19" t="n">
        <f aca="false">IF($B54="",0,SUMIFS(INCORRIDO!$C$6:$C$5005,INCORRIDO!$D$6:$D$5005,$B54,INCORRIDO!$E$6:$E$5005,BS$7)+IF(BS$7&gt;PARAMETROS!$C$12,IF($H54&gt;0,$G54*CURVA!BS54/$H54,0)*BS$6,0))</f>
        <v>0</v>
      </c>
      <c r="BT54" s="19" t="n">
        <f aca="false">IF($B54="",0,SUMIFS(INCORRIDO!$C$6:$C$5005,INCORRIDO!$D$6:$D$5005,$B54,INCORRIDO!$E$6:$E$5005,BT$7)+IF(BT$7&gt;PARAMETROS!$C$12,IF($H54&gt;0,$G54*CURVA!BT54/$H54,0)*BT$6,0))</f>
        <v>0</v>
      </c>
      <c r="BU54" s="19" t="n">
        <f aca="false">IF($B54="",0,SUMIFS(INCORRIDO!$C$6:$C$5005,INCORRIDO!$D$6:$D$5005,$B54,INCORRIDO!$E$6:$E$5005,BU$7)+IF(BU$7&gt;PARAMETROS!$C$12,IF($H54&gt;0,$G54*CURVA!BU54/$H54,0)*BU$6,0))</f>
        <v>0</v>
      </c>
      <c r="BV54" s="19" t="n">
        <f aca="false">IF($B54="",0,SUMIFS(INCORRIDO!$C$6:$C$5005,INCORRIDO!$D$6:$D$5005,$B54,INCORRIDO!$E$6:$E$5005,BV$7)+IF(BV$7&gt;PARAMETROS!$C$12,IF($H54&gt;0,$G54*CURVA!BV54/$H54,0)*BV$6,0))</f>
        <v>0</v>
      </c>
      <c r="BW54" s="19" t="n">
        <f aca="false">IF($B54="",0,SUMIFS(INCORRIDO!$C$6:$C$5005,INCORRIDO!$D$6:$D$5005,$B54,INCORRIDO!$E$6:$E$5005,BW$7)+IF(BW$7&gt;PARAMETROS!$C$12,IF($H54&gt;0,$G54*CURVA!BW54/$H54,0)*BW$6,0))</f>
        <v>0</v>
      </c>
      <c r="BX54" s="19" t="n">
        <f aca="false">IF($B54="",0,SUMIFS(INCORRIDO!$C$6:$C$5005,INCORRIDO!$D$6:$D$5005,$B54,INCORRIDO!$E$6:$E$5005,BX$7)+IF(BX$7&gt;PARAMETROS!$C$12,IF($H54&gt;0,$G54*CURVA!BX54/$H54,0)*BX$6,0))</f>
        <v>0</v>
      </c>
      <c r="BY54" s="19" t="n">
        <f aca="false">IF($B54="",0,SUMIFS(INCORRIDO!$C$6:$C$5005,INCORRIDO!$D$6:$D$5005,$B54,INCORRIDO!$E$6:$E$5005,BY$7)+IF(BY$7&gt;PARAMETROS!$C$12,IF($H54&gt;0,$G54*CURVA!BY54/$H54,0)*BY$6,0))</f>
        <v>0</v>
      </c>
      <c r="BZ54" s="19" t="n">
        <f aca="false">IF($B54="",0,SUMIFS(INCORRIDO!$C$6:$C$5005,INCORRIDO!$D$6:$D$5005,$B54,INCORRIDO!$E$6:$E$5005,BZ$7)+IF(BZ$7&gt;PARAMETROS!$C$12,IF($H54&gt;0,$G54*CURVA!BZ54/$H54,0)*BZ$6,0))</f>
        <v>0</v>
      </c>
      <c r="CA54" s="19" t="n">
        <f aca="false">IF($B54="",0,SUMIFS(INCORRIDO!$C$6:$C$5005,INCORRIDO!$D$6:$D$5005,$B54,INCORRIDO!$E$6:$E$5005,CA$7)+IF(CA$7&gt;PARAMETROS!$C$12,IF($H54&gt;0,$G54*CURVA!CA54/$H54,0)*CA$6,0))</f>
        <v>0</v>
      </c>
      <c r="CB54" s="19" t="n">
        <f aca="false">IF($B54="",0,SUMIFS(INCORRIDO!$C$6:$C$5005,INCORRIDO!$D$6:$D$5005,$B54,INCORRIDO!$E$6:$E$5005,CB$7)+IF(CB$7&gt;PARAMETROS!$C$12,IF($H54&gt;0,$G54*CURVA!CB54/$H54,0)*CB$6,0))</f>
        <v>0</v>
      </c>
      <c r="CC54" s="19" t="n">
        <f aca="false">IF($B54="",0,SUMIFS(INCORRIDO!$C$6:$C$5005,INCORRIDO!$D$6:$D$5005,$B54,INCORRIDO!$E$6:$E$5005,CC$7)+IF(CC$7&gt;PARAMETROS!$C$12,IF($H54&gt;0,$G54*CURVA!CC54/$H54,0)*CC$6,0))</f>
        <v>0</v>
      </c>
    </row>
    <row r="55" customFormat="false" ht="15" hidden="false" customHeight="false" outlineLevel="0" collapsed="false">
      <c r="A55" s="31" t="str">
        <f aca="false">IF(ORCAMENTO!A53="","",ORCAMENTO!A53)</f>
        <v/>
      </c>
      <c r="B55" s="31" t="str">
        <f aca="false">IF(ORCAMENTO!B53="","",ORCAMENTO!B53)</f>
        <v/>
      </c>
      <c r="C55" s="31" t="str">
        <f aca="false">IF(ORCAMENTO!C53="","",ORCAMENTO!C53)</f>
        <v/>
      </c>
      <c r="D55" s="32" t="n">
        <f aca="false">IF($B55="",0,ORCAMENTO!E53)</f>
        <v>0</v>
      </c>
      <c r="E55" s="19" t="n">
        <f aca="false">IF($B55="",0,SUMIFS(INCORRIDO!$C$6:$C$5005,INCORRIDO!$D$6:$D$5005,$B55,INCORRIDO!$E$6:$E$5005,"&lt;="&amp;PARAMETROS!$C$12))</f>
        <v>0</v>
      </c>
      <c r="F55" s="19" t="n">
        <f aca="false">IF($B55="",0,SUMIFS(INCORRIDO!$C$6:$C$5005,INCORRIDO!$D$6:$D$5005,$B55,INCORRIDO!$E$6:$E$5005,"&gt;"&amp;PARAMETROS!$C$12))</f>
        <v>0</v>
      </c>
      <c r="G55" s="19" t="n">
        <f aca="false">MAX(0,D55-E55-F55)</f>
        <v>0</v>
      </c>
      <c r="H55" s="32" t="n">
        <f aca="false">CURVA!H55</f>
        <v>0</v>
      </c>
      <c r="I55" s="19" t="n">
        <f aca="false">SUM(J55:CC55)</f>
        <v>0</v>
      </c>
      <c r="J55" s="19" t="n">
        <f aca="false">IF($B55="",0,SUMIFS(INCORRIDO!$C$6:$C$5005,INCORRIDO!$D$6:$D$5005,$B55,INCORRIDO!$E$6:$E$5005,"&lt;="&amp;J$7)+IF(J$7&gt;PARAMETROS!$C$12,IF($H55&gt;0,$G55*CURVA!J55/$H55,0)*J$6,0))</f>
        <v>0</v>
      </c>
      <c r="K55" s="19" t="n">
        <f aca="false">IF($B55="",0,SUMIFS(INCORRIDO!$C$6:$C$5005,INCORRIDO!$D$6:$D$5005,$B55,INCORRIDO!$E$6:$E$5005,K$7)+IF(K$7&gt;PARAMETROS!$C$12,IF($H55&gt;0,$G55*CURVA!K55/$H55,0)*K$6,0))</f>
        <v>0</v>
      </c>
      <c r="L55" s="19" t="n">
        <f aca="false">IF($B55="",0,SUMIFS(INCORRIDO!$C$6:$C$5005,INCORRIDO!$D$6:$D$5005,$B55,INCORRIDO!$E$6:$E$5005,L$7)+IF(L$7&gt;PARAMETROS!$C$12,IF($H55&gt;0,$G55*CURVA!L55/$H55,0)*L$6,0))</f>
        <v>0</v>
      </c>
      <c r="M55" s="19" t="n">
        <f aca="false">IF($B55="",0,SUMIFS(INCORRIDO!$C$6:$C$5005,INCORRIDO!$D$6:$D$5005,$B55,INCORRIDO!$E$6:$E$5005,M$7)+IF(M$7&gt;PARAMETROS!$C$12,IF($H55&gt;0,$G55*CURVA!M55/$H55,0)*M$6,0))</f>
        <v>0</v>
      </c>
      <c r="N55" s="19" t="n">
        <f aca="false">IF($B55="",0,SUMIFS(INCORRIDO!$C$6:$C$5005,INCORRIDO!$D$6:$D$5005,$B55,INCORRIDO!$E$6:$E$5005,N$7)+IF(N$7&gt;PARAMETROS!$C$12,IF($H55&gt;0,$G55*CURVA!N55/$H55,0)*N$6,0))</f>
        <v>0</v>
      </c>
      <c r="O55" s="19" t="n">
        <f aca="false">IF($B55="",0,SUMIFS(INCORRIDO!$C$6:$C$5005,INCORRIDO!$D$6:$D$5005,$B55,INCORRIDO!$E$6:$E$5005,O$7)+IF(O$7&gt;PARAMETROS!$C$12,IF($H55&gt;0,$G55*CURVA!O55/$H55,0)*O$6,0))</f>
        <v>0</v>
      </c>
      <c r="P55" s="19" t="n">
        <f aca="false">IF($B55="",0,SUMIFS(INCORRIDO!$C$6:$C$5005,INCORRIDO!$D$6:$D$5005,$B55,INCORRIDO!$E$6:$E$5005,P$7)+IF(P$7&gt;PARAMETROS!$C$12,IF($H55&gt;0,$G55*CURVA!P55/$H55,0)*P$6,0))</f>
        <v>0</v>
      </c>
      <c r="Q55" s="19" t="n">
        <f aca="false">IF($B55="",0,SUMIFS(INCORRIDO!$C$6:$C$5005,INCORRIDO!$D$6:$D$5005,$B55,INCORRIDO!$E$6:$E$5005,Q$7)+IF(Q$7&gt;PARAMETROS!$C$12,IF($H55&gt;0,$G55*CURVA!Q55/$H55,0)*Q$6,0))</f>
        <v>0</v>
      </c>
      <c r="R55" s="19" t="n">
        <f aca="false">IF($B55="",0,SUMIFS(INCORRIDO!$C$6:$C$5005,INCORRIDO!$D$6:$D$5005,$B55,INCORRIDO!$E$6:$E$5005,R$7)+IF(R$7&gt;PARAMETROS!$C$12,IF($H55&gt;0,$G55*CURVA!R55/$H55,0)*R$6,0))</f>
        <v>0</v>
      </c>
      <c r="S55" s="19" t="n">
        <f aca="false">IF($B55="",0,SUMIFS(INCORRIDO!$C$6:$C$5005,INCORRIDO!$D$6:$D$5005,$B55,INCORRIDO!$E$6:$E$5005,S$7)+IF(S$7&gt;PARAMETROS!$C$12,IF($H55&gt;0,$G55*CURVA!S55/$H55,0)*S$6,0))</f>
        <v>0</v>
      </c>
      <c r="T55" s="19" t="n">
        <f aca="false">IF($B55="",0,SUMIFS(INCORRIDO!$C$6:$C$5005,INCORRIDO!$D$6:$D$5005,$B55,INCORRIDO!$E$6:$E$5005,T$7)+IF(T$7&gt;PARAMETROS!$C$12,IF($H55&gt;0,$G55*CURVA!T55/$H55,0)*T$6,0))</f>
        <v>0</v>
      </c>
      <c r="U55" s="19" t="n">
        <f aca="false">IF($B55="",0,SUMIFS(INCORRIDO!$C$6:$C$5005,INCORRIDO!$D$6:$D$5005,$B55,INCORRIDO!$E$6:$E$5005,U$7)+IF(U$7&gt;PARAMETROS!$C$12,IF($H55&gt;0,$G55*CURVA!U55/$H55,0)*U$6,0))</f>
        <v>0</v>
      </c>
      <c r="V55" s="19" t="n">
        <f aca="false">IF($B55="",0,SUMIFS(INCORRIDO!$C$6:$C$5005,INCORRIDO!$D$6:$D$5005,$B55,INCORRIDO!$E$6:$E$5005,V$7)+IF(V$7&gt;PARAMETROS!$C$12,IF($H55&gt;0,$G55*CURVA!V55/$H55,0)*V$6,0))</f>
        <v>0</v>
      </c>
      <c r="W55" s="19" t="n">
        <f aca="false">IF($B55="",0,SUMIFS(INCORRIDO!$C$6:$C$5005,INCORRIDO!$D$6:$D$5005,$B55,INCORRIDO!$E$6:$E$5005,W$7)+IF(W$7&gt;PARAMETROS!$C$12,IF($H55&gt;0,$G55*CURVA!W55/$H55,0)*W$6,0))</f>
        <v>0</v>
      </c>
      <c r="X55" s="19" t="n">
        <f aca="false">IF($B55="",0,SUMIFS(INCORRIDO!$C$6:$C$5005,INCORRIDO!$D$6:$D$5005,$B55,INCORRIDO!$E$6:$E$5005,X$7)+IF(X$7&gt;PARAMETROS!$C$12,IF($H55&gt;0,$G55*CURVA!X55/$H55,0)*X$6,0))</f>
        <v>0</v>
      </c>
      <c r="Y55" s="19" t="n">
        <f aca="false">IF($B55="",0,SUMIFS(INCORRIDO!$C$6:$C$5005,INCORRIDO!$D$6:$D$5005,$B55,INCORRIDO!$E$6:$E$5005,Y$7)+IF(Y$7&gt;PARAMETROS!$C$12,IF($H55&gt;0,$G55*CURVA!Y55/$H55,0)*Y$6,0))</f>
        <v>0</v>
      </c>
      <c r="Z55" s="19" t="n">
        <f aca="false">IF($B55="",0,SUMIFS(INCORRIDO!$C$6:$C$5005,INCORRIDO!$D$6:$D$5005,$B55,INCORRIDO!$E$6:$E$5005,Z$7)+IF(Z$7&gt;PARAMETROS!$C$12,IF($H55&gt;0,$G55*CURVA!Z55/$H55,0)*Z$6,0))</f>
        <v>0</v>
      </c>
      <c r="AA55" s="19" t="n">
        <f aca="false">IF($B55="",0,SUMIFS(INCORRIDO!$C$6:$C$5005,INCORRIDO!$D$6:$D$5005,$B55,INCORRIDO!$E$6:$E$5005,AA$7)+IF(AA$7&gt;PARAMETROS!$C$12,IF($H55&gt;0,$G55*CURVA!AA55/$H55,0)*AA$6,0))</f>
        <v>0</v>
      </c>
      <c r="AB55" s="19" t="n">
        <f aca="false">IF($B55="",0,SUMIFS(INCORRIDO!$C$6:$C$5005,INCORRIDO!$D$6:$D$5005,$B55,INCORRIDO!$E$6:$E$5005,AB$7)+IF(AB$7&gt;PARAMETROS!$C$12,IF($H55&gt;0,$G55*CURVA!AB55/$H55,0)*AB$6,0))</f>
        <v>0</v>
      </c>
      <c r="AC55" s="19" t="n">
        <f aca="false">IF($B55="",0,SUMIFS(INCORRIDO!$C$6:$C$5005,INCORRIDO!$D$6:$D$5005,$B55,INCORRIDO!$E$6:$E$5005,AC$7)+IF(AC$7&gt;PARAMETROS!$C$12,IF($H55&gt;0,$G55*CURVA!AC55/$H55,0)*AC$6,0))</f>
        <v>0</v>
      </c>
      <c r="AD55" s="19" t="n">
        <f aca="false">IF($B55="",0,SUMIFS(INCORRIDO!$C$6:$C$5005,INCORRIDO!$D$6:$D$5005,$B55,INCORRIDO!$E$6:$E$5005,AD$7)+IF(AD$7&gt;PARAMETROS!$C$12,IF($H55&gt;0,$G55*CURVA!AD55/$H55,0)*AD$6,0))</f>
        <v>0</v>
      </c>
      <c r="AE55" s="19" t="n">
        <f aca="false">IF($B55="",0,SUMIFS(INCORRIDO!$C$6:$C$5005,INCORRIDO!$D$6:$D$5005,$B55,INCORRIDO!$E$6:$E$5005,AE$7)+IF(AE$7&gt;PARAMETROS!$C$12,IF($H55&gt;0,$G55*CURVA!AE55/$H55,0)*AE$6,0))</f>
        <v>0</v>
      </c>
      <c r="AF55" s="19" t="n">
        <f aca="false">IF($B55="",0,SUMIFS(INCORRIDO!$C$6:$C$5005,INCORRIDO!$D$6:$D$5005,$B55,INCORRIDO!$E$6:$E$5005,AF$7)+IF(AF$7&gt;PARAMETROS!$C$12,IF($H55&gt;0,$G55*CURVA!AF55/$H55,0)*AF$6,0))</f>
        <v>0</v>
      </c>
      <c r="AG55" s="19" t="n">
        <f aca="false">IF($B55="",0,SUMIFS(INCORRIDO!$C$6:$C$5005,INCORRIDO!$D$6:$D$5005,$B55,INCORRIDO!$E$6:$E$5005,AG$7)+IF(AG$7&gt;PARAMETROS!$C$12,IF($H55&gt;0,$G55*CURVA!AG55/$H55,0)*AG$6,0))</f>
        <v>0</v>
      </c>
      <c r="AH55" s="19" t="n">
        <f aca="false">IF($B55="",0,SUMIFS(INCORRIDO!$C$6:$C$5005,INCORRIDO!$D$6:$D$5005,$B55,INCORRIDO!$E$6:$E$5005,AH$7)+IF(AH$7&gt;PARAMETROS!$C$12,IF($H55&gt;0,$G55*CURVA!AH55/$H55,0)*AH$6,0))</f>
        <v>0</v>
      </c>
      <c r="AI55" s="19" t="n">
        <f aca="false">IF($B55="",0,SUMIFS(INCORRIDO!$C$6:$C$5005,INCORRIDO!$D$6:$D$5005,$B55,INCORRIDO!$E$6:$E$5005,AI$7)+IF(AI$7&gt;PARAMETROS!$C$12,IF($H55&gt;0,$G55*CURVA!AI55/$H55,0)*AI$6,0))</f>
        <v>0</v>
      </c>
      <c r="AJ55" s="19" t="n">
        <f aca="false">IF($B55="",0,SUMIFS(INCORRIDO!$C$6:$C$5005,INCORRIDO!$D$6:$D$5005,$B55,INCORRIDO!$E$6:$E$5005,AJ$7)+IF(AJ$7&gt;PARAMETROS!$C$12,IF($H55&gt;0,$G55*CURVA!AJ55/$H55,0)*AJ$6,0))</f>
        <v>0</v>
      </c>
      <c r="AK55" s="19" t="n">
        <f aca="false">IF($B55="",0,SUMIFS(INCORRIDO!$C$6:$C$5005,INCORRIDO!$D$6:$D$5005,$B55,INCORRIDO!$E$6:$E$5005,AK$7)+IF(AK$7&gt;PARAMETROS!$C$12,IF($H55&gt;0,$G55*CURVA!AK55/$H55,0)*AK$6,0))</f>
        <v>0</v>
      </c>
      <c r="AL55" s="19" t="n">
        <f aca="false">IF($B55="",0,SUMIFS(INCORRIDO!$C$6:$C$5005,INCORRIDO!$D$6:$D$5005,$B55,INCORRIDO!$E$6:$E$5005,AL$7)+IF(AL$7&gt;PARAMETROS!$C$12,IF($H55&gt;0,$G55*CURVA!AL55/$H55,0)*AL$6,0))</f>
        <v>0</v>
      </c>
      <c r="AM55" s="19" t="n">
        <f aca="false">IF($B55="",0,SUMIFS(INCORRIDO!$C$6:$C$5005,INCORRIDO!$D$6:$D$5005,$B55,INCORRIDO!$E$6:$E$5005,AM$7)+IF(AM$7&gt;PARAMETROS!$C$12,IF($H55&gt;0,$G55*CURVA!AM55/$H55,0)*AM$6,0))</f>
        <v>0</v>
      </c>
      <c r="AN55" s="19" t="n">
        <f aca="false">IF($B55="",0,SUMIFS(INCORRIDO!$C$6:$C$5005,INCORRIDO!$D$6:$D$5005,$B55,INCORRIDO!$E$6:$E$5005,AN$7)+IF(AN$7&gt;PARAMETROS!$C$12,IF($H55&gt;0,$G55*CURVA!AN55/$H55,0)*AN$6,0))</f>
        <v>0</v>
      </c>
      <c r="AO55" s="19" t="n">
        <f aca="false">IF($B55="",0,SUMIFS(INCORRIDO!$C$6:$C$5005,INCORRIDO!$D$6:$D$5005,$B55,INCORRIDO!$E$6:$E$5005,AO$7)+IF(AO$7&gt;PARAMETROS!$C$12,IF($H55&gt;0,$G55*CURVA!AO55/$H55,0)*AO$6,0))</f>
        <v>0</v>
      </c>
      <c r="AP55" s="19" t="n">
        <f aca="false">IF($B55="",0,SUMIFS(INCORRIDO!$C$6:$C$5005,INCORRIDO!$D$6:$D$5005,$B55,INCORRIDO!$E$6:$E$5005,AP$7)+IF(AP$7&gt;PARAMETROS!$C$12,IF($H55&gt;0,$G55*CURVA!AP55/$H55,0)*AP$6,0))</f>
        <v>0</v>
      </c>
      <c r="AQ55" s="19" t="n">
        <f aca="false">IF($B55="",0,SUMIFS(INCORRIDO!$C$6:$C$5005,INCORRIDO!$D$6:$D$5005,$B55,INCORRIDO!$E$6:$E$5005,AQ$7)+IF(AQ$7&gt;PARAMETROS!$C$12,IF($H55&gt;0,$G55*CURVA!AQ55/$H55,0)*AQ$6,0))</f>
        <v>0</v>
      </c>
      <c r="AR55" s="19" t="n">
        <f aca="false">IF($B55="",0,SUMIFS(INCORRIDO!$C$6:$C$5005,INCORRIDO!$D$6:$D$5005,$B55,INCORRIDO!$E$6:$E$5005,AR$7)+IF(AR$7&gt;PARAMETROS!$C$12,IF($H55&gt;0,$G55*CURVA!AR55/$H55,0)*AR$6,0))</f>
        <v>0</v>
      </c>
      <c r="AS55" s="19" t="n">
        <f aca="false">IF($B55="",0,SUMIFS(INCORRIDO!$C$6:$C$5005,INCORRIDO!$D$6:$D$5005,$B55,INCORRIDO!$E$6:$E$5005,AS$7)+IF(AS$7&gt;PARAMETROS!$C$12,IF($H55&gt;0,$G55*CURVA!AS55/$H55,0)*AS$6,0))</f>
        <v>0</v>
      </c>
      <c r="AT55" s="19" t="n">
        <f aca="false">IF($B55="",0,SUMIFS(INCORRIDO!$C$6:$C$5005,INCORRIDO!$D$6:$D$5005,$B55,INCORRIDO!$E$6:$E$5005,AT$7)+IF(AT$7&gt;PARAMETROS!$C$12,IF($H55&gt;0,$G55*CURVA!AT55/$H55,0)*AT$6,0))</f>
        <v>0</v>
      </c>
      <c r="AU55" s="19" t="n">
        <f aca="false">IF($B55="",0,SUMIFS(INCORRIDO!$C$6:$C$5005,INCORRIDO!$D$6:$D$5005,$B55,INCORRIDO!$E$6:$E$5005,AU$7)+IF(AU$7&gt;PARAMETROS!$C$12,IF($H55&gt;0,$G55*CURVA!AU55/$H55,0)*AU$6,0))</f>
        <v>0</v>
      </c>
      <c r="AV55" s="19" t="n">
        <f aca="false">IF($B55="",0,SUMIFS(INCORRIDO!$C$6:$C$5005,INCORRIDO!$D$6:$D$5005,$B55,INCORRIDO!$E$6:$E$5005,AV$7)+IF(AV$7&gt;PARAMETROS!$C$12,IF($H55&gt;0,$G55*CURVA!AV55/$H55,0)*AV$6,0))</f>
        <v>0</v>
      </c>
      <c r="AW55" s="19" t="n">
        <f aca="false">IF($B55="",0,SUMIFS(INCORRIDO!$C$6:$C$5005,INCORRIDO!$D$6:$D$5005,$B55,INCORRIDO!$E$6:$E$5005,AW$7)+IF(AW$7&gt;PARAMETROS!$C$12,IF($H55&gt;0,$G55*CURVA!AW55/$H55,0)*AW$6,0))</f>
        <v>0</v>
      </c>
      <c r="AX55" s="19" t="n">
        <f aca="false">IF($B55="",0,SUMIFS(INCORRIDO!$C$6:$C$5005,INCORRIDO!$D$6:$D$5005,$B55,INCORRIDO!$E$6:$E$5005,AX$7)+IF(AX$7&gt;PARAMETROS!$C$12,IF($H55&gt;0,$G55*CURVA!AX55/$H55,0)*AX$6,0))</f>
        <v>0</v>
      </c>
      <c r="AY55" s="19" t="n">
        <f aca="false">IF($B55="",0,SUMIFS(INCORRIDO!$C$6:$C$5005,INCORRIDO!$D$6:$D$5005,$B55,INCORRIDO!$E$6:$E$5005,AY$7)+IF(AY$7&gt;PARAMETROS!$C$12,IF($H55&gt;0,$G55*CURVA!AY55/$H55,0)*AY$6,0))</f>
        <v>0</v>
      </c>
      <c r="AZ55" s="19" t="n">
        <f aca="false">IF($B55="",0,SUMIFS(INCORRIDO!$C$6:$C$5005,INCORRIDO!$D$6:$D$5005,$B55,INCORRIDO!$E$6:$E$5005,AZ$7)+IF(AZ$7&gt;PARAMETROS!$C$12,IF($H55&gt;0,$G55*CURVA!AZ55/$H55,0)*AZ$6,0))</f>
        <v>0</v>
      </c>
      <c r="BA55" s="19" t="n">
        <f aca="false">IF($B55="",0,SUMIFS(INCORRIDO!$C$6:$C$5005,INCORRIDO!$D$6:$D$5005,$B55,INCORRIDO!$E$6:$E$5005,BA$7)+IF(BA$7&gt;PARAMETROS!$C$12,IF($H55&gt;0,$G55*CURVA!BA55/$H55,0)*BA$6,0))</f>
        <v>0</v>
      </c>
      <c r="BB55" s="19" t="n">
        <f aca="false">IF($B55="",0,SUMIFS(INCORRIDO!$C$6:$C$5005,INCORRIDO!$D$6:$D$5005,$B55,INCORRIDO!$E$6:$E$5005,BB$7)+IF(BB$7&gt;PARAMETROS!$C$12,IF($H55&gt;0,$G55*CURVA!BB55/$H55,0)*BB$6,0))</f>
        <v>0</v>
      </c>
      <c r="BC55" s="19" t="n">
        <f aca="false">IF($B55="",0,SUMIFS(INCORRIDO!$C$6:$C$5005,INCORRIDO!$D$6:$D$5005,$B55,INCORRIDO!$E$6:$E$5005,BC$7)+IF(BC$7&gt;PARAMETROS!$C$12,IF($H55&gt;0,$G55*CURVA!BC55/$H55,0)*BC$6,0))</f>
        <v>0</v>
      </c>
      <c r="BD55" s="19" t="n">
        <f aca="false">IF($B55="",0,SUMIFS(INCORRIDO!$C$6:$C$5005,INCORRIDO!$D$6:$D$5005,$B55,INCORRIDO!$E$6:$E$5005,BD$7)+IF(BD$7&gt;PARAMETROS!$C$12,IF($H55&gt;0,$G55*CURVA!BD55/$H55,0)*BD$6,0))</f>
        <v>0</v>
      </c>
      <c r="BE55" s="19" t="n">
        <f aca="false">IF($B55="",0,SUMIFS(INCORRIDO!$C$6:$C$5005,INCORRIDO!$D$6:$D$5005,$B55,INCORRIDO!$E$6:$E$5005,BE$7)+IF(BE$7&gt;PARAMETROS!$C$12,IF($H55&gt;0,$G55*CURVA!BE55/$H55,0)*BE$6,0))</f>
        <v>0</v>
      </c>
      <c r="BF55" s="19" t="n">
        <f aca="false">IF($B55="",0,SUMIFS(INCORRIDO!$C$6:$C$5005,INCORRIDO!$D$6:$D$5005,$B55,INCORRIDO!$E$6:$E$5005,BF$7)+IF(BF$7&gt;PARAMETROS!$C$12,IF($H55&gt;0,$G55*CURVA!BF55/$H55,0)*BF$6,0))</f>
        <v>0</v>
      </c>
      <c r="BG55" s="19" t="n">
        <f aca="false">IF($B55="",0,SUMIFS(INCORRIDO!$C$6:$C$5005,INCORRIDO!$D$6:$D$5005,$B55,INCORRIDO!$E$6:$E$5005,BG$7)+IF(BG$7&gt;PARAMETROS!$C$12,IF($H55&gt;0,$G55*CURVA!BG55/$H55,0)*BG$6,0))</f>
        <v>0</v>
      </c>
      <c r="BH55" s="19" t="n">
        <f aca="false">IF($B55="",0,SUMIFS(INCORRIDO!$C$6:$C$5005,INCORRIDO!$D$6:$D$5005,$B55,INCORRIDO!$E$6:$E$5005,BH$7)+IF(BH$7&gt;PARAMETROS!$C$12,IF($H55&gt;0,$G55*CURVA!BH55/$H55,0)*BH$6,0))</f>
        <v>0</v>
      </c>
      <c r="BI55" s="19" t="n">
        <f aca="false">IF($B55="",0,SUMIFS(INCORRIDO!$C$6:$C$5005,INCORRIDO!$D$6:$D$5005,$B55,INCORRIDO!$E$6:$E$5005,BI$7)+IF(BI$7&gt;PARAMETROS!$C$12,IF($H55&gt;0,$G55*CURVA!BI55/$H55,0)*BI$6,0))</f>
        <v>0</v>
      </c>
      <c r="BJ55" s="19" t="n">
        <f aca="false">IF($B55="",0,SUMIFS(INCORRIDO!$C$6:$C$5005,INCORRIDO!$D$6:$D$5005,$B55,INCORRIDO!$E$6:$E$5005,BJ$7)+IF(BJ$7&gt;PARAMETROS!$C$12,IF($H55&gt;0,$G55*CURVA!BJ55/$H55,0)*BJ$6,0))</f>
        <v>0</v>
      </c>
      <c r="BK55" s="19" t="n">
        <f aca="false">IF($B55="",0,SUMIFS(INCORRIDO!$C$6:$C$5005,INCORRIDO!$D$6:$D$5005,$B55,INCORRIDO!$E$6:$E$5005,BK$7)+IF(BK$7&gt;PARAMETROS!$C$12,IF($H55&gt;0,$G55*CURVA!BK55/$H55,0)*BK$6,0))</f>
        <v>0</v>
      </c>
      <c r="BL55" s="19" t="n">
        <f aca="false">IF($B55="",0,SUMIFS(INCORRIDO!$C$6:$C$5005,INCORRIDO!$D$6:$D$5005,$B55,INCORRIDO!$E$6:$E$5005,BL$7)+IF(BL$7&gt;PARAMETROS!$C$12,IF($H55&gt;0,$G55*CURVA!BL55/$H55,0)*BL$6,0))</f>
        <v>0</v>
      </c>
      <c r="BM55" s="19" t="n">
        <f aca="false">IF($B55="",0,SUMIFS(INCORRIDO!$C$6:$C$5005,INCORRIDO!$D$6:$D$5005,$B55,INCORRIDO!$E$6:$E$5005,BM$7)+IF(BM$7&gt;PARAMETROS!$C$12,IF($H55&gt;0,$G55*CURVA!BM55/$H55,0)*BM$6,0))</f>
        <v>0</v>
      </c>
      <c r="BN55" s="19" t="n">
        <f aca="false">IF($B55="",0,SUMIFS(INCORRIDO!$C$6:$C$5005,INCORRIDO!$D$6:$D$5005,$B55,INCORRIDO!$E$6:$E$5005,BN$7)+IF(BN$7&gt;PARAMETROS!$C$12,IF($H55&gt;0,$G55*CURVA!BN55/$H55,0)*BN$6,0))</f>
        <v>0</v>
      </c>
      <c r="BO55" s="19" t="n">
        <f aca="false">IF($B55="",0,SUMIFS(INCORRIDO!$C$6:$C$5005,INCORRIDO!$D$6:$D$5005,$B55,INCORRIDO!$E$6:$E$5005,BO$7)+IF(BO$7&gt;PARAMETROS!$C$12,IF($H55&gt;0,$G55*CURVA!BO55/$H55,0)*BO$6,0))</f>
        <v>0</v>
      </c>
      <c r="BP55" s="19" t="n">
        <f aca="false">IF($B55="",0,SUMIFS(INCORRIDO!$C$6:$C$5005,INCORRIDO!$D$6:$D$5005,$B55,INCORRIDO!$E$6:$E$5005,BP$7)+IF(BP$7&gt;PARAMETROS!$C$12,IF($H55&gt;0,$G55*CURVA!BP55/$H55,0)*BP$6,0))</f>
        <v>0</v>
      </c>
      <c r="BQ55" s="19" t="n">
        <f aca="false">IF($B55="",0,SUMIFS(INCORRIDO!$C$6:$C$5005,INCORRIDO!$D$6:$D$5005,$B55,INCORRIDO!$E$6:$E$5005,BQ$7)+IF(BQ$7&gt;PARAMETROS!$C$12,IF($H55&gt;0,$G55*CURVA!BQ55/$H55,0)*BQ$6,0))</f>
        <v>0</v>
      </c>
      <c r="BR55" s="19" t="n">
        <f aca="false">IF($B55="",0,SUMIFS(INCORRIDO!$C$6:$C$5005,INCORRIDO!$D$6:$D$5005,$B55,INCORRIDO!$E$6:$E$5005,BR$7)+IF(BR$7&gt;PARAMETROS!$C$12,IF($H55&gt;0,$G55*CURVA!BR55/$H55,0)*BR$6,0))</f>
        <v>0</v>
      </c>
      <c r="BS55" s="19" t="n">
        <f aca="false">IF($B55="",0,SUMIFS(INCORRIDO!$C$6:$C$5005,INCORRIDO!$D$6:$D$5005,$B55,INCORRIDO!$E$6:$E$5005,BS$7)+IF(BS$7&gt;PARAMETROS!$C$12,IF($H55&gt;0,$G55*CURVA!BS55/$H55,0)*BS$6,0))</f>
        <v>0</v>
      </c>
      <c r="BT55" s="19" t="n">
        <f aca="false">IF($B55="",0,SUMIFS(INCORRIDO!$C$6:$C$5005,INCORRIDO!$D$6:$D$5005,$B55,INCORRIDO!$E$6:$E$5005,BT$7)+IF(BT$7&gt;PARAMETROS!$C$12,IF($H55&gt;0,$G55*CURVA!BT55/$H55,0)*BT$6,0))</f>
        <v>0</v>
      </c>
      <c r="BU55" s="19" t="n">
        <f aca="false">IF($B55="",0,SUMIFS(INCORRIDO!$C$6:$C$5005,INCORRIDO!$D$6:$D$5005,$B55,INCORRIDO!$E$6:$E$5005,BU$7)+IF(BU$7&gt;PARAMETROS!$C$12,IF($H55&gt;0,$G55*CURVA!BU55/$H55,0)*BU$6,0))</f>
        <v>0</v>
      </c>
      <c r="BV55" s="19" t="n">
        <f aca="false">IF($B55="",0,SUMIFS(INCORRIDO!$C$6:$C$5005,INCORRIDO!$D$6:$D$5005,$B55,INCORRIDO!$E$6:$E$5005,BV$7)+IF(BV$7&gt;PARAMETROS!$C$12,IF($H55&gt;0,$G55*CURVA!BV55/$H55,0)*BV$6,0))</f>
        <v>0</v>
      </c>
      <c r="BW55" s="19" t="n">
        <f aca="false">IF($B55="",0,SUMIFS(INCORRIDO!$C$6:$C$5005,INCORRIDO!$D$6:$D$5005,$B55,INCORRIDO!$E$6:$E$5005,BW$7)+IF(BW$7&gt;PARAMETROS!$C$12,IF($H55&gt;0,$G55*CURVA!BW55/$H55,0)*BW$6,0))</f>
        <v>0</v>
      </c>
      <c r="BX55" s="19" t="n">
        <f aca="false">IF($B55="",0,SUMIFS(INCORRIDO!$C$6:$C$5005,INCORRIDO!$D$6:$D$5005,$B55,INCORRIDO!$E$6:$E$5005,BX$7)+IF(BX$7&gt;PARAMETROS!$C$12,IF($H55&gt;0,$G55*CURVA!BX55/$H55,0)*BX$6,0))</f>
        <v>0</v>
      </c>
      <c r="BY55" s="19" t="n">
        <f aca="false">IF($B55="",0,SUMIFS(INCORRIDO!$C$6:$C$5005,INCORRIDO!$D$6:$D$5005,$B55,INCORRIDO!$E$6:$E$5005,BY$7)+IF(BY$7&gt;PARAMETROS!$C$12,IF($H55&gt;0,$G55*CURVA!BY55/$H55,0)*BY$6,0))</f>
        <v>0</v>
      </c>
      <c r="BZ55" s="19" t="n">
        <f aca="false">IF($B55="",0,SUMIFS(INCORRIDO!$C$6:$C$5005,INCORRIDO!$D$6:$D$5005,$B55,INCORRIDO!$E$6:$E$5005,BZ$7)+IF(BZ$7&gt;PARAMETROS!$C$12,IF($H55&gt;0,$G55*CURVA!BZ55/$H55,0)*BZ$6,0))</f>
        <v>0</v>
      </c>
      <c r="CA55" s="19" t="n">
        <f aca="false">IF($B55="",0,SUMIFS(INCORRIDO!$C$6:$C$5005,INCORRIDO!$D$6:$D$5005,$B55,INCORRIDO!$E$6:$E$5005,CA$7)+IF(CA$7&gt;PARAMETROS!$C$12,IF($H55&gt;0,$G55*CURVA!CA55/$H55,0)*CA$6,0))</f>
        <v>0</v>
      </c>
      <c r="CB55" s="19" t="n">
        <f aca="false">IF($B55="",0,SUMIFS(INCORRIDO!$C$6:$C$5005,INCORRIDO!$D$6:$D$5005,$B55,INCORRIDO!$E$6:$E$5005,CB$7)+IF(CB$7&gt;PARAMETROS!$C$12,IF($H55&gt;0,$G55*CURVA!CB55/$H55,0)*CB$6,0))</f>
        <v>0</v>
      </c>
      <c r="CC55" s="19" t="n">
        <f aca="false">IF($B55="",0,SUMIFS(INCORRIDO!$C$6:$C$5005,INCORRIDO!$D$6:$D$5005,$B55,INCORRIDO!$E$6:$E$5005,CC$7)+IF(CC$7&gt;PARAMETROS!$C$12,IF($H55&gt;0,$G55*CURVA!CC55/$H55,0)*CC$6,0))</f>
        <v>0</v>
      </c>
    </row>
    <row r="56" customFormat="false" ht="15" hidden="false" customHeight="false" outlineLevel="0" collapsed="false">
      <c r="A56" s="31" t="str">
        <f aca="false">IF(ORCAMENTO!A54="","",ORCAMENTO!A54)</f>
        <v/>
      </c>
      <c r="B56" s="31" t="str">
        <f aca="false">IF(ORCAMENTO!B54="","",ORCAMENTO!B54)</f>
        <v/>
      </c>
      <c r="C56" s="31" t="str">
        <f aca="false">IF(ORCAMENTO!C54="","",ORCAMENTO!C54)</f>
        <v/>
      </c>
      <c r="D56" s="32" t="n">
        <f aca="false">IF($B56="",0,ORCAMENTO!E54)</f>
        <v>0</v>
      </c>
      <c r="E56" s="19" t="n">
        <f aca="false">IF($B56="",0,SUMIFS(INCORRIDO!$C$6:$C$5005,INCORRIDO!$D$6:$D$5005,$B56,INCORRIDO!$E$6:$E$5005,"&lt;="&amp;PARAMETROS!$C$12))</f>
        <v>0</v>
      </c>
      <c r="F56" s="19" t="n">
        <f aca="false">IF($B56="",0,SUMIFS(INCORRIDO!$C$6:$C$5005,INCORRIDO!$D$6:$D$5005,$B56,INCORRIDO!$E$6:$E$5005,"&gt;"&amp;PARAMETROS!$C$12))</f>
        <v>0</v>
      </c>
      <c r="G56" s="19" t="n">
        <f aca="false">MAX(0,D56-E56-F56)</f>
        <v>0</v>
      </c>
      <c r="H56" s="32" t="n">
        <f aca="false">CURVA!H56</f>
        <v>0</v>
      </c>
      <c r="I56" s="19" t="n">
        <f aca="false">SUM(J56:CC56)</f>
        <v>0</v>
      </c>
      <c r="J56" s="19" t="n">
        <f aca="false">IF($B56="",0,SUMIFS(INCORRIDO!$C$6:$C$5005,INCORRIDO!$D$6:$D$5005,$B56,INCORRIDO!$E$6:$E$5005,"&lt;="&amp;J$7)+IF(J$7&gt;PARAMETROS!$C$12,IF($H56&gt;0,$G56*CURVA!J56/$H56,0)*J$6,0))</f>
        <v>0</v>
      </c>
      <c r="K56" s="19" t="n">
        <f aca="false">IF($B56="",0,SUMIFS(INCORRIDO!$C$6:$C$5005,INCORRIDO!$D$6:$D$5005,$B56,INCORRIDO!$E$6:$E$5005,K$7)+IF(K$7&gt;PARAMETROS!$C$12,IF($H56&gt;0,$G56*CURVA!K56/$H56,0)*K$6,0))</f>
        <v>0</v>
      </c>
      <c r="L56" s="19" t="n">
        <f aca="false">IF($B56="",0,SUMIFS(INCORRIDO!$C$6:$C$5005,INCORRIDO!$D$6:$D$5005,$B56,INCORRIDO!$E$6:$E$5005,L$7)+IF(L$7&gt;PARAMETROS!$C$12,IF($H56&gt;0,$G56*CURVA!L56/$H56,0)*L$6,0))</f>
        <v>0</v>
      </c>
      <c r="M56" s="19" t="n">
        <f aca="false">IF($B56="",0,SUMIFS(INCORRIDO!$C$6:$C$5005,INCORRIDO!$D$6:$D$5005,$B56,INCORRIDO!$E$6:$E$5005,M$7)+IF(M$7&gt;PARAMETROS!$C$12,IF($H56&gt;0,$G56*CURVA!M56/$H56,0)*M$6,0))</f>
        <v>0</v>
      </c>
      <c r="N56" s="19" t="n">
        <f aca="false">IF($B56="",0,SUMIFS(INCORRIDO!$C$6:$C$5005,INCORRIDO!$D$6:$D$5005,$B56,INCORRIDO!$E$6:$E$5005,N$7)+IF(N$7&gt;PARAMETROS!$C$12,IF($H56&gt;0,$G56*CURVA!N56/$H56,0)*N$6,0))</f>
        <v>0</v>
      </c>
      <c r="O56" s="19" t="n">
        <f aca="false">IF($B56="",0,SUMIFS(INCORRIDO!$C$6:$C$5005,INCORRIDO!$D$6:$D$5005,$B56,INCORRIDO!$E$6:$E$5005,O$7)+IF(O$7&gt;PARAMETROS!$C$12,IF($H56&gt;0,$G56*CURVA!O56/$H56,0)*O$6,0))</f>
        <v>0</v>
      </c>
      <c r="P56" s="19" t="n">
        <f aca="false">IF($B56="",0,SUMIFS(INCORRIDO!$C$6:$C$5005,INCORRIDO!$D$6:$D$5005,$B56,INCORRIDO!$E$6:$E$5005,P$7)+IF(P$7&gt;PARAMETROS!$C$12,IF($H56&gt;0,$G56*CURVA!P56/$H56,0)*P$6,0))</f>
        <v>0</v>
      </c>
      <c r="Q56" s="19" t="n">
        <f aca="false">IF($B56="",0,SUMIFS(INCORRIDO!$C$6:$C$5005,INCORRIDO!$D$6:$D$5005,$B56,INCORRIDO!$E$6:$E$5005,Q$7)+IF(Q$7&gt;PARAMETROS!$C$12,IF($H56&gt;0,$G56*CURVA!Q56/$H56,0)*Q$6,0))</f>
        <v>0</v>
      </c>
      <c r="R56" s="19" t="n">
        <f aca="false">IF($B56="",0,SUMIFS(INCORRIDO!$C$6:$C$5005,INCORRIDO!$D$6:$D$5005,$B56,INCORRIDO!$E$6:$E$5005,R$7)+IF(R$7&gt;PARAMETROS!$C$12,IF($H56&gt;0,$G56*CURVA!R56/$H56,0)*R$6,0))</f>
        <v>0</v>
      </c>
      <c r="S56" s="19" t="n">
        <f aca="false">IF($B56="",0,SUMIFS(INCORRIDO!$C$6:$C$5005,INCORRIDO!$D$6:$D$5005,$B56,INCORRIDO!$E$6:$E$5005,S$7)+IF(S$7&gt;PARAMETROS!$C$12,IF($H56&gt;0,$G56*CURVA!S56/$H56,0)*S$6,0))</f>
        <v>0</v>
      </c>
      <c r="T56" s="19" t="n">
        <f aca="false">IF($B56="",0,SUMIFS(INCORRIDO!$C$6:$C$5005,INCORRIDO!$D$6:$D$5005,$B56,INCORRIDO!$E$6:$E$5005,T$7)+IF(T$7&gt;PARAMETROS!$C$12,IF($H56&gt;0,$G56*CURVA!T56/$H56,0)*T$6,0))</f>
        <v>0</v>
      </c>
      <c r="U56" s="19" t="n">
        <f aca="false">IF($B56="",0,SUMIFS(INCORRIDO!$C$6:$C$5005,INCORRIDO!$D$6:$D$5005,$B56,INCORRIDO!$E$6:$E$5005,U$7)+IF(U$7&gt;PARAMETROS!$C$12,IF($H56&gt;0,$G56*CURVA!U56/$H56,0)*U$6,0))</f>
        <v>0</v>
      </c>
      <c r="V56" s="19" t="n">
        <f aca="false">IF($B56="",0,SUMIFS(INCORRIDO!$C$6:$C$5005,INCORRIDO!$D$6:$D$5005,$B56,INCORRIDO!$E$6:$E$5005,V$7)+IF(V$7&gt;PARAMETROS!$C$12,IF($H56&gt;0,$G56*CURVA!V56/$H56,0)*V$6,0))</f>
        <v>0</v>
      </c>
      <c r="W56" s="19" t="n">
        <f aca="false">IF($B56="",0,SUMIFS(INCORRIDO!$C$6:$C$5005,INCORRIDO!$D$6:$D$5005,$B56,INCORRIDO!$E$6:$E$5005,W$7)+IF(W$7&gt;PARAMETROS!$C$12,IF($H56&gt;0,$G56*CURVA!W56/$H56,0)*W$6,0))</f>
        <v>0</v>
      </c>
      <c r="X56" s="19" t="n">
        <f aca="false">IF($B56="",0,SUMIFS(INCORRIDO!$C$6:$C$5005,INCORRIDO!$D$6:$D$5005,$B56,INCORRIDO!$E$6:$E$5005,X$7)+IF(X$7&gt;PARAMETROS!$C$12,IF($H56&gt;0,$G56*CURVA!X56/$H56,0)*X$6,0))</f>
        <v>0</v>
      </c>
      <c r="Y56" s="19" t="n">
        <f aca="false">IF($B56="",0,SUMIFS(INCORRIDO!$C$6:$C$5005,INCORRIDO!$D$6:$D$5005,$B56,INCORRIDO!$E$6:$E$5005,Y$7)+IF(Y$7&gt;PARAMETROS!$C$12,IF($H56&gt;0,$G56*CURVA!Y56/$H56,0)*Y$6,0))</f>
        <v>0</v>
      </c>
      <c r="Z56" s="19" t="n">
        <f aca="false">IF($B56="",0,SUMIFS(INCORRIDO!$C$6:$C$5005,INCORRIDO!$D$6:$D$5005,$B56,INCORRIDO!$E$6:$E$5005,Z$7)+IF(Z$7&gt;PARAMETROS!$C$12,IF($H56&gt;0,$G56*CURVA!Z56/$H56,0)*Z$6,0))</f>
        <v>0</v>
      </c>
      <c r="AA56" s="19" t="n">
        <f aca="false">IF($B56="",0,SUMIFS(INCORRIDO!$C$6:$C$5005,INCORRIDO!$D$6:$D$5005,$B56,INCORRIDO!$E$6:$E$5005,AA$7)+IF(AA$7&gt;PARAMETROS!$C$12,IF($H56&gt;0,$G56*CURVA!AA56/$H56,0)*AA$6,0))</f>
        <v>0</v>
      </c>
      <c r="AB56" s="19" t="n">
        <f aca="false">IF($B56="",0,SUMIFS(INCORRIDO!$C$6:$C$5005,INCORRIDO!$D$6:$D$5005,$B56,INCORRIDO!$E$6:$E$5005,AB$7)+IF(AB$7&gt;PARAMETROS!$C$12,IF($H56&gt;0,$G56*CURVA!AB56/$H56,0)*AB$6,0))</f>
        <v>0</v>
      </c>
      <c r="AC56" s="19" t="n">
        <f aca="false">IF($B56="",0,SUMIFS(INCORRIDO!$C$6:$C$5005,INCORRIDO!$D$6:$D$5005,$B56,INCORRIDO!$E$6:$E$5005,AC$7)+IF(AC$7&gt;PARAMETROS!$C$12,IF($H56&gt;0,$G56*CURVA!AC56/$H56,0)*AC$6,0))</f>
        <v>0</v>
      </c>
      <c r="AD56" s="19" t="n">
        <f aca="false">IF($B56="",0,SUMIFS(INCORRIDO!$C$6:$C$5005,INCORRIDO!$D$6:$D$5005,$B56,INCORRIDO!$E$6:$E$5005,AD$7)+IF(AD$7&gt;PARAMETROS!$C$12,IF($H56&gt;0,$G56*CURVA!AD56/$H56,0)*AD$6,0))</f>
        <v>0</v>
      </c>
      <c r="AE56" s="19" t="n">
        <f aca="false">IF($B56="",0,SUMIFS(INCORRIDO!$C$6:$C$5005,INCORRIDO!$D$6:$D$5005,$B56,INCORRIDO!$E$6:$E$5005,AE$7)+IF(AE$7&gt;PARAMETROS!$C$12,IF($H56&gt;0,$G56*CURVA!AE56/$H56,0)*AE$6,0))</f>
        <v>0</v>
      </c>
      <c r="AF56" s="19" t="n">
        <f aca="false">IF($B56="",0,SUMIFS(INCORRIDO!$C$6:$C$5005,INCORRIDO!$D$6:$D$5005,$B56,INCORRIDO!$E$6:$E$5005,AF$7)+IF(AF$7&gt;PARAMETROS!$C$12,IF($H56&gt;0,$G56*CURVA!AF56/$H56,0)*AF$6,0))</f>
        <v>0</v>
      </c>
      <c r="AG56" s="19" t="n">
        <f aca="false">IF($B56="",0,SUMIFS(INCORRIDO!$C$6:$C$5005,INCORRIDO!$D$6:$D$5005,$B56,INCORRIDO!$E$6:$E$5005,AG$7)+IF(AG$7&gt;PARAMETROS!$C$12,IF($H56&gt;0,$G56*CURVA!AG56/$H56,0)*AG$6,0))</f>
        <v>0</v>
      </c>
      <c r="AH56" s="19" t="n">
        <f aca="false">IF($B56="",0,SUMIFS(INCORRIDO!$C$6:$C$5005,INCORRIDO!$D$6:$D$5005,$B56,INCORRIDO!$E$6:$E$5005,AH$7)+IF(AH$7&gt;PARAMETROS!$C$12,IF($H56&gt;0,$G56*CURVA!AH56/$H56,0)*AH$6,0))</f>
        <v>0</v>
      </c>
      <c r="AI56" s="19" t="n">
        <f aca="false">IF($B56="",0,SUMIFS(INCORRIDO!$C$6:$C$5005,INCORRIDO!$D$6:$D$5005,$B56,INCORRIDO!$E$6:$E$5005,AI$7)+IF(AI$7&gt;PARAMETROS!$C$12,IF($H56&gt;0,$G56*CURVA!AI56/$H56,0)*AI$6,0))</f>
        <v>0</v>
      </c>
      <c r="AJ56" s="19" t="n">
        <f aca="false">IF($B56="",0,SUMIFS(INCORRIDO!$C$6:$C$5005,INCORRIDO!$D$6:$D$5005,$B56,INCORRIDO!$E$6:$E$5005,AJ$7)+IF(AJ$7&gt;PARAMETROS!$C$12,IF($H56&gt;0,$G56*CURVA!AJ56/$H56,0)*AJ$6,0))</f>
        <v>0</v>
      </c>
      <c r="AK56" s="19" t="n">
        <f aca="false">IF($B56="",0,SUMIFS(INCORRIDO!$C$6:$C$5005,INCORRIDO!$D$6:$D$5005,$B56,INCORRIDO!$E$6:$E$5005,AK$7)+IF(AK$7&gt;PARAMETROS!$C$12,IF($H56&gt;0,$G56*CURVA!AK56/$H56,0)*AK$6,0))</f>
        <v>0</v>
      </c>
      <c r="AL56" s="19" t="n">
        <f aca="false">IF($B56="",0,SUMIFS(INCORRIDO!$C$6:$C$5005,INCORRIDO!$D$6:$D$5005,$B56,INCORRIDO!$E$6:$E$5005,AL$7)+IF(AL$7&gt;PARAMETROS!$C$12,IF($H56&gt;0,$G56*CURVA!AL56/$H56,0)*AL$6,0))</f>
        <v>0</v>
      </c>
      <c r="AM56" s="19" t="n">
        <f aca="false">IF($B56="",0,SUMIFS(INCORRIDO!$C$6:$C$5005,INCORRIDO!$D$6:$D$5005,$B56,INCORRIDO!$E$6:$E$5005,AM$7)+IF(AM$7&gt;PARAMETROS!$C$12,IF($H56&gt;0,$G56*CURVA!AM56/$H56,0)*AM$6,0))</f>
        <v>0</v>
      </c>
      <c r="AN56" s="19" t="n">
        <f aca="false">IF($B56="",0,SUMIFS(INCORRIDO!$C$6:$C$5005,INCORRIDO!$D$6:$D$5005,$B56,INCORRIDO!$E$6:$E$5005,AN$7)+IF(AN$7&gt;PARAMETROS!$C$12,IF($H56&gt;0,$G56*CURVA!AN56/$H56,0)*AN$6,0))</f>
        <v>0</v>
      </c>
      <c r="AO56" s="19" t="n">
        <f aca="false">IF($B56="",0,SUMIFS(INCORRIDO!$C$6:$C$5005,INCORRIDO!$D$6:$D$5005,$B56,INCORRIDO!$E$6:$E$5005,AO$7)+IF(AO$7&gt;PARAMETROS!$C$12,IF($H56&gt;0,$G56*CURVA!AO56/$H56,0)*AO$6,0))</f>
        <v>0</v>
      </c>
      <c r="AP56" s="19" t="n">
        <f aca="false">IF($B56="",0,SUMIFS(INCORRIDO!$C$6:$C$5005,INCORRIDO!$D$6:$D$5005,$B56,INCORRIDO!$E$6:$E$5005,AP$7)+IF(AP$7&gt;PARAMETROS!$C$12,IF($H56&gt;0,$G56*CURVA!AP56/$H56,0)*AP$6,0))</f>
        <v>0</v>
      </c>
      <c r="AQ56" s="19" t="n">
        <f aca="false">IF($B56="",0,SUMIFS(INCORRIDO!$C$6:$C$5005,INCORRIDO!$D$6:$D$5005,$B56,INCORRIDO!$E$6:$E$5005,AQ$7)+IF(AQ$7&gt;PARAMETROS!$C$12,IF($H56&gt;0,$G56*CURVA!AQ56/$H56,0)*AQ$6,0))</f>
        <v>0</v>
      </c>
      <c r="AR56" s="19" t="n">
        <f aca="false">IF($B56="",0,SUMIFS(INCORRIDO!$C$6:$C$5005,INCORRIDO!$D$6:$D$5005,$B56,INCORRIDO!$E$6:$E$5005,AR$7)+IF(AR$7&gt;PARAMETROS!$C$12,IF($H56&gt;0,$G56*CURVA!AR56/$H56,0)*AR$6,0))</f>
        <v>0</v>
      </c>
      <c r="AS56" s="19" t="n">
        <f aca="false">IF($B56="",0,SUMIFS(INCORRIDO!$C$6:$C$5005,INCORRIDO!$D$6:$D$5005,$B56,INCORRIDO!$E$6:$E$5005,AS$7)+IF(AS$7&gt;PARAMETROS!$C$12,IF($H56&gt;0,$G56*CURVA!AS56/$H56,0)*AS$6,0))</f>
        <v>0</v>
      </c>
      <c r="AT56" s="19" t="n">
        <f aca="false">IF($B56="",0,SUMIFS(INCORRIDO!$C$6:$C$5005,INCORRIDO!$D$6:$D$5005,$B56,INCORRIDO!$E$6:$E$5005,AT$7)+IF(AT$7&gt;PARAMETROS!$C$12,IF($H56&gt;0,$G56*CURVA!AT56/$H56,0)*AT$6,0))</f>
        <v>0</v>
      </c>
      <c r="AU56" s="19" t="n">
        <f aca="false">IF($B56="",0,SUMIFS(INCORRIDO!$C$6:$C$5005,INCORRIDO!$D$6:$D$5005,$B56,INCORRIDO!$E$6:$E$5005,AU$7)+IF(AU$7&gt;PARAMETROS!$C$12,IF($H56&gt;0,$G56*CURVA!AU56/$H56,0)*AU$6,0))</f>
        <v>0</v>
      </c>
      <c r="AV56" s="19" t="n">
        <f aca="false">IF($B56="",0,SUMIFS(INCORRIDO!$C$6:$C$5005,INCORRIDO!$D$6:$D$5005,$B56,INCORRIDO!$E$6:$E$5005,AV$7)+IF(AV$7&gt;PARAMETROS!$C$12,IF($H56&gt;0,$G56*CURVA!AV56/$H56,0)*AV$6,0))</f>
        <v>0</v>
      </c>
      <c r="AW56" s="19" t="n">
        <f aca="false">IF($B56="",0,SUMIFS(INCORRIDO!$C$6:$C$5005,INCORRIDO!$D$6:$D$5005,$B56,INCORRIDO!$E$6:$E$5005,AW$7)+IF(AW$7&gt;PARAMETROS!$C$12,IF($H56&gt;0,$G56*CURVA!AW56/$H56,0)*AW$6,0))</f>
        <v>0</v>
      </c>
      <c r="AX56" s="19" t="n">
        <f aca="false">IF($B56="",0,SUMIFS(INCORRIDO!$C$6:$C$5005,INCORRIDO!$D$6:$D$5005,$B56,INCORRIDO!$E$6:$E$5005,AX$7)+IF(AX$7&gt;PARAMETROS!$C$12,IF($H56&gt;0,$G56*CURVA!AX56/$H56,0)*AX$6,0))</f>
        <v>0</v>
      </c>
      <c r="AY56" s="19" t="n">
        <f aca="false">IF($B56="",0,SUMIFS(INCORRIDO!$C$6:$C$5005,INCORRIDO!$D$6:$D$5005,$B56,INCORRIDO!$E$6:$E$5005,AY$7)+IF(AY$7&gt;PARAMETROS!$C$12,IF($H56&gt;0,$G56*CURVA!AY56/$H56,0)*AY$6,0))</f>
        <v>0</v>
      </c>
      <c r="AZ56" s="19" t="n">
        <f aca="false">IF($B56="",0,SUMIFS(INCORRIDO!$C$6:$C$5005,INCORRIDO!$D$6:$D$5005,$B56,INCORRIDO!$E$6:$E$5005,AZ$7)+IF(AZ$7&gt;PARAMETROS!$C$12,IF($H56&gt;0,$G56*CURVA!AZ56/$H56,0)*AZ$6,0))</f>
        <v>0</v>
      </c>
      <c r="BA56" s="19" t="n">
        <f aca="false">IF($B56="",0,SUMIFS(INCORRIDO!$C$6:$C$5005,INCORRIDO!$D$6:$D$5005,$B56,INCORRIDO!$E$6:$E$5005,BA$7)+IF(BA$7&gt;PARAMETROS!$C$12,IF($H56&gt;0,$G56*CURVA!BA56/$H56,0)*BA$6,0))</f>
        <v>0</v>
      </c>
      <c r="BB56" s="19" t="n">
        <f aca="false">IF($B56="",0,SUMIFS(INCORRIDO!$C$6:$C$5005,INCORRIDO!$D$6:$D$5005,$B56,INCORRIDO!$E$6:$E$5005,BB$7)+IF(BB$7&gt;PARAMETROS!$C$12,IF($H56&gt;0,$G56*CURVA!BB56/$H56,0)*BB$6,0))</f>
        <v>0</v>
      </c>
      <c r="BC56" s="19" t="n">
        <f aca="false">IF($B56="",0,SUMIFS(INCORRIDO!$C$6:$C$5005,INCORRIDO!$D$6:$D$5005,$B56,INCORRIDO!$E$6:$E$5005,BC$7)+IF(BC$7&gt;PARAMETROS!$C$12,IF($H56&gt;0,$G56*CURVA!BC56/$H56,0)*BC$6,0))</f>
        <v>0</v>
      </c>
      <c r="BD56" s="19" t="n">
        <f aca="false">IF($B56="",0,SUMIFS(INCORRIDO!$C$6:$C$5005,INCORRIDO!$D$6:$D$5005,$B56,INCORRIDO!$E$6:$E$5005,BD$7)+IF(BD$7&gt;PARAMETROS!$C$12,IF($H56&gt;0,$G56*CURVA!BD56/$H56,0)*BD$6,0))</f>
        <v>0</v>
      </c>
      <c r="BE56" s="19" t="n">
        <f aca="false">IF($B56="",0,SUMIFS(INCORRIDO!$C$6:$C$5005,INCORRIDO!$D$6:$D$5005,$B56,INCORRIDO!$E$6:$E$5005,BE$7)+IF(BE$7&gt;PARAMETROS!$C$12,IF($H56&gt;0,$G56*CURVA!BE56/$H56,0)*BE$6,0))</f>
        <v>0</v>
      </c>
      <c r="BF56" s="19" t="n">
        <f aca="false">IF($B56="",0,SUMIFS(INCORRIDO!$C$6:$C$5005,INCORRIDO!$D$6:$D$5005,$B56,INCORRIDO!$E$6:$E$5005,BF$7)+IF(BF$7&gt;PARAMETROS!$C$12,IF($H56&gt;0,$G56*CURVA!BF56/$H56,0)*BF$6,0))</f>
        <v>0</v>
      </c>
      <c r="BG56" s="19" t="n">
        <f aca="false">IF($B56="",0,SUMIFS(INCORRIDO!$C$6:$C$5005,INCORRIDO!$D$6:$D$5005,$B56,INCORRIDO!$E$6:$E$5005,BG$7)+IF(BG$7&gt;PARAMETROS!$C$12,IF($H56&gt;0,$G56*CURVA!BG56/$H56,0)*BG$6,0))</f>
        <v>0</v>
      </c>
      <c r="BH56" s="19" t="n">
        <f aca="false">IF($B56="",0,SUMIFS(INCORRIDO!$C$6:$C$5005,INCORRIDO!$D$6:$D$5005,$B56,INCORRIDO!$E$6:$E$5005,BH$7)+IF(BH$7&gt;PARAMETROS!$C$12,IF($H56&gt;0,$G56*CURVA!BH56/$H56,0)*BH$6,0))</f>
        <v>0</v>
      </c>
      <c r="BI56" s="19" t="n">
        <f aca="false">IF($B56="",0,SUMIFS(INCORRIDO!$C$6:$C$5005,INCORRIDO!$D$6:$D$5005,$B56,INCORRIDO!$E$6:$E$5005,BI$7)+IF(BI$7&gt;PARAMETROS!$C$12,IF($H56&gt;0,$G56*CURVA!BI56/$H56,0)*BI$6,0))</f>
        <v>0</v>
      </c>
      <c r="BJ56" s="19" t="n">
        <f aca="false">IF($B56="",0,SUMIFS(INCORRIDO!$C$6:$C$5005,INCORRIDO!$D$6:$D$5005,$B56,INCORRIDO!$E$6:$E$5005,BJ$7)+IF(BJ$7&gt;PARAMETROS!$C$12,IF($H56&gt;0,$G56*CURVA!BJ56/$H56,0)*BJ$6,0))</f>
        <v>0</v>
      </c>
      <c r="BK56" s="19" t="n">
        <f aca="false">IF($B56="",0,SUMIFS(INCORRIDO!$C$6:$C$5005,INCORRIDO!$D$6:$D$5005,$B56,INCORRIDO!$E$6:$E$5005,BK$7)+IF(BK$7&gt;PARAMETROS!$C$12,IF($H56&gt;0,$G56*CURVA!BK56/$H56,0)*BK$6,0))</f>
        <v>0</v>
      </c>
      <c r="BL56" s="19" t="n">
        <f aca="false">IF($B56="",0,SUMIFS(INCORRIDO!$C$6:$C$5005,INCORRIDO!$D$6:$D$5005,$B56,INCORRIDO!$E$6:$E$5005,BL$7)+IF(BL$7&gt;PARAMETROS!$C$12,IF($H56&gt;0,$G56*CURVA!BL56/$H56,0)*BL$6,0))</f>
        <v>0</v>
      </c>
      <c r="BM56" s="19" t="n">
        <f aca="false">IF($B56="",0,SUMIFS(INCORRIDO!$C$6:$C$5005,INCORRIDO!$D$6:$D$5005,$B56,INCORRIDO!$E$6:$E$5005,BM$7)+IF(BM$7&gt;PARAMETROS!$C$12,IF($H56&gt;0,$G56*CURVA!BM56/$H56,0)*BM$6,0))</f>
        <v>0</v>
      </c>
      <c r="BN56" s="19" t="n">
        <f aca="false">IF($B56="",0,SUMIFS(INCORRIDO!$C$6:$C$5005,INCORRIDO!$D$6:$D$5005,$B56,INCORRIDO!$E$6:$E$5005,BN$7)+IF(BN$7&gt;PARAMETROS!$C$12,IF($H56&gt;0,$G56*CURVA!BN56/$H56,0)*BN$6,0))</f>
        <v>0</v>
      </c>
      <c r="BO56" s="19" t="n">
        <f aca="false">IF($B56="",0,SUMIFS(INCORRIDO!$C$6:$C$5005,INCORRIDO!$D$6:$D$5005,$B56,INCORRIDO!$E$6:$E$5005,BO$7)+IF(BO$7&gt;PARAMETROS!$C$12,IF($H56&gt;0,$G56*CURVA!BO56/$H56,0)*BO$6,0))</f>
        <v>0</v>
      </c>
      <c r="BP56" s="19" t="n">
        <f aca="false">IF($B56="",0,SUMIFS(INCORRIDO!$C$6:$C$5005,INCORRIDO!$D$6:$D$5005,$B56,INCORRIDO!$E$6:$E$5005,BP$7)+IF(BP$7&gt;PARAMETROS!$C$12,IF($H56&gt;0,$G56*CURVA!BP56/$H56,0)*BP$6,0))</f>
        <v>0</v>
      </c>
      <c r="BQ56" s="19" t="n">
        <f aca="false">IF($B56="",0,SUMIFS(INCORRIDO!$C$6:$C$5005,INCORRIDO!$D$6:$D$5005,$B56,INCORRIDO!$E$6:$E$5005,BQ$7)+IF(BQ$7&gt;PARAMETROS!$C$12,IF($H56&gt;0,$G56*CURVA!BQ56/$H56,0)*BQ$6,0))</f>
        <v>0</v>
      </c>
      <c r="BR56" s="19" t="n">
        <f aca="false">IF($B56="",0,SUMIFS(INCORRIDO!$C$6:$C$5005,INCORRIDO!$D$6:$D$5005,$B56,INCORRIDO!$E$6:$E$5005,BR$7)+IF(BR$7&gt;PARAMETROS!$C$12,IF($H56&gt;0,$G56*CURVA!BR56/$H56,0)*BR$6,0))</f>
        <v>0</v>
      </c>
      <c r="BS56" s="19" t="n">
        <f aca="false">IF($B56="",0,SUMIFS(INCORRIDO!$C$6:$C$5005,INCORRIDO!$D$6:$D$5005,$B56,INCORRIDO!$E$6:$E$5005,BS$7)+IF(BS$7&gt;PARAMETROS!$C$12,IF($H56&gt;0,$G56*CURVA!BS56/$H56,0)*BS$6,0))</f>
        <v>0</v>
      </c>
      <c r="BT56" s="19" t="n">
        <f aca="false">IF($B56="",0,SUMIFS(INCORRIDO!$C$6:$C$5005,INCORRIDO!$D$6:$D$5005,$B56,INCORRIDO!$E$6:$E$5005,BT$7)+IF(BT$7&gt;PARAMETROS!$C$12,IF($H56&gt;0,$G56*CURVA!BT56/$H56,0)*BT$6,0))</f>
        <v>0</v>
      </c>
      <c r="BU56" s="19" t="n">
        <f aca="false">IF($B56="",0,SUMIFS(INCORRIDO!$C$6:$C$5005,INCORRIDO!$D$6:$D$5005,$B56,INCORRIDO!$E$6:$E$5005,BU$7)+IF(BU$7&gt;PARAMETROS!$C$12,IF($H56&gt;0,$G56*CURVA!BU56/$H56,0)*BU$6,0))</f>
        <v>0</v>
      </c>
      <c r="BV56" s="19" t="n">
        <f aca="false">IF($B56="",0,SUMIFS(INCORRIDO!$C$6:$C$5005,INCORRIDO!$D$6:$D$5005,$B56,INCORRIDO!$E$6:$E$5005,BV$7)+IF(BV$7&gt;PARAMETROS!$C$12,IF($H56&gt;0,$G56*CURVA!BV56/$H56,0)*BV$6,0))</f>
        <v>0</v>
      </c>
      <c r="BW56" s="19" t="n">
        <f aca="false">IF($B56="",0,SUMIFS(INCORRIDO!$C$6:$C$5005,INCORRIDO!$D$6:$D$5005,$B56,INCORRIDO!$E$6:$E$5005,BW$7)+IF(BW$7&gt;PARAMETROS!$C$12,IF($H56&gt;0,$G56*CURVA!BW56/$H56,0)*BW$6,0))</f>
        <v>0</v>
      </c>
      <c r="BX56" s="19" t="n">
        <f aca="false">IF($B56="",0,SUMIFS(INCORRIDO!$C$6:$C$5005,INCORRIDO!$D$6:$D$5005,$B56,INCORRIDO!$E$6:$E$5005,BX$7)+IF(BX$7&gt;PARAMETROS!$C$12,IF($H56&gt;0,$G56*CURVA!BX56/$H56,0)*BX$6,0))</f>
        <v>0</v>
      </c>
      <c r="BY56" s="19" t="n">
        <f aca="false">IF($B56="",0,SUMIFS(INCORRIDO!$C$6:$C$5005,INCORRIDO!$D$6:$D$5005,$B56,INCORRIDO!$E$6:$E$5005,BY$7)+IF(BY$7&gt;PARAMETROS!$C$12,IF($H56&gt;0,$G56*CURVA!BY56/$H56,0)*BY$6,0))</f>
        <v>0</v>
      </c>
      <c r="BZ56" s="19" t="n">
        <f aca="false">IF($B56="",0,SUMIFS(INCORRIDO!$C$6:$C$5005,INCORRIDO!$D$6:$D$5005,$B56,INCORRIDO!$E$6:$E$5005,BZ$7)+IF(BZ$7&gt;PARAMETROS!$C$12,IF($H56&gt;0,$G56*CURVA!BZ56/$H56,0)*BZ$6,0))</f>
        <v>0</v>
      </c>
      <c r="CA56" s="19" t="n">
        <f aca="false">IF($B56="",0,SUMIFS(INCORRIDO!$C$6:$C$5005,INCORRIDO!$D$6:$D$5005,$B56,INCORRIDO!$E$6:$E$5005,CA$7)+IF(CA$7&gt;PARAMETROS!$C$12,IF($H56&gt;0,$G56*CURVA!CA56/$H56,0)*CA$6,0))</f>
        <v>0</v>
      </c>
      <c r="CB56" s="19" t="n">
        <f aca="false">IF($B56="",0,SUMIFS(INCORRIDO!$C$6:$C$5005,INCORRIDO!$D$6:$D$5005,$B56,INCORRIDO!$E$6:$E$5005,CB$7)+IF(CB$7&gt;PARAMETROS!$C$12,IF($H56&gt;0,$G56*CURVA!CB56/$H56,0)*CB$6,0))</f>
        <v>0</v>
      </c>
      <c r="CC56" s="19" t="n">
        <f aca="false">IF($B56="",0,SUMIFS(INCORRIDO!$C$6:$C$5005,INCORRIDO!$D$6:$D$5005,$B56,INCORRIDO!$E$6:$E$5005,CC$7)+IF(CC$7&gt;PARAMETROS!$C$12,IF($H56&gt;0,$G56*CURVA!CC56/$H56,0)*CC$6,0))</f>
        <v>0</v>
      </c>
    </row>
    <row r="57" customFormat="false" ht="15" hidden="false" customHeight="false" outlineLevel="0" collapsed="false">
      <c r="A57" s="31" t="str">
        <f aca="false">IF(ORCAMENTO!A55="","",ORCAMENTO!A55)</f>
        <v/>
      </c>
      <c r="B57" s="31" t="str">
        <f aca="false">IF(ORCAMENTO!B55="","",ORCAMENTO!B55)</f>
        <v/>
      </c>
      <c r="C57" s="31" t="str">
        <f aca="false">IF(ORCAMENTO!C55="","",ORCAMENTO!C55)</f>
        <v/>
      </c>
      <c r="D57" s="32" t="n">
        <f aca="false">IF($B57="",0,ORCAMENTO!E55)</f>
        <v>0</v>
      </c>
      <c r="E57" s="19" t="n">
        <f aca="false">IF($B57="",0,SUMIFS(INCORRIDO!$C$6:$C$5005,INCORRIDO!$D$6:$D$5005,$B57,INCORRIDO!$E$6:$E$5005,"&lt;="&amp;PARAMETROS!$C$12))</f>
        <v>0</v>
      </c>
      <c r="F57" s="19" t="n">
        <f aca="false">IF($B57="",0,SUMIFS(INCORRIDO!$C$6:$C$5005,INCORRIDO!$D$6:$D$5005,$B57,INCORRIDO!$E$6:$E$5005,"&gt;"&amp;PARAMETROS!$C$12))</f>
        <v>0</v>
      </c>
      <c r="G57" s="19" t="n">
        <f aca="false">MAX(0,D57-E57-F57)</f>
        <v>0</v>
      </c>
      <c r="H57" s="32" t="n">
        <f aca="false">CURVA!H57</f>
        <v>0</v>
      </c>
      <c r="I57" s="19" t="n">
        <f aca="false">SUM(J57:CC57)</f>
        <v>0</v>
      </c>
      <c r="J57" s="19" t="n">
        <f aca="false">IF($B57="",0,SUMIFS(INCORRIDO!$C$6:$C$5005,INCORRIDO!$D$6:$D$5005,$B57,INCORRIDO!$E$6:$E$5005,"&lt;="&amp;J$7)+IF(J$7&gt;PARAMETROS!$C$12,IF($H57&gt;0,$G57*CURVA!J57/$H57,0)*J$6,0))</f>
        <v>0</v>
      </c>
      <c r="K57" s="19" t="n">
        <f aca="false">IF($B57="",0,SUMIFS(INCORRIDO!$C$6:$C$5005,INCORRIDO!$D$6:$D$5005,$B57,INCORRIDO!$E$6:$E$5005,K$7)+IF(K$7&gt;PARAMETROS!$C$12,IF($H57&gt;0,$G57*CURVA!K57/$H57,0)*K$6,0))</f>
        <v>0</v>
      </c>
      <c r="L57" s="19" t="n">
        <f aca="false">IF($B57="",0,SUMIFS(INCORRIDO!$C$6:$C$5005,INCORRIDO!$D$6:$D$5005,$B57,INCORRIDO!$E$6:$E$5005,L$7)+IF(L$7&gt;PARAMETROS!$C$12,IF($H57&gt;0,$G57*CURVA!L57/$H57,0)*L$6,0))</f>
        <v>0</v>
      </c>
      <c r="M57" s="19" t="n">
        <f aca="false">IF($B57="",0,SUMIFS(INCORRIDO!$C$6:$C$5005,INCORRIDO!$D$6:$D$5005,$B57,INCORRIDO!$E$6:$E$5005,M$7)+IF(M$7&gt;PARAMETROS!$C$12,IF($H57&gt;0,$G57*CURVA!M57/$H57,0)*M$6,0))</f>
        <v>0</v>
      </c>
      <c r="N57" s="19" t="n">
        <f aca="false">IF($B57="",0,SUMIFS(INCORRIDO!$C$6:$C$5005,INCORRIDO!$D$6:$D$5005,$B57,INCORRIDO!$E$6:$E$5005,N$7)+IF(N$7&gt;PARAMETROS!$C$12,IF($H57&gt;0,$G57*CURVA!N57/$H57,0)*N$6,0))</f>
        <v>0</v>
      </c>
      <c r="O57" s="19" t="n">
        <f aca="false">IF($B57="",0,SUMIFS(INCORRIDO!$C$6:$C$5005,INCORRIDO!$D$6:$D$5005,$B57,INCORRIDO!$E$6:$E$5005,O$7)+IF(O$7&gt;PARAMETROS!$C$12,IF($H57&gt;0,$G57*CURVA!O57/$H57,0)*O$6,0))</f>
        <v>0</v>
      </c>
      <c r="P57" s="19" t="n">
        <f aca="false">IF($B57="",0,SUMIFS(INCORRIDO!$C$6:$C$5005,INCORRIDO!$D$6:$D$5005,$B57,INCORRIDO!$E$6:$E$5005,P$7)+IF(P$7&gt;PARAMETROS!$C$12,IF($H57&gt;0,$G57*CURVA!P57/$H57,0)*P$6,0))</f>
        <v>0</v>
      </c>
      <c r="Q57" s="19" t="n">
        <f aca="false">IF($B57="",0,SUMIFS(INCORRIDO!$C$6:$C$5005,INCORRIDO!$D$6:$D$5005,$B57,INCORRIDO!$E$6:$E$5005,Q$7)+IF(Q$7&gt;PARAMETROS!$C$12,IF($H57&gt;0,$G57*CURVA!Q57/$H57,0)*Q$6,0))</f>
        <v>0</v>
      </c>
      <c r="R57" s="19" t="n">
        <f aca="false">IF($B57="",0,SUMIFS(INCORRIDO!$C$6:$C$5005,INCORRIDO!$D$6:$D$5005,$B57,INCORRIDO!$E$6:$E$5005,R$7)+IF(R$7&gt;PARAMETROS!$C$12,IF($H57&gt;0,$G57*CURVA!R57/$H57,0)*R$6,0))</f>
        <v>0</v>
      </c>
      <c r="S57" s="19" t="n">
        <f aca="false">IF($B57="",0,SUMIFS(INCORRIDO!$C$6:$C$5005,INCORRIDO!$D$6:$D$5005,$B57,INCORRIDO!$E$6:$E$5005,S$7)+IF(S$7&gt;PARAMETROS!$C$12,IF($H57&gt;0,$G57*CURVA!S57/$H57,0)*S$6,0))</f>
        <v>0</v>
      </c>
      <c r="T57" s="19" t="n">
        <f aca="false">IF($B57="",0,SUMIFS(INCORRIDO!$C$6:$C$5005,INCORRIDO!$D$6:$D$5005,$B57,INCORRIDO!$E$6:$E$5005,T$7)+IF(T$7&gt;PARAMETROS!$C$12,IF($H57&gt;0,$G57*CURVA!T57/$H57,0)*T$6,0))</f>
        <v>0</v>
      </c>
      <c r="U57" s="19" t="n">
        <f aca="false">IF($B57="",0,SUMIFS(INCORRIDO!$C$6:$C$5005,INCORRIDO!$D$6:$D$5005,$B57,INCORRIDO!$E$6:$E$5005,U$7)+IF(U$7&gt;PARAMETROS!$C$12,IF($H57&gt;0,$G57*CURVA!U57/$H57,0)*U$6,0))</f>
        <v>0</v>
      </c>
      <c r="V57" s="19" t="n">
        <f aca="false">IF($B57="",0,SUMIFS(INCORRIDO!$C$6:$C$5005,INCORRIDO!$D$6:$D$5005,$B57,INCORRIDO!$E$6:$E$5005,V$7)+IF(V$7&gt;PARAMETROS!$C$12,IF($H57&gt;0,$G57*CURVA!V57/$H57,0)*V$6,0))</f>
        <v>0</v>
      </c>
      <c r="W57" s="19" t="n">
        <f aca="false">IF($B57="",0,SUMIFS(INCORRIDO!$C$6:$C$5005,INCORRIDO!$D$6:$D$5005,$B57,INCORRIDO!$E$6:$E$5005,W$7)+IF(W$7&gt;PARAMETROS!$C$12,IF($H57&gt;0,$G57*CURVA!W57/$H57,0)*W$6,0))</f>
        <v>0</v>
      </c>
      <c r="X57" s="19" t="n">
        <f aca="false">IF($B57="",0,SUMIFS(INCORRIDO!$C$6:$C$5005,INCORRIDO!$D$6:$D$5005,$B57,INCORRIDO!$E$6:$E$5005,X$7)+IF(X$7&gt;PARAMETROS!$C$12,IF($H57&gt;0,$G57*CURVA!X57/$H57,0)*X$6,0))</f>
        <v>0</v>
      </c>
      <c r="Y57" s="19" t="n">
        <f aca="false">IF($B57="",0,SUMIFS(INCORRIDO!$C$6:$C$5005,INCORRIDO!$D$6:$D$5005,$B57,INCORRIDO!$E$6:$E$5005,Y$7)+IF(Y$7&gt;PARAMETROS!$C$12,IF($H57&gt;0,$G57*CURVA!Y57/$H57,0)*Y$6,0))</f>
        <v>0</v>
      </c>
      <c r="Z57" s="19" t="n">
        <f aca="false">IF($B57="",0,SUMIFS(INCORRIDO!$C$6:$C$5005,INCORRIDO!$D$6:$D$5005,$B57,INCORRIDO!$E$6:$E$5005,Z$7)+IF(Z$7&gt;PARAMETROS!$C$12,IF($H57&gt;0,$G57*CURVA!Z57/$H57,0)*Z$6,0))</f>
        <v>0</v>
      </c>
      <c r="AA57" s="19" t="n">
        <f aca="false">IF($B57="",0,SUMIFS(INCORRIDO!$C$6:$C$5005,INCORRIDO!$D$6:$D$5005,$B57,INCORRIDO!$E$6:$E$5005,AA$7)+IF(AA$7&gt;PARAMETROS!$C$12,IF($H57&gt;0,$G57*CURVA!AA57/$H57,0)*AA$6,0))</f>
        <v>0</v>
      </c>
      <c r="AB57" s="19" t="n">
        <f aca="false">IF($B57="",0,SUMIFS(INCORRIDO!$C$6:$C$5005,INCORRIDO!$D$6:$D$5005,$B57,INCORRIDO!$E$6:$E$5005,AB$7)+IF(AB$7&gt;PARAMETROS!$C$12,IF($H57&gt;0,$G57*CURVA!AB57/$H57,0)*AB$6,0))</f>
        <v>0</v>
      </c>
      <c r="AC57" s="19" t="n">
        <f aca="false">IF($B57="",0,SUMIFS(INCORRIDO!$C$6:$C$5005,INCORRIDO!$D$6:$D$5005,$B57,INCORRIDO!$E$6:$E$5005,AC$7)+IF(AC$7&gt;PARAMETROS!$C$12,IF($H57&gt;0,$G57*CURVA!AC57/$H57,0)*AC$6,0))</f>
        <v>0</v>
      </c>
      <c r="AD57" s="19" t="n">
        <f aca="false">IF($B57="",0,SUMIFS(INCORRIDO!$C$6:$C$5005,INCORRIDO!$D$6:$D$5005,$B57,INCORRIDO!$E$6:$E$5005,AD$7)+IF(AD$7&gt;PARAMETROS!$C$12,IF($H57&gt;0,$G57*CURVA!AD57/$H57,0)*AD$6,0))</f>
        <v>0</v>
      </c>
      <c r="AE57" s="19" t="n">
        <f aca="false">IF($B57="",0,SUMIFS(INCORRIDO!$C$6:$C$5005,INCORRIDO!$D$6:$D$5005,$B57,INCORRIDO!$E$6:$E$5005,AE$7)+IF(AE$7&gt;PARAMETROS!$C$12,IF($H57&gt;0,$G57*CURVA!AE57/$H57,0)*AE$6,0))</f>
        <v>0</v>
      </c>
      <c r="AF57" s="19" t="n">
        <f aca="false">IF($B57="",0,SUMIFS(INCORRIDO!$C$6:$C$5005,INCORRIDO!$D$6:$D$5005,$B57,INCORRIDO!$E$6:$E$5005,AF$7)+IF(AF$7&gt;PARAMETROS!$C$12,IF($H57&gt;0,$G57*CURVA!AF57/$H57,0)*AF$6,0))</f>
        <v>0</v>
      </c>
      <c r="AG57" s="19" t="n">
        <f aca="false">IF($B57="",0,SUMIFS(INCORRIDO!$C$6:$C$5005,INCORRIDO!$D$6:$D$5005,$B57,INCORRIDO!$E$6:$E$5005,AG$7)+IF(AG$7&gt;PARAMETROS!$C$12,IF($H57&gt;0,$G57*CURVA!AG57/$H57,0)*AG$6,0))</f>
        <v>0</v>
      </c>
      <c r="AH57" s="19" t="n">
        <f aca="false">IF($B57="",0,SUMIFS(INCORRIDO!$C$6:$C$5005,INCORRIDO!$D$6:$D$5005,$B57,INCORRIDO!$E$6:$E$5005,AH$7)+IF(AH$7&gt;PARAMETROS!$C$12,IF($H57&gt;0,$G57*CURVA!AH57/$H57,0)*AH$6,0))</f>
        <v>0</v>
      </c>
      <c r="AI57" s="19" t="n">
        <f aca="false">IF($B57="",0,SUMIFS(INCORRIDO!$C$6:$C$5005,INCORRIDO!$D$6:$D$5005,$B57,INCORRIDO!$E$6:$E$5005,AI$7)+IF(AI$7&gt;PARAMETROS!$C$12,IF($H57&gt;0,$G57*CURVA!AI57/$H57,0)*AI$6,0))</f>
        <v>0</v>
      </c>
      <c r="AJ57" s="19" t="n">
        <f aca="false">IF($B57="",0,SUMIFS(INCORRIDO!$C$6:$C$5005,INCORRIDO!$D$6:$D$5005,$B57,INCORRIDO!$E$6:$E$5005,AJ$7)+IF(AJ$7&gt;PARAMETROS!$C$12,IF($H57&gt;0,$G57*CURVA!AJ57/$H57,0)*AJ$6,0))</f>
        <v>0</v>
      </c>
      <c r="AK57" s="19" t="n">
        <f aca="false">IF($B57="",0,SUMIFS(INCORRIDO!$C$6:$C$5005,INCORRIDO!$D$6:$D$5005,$B57,INCORRIDO!$E$6:$E$5005,AK$7)+IF(AK$7&gt;PARAMETROS!$C$12,IF($H57&gt;0,$G57*CURVA!AK57/$H57,0)*AK$6,0))</f>
        <v>0</v>
      </c>
      <c r="AL57" s="19" t="n">
        <f aca="false">IF($B57="",0,SUMIFS(INCORRIDO!$C$6:$C$5005,INCORRIDO!$D$6:$D$5005,$B57,INCORRIDO!$E$6:$E$5005,AL$7)+IF(AL$7&gt;PARAMETROS!$C$12,IF($H57&gt;0,$G57*CURVA!AL57/$H57,0)*AL$6,0))</f>
        <v>0</v>
      </c>
      <c r="AM57" s="19" t="n">
        <f aca="false">IF($B57="",0,SUMIFS(INCORRIDO!$C$6:$C$5005,INCORRIDO!$D$6:$D$5005,$B57,INCORRIDO!$E$6:$E$5005,AM$7)+IF(AM$7&gt;PARAMETROS!$C$12,IF($H57&gt;0,$G57*CURVA!AM57/$H57,0)*AM$6,0))</f>
        <v>0</v>
      </c>
      <c r="AN57" s="19" t="n">
        <f aca="false">IF($B57="",0,SUMIFS(INCORRIDO!$C$6:$C$5005,INCORRIDO!$D$6:$D$5005,$B57,INCORRIDO!$E$6:$E$5005,AN$7)+IF(AN$7&gt;PARAMETROS!$C$12,IF($H57&gt;0,$G57*CURVA!AN57/$H57,0)*AN$6,0))</f>
        <v>0</v>
      </c>
      <c r="AO57" s="19" t="n">
        <f aca="false">IF($B57="",0,SUMIFS(INCORRIDO!$C$6:$C$5005,INCORRIDO!$D$6:$D$5005,$B57,INCORRIDO!$E$6:$E$5005,AO$7)+IF(AO$7&gt;PARAMETROS!$C$12,IF($H57&gt;0,$G57*CURVA!AO57/$H57,0)*AO$6,0))</f>
        <v>0</v>
      </c>
      <c r="AP57" s="19" t="n">
        <f aca="false">IF($B57="",0,SUMIFS(INCORRIDO!$C$6:$C$5005,INCORRIDO!$D$6:$D$5005,$B57,INCORRIDO!$E$6:$E$5005,AP$7)+IF(AP$7&gt;PARAMETROS!$C$12,IF($H57&gt;0,$G57*CURVA!AP57/$H57,0)*AP$6,0))</f>
        <v>0</v>
      </c>
      <c r="AQ57" s="19" t="n">
        <f aca="false">IF($B57="",0,SUMIFS(INCORRIDO!$C$6:$C$5005,INCORRIDO!$D$6:$D$5005,$B57,INCORRIDO!$E$6:$E$5005,AQ$7)+IF(AQ$7&gt;PARAMETROS!$C$12,IF($H57&gt;0,$G57*CURVA!AQ57/$H57,0)*AQ$6,0))</f>
        <v>0</v>
      </c>
      <c r="AR57" s="19" t="n">
        <f aca="false">IF($B57="",0,SUMIFS(INCORRIDO!$C$6:$C$5005,INCORRIDO!$D$6:$D$5005,$B57,INCORRIDO!$E$6:$E$5005,AR$7)+IF(AR$7&gt;PARAMETROS!$C$12,IF($H57&gt;0,$G57*CURVA!AR57/$H57,0)*AR$6,0))</f>
        <v>0</v>
      </c>
      <c r="AS57" s="19" t="n">
        <f aca="false">IF($B57="",0,SUMIFS(INCORRIDO!$C$6:$C$5005,INCORRIDO!$D$6:$D$5005,$B57,INCORRIDO!$E$6:$E$5005,AS$7)+IF(AS$7&gt;PARAMETROS!$C$12,IF($H57&gt;0,$G57*CURVA!AS57/$H57,0)*AS$6,0))</f>
        <v>0</v>
      </c>
      <c r="AT57" s="19" t="n">
        <f aca="false">IF($B57="",0,SUMIFS(INCORRIDO!$C$6:$C$5005,INCORRIDO!$D$6:$D$5005,$B57,INCORRIDO!$E$6:$E$5005,AT$7)+IF(AT$7&gt;PARAMETROS!$C$12,IF($H57&gt;0,$G57*CURVA!AT57/$H57,0)*AT$6,0))</f>
        <v>0</v>
      </c>
      <c r="AU57" s="19" t="n">
        <f aca="false">IF($B57="",0,SUMIFS(INCORRIDO!$C$6:$C$5005,INCORRIDO!$D$6:$D$5005,$B57,INCORRIDO!$E$6:$E$5005,AU$7)+IF(AU$7&gt;PARAMETROS!$C$12,IF($H57&gt;0,$G57*CURVA!AU57/$H57,0)*AU$6,0))</f>
        <v>0</v>
      </c>
      <c r="AV57" s="19" t="n">
        <f aca="false">IF($B57="",0,SUMIFS(INCORRIDO!$C$6:$C$5005,INCORRIDO!$D$6:$D$5005,$B57,INCORRIDO!$E$6:$E$5005,AV$7)+IF(AV$7&gt;PARAMETROS!$C$12,IF($H57&gt;0,$G57*CURVA!AV57/$H57,0)*AV$6,0))</f>
        <v>0</v>
      </c>
      <c r="AW57" s="19" t="n">
        <f aca="false">IF($B57="",0,SUMIFS(INCORRIDO!$C$6:$C$5005,INCORRIDO!$D$6:$D$5005,$B57,INCORRIDO!$E$6:$E$5005,AW$7)+IF(AW$7&gt;PARAMETROS!$C$12,IF($H57&gt;0,$G57*CURVA!AW57/$H57,0)*AW$6,0))</f>
        <v>0</v>
      </c>
      <c r="AX57" s="19" t="n">
        <f aca="false">IF($B57="",0,SUMIFS(INCORRIDO!$C$6:$C$5005,INCORRIDO!$D$6:$D$5005,$B57,INCORRIDO!$E$6:$E$5005,AX$7)+IF(AX$7&gt;PARAMETROS!$C$12,IF($H57&gt;0,$G57*CURVA!AX57/$H57,0)*AX$6,0))</f>
        <v>0</v>
      </c>
      <c r="AY57" s="19" t="n">
        <f aca="false">IF($B57="",0,SUMIFS(INCORRIDO!$C$6:$C$5005,INCORRIDO!$D$6:$D$5005,$B57,INCORRIDO!$E$6:$E$5005,AY$7)+IF(AY$7&gt;PARAMETROS!$C$12,IF($H57&gt;0,$G57*CURVA!AY57/$H57,0)*AY$6,0))</f>
        <v>0</v>
      </c>
      <c r="AZ57" s="19" t="n">
        <f aca="false">IF($B57="",0,SUMIFS(INCORRIDO!$C$6:$C$5005,INCORRIDO!$D$6:$D$5005,$B57,INCORRIDO!$E$6:$E$5005,AZ$7)+IF(AZ$7&gt;PARAMETROS!$C$12,IF($H57&gt;0,$G57*CURVA!AZ57/$H57,0)*AZ$6,0))</f>
        <v>0</v>
      </c>
      <c r="BA57" s="19" t="n">
        <f aca="false">IF($B57="",0,SUMIFS(INCORRIDO!$C$6:$C$5005,INCORRIDO!$D$6:$D$5005,$B57,INCORRIDO!$E$6:$E$5005,BA$7)+IF(BA$7&gt;PARAMETROS!$C$12,IF($H57&gt;0,$G57*CURVA!BA57/$H57,0)*BA$6,0))</f>
        <v>0</v>
      </c>
      <c r="BB57" s="19" t="n">
        <f aca="false">IF($B57="",0,SUMIFS(INCORRIDO!$C$6:$C$5005,INCORRIDO!$D$6:$D$5005,$B57,INCORRIDO!$E$6:$E$5005,BB$7)+IF(BB$7&gt;PARAMETROS!$C$12,IF($H57&gt;0,$G57*CURVA!BB57/$H57,0)*BB$6,0))</f>
        <v>0</v>
      </c>
      <c r="BC57" s="19" t="n">
        <f aca="false">IF($B57="",0,SUMIFS(INCORRIDO!$C$6:$C$5005,INCORRIDO!$D$6:$D$5005,$B57,INCORRIDO!$E$6:$E$5005,BC$7)+IF(BC$7&gt;PARAMETROS!$C$12,IF($H57&gt;0,$G57*CURVA!BC57/$H57,0)*BC$6,0))</f>
        <v>0</v>
      </c>
      <c r="BD57" s="19" t="n">
        <f aca="false">IF($B57="",0,SUMIFS(INCORRIDO!$C$6:$C$5005,INCORRIDO!$D$6:$D$5005,$B57,INCORRIDO!$E$6:$E$5005,BD$7)+IF(BD$7&gt;PARAMETROS!$C$12,IF($H57&gt;0,$G57*CURVA!BD57/$H57,0)*BD$6,0))</f>
        <v>0</v>
      </c>
      <c r="BE57" s="19" t="n">
        <f aca="false">IF($B57="",0,SUMIFS(INCORRIDO!$C$6:$C$5005,INCORRIDO!$D$6:$D$5005,$B57,INCORRIDO!$E$6:$E$5005,BE$7)+IF(BE$7&gt;PARAMETROS!$C$12,IF($H57&gt;0,$G57*CURVA!BE57/$H57,0)*BE$6,0))</f>
        <v>0</v>
      </c>
      <c r="BF57" s="19" t="n">
        <f aca="false">IF($B57="",0,SUMIFS(INCORRIDO!$C$6:$C$5005,INCORRIDO!$D$6:$D$5005,$B57,INCORRIDO!$E$6:$E$5005,BF$7)+IF(BF$7&gt;PARAMETROS!$C$12,IF($H57&gt;0,$G57*CURVA!BF57/$H57,0)*BF$6,0))</f>
        <v>0</v>
      </c>
      <c r="BG57" s="19" t="n">
        <f aca="false">IF($B57="",0,SUMIFS(INCORRIDO!$C$6:$C$5005,INCORRIDO!$D$6:$D$5005,$B57,INCORRIDO!$E$6:$E$5005,BG$7)+IF(BG$7&gt;PARAMETROS!$C$12,IF($H57&gt;0,$G57*CURVA!BG57/$H57,0)*BG$6,0))</f>
        <v>0</v>
      </c>
      <c r="BH57" s="19" t="n">
        <f aca="false">IF($B57="",0,SUMIFS(INCORRIDO!$C$6:$C$5005,INCORRIDO!$D$6:$D$5005,$B57,INCORRIDO!$E$6:$E$5005,BH$7)+IF(BH$7&gt;PARAMETROS!$C$12,IF($H57&gt;0,$G57*CURVA!BH57/$H57,0)*BH$6,0))</f>
        <v>0</v>
      </c>
      <c r="BI57" s="19" t="n">
        <f aca="false">IF($B57="",0,SUMIFS(INCORRIDO!$C$6:$C$5005,INCORRIDO!$D$6:$D$5005,$B57,INCORRIDO!$E$6:$E$5005,BI$7)+IF(BI$7&gt;PARAMETROS!$C$12,IF($H57&gt;0,$G57*CURVA!BI57/$H57,0)*BI$6,0))</f>
        <v>0</v>
      </c>
      <c r="BJ57" s="19" t="n">
        <f aca="false">IF($B57="",0,SUMIFS(INCORRIDO!$C$6:$C$5005,INCORRIDO!$D$6:$D$5005,$B57,INCORRIDO!$E$6:$E$5005,BJ$7)+IF(BJ$7&gt;PARAMETROS!$C$12,IF($H57&gt;0,$G57*CURVA!BJ57/$H57,0)*BJ$6,0))</f>
        <v>0</v>
      </c>
      <c r="BK57" s="19" t="n">
        <f aca="false">IF($B57="",0,SUMIFS(INCORRIDO!$C$6:$C$5005,INCORRIDO!$D$6:$D$5005,$B57,INCORRIDO!$E$6:$E$5005,BK$7)+IF(BK$7&gt;PARAMETROS!$C$12,IF($H57&gt;0,$G57*CURVA!BK57/$H57,0)*BK$6,0))</f>
        <v>0</v>
      </c>
      <c r="BL57" s="19" t="n">
        <f aca="false">IF($B57="",0,SUMIFS(INCORRIDO!$C$6:$C$5005,INCORRIDO!$D$6:$D$5005,$B57,INCORRIDO!$E$6:$E$5005,BL$7)+IF(BL$7&gt;PARAMETROS!$C$12,IF($H57&gt;0,$G57*CURVA!BL57/$H57,0)*BL$6,0))</f>
        <v>0</v>
      </c>
      <c r="BM57" s="19" t="n">
        <f aca="false">IF($B57="",0,SUMIFS(INCORRIDO!$C$6:$C$5005,INCORRIDO!$D$6:$D$5005,$B57,INCORRIDO!$E$6:$E$5005,BM$7)+IF(BM$7&gt;PARAMETROS!$C$12,IF($H57&gt;0,$G57*CURVA!BM57/$H57,0)*BM$6,0))</f>
        <v>0</v>
      </c>
      <c r="BN57" s="19" t="n">
        <f aca="false">IF($B57="",0,SUMIFS(INCORRIDO!$C$6:$C$5005,INCORRIDO!$D$6:$D$5005,$B57,INCORRIDO!$E$6:$E$5005,BN$7)+IF(BN$7&gt;PARAMETROS!$C$12,IF($H57&gt;0,$G57*CURVA!BN57/$H57,0)*BN$6,0))</f>
        <v>0</v>
      </c>
      <c r="BO57" s="19" t="n">
        <f aca="false">IF($B57="",0,SUMIFS(INCORRIDO!$C$6:$C$5005,INCORRIDO!$D$6:$D$5005,$B57,INCORRIDO!$E$6:$E$5005,BO$7)+IF(BO$7&gt;PARAMETROS!$C$12,IF($H57&gt;0,$G57*CURVA!BO57/$H57,0)*BO$6,0))</f>
        <v>0</v>
      </c>
      <c r="BP57" s="19" t="n">
        <f aca="false">IF($B57="",0,SUMIFS(INCORRIDO!$C$6:$C$5005,INCORRIDO!$D$6:$D$5005,$B57,INCORRIDO!$E$6:$E$5005,BP$7)+IF(BP$7&gt;PARAMETROS!$C$12,IF($H57&gt;0,$G57*CURVA!BP57/$H57,0)*BP$6,0))</f>
        <v>0</v>
      </c>
      <c r="BQ57" s="19" t="n">
        <f aca="false">IF($B57="",0,SUMIFS(INCORRIDO!$C$6:$C$5005,INCORRIDO!$D$6:$D$5005,$B57,INCORRIDO!$E$6:$E$5005,BQ$7)+IF(BQ$7&gt;PARAMETROS!$C$12,IF($H57&gt;0,$G57*CURVA!BQ57/$H57,0)*BQ$6,0))</f>
        <v>0</v>
      </c>
      <c r="BR57" s="19" t="n">
        <f aca="false">IF($B57="",0,SUMIFS(INCORRIDO!$C$6:$C$5005,INCORRIDO!$D$6:$D$5005,$B57,INCORRIDO!$E$6:$E$5005,BR$7)+IF(BR$7&gt;PARAMETROS!$C$12,IF($H57&gt;0,$G57*CURVA!BR57/$H57,0)*BR$6,0))</f>
        <v>0</v>
      </c>
      <c r="BS57" s="19" t="n">
        <f aca="false">IF($B57="",0,SUMIFS(INCORRIDO!$C$6:$C$5005,INCORRIDO!$D$6:$D$5005,$B57,INCORRIDO!$E$6:$E$5005,BS$7)+IF(BS$7&gt;PARAMETROS!$C$12,IF($H57&gt;0,$G57*CURVA!BS57/$H57,0)*BS$6,0))</f>
        <v>0</v>
      </c>
      <c r="BT57" s="19" t="n">
        <f aca="false">IF($B57="",0,SUMIFS(INCORRIDO!$C$6:$C$5005,INCORRIDO!$D$6:$D$5005,$B57,INCORRIDO!$E$6:$E$5005,BT$7)+IF(BT$7&gt;PARAMETROS!$C$12,IF($H57&gt;0,$G57*CURVA!BT57/$H57,0)*BT$6,0))</f>
        <v>0</v>
      </c>
      <c r="BU57" s="19" t="n">
        <f aca="false">IF($B57="",0,SUMIFS(INCORRIDO!$C$6:$C$5005,INCORRIDO!$D$6:$D$5005,$B57,INCORRIDO!$E$6:$E$5005,BU$7)+IF(BU$7&gt;PARAMETROS!$C$12,IF($H57&gt;0,$G57*CURVA!BU57/$H57,0)*BU$6,0))</f>
        <v>0</v>
      </c>
      <c r="BV57" s="19" t="n">
        <f aca="false">IF($B57="",0,SUMIFS(INCORRIDO!$C$6:$C$5005,INCORRIDO!$D$6:$D$5005,$B57,INCORRIDO!$E$6:$E$5005,BV$7)+IF(BV$7&gt;PARAMETROS!$C$12,IF($H57&gt;0,$G57*CURVA!BV57/$H57,0)*BV$6,0))</f>
        <v>0</v>
      </c>
      <c r="BW57" s="19" t="n">
        <f aca="false">IF($B57="",0,SUMIFS(INCORRIDO!$C$6:$C$5005,INCORRIDO!$D$6:$D$5005,$B57,INCORRIDO!$E$6:$E$5005,BW$7)+IF(BW$7&gt;PARAMETROS!$C$12,IF($H57&gt;0,$G57*CURVA!BW57/$H57,0)*BW$6,0))</f>
        <v>0</v>
      </c>
      <c r="BX57" s="19" t="n">
        <f aca="false">IF($B57="",0,SUMIFS(INCORRIDO!$C$6:$C$5005,INCORRIDO!$D$6:$D$5005,$B57,INCORRIDO!$E$6:$E$5005,BX$7)+IF(BX$7&gt;PARAMETROS!$C$12,IF($H57&gt;0,$G57*CURVA!BX57/$H57,0)*BX$6,0))</f>
        <v>0</v>
      </c>
      <c r="BY57" s="19" t="n">
        <f aca="false">IF($B57="",0,SUMIFS(INCORRIDO!$C$6:$C$5005,INCORRIDO!$D$6:$D$5005,$B57,INCORRIDO!$E$6:$E$5005,BY$7)+IF(BY$7&gt;PARAMETROS!$C$12,IF($H57&gt;0,$G57*CURVA!BY57/$H57,0)*BY$6,0))</f>
        <v>0</v>
      </c>
      <c r="BZ57" s="19" t="n">
        <f aca="false">IF($B57="",0,SUMIFS(INCORRIDO!$C$6:$C$5005,INCORRIDO!$D$6:$D$5005,$B57,INCORRIDO!$E$6:$E$5005,BZ$7)+IF(BZ$7&gt;PARAMETROS!$C$12,IF($H57&gt;0,$G57*CURVA!BZ57/$H57,0)*BZ$6,0))</f>
        <v>0</v>
      </c>
      <c r="CA57" s="19" t="n">
        <f aca="false">IF($B57="",0,SUMIFS(INCORRIDO!$C$6:$C$5005,INCORRIDO!$D$6:$D$5005,$B57,INCORRIDO!$E$6:$E$5005,CA$7)+IF(CA$7&gt;PARAMETROS!$C$12,IF($H57&gt;0,$G57*CURVA!CA57/$H57,0)*CA$6,0))</f>
        <v>0</v>
      </c>
      <c r="CB57" s="19" t="n">
        <f aca="false">IF($B57="",0,SUMIFS(INCORRIDO!$C$6:$C$5005,INCORRIDO!$D$6:$D$5005,$B57,INCORRIDO!$E$6:$E$5005,CB$7)+IF(CB$7&gt;PARAMETROS!$C$12,IF($H57&gt;0,$G57*CURVA!CB57/$H57,0)*CB$6,0))</f>
        <v>0</v>
      </c>
      <c r="CC57" s="19" t="n">
        <f aca="false">IF($B57="",0,SUMIFS(INCORRIDO!$C$6:$C$5005,INCORRIDO!$D$6:$D$5005,$B57,INCORRIDO!$E$6:$E$5005,CC$7)+IF(CC$7&gt;PARAMETROS!$C$12,IF($H57&gt;0,$G57*CURVA!CC57/$H57,0)*CC$6,0))</f>
        <v>0</v>
      </c>
    </row>
    <row r="58" customFormat="false" ht="15" hidden="false" customHeight="false" outlineLevel="0" collapsed="false">
      <c r="A58" s="7"/>
      <c r="B58" s="3" t="s">
        <v>173</v>
      </c>
      <c r="C58" s="7"/>
      <c r="D58" s="36" t="n">
        <f aca="false">SUM(D8:D57)</f>
        <v>159333109.97</v>
      </c>
      <c r="E58" s="36" t="n">
        <f aca="false">SUM(E8:E57)</f>
        <v>21047425.43</v>
      </c>
      <c r="F58" s="36" t="n">
        <f aca="false">SUM(F8:F57)</f>
        <v>3113839.31</v>
      </c>
      <c r="G58" s="36" t="n">
        <f aca="false">SUM(G8:G57)</f>
        <v>135171845.23</v>
      </c>
      <c r="H58" s="7"/>
      <c r="I58" s="36" t="n">
        <f aca="false">SUM(I8:I57)</f>
        <v>158890939.16</v>
      </c>
      <c r="J58" s="36" t="n">
        <f aca="false">SUM(J8:J57)</f>
        <v>1055724.07</v>
      </c>
      <c r="K58" s="36" t="n">
        <f aca="false">SUM(K8:K57)</f>
        <v>50287.85</v>
      </c>
      <c r="L58" s="36" t="n">
        <f aca="false">SUM(L8:L57)</f>
        <v>339691.77</v>
      </c>
      <c r="M58" s="36" t="n">
        <f aca="false">SUM(M8:M57)</f>
        <v>249008.27</v>
      </c>
      <c r="N58" s="36" t="n">
        <f aca="false">SUM(N8:N57)</f>
        <v>226944.64</v>
      </c>
      <c r="O58" s="36" t="n">
        <f aca="false">SUM(O8:O57)</f>
        <v>298199.84</v>
      </c>
      <c r="P58" s="36" t="n">
        <f aca="false">SUM(P8:P57)</f>
        <v>190147.17</v>
      </c>
      <c r="Q58" s="36" t="n">
        <f aca="false">SUM(Q8:Q57)</f>
        <v>221368.36</v>
      </c>
      <c r="R58" s="36" t="n">
        <f aca="false">SUM(R8:R57)</f>
        <v>395241.5</v>
      </c>
      <c r="S58" s="36" t="n">
        <f aca="false">SUM(S8:S57)</f>
        <v>676984.83</v>
      </c>
      <c r="T58" s="36" t="n">
        <f aca="false">SUM(T8:T57)</f>
        <v>1222420.99</v>
      </c>
      <c r="U58" s="36" t="n">
        <f aca="false">SUM(U8:U57)</f>
        <v>2168012.47</v>
      </c>
      <c r="V58" s="36" t="n">
        <f aca="false">SUM(V8:V57)</f>
        <v>1536529.05</v>
      </c>
      <c r="W58" s="36" t="n">
        <f aca="false">SUM(W8:W57)</f>
        <v>1956392.11</v>
      </c>
      <c r="X58" s="36" t="n">
        <f aca="false">SUM(X8:X57)</f>
        <v>1098176.16</v>
      </c>
      <c r="Y58" s="36" t="n">
        <f aca="false">SUM(Y8:Y57)</f>
        <v>1606873.35</v>
      </c>
      <c r="Z58" s="36" t="n">
        <f aca="false">SUM(Z8:Z57)</f>
        <v>1435519.96</v>
      </c>
      <c r="AA58" s="36" t="n">
        <f aca="false">SUM(AA8:AA57)</f>
        <v>937882.04</v>
      </c>
      <c r="AB58" s="36" t="n">
        <f aca="false">SUM(AB8:AB57)</f>
        <v>1340670.54</v>
      </c>
      <c r="AC58" s="36" t="n">
        <f aca="false">SUM(AC8:AC57)</f>
        <v>2331705.56</v>
      </c>
      <c r="AD58" s="36" t="n">
        <f aca="false">SUM(AD8:AD57)</f>
        <v>1709644.9</v>
      </c>
      <c r="AE58" s="36" t="n">
        <f aca="false">SUM(AE8:AE57)</f>
        <v>2229926.52140823</v>
      </c>
      <c r="AF58" s="36" t="n">
        <f aca="false">SUM(AF8:AF57)</f>
        <v>1844920.36537489</v>
      </c>
      <c r="AG58" s="36" t="n">
        <f aca="false">SUM(AG8:AG57)</f>
        <v>2620318.72934975</v>
      </c>
      <c r="AH58" s="36" t="n">
        <f aca="false">SUM(AH8:AH57)</f>
        <v>2412537.6160262</v>
      </c>
      <c r="AI58" s="36" t="n">
        <f aca="false">SUM(AI8:AI57)</f>
        <v>2799466.96179914</v>
      </c>
      <c r="AJ58" s="36" t="n">
        <f aca="false">SUM(AJ8:AJ57)</f>
        <v>2725463.41833902</v>
      </c>
      <c r="AK58" s="36" t="n">
        <f aca="false">SUM(AK8:AK57)</f>
        <v>2750259.0230005</v>
      </c>
      <c r="AL58" s="36" t="n">
        <f aca="false">SUM(AL8:AL57)</f>
        <v>2647888.1069397</v>
      </c>
      <c r="AM58" s="36" t="n">
        <f aca="false">SUM(AM8:AM57)</f>
        <v>2797359.84509275</v>
      </c>
      <c r="AN58" s="36" t="n">
        <f aca="false">SUM(AN8:AN57)</f>
        <v>3861699.03939504</v>
      </c>
      <c r="AO58" s="36" t="n">
        <f aca="false">SUM(AO8:AO57)</f>
        <v>4306240.51961584</v>
      </c>
      <c r="AP58" s="36" t="n">
        <f aca="false">SUM(AP8:AP57)</f>
        <v>4734915.61715694</v>
      </c>
      <c r="AQ58" s="36" t="n">
        <f aca="false">SUM(AQ8:AQ57)</f>
        <v>4352615.6398088</v>
      </c>
      <c r="AR58" s="36" t="n">
        <f aca="false">SUM(AR8:AR57)</f>
        <v>5169556.29230702</v>
      </c>
      <c r="AS58" s="36" t="n">
        <f aca="false">SUM(AS8:AS57)</f>
        <v>6003023.21002507</v>
      </c>
      <c r="AT58" s="36" t="n">
        <f aca="false">SUM(AT8:AT57)</f>
        <v>6391688.55566425</v>
      </c>
      <c r="AU58" s="36" t="n">
        <f aca="false">SUM(AU8:AU57)</f>
        <v>6218197.71146217</v>
      </c>
      <c r="AV58" s="36" t="n">
        <f aca="false">SUM(AV8:AV57)</f>
        <v>7015016.98294078</v>
      </c>
      <c r="AW58" s="36" t="n">
        <f aca="false">SUM(AW8:AW57)</f>
        <v>8209438.14759541</v>
      </c>
      <c r="AX58" s="36" t="n">
        <f aca="false">SUM(AX8:AX57)</f>
        <v>8087827.90344314</v>
      </c>
      <c r="AY58" s="36" t="n">
        <f aca="false">SUM(AY8:AY57)</f>
        <v>5225814.228032</v>
      </c>
      <c r="AZ58" s="36" t="n">
        <f aca="false">SUM(AZ8:AZ57)</f>
        <v>5801863.58675787</v>
      </c>
      <c r="BA58" s="36" t="n">
        <f aca="false">SUM(BA8:BA57)</f>
        <v>5867182.56726763</v>
      </c>
      <c r="BB58" s="36" t="n">
        <f aca="false">SUM(BB8:BB57)</f>
        <v>5044959.42327478</v>
      </c>
      <c r="BC58" s="36" t="n">
        <f aca="false">SUM(BC8:BC57)</f>
        <v>5213405.64521016</v>
      </c>
      <c r="BD58" s="36" t="n">
        <f aca="false">SUM(BD8:BD57)</f>
        <v>3679937.16939282</v>
      </c>
      <c r="BE58" s="36" t="n">
        <f aca="false">SUM(BE8:BE57)</f>
        <v>3421617.65388906</v>
      </c>
      <c r="BF58" s="36" t="n">
        <f aca="false">SUM(BF8:BF57)</f>
        <v>3185185.86625802</v>
      </c>
      <c r="BG58" s="36" t="n">
        <f aca="false">SUM(BG8:BG57)</f>
        <v>2691989.20201083</v>
      </c>
      <c r="BH58" s="36" t="n">
        <f aca="false">SUM(BH8:BH57)</f>
        <v>3472932.13742062</v>
      </c>
      <c r="BI58" s="36" t="n">
        <f aca="false">SUM(BI8:BI57)</f>
        <v>2109335.04616052</v>
      </c>
      <c r="BJ58" s="36" t="n">
        <f aca="false">SUM(BJ8:BJ57)</f>
        <v>1069437.38354966</v>
      </c>
      <c r="BK58" s="36" t="n">
        <f aca="false">SUM(BK8:BK57)</f>
        <v>504905.55644889</v>
      </c>
      <c r="BL58" s="36" t="n">
        <f aca="false">SUM(BL8:BL57)</f>
        <v>674228.503885259</v>
      </c>
      <c r="BM58" s="36" t="n">
        <f aca="false">SUM(BM8:BM57)</f>
        <v>64997.490126005</v>
      </c>
      <c r="BN58" s="36" t="n">
        <f aca="false">SUM(BN8:BN57)</f>
        <v>108340.237030997</v>
      </c>
      <c r="BO58" s="36" t="n">
        <f aca="false">SUM(BO8:BO57)</f>
        <v>0</v>
      </c>
      <c r="BP58" s="36" t="n">
        <f aca="false">SUM(BP8:BP57)</f>
        <v>2529021.82654024</v>
      </c>
      <c r="BQ58" s="36" t="n">
        <f aca="false">SUM(BQ8:BQ57)</f>
        <v>0</v>
      </c>
      <c r="BR58" s="36" t="n">
        <f aca="false">SUM(BR8:BR57)</f>
        <v>0</v>
      </c>
      <c r="BS58" s="36" t="n">
        <f aca="false">SUM(BS8:BS57)</f>
        <v>0</v>
      </c>
      <c r="BT58" s="36" t="n">
        <f aca="false">SUM(BT8:BT57)</f>
        <v>0</v>
      </c>
      <c r="BU58" s="36" t="n">
        <f aca="false">SUM(BU8:BU57)</f>
        <v>0</v>
      </c>
      <c r="BV58" s="36" t="n">
        <f aca="false">SUM(BV8:BV57)</f>
        <v>0</v>
      </c>
      <c r="BW58" s="36" t="n">
        <f aca="false">SUM(BW8:BW57)</f>
        <v>0</v>
      </c>
      <c r="BX58" s="36" t="n">
        <f aca="false">SUM(BX8:BX57)</f>
        <v>0</v>
      </c>
      <c r="BY58" s="36" t="n">
        <f aca="false">SUM(BY8:BY57)</f>
        <v>0</v>
      </c>
      <c r="BZ58" s="36" t="n">
        <f aca="false">SUM(BZ8:BZ57)</f>
        <v>0</v>
      </c>
      <c r="CA58" s="36" t="n">
        <f aca="false">SUM(CA8:CA57)</f>
        <v>0</v>
      </c>
      <c r="CB58" s="36" t="n">
        <f aca="false">SUM(CB8:CB57)</f>
        <v>0</v>
      </c>
      <c r="CC58" s="36" t="n">
        <f aca="false">SUM(CC8:CC57)</f>
        <v>0</v>
      </c>
    </row>
    <row r="59" customFormat="false" ht="15" hidden="false" customHeight="false" outlineLevel="0" collapsed="false">
      <c r="A59" s="7"/>
      <c r="B59" s="3" t="s">
        <v>224</v>
      </c>
      <c r="C59" s="7"/>
      <c r="D59" s="7"/>
      <c r="E59" s="7"/>
      <c r="F59" s="7"/>
      <c r="G59" s="7"/>
      <c r="H59" s="7"/>
      <c r="I59" s="7"/>
      <c r="J59" s="37" t="n">
        <f aca="false">J58</f>
        <v>1055724.07</v>
      </c>
      <c r="K59" s="37" t="n">
        <f aca="false">J59+K58</f>
        <v>1106011.92</v>
      </c>
      <c r="L59" s="37" t="n">
        <f aca="false">K59+L58</f>
        <v>1445703.69</v>
      </c>
      <c r="M59" s="37" t="n">
        <f aca="false">L59+M58</f>
        <v>1694711.96</v>
      </c>
      <c r="N59" s="37" t="n">
        <f aca="false">M59+N58</f>
        <v>1921656.6</v>
      </c>
      <c r="O59" s="37" t="n">
        <f aca="false">N59+O58</f>
        <v>2219856.44</v>
      </c>
      <c r="P59" s="37" t="n">
        <f aca="false">O59+P58</f>
        <v>2410003.61</v>
      </c>
      <c r="Q59" s="37" t="n">
        <f aca="false">P59+Q58</f>
        <v>2631371.97</v>
      </c>
      <c r="R59" s="37" t="n">
        <f aca="false">Q59+R58</f>
        <v>3026613.47</v>
      </c>
      <c r="S59" s="37" t="n">
        <f aca="false">R59+S58</f>
        <v>3703598.3</v>
      </c>
      <c r="T59" s="37" t="n">
        <f aca="false">S59+T58</f>
        <v>4926019.29</v>
      </c>
      <c r="U59" s="37" t="n">
        <f aca="false">T59+U58</f>
        <v>7094031.76</v>
      </c>
      <c r="V59" s="37" t="n">
        <f aca="false">U59+V58</f>
        <v>8630560.81</v>
      </c>
      <c r="W59" s="37" t="n">
        <f aca="false">V59+W58</f>
        <v>10586952.92</v>
      </c>
      <c r="X59" s="37" t="n">
        <f aca="false">W59+X58</f>
        <v>11685129.08</v>
      </c>
      <c r="Y59" s="37" t="n">
        <f aca="false">X59+Y58</f>
        <v>13292002.43</v>
      </c>
      <c r="Z59" s="37" t="n">
        <f aca="false">Y59+Z58</f>
        <v>14727522.39</v>
      </c>
      <c r="AA59" s="37" t="n">
        <f aca="false">Z59+AA58</f>
        <v>15665404.43</v>
      </c>
      <c r="AB59" s="37" t="n">
        <f aca="false">AA59+AB58</f>
        <v>17006074.97</v>
      </c>
      <c r="AC59" s="37" t="n">
        <f aca="false">AB59+AC58</f>
        <v>19337780.53</v>
      </c>
      <c r="AD59" s="37" t="n">
        <f aca="false">AC59+AD58</f>
        <v>21047425.43</v>
      </c>
      <c r="AE59" s="37" t="n">
        <f aca="false">AD59+AE58</f>
        <v>23277351.9514082</v>
      </c>
      <c r="AF59" s="37" t="n">
        <f aca="false">AE59+AF58</f>
        <v>25122272.3167831</v>
      </c>
      <c r="AG59" s="37" t="n">
        <f aca="false">AF59+AG58</f>
        <v>27742591.0461329</v>
      </c>
      <c r="AH59" s="37" t="n">
        <f aca="false">AG59+AH58</f>
        <v>30155128.6621591</v>
      </c>
      <c r="AI59" s="37" t="n">
        <f aca="false">AH59+AI58</f>
        <v>32954595.6239582</v>
      </c>
      <c r="AJ59" s="37" t="n">
        <f aca="false">AI59+AJ58</f>
        <v>35680059.0422972</v>
      </c>
      <c r="AK59" s="37" t="n">
        <f aca="false">AJ59+AK58</f>
        <v>38430318.0652977</v>
      </c>
      <c r="AL59" s="37" t="n">
        <f aca="false">AK59+AL58</f>
        <v>41078206.1722374</v>
      </c>
      <c r="AM59" s="37" t="n">
        <f aca="false">AL59+AM58</f>
        <v>43875566.0173302</v>
      </c>
      <c r="AN59" s="37" t="n">
        <f aca="false">AM59+AN58</f>
        <v>47737265.0567252</v>
      </c>
      <c r="AO59" s="37" t="n">
        <f aca="false">AN59+AO58</f>
        <v>52043505.5763411</v>
      </c>
      <c r="AP59" s="37" t="n">
        <f aca="false">AO59+AP58</f>
        <v>56778421.193498</v>
      </c>
      <c r="AQ59" s="37" t="n">
        <f aca="false">AP59+AQ58</f>
        <v>61131036.8333068</v>
      </c>
      <c r="AR59" s="37" t="n">
        <f aca="false">AQ59+AR58</f>
        <v>66300593.1256138</v>
      </c>
      <c r="AS59" s="37" t="n">
        <f aca="false">AR59+AS58</f>
        <v>72303616.3356389</v>
      </c>
      <c r="AT59" s="37" t="n">
        <f aca="false">AS59+AT58</f>
        <v>78695304.8913031</v>
      </c>
      <c r="AU59" s="37" t="n">
        <f aca="false">AT59+AU58</f>
        <v>84913502.6027653</v>
      </c>
      <c r="AV59" s="37" t="n">
        <f aca="false">AU59+AV58</f>
        <v>91928519.5857061</v>
      </c>
      <c r="AW59" s="37" t="n">
        <f aca="false">AV59+AW58</f>
        <v>100137957.733301</v>
      </c>
      <c r="AX59" s="37" t="n">
        <f aca="false">AW59+AX58</f>
        <v>108225785.636745</v>
      </c>
      <c r="AY59" s="37" t="n">
        <f aca="false">AX59+AY58</f>
        <v>113451599.864777</v>
      </c>
      <c r="AZ59" s="37" t="n">
        <f aca="false">AY59+AZ58</f>
        <v>119253463.451534</v>
      </c>
      <c r="BA59" s="37" t="n">
        <f aca="false">AZ59+BA58</f>
        <v>125120646.018802</v>
      </c>
      <c r="BB59" s="37" t="n">
        <f aca="false">BA59+BB58</f>
        <v>130165605.442077</v>
      </c>
      <c r="BC59" s="37" t="n">
        <f aca="false">BB59+BC58</f>
        <v>135379011.087287</v>
      </c>
      <c r="BD59" s="37" t="n">
        <f aca="false">BC59+BD58</f>
        <v>139058948.25668</v>
      </c>
      <c r="BE59" s="37" t="n">
        <f aca="false">BD59+BE58</f>
        <v>142480565.910569</v>
      </c>
      <c r="BF59" s="37" t="n">
        <f aca="false">BE59+BF58</f>
        <v>145665751.776827</v>
      </c>
      <c r="BG59" s="37" t="n">
        <f aca="false">BF59+BG58</f>
        <v>148357740.978838</v>
      </c>
      <c r="BH59" s="37" t="n">
        <f aca="false">BG59+BH58</f>
        <v>151830673.116258</v>
      </c>
      <c r="BI59" s="37" t="n">
        <f aca="false">BH59+BI58</f>
        <v>153940008.162419</v>
      </c>
      <c r="BJ59" s="37" t="n">
        <f aca="false">BI59+BJ58</f>
        <v>155009445.545969</v>
      </c>
      <c r="BK59" s="37" t="n">
        <f aca="false">BJ59+BK58</f>
        <v>155514351.102417</v>
      </c>
      <c r="BL59" s="37" t="n">
        <f aca="false">BK59+BL58</f>
        <v>156188579.606303</v>
      </c>
      <c r="BM59" s="37" t="n">
        <f aca="false">BL59+BM58</f>
        <v>156253577.096429</v>
      </c>
      <c r="BN59" s="37" t="n">
        <f aca="false">BM59+BN58</f>
        <v>156361917.33346</v>
      </c>
      <c r="BO59" s="37" t="n">
        <f aca="false">BN59+BO58</f>
        <v>156361917.33346</v>
      </c>
      <c r="BP59" s="37" t="n">
        <f aca="false">BO59+BP58</f>
        <v>158890939.16</v>
      </c>
      <c r="BQ59" s="37" t="n">
        <f aca="false">BP59+BQ58</f>
        <v>158890939.16</v>
      </c>
      <c r="BR59" s="37" t="n">
        <f aca="false">BQ59+BR58</f>
        <v>158890939.16</v>
      </c>
      <c r="BS59" s="37" t="n">
        <f aca="false">BR59+BS58</f>
        <v>158890939.16</v>
      </c>
      <c r="BT59" s="37" t="n">
        <f aca="false">BS59+BT58</f>
        <v>158890939.16</v>
      </c>
      <c r="BU59" s="37" t="n">
        <f aca="false">BT59+BU58</f>
        <v>158890939.16</v>
      </c>
      <c r="BV59" s="37" t="n">
        <f aca="false">BU59+BV58</f>
        <v>158890939.16</v>
      </c>
      <c r="BW59" s="37" t="n">
        <f aca="false">BV59+BW58</f>
        <v>158890939.16</v>
      </c>
      <c r="BX59" s="37" t="n">
        <f aca="false">BW59+BX58</f>
        <v>158890939.16</v>
      </c>
      <c r="BY59" s="37" t="n">
        <f aca="false">BX59+BY58</f>
        <v>158890939.16</v>
      </c>
      <c r="BZ59" s="37" t="n">
        <f aca="false">BY59+BZ58</f>
        <v>158890939.16</v>
      </c>
      <c r="CA59" s="37" t="n">
        <f aca="false">BZ59+CA58</f>
        <v>158890939.16</v>
      </c>
      <c r="CB59" s="37" t="n">
        <f aca="false">CA59+CB58</f>
        <v>158890939.16</v>
      </c>
      <c r="CC59" s="37" t="n">
        <f aca="false">CB59+CC58</f>
        <v>158890939.16</v>
      </c>
    </row>
    <row r="60" customFormat="false" ht="15" hidden="false" customHeight="false" outlineLevel="0" collapsed="false">
      <c r="A60" s="7"/>
      <c r="B60" s="3" t="s">
        <v>225</v>
      </c>
      <c r="C60" s="7"/>
      <c r="D60" s="7"/>
      <c r="E60" s="7"/>
      <c r="F60" s="7"/>
      <c r="G60" s="7"/>
      <c r="H60" s="7"/>
      <c r="I60" s="7"/>
      <c r="J60" s="38" t="n">
        <f aca="false">IF($D$58=0,0,J59/$D$58)</f>
        <v>0.00662589257310534</v>
      </c>
      <c r="K60" s="38" t="n">
        <f aca="false">IF($D$58=0,0,K59/$D$58)</f>
        <v>0.0069415071368923</v>
      </c>
      <c r="L60" s="38" t="n">
        <f aca="false">IF($D$58=0,0,L59/$D$58)</f>
        <v>0.0090734668410866</v>
      </c>
      <c r="M60" s="38" t="n">
        <f aca="false">IF($D$58=0,0,M59/$D$58)</f>
        <v>0.0106362824419801</v>
      </c>
      <c r="N60" s="38" t="n">
        <f aca="false">IF($D$58=0,0,N59/$D$58)</f>
        <v>0.0120606231834791</v>
      </c>
      <c r="O60" s="38" t="n">
        <f aca="false">IF($D$58=0,0,O59/$D$58)</f>
        <v>0.0139321729201041</v>
      </c>
      <c r="P60" s="38" t="n">
        <f aca="false">IF($D$58=0,0,P59/$D$58)</f>
        <v>0.0151255668734124</v>
      </c>
      <c r="Q60" s="38" t="n">
        <f aca="false">IF($D$58=0,0,Q59/$D$58)</f>
        <v>0.0165149099926277</v>
      </c>
      <c r="R60" s="38" t="n">
        <f aca="false">IF($D$58=0,0,R59/$D$58)</f>
        <v>0.018995508658369</v>
      </c>
      <c r="S60" s="38" t="n">
        <f aca="false">IF($D$58=0,0,S59/$D$58)</f>
        <v>0.0232443733803811</v>
      </c>
      <c r="T60" s="38" t="n">
        <f aca="false">IF($D$58=0,0,T59/$D$58)</f>
        <v>0.0309164823992169</v>
      </c>
      <c r="U60" s="38" t="n">
        <f aca="false">IF($D$58=0,0,U59/$D$58)</f>
        <v>0.0445232742983282</v>
      </c>
      <c r="V60" s="38" t="n">
        <f aca="false">IF($D$58=0,0,V59/$D$58)</f>
        <v>0.0541667755786917</v>
      </c>
      <c r="W60" s="38" t="n">
        <f aca="false">IF($D$58=0,0,W59/$D$58)</f>
        <v>0.0664454043606716</v>
      </c>
      <c r="X60" s="38" t="n">
        <f aca="false">IF($D$58=0,0,X59/$D$58)</f>
        <v>0.0733377330185806</v>
      </c>
      <c r="Y60" s="38" t="n">
        <f aca="false">IF($D$58=0,0,Y59/$D$58)</f>
        <v>0.0834227263404491</v>
      </c>
      <c r="Z60" s="38" t="n">
        <f aca="false">IF($D$58=0,0,Z59/$D$58)</f>
        <v>0.0924322784685052</v>
      </c>
      <c r="AA60" s="38" t="n">
        <f aca="false">IF($D$58=0,0,AA59/$D$58)</f>
        <v>0.098318575674256</v>
      </c>
      <c r="AB60" s="38" t="n">
        <f aca="false">IF($D$58=0,0,AB59/$D$58)</f>
        <v>0.106732837720936</v>
      </c>
      <c r="AC60" s="38" t="n">
        <f aca="false">IF($D$58=0,0,AC59/$D$58)</f>
        <v>0.121366993549809</v>
      </c>
      <c r="AD60" s="38" t="n">
        <f aca="false">IF($D$58=0,0,AD59/$D$58)</f>
        <v>0.132096997503927</v>
      </c>
      <c r="AE60" s="38" t="n">
        <f aca="false">IF($D$58=0,0,AE59/$D$58)</f>
        <v>0.146092371860381</v>
      </c>
      <c r="AF60" s="38" t="n">
        <f aca="false">IF($D$58=0,0,AF59/$D$58)</f>
        <v>0.157671386201608</v>
      </c>
      <c r="AG60" s="38" t="n">
        <f aca="false">IF($D$58=0,0,AG59/$D$58)</f>
        <v>0.174116924293741</v>
      </c>
      <c r="AH60" s="38" t="n">
        <f aca="false">IF($D$58=0,0,AH59/$D$58)</f>
        <v>0.18925839499296</v>
      </c>
      <c r="AI60" s="38" t="n">
        <f aca="false">IF($D$58=0,0,AI59/$D$58)</f>
        <v>0.206828295952819</v>
      </c>
      <c r="AJ60" s="38" t="n">
        <f aca="false">IF($D$58=0,0,AJ59/$D$58)</f>
        <v>0.223933738875838</v>
      </c>
      <c r="AK60" s="38" t="n">
        <f aca="false">IF($D$58=0,0,AK59/$D$58)</f>
        <v>0.241194802966776</v>
      </c>
      <c r="AL60" s="38" t="n">
        <f aca="false">IF($D$58=0,0,AL59/$D$58)</f>
        <v>0.257813370867937</v>
      </c>
      <c r="AM60" s="38" t="n">
        <f aca="false">IF($D$58=0,0,AM59/$D$58)</f>
        <v>0.275370047227417</v>
      </c>
      <c r="AN60" s="38" t="n">
        <f aca="false">IF($D$58=0,0,AN59/$D$58)</f>
        <v>0.299606686053598</v>
      </c>
      <c r="AO60" s="38" t="n">
        <f aca="false">IF($D$58=0,0,AO59/$D$58)</f>
        <v>0.326633338081081</v>
      </c>
      <c r="AP60" s="38" t="n">
        <f aca="false">IF($D$58=0,0,AP59/$D$58)</f>
        <v>0.356350423362655</v>
      </c>
      <c r="AQ60" s="38" t="n">
        <f aca="false">IF($D$58=0,0,AQ59/$D$58)</f>
        <v>0.383668133037865</v>
      </c>
      <c r="AR60" s="38" t="n">
        <f aca="false">IF($D$58=0,0,AR59/$D$58)</f>
        <v>0.416113092489673</v>
      </c>
      <c r="AS60" s="38" t="n">
        <f aca="false">IF($D$58=0,0,AS59/$D$58)</f>
        <v>0.453789023193312</v>
      </c>
      <c r="AT60" s="38" t="n">
        <f aca="false">IF($D$58=0,0,AT59/$D$58)</f>
        <v>0.493904279569515</v>
      </c>
      <c r="AU60" s="38" t="n">
        <f aca="false">IF($D$58=0,0,AU59/$D$58)</f>
        <v>0.532930679748567</v>
      </c>
      <c r="AV60" s="38" t="n">
        <f aca="false">IF($D$58=0,0,AV59/$D$58)</f>
        <v>0.576958044709068</v>
      </c>
      <c r="AW60" s="38" t="n">
        <f aca="false">IF($D$58=0,0,AW59/$D$58)</f>
        <v>0.628481787320639</v>
      </c>
      <c r="AX60" s="38" t="n">
        <f aca="false">IF($D$58=0,0,AX59/$D$58)</f>
        <v>0.679242284652084</v>
      </c>
      <c r="AY60" s="38" t="n">
        <f aca="false">IF($D$58=0,0,AY59/$D$58)</f>
        <v>0.712040327877475</v>
      </c>
      <c r="AZ60" s="38" t="n">
        <f aca="false">IF($D$58=0,0,AZ59/$D$58)</f>
        <v>0.748453748715431</v>
      </c>
      <c r="BA60" s="38" t="n">
        <f aca="false">IF($D$58=0,0,BA59/$D$58)</f>
        <v>0.785277121888604</v>
      </c>
      <c r="BB60" s="38" t="n">
        <f aca="false">IF($D$58=0,0,BB59/$D$58)</f>
        <v>0.816940091526395</v>
      </c>
      <c r="BC60" s="38" t="n">
        <f aca="false">IF($D$58=0,0,BC59/$D$58)</f>
        <v>0.849660256507746</v>
      </c>
      <c r="BD60" s="38" t="n">
        <f aca="false">IF($D$58=0,0,BD59/$D$58)</f>
        <v>0.872756128860239</v>
      </c>
      <c r="BE60" s="38" t="n">
        <f aca="false">IF($D$58=0,0,BE59/$D$58)</f>
        <v>0.894230746750602</v>
      </c>
      <c r="BF60" s="38" t="n">
        <f aca="false">IF($D$58=0,0,BF59/$D$58)</f>
        <v>0.914221481048437</v>
      </c>
      <c r="BG60" s="38" t="n">
        <f aca="false">IF($D$58=0,0,BG59/$D$58)</f>
        <v>0.931116834453123</v>
      </c>
      <c r="BH60" s="38" t="n">
        <f aca="false">IF($D$58=0,0,BH59/$D$58)</f>
        <v>0.95291351022299</v>
      </c>
      <c r="BI60" s="38" t="n">
        <f aca="false">IF($D$58=0,0,BI59/$D$58)</f>
        <v>0.966152033255382</v>
      </c>
      <c r="BJ60" s="38" t="n">
        <f aca="false">IF($D$58=0,0,BJ59/$D$58)</f>
        <v>0.972863992770583</v>
      </c>
      <c r="BK60" s="38" t="n">
        <f aca="false">IF($D$58=0,0,BK59/$D$58)</f>
        <v>0.976032860537891</v>
      </c>
      <c r="BL60" s="38" t="n">
        <f aca="false">IF($D$58=0,0,BL59/$D$58)</f>
        <v>0.980264426117777</v>
      </c>
      <c r="BM60" s="38" t="n">
        <f aca="false">IF($D$58=0,0,BM59/$D$58)</f>
        <v>0.980672360728093</v>
      </c>
      <c r="BN60" s="38" t="n">
        <f aca="false">IF($D$58=0,0,BN59/$D$58)</f>
        <v>0.981352321327942</v>
      </c>
      <c r="BO60" s="38" t="n">
        <f aca="false">IF($D$58=0,0,BO59/$D$58)</f>
        <v>0.981352321327942</v>
      </c>
      <c r="BP60" s="38" t="n">
        <f aca="false">IF($D$58=0,0,BP59/$D$58)</f>
        <v>0.99722486550295</v>
      </c>
      <c r="BQ60" s="38" t="n">
        <f aca="false">IF($D$58=0,0,BQ59/$D$58)</f>
        <v>0.99722486550295</v>
      </c>
      <c r="BR60" s="38" t="n">
        <f aca="false">IF($D$58=0,0,BR59/$D$58)</f>
        <v>0.99722486550295</v>
      </c>
      <c r="BS60" s="38" t="n">
        <f aca="false">IF($D$58=0,0,BS59/$D$58)</f>
        <v>0.99722486550295</v>
      </c>
      <c r="BT60" s="38" t="n">
        <f aca="false">IF($D$58=0,0,BT59/$D$58)</f>
        <v>0.99722486550295</v>
      </c>
      <c r="BU60" s="38" t="n">
        <f aca="false">IF($D$58=0,0,BU59/$D$58)</f>
        <v>0.99722486550295</v>
      </c>
      <c r="BV60" s="38" t="n">
        <f aca="false">IF($D$58=0,0,BV59/$D$58)</f>
        <v>0.99722486550295</v>
      </c>
      <c r="BW60" s="38" t="n">
        <f aca="false">IF($D$58=0,0,BW59/$D$58)</f>
        <v>0.99722486550295</v>
      </c>
      <c r="BX60" s="38" t="n">
        <f aca="false">IF($D$58=0,0,BX59/$D$58)</f>
        <v>0.99722486550295</v>
      </c>
      <c r="BY60" s="38" t="n">
        <f aca="false">IF($D$58=0,0,BY59/$D$58)</f>
        <v>0.99722486550295</v>
      </c>
      <c r="BZ60" s="38" t="n">
        <f aca="false">IF($D$58=0,0,BZ59/$D$58)</f>
        <v>0.99722486550295</v>
      </c>
      <c r="CA60" s="38" t="n">
        <f aca="false">IF($D$58=0,0,CA59/$D$58)</f>
        <v>0.99722486550295</v>
      </c>
      <c r="CB60" s="38" t="n">
        <f aca="false">IF($D$58=0,0,CB59/$D$58)</f>
        <v>0.99722486550295</v>
      </c>
      <c r="CC60" s="38" t="n">
        <f aca="false">IF($D$58=0,0,CC59/$D$58)</f>
        <v>0.99722486550295</v>
      </c>
    </row>
  </sheetData>
  <conditionalFormatting sqref="J8:CC58">
    <cfRule type="expression" priority="2" aboveAverage="0" equalAverage="0" bottom="0" percent="0" rank="0" text="" dxfId="6">
      <formula>J$7&lt;=PARAMETROS!$C$12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13" min="4" style="0" width="15"/>
  </cols>
  <sheetData>
    <row r="1" customFormat="false" ht="17.35" hidden="false" customHeight="false" outlineLevel="0" collapsed="false">
      <c r="A1" s="1" t="s">
        <v>226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5" hidden="false" customHeight="false" outlineLevel="0" collapsed="false">
      <c r="A2" s="8" t="s">
        <v>227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17" t="s">
        <v>54</v>
      </c>
      <c r="B5" s="17" t="s">
        <v>55</v>
      </c>
      <c r="C5" s="17" t="s">
        <v>56</v>
      </c>
      <c r="D5" s="17" t="s">
        <v>209</v>
      </c>
      <c r="E5" s="39" t="n">
        <f aca="false">YEAR(PARAMETROS!$C$11)</f>
        <v>2024</v>
      </c>
      <c r="F5" s="39" t="n">
        <f aca="false">E5+1</f>
        <v>2025</v>
      </c>
      <c r="G5" s="39" t="n">
        <f aca="false">F5+1</f>
        <v>2026</v>
      </c>
      <c r="H5" s="39" t="n">
        <f aca="false">G5+1</f>
        <v>2027</v>
      </c>
      <c r="I5" s="39" t="n">
        <f aca="false">H5+1</f>
        <v>2028</v>
      </c>
      <c r="J5" s="39" t="n">
        <f aca="false">I5+1</f>
        <v>2029</v>
      </c>
      <c r="K5" s="39" t="n">
        <f aca="false">J5+1</f>
        <v>2030</v>
      </c>
      <c r="L5" s="17" t="s">
        <v>228</v>
      </c>
      <c r="M5" s="17" t="s">
        <v>229</v>
      </c>
    </row>
    <row r="6" customFormat="false" ht="15" hidden="false" customHeight="false" outlineLevel="0" collapsed="false">
      <c r="A6" s="31" t="str">
        <f aca="false">FLUXO_MENSAL!A8</f>
        <v>01</v>
      </c>
      <c r="B6" s="31" t="str">
        <f aca="false">FLUXO_MENSAL!B8</f>
        <v>PROJETOS</v>
      </c>
      <c r="C6" s="31" t="str">
        <f aca="false">FLUXO_MENSAL!C8</f>
        <v>INDIRETOS</v>
      </c>
      <c r="D6" s="32" t="n">
        <f aca="false">FLUXO_MENSAL!D8</f>
        <v>2640655</v>
      </c>
      <c r="E6" s="19" t="n">
        <f aca="false">SUMPRODUCT((YEAR(FLUXO_MENSAL!$J$7:$CC$7)=E$5)*FLUXO_MENSAL!$J8:$CC8)</f>
        <v>418594.15</v>
      </c>
      <c r="F6" s="19" t="n">
        <f aca="false">SUMPRODUCT((YEAR(FLUXO_MENSAL!$J$7:$CC$7)=F$5)*FLUXO_MENSAL!$J8:$CC8)</f>
        <v>1208388.26</v>
      </c>
      <c r="G6" s="19" t="n">
        <f aca="false">SUMPRODUCT((YEAR(FLUXO_MENSAL!$J$7:$CC$7)=G$5)*FLUXO_MENSAL!$J8:$CC8)</f>
        <v>710023.32</v>
      </c>
      <c r="H6" s="19" t="n">
        <f aca="false">SUMPRODUCT((YEAR(FLUXO_MENSAL!$J$7:$CC$7)=H$5)*FLUXO_MENSAL!$J8:$CC8)</f>
        <v>26933</v>
      </c>
      <c r="I6" s="19" t="n">
        <f aca="false">SUMPRODUCT((YEAR(FLUXO_MENSAL!$J$7:$CC$7)=I$5)*FLUXO_MENSAL!$J8:$CC8)</f>
        <v>276716.27</v>
      </c>
      <c r="J6" s="19" t="n">
        <f aca="false">SUMPRODUCT((YEAR(FLUXO_MENSAL!$J$7:$CC$7)=J$5)*FLUXO_MENSAL!$J8:$CC8)</f>
        <v>0</v>
      </c>
      <c r="K6" s="19" t="n">
        <f aca="false">SUMPRODUCT((YEAR(FLUXO_MENSAL!$J$7:$CC$7)=K$5)*FLUXO_MENSAL!$J8:$CC8)</f>
        <v>0</v>
      </c>
      <c r="L6" s="19" t="n">
        <f aca="false">SUM(E6:K6)</f>
        <v>2640655</v>
      </c>
      <c r="M6" s="19" t="n">
        <f aca="false">IF(B6="",0,L6-D6)</f>
        <v>0</v>
      </c>
    </row>
    <row r="7" customFormat="false" ht="15" hidden="false" customHeight="false" outlineLevel="0" collapsed="false">
      <c r="A7" s="31" t="str">
        <f aca="false">FLUXO_MENSAL!A9</f>
        <v>02</v>
      </c>
      <c r="B7" s="31" t="str">
        <f aca="false">FLUXO_MENSAL!B9</f>
        <v>SEGUROS</v>
      </c>
      <c r="C7" s="31" t="str">
        <f aca="false">FLUXO_MENSAL!C9</f>
        <v>INDIRETOS</v>
      </c>
      <c r="D7" s="32" t="n">
        <f aca="false">FLUXO_MENSAL!D9</f>
        <v>127911.99</v>
      </c>
      <c r="E7" s="19" t="n">
        <f aca="false">SUMPRODUCT((YEAR(FLUXO_MENSAL!$J$7:$CC$7)=E$5)*FLUXO_MENSAL!$J9:$CC9)</f>
        <v>0</v>
      </c>
      <c r="F7" s="19" t="n">
        <f aca="false">SUMPRODUCT((YEAR(FLUXO_MENSAL!$J$7:$CC$7)=F$5)*FLUXO_MENSAL!$J9:$CC9)</f>
        <v>0</v>
      </c>
      <c r="G7" s="19" t="n">
        <f aca="false">SUMPRODUCT((YEAR(FLUXO_MENSAL!$J$7:$CC$7)=G$5)*FLUXO_MENSAL!$J9:$CC9)</f>
        <v>0</v>
      </c>
      <c r="H7" s="19" t="n">
        <f aca="false">SUMPRODUCT((YEAR(FLUXO_MENSAL!$J$7:$CC$7)=H$5)*FLUXO_MENSAL!$J9:$CC9)</f>
        <v>0</v>
      </c>
      <c r="I7" s="19" t="n">
        <f aca="false">SUMPRODUCT((YEAR(FLUXO_MENSAL!$J$7:$CC$7)=I$5)*FLUXO_MENSAL!$J9:$CC9)</f>
        <v>0</v>
      </c>
      <c r="J7" s="19" t="n">
        <f aca="false">SUMPRODUCT((YEAR(FLUXO_MENSAL!$J$7:$CC$7)=J$5)*FLUXO_MENSAL!$J9:$CC9)</f>
        <v>0</v>
      </c>
      <c r="K7" s="19" t="n">
        <f aca="false">SUMPRODUCT((YEAR(FLUXO_MENSAL!$J$7:$CC$7)=K$5)*FLUXO_MENSAL!$J9:$CC9)</f>
        <v>0</v>
      </c>
      <c r="L7" s="19" t="n">
        <f aca="false">SUM(E7:K7)</f>
        <v>0</v>
      </c>
      <c r="M7" s="19" t="n">
        <f aca="false">IF(B7="",0,L7-D7)</f>
        <v>-127911.99</v>
      </c>
    </row>
    <row r="8" customFormat="false" ht="15" hidden="false" customHeight="false" outlineLevel="0" collapsed="false">
      <c r="A8" s="31" t="str">
        <f aca="false">FLUXO_MENSAL!A10</f>
        <v>03</v>
      </c>
      <c r="B8" s="31" t="str">
        <f aca="false">FLUXO_MENSAL!B10</f>
        <v>TAXAS DIVERSAS</v>
      </c>
      <c r="C8" s="31" t="str">
        <f aca="false">FLUXO_MENSAL!C10</f>
        <v>INDIRETOS</v>
      </c>
      <c r="D8" s="32" t="n">
        <f aca="false">FLUXO_MENSAL!D10</f>
        <v>158047.46</v>
      </c>
      <c r="E8" s="19" t="n">
        <f aca="false">SUMPRODUCT((YEAR(FLUXO_MENSAL!$J$7:$CC$7)=E$5)*FLUXO_MENSAL!$J10:$CC10)</f>
        <v>154.1</v>
      </c>
      <c r="F8" s="19" t="n">
        <f aca="false">SUMPRODUCT((YEAR(FLUXO_MENSAL!$J$7:$CC$7)=F$5)*FLUXO_MENSAL!$J10:$CC10)</f>
        <v>207.89</v>
      </c>
      <c r="G8" s="19" t="n">
        <f aca="false">SUMPRODUCT((YEAR(FLUXO_MENSAL!$J$7:$CC$7)=G$5)*FLUXO_MENSAL!$J10:$CC10)</f>
        <v>7404.03073196158</v>
      </c>
      <c r="H8" s="19" t="n">
        <f aca="false">SUMPRODUCT((YEAR(FLUXO_MENSAL!$J$7:$CC$7)=H$5)*FLUXO_MENSAL!$J10:$CC10)</f>
        <v>2791.24609794237</v>
      </c>
      <c r="I8" s="19" t="n">
        <f aca="false">SUMPRODUCT((YEAR(FLUXO_MENSAL!$J$7:$CC$7)=I$5)*FLUXO_MENSAL!$J10:$CC10)</f>
        <v>41452.3306934707</v>
      </c>
      <c r="J8" s="19" t="n">
        <f aca="false">SUMPRODUCT((YEAR(FLUXO_MENSAL!$J$7:$CC$7)=J$5)*FLUXO_MENSAL!$J10:$CC10)</f>
        <v>106037.862476625</v>
      </c>
      <c r="K8" s="19" t="n">
        <f aca="false">SUMPRODUCT((YEAR(FLUXO_MENSAL!$J$7:$CC$7)=K$5)*FLUXO_MENSAL!$J10:$CC10)</f>
        <v>0</v>
      </c>
      <c r="L8" s="19" t="n">
        <f aca="false">SUM(E8:K8)</f>
        <v>158047.46</v>
      </c>
      <c r="M8" s="19" t="n">
        <f aca="false">IF(B8="",0,L8-D8)</f>
        <v>0</v>
      </c>
    </row>
    <row r="9" customFormat="false" ht="15" hidden="false" customHeight="false" outlineLevel="0" collapsed="false">
      <c r="A9" s="31" t="str">
        <f aca="false">FLUXO_MENSAL!A11</f>
        <v>04</v>
      </c>
      <c r="B9" s="31" t="str">
        <f aca="false">FLUXO_MENSAL!B11</f>
        <v>BARRACAO DE OBRA</v>
      </c>
      <c r="C9" s="31" t="str">
        <f aca="false">FLUXO_MENSAL!C11</f>
        <v>INDIRETOS</v>
      </c>
      <c r="D9" s="32" t="n">
        <f aca="false">FLUXO_MENSAL!D11</f>
        <v>1249911.07</v>
      </c>
      <c r="E9" s="19" t="n">
        <f aca="false">SUMPRODUCT((YEAR(FLUXO_MENSAL!$J$7:$CC$7)=E$5)*FLUXO_MENSAL!$J11:$CC11)</f>
        <v>61380.97</v>
      </c>
      <c r="F9" s="19" t="n">
        <f aca="false">SUMPRODUCT((YEAR(FLUXO_MENSAL!$J$7:$CC$7)=F$5)*FLUXO_MENSAL!$J11:$CC11)</f>
        <v>421604.66</v>
      </c>
      <c r="G9" s="19" t="n">
        <f aca="false">SUMPRODUCT((YEAR(FLUXO_MENSAL!$J$7:$CC$7)=G$5)*FLUXO_MENSAL!$J11:$CC11)</f>
        <v>218851.035809381</v>
      </c>
      <c r="H9" s="19" t="n">
        <f aca="false">SUMPRODUCT((YEAR(FLUXO_MENSAL!$J$7:$CC$7)=H$5)*FLUXO_MENSAL!$J11:$CC11)</f>
        <v>369182.923218981</v>
      </c>
      <c r="I9" s="19" t="n">
        <f aca="false">SUMPRODUCT((YEAR(FLUXO_MENSAL!$J$7:$CC$7)=I$5)*FLUXO_MENSAL!$J11:$CC11)</f>
        <v>104781.712283671</v>
      </c>
      <c r="J9" s="19" t="n">
        <f aca="false">SUMPRODUCT((YEAR(FLUXO_MENSAL!$J$7:$CC$7)=J$5)*FLUXO_MENSAL!$J11:$CC11)</f>
        <v>74109.7686879669</v>
      </c>
      <c r="K9" s="19" t="n">
        <f aca="false">SUMPRODUCT((YEAR(FLUXO_MENSAL!$J$7:$CC$7)=K$5)*FLUXO_MENSAL!$J11:$CC11)</f>
        <v>0</v>
      </c>
      <c r="L9" s="19" t="n">
        <f aca="false">SUM(E9:K9)</f>
        <v>1249911.07</v>
      </c>
      <c r="M9" s="19" t="n">
        <f aca="false">IF(B9="",0,L9-D9)</f>
        <v>0</v>
      </c>
    </row>
    <row r="10" customFormat="false" ht="15" hidden="false" customHeight="false" outlineLevel="0" collapsed="false">
      <c r="A10" s="31" t="str">
        <f aca="false">FLUXO_MENSAL!A12</f>
        <v>05</v>
      </c>
      <c r="B10" s="31" t="str">
        <f aca="false">FLUXO_MENSAL!B12</f>
        <v>LIGAÇÕES PROVISÓRIAS AGUA, ENERGIA,TELEFONIA, ESGOTO</v>
      </c>
      <c r="C10" s="31" t="str">
        <f aca="false">FLUXO_MENSAL!C12</f>
        <v>INDIRETOS</v>
      </c>
      <c r="D10" s="32" t="n">
        <f aca="false">FLUXO_MENSAL!D12</f>
        <v>85665.05</v>
      </c>
      <c r="E10" s="19" t="n">
        <f aca="false">SUMPRODUCT((YEAR(FLUXO_MENSAL!$J$7:$CC$7)=E$5)*FLUXO_MENSAL!$J12:$CC12)</f>
        <v>0</v>
      </c>
      <c r="F10" s="19" t="n">
        <f aca="false">SUMPRODUCT((YEAR(FLUXO_MENSAL!$J$7:$CC$7)=F$5)*FLUXO_MENSAL!$J12:$CC12)</f>
        <v>0</v>
      </c>
      <c r="G10" s="19" t="n">
        <f aca="false">SUMPRODUCT((YEAR(FLUXO_MENSAL!$J$7:$CC$7)=G$5)*FLUXO_MENSAL!$J12:$CC12)</f>
        <v>0</v>
      </c>
      <c r="H10" s="19" t="n">
        <f aca="false">SUMPRODUCT((YEAR(FLUXO_MENSAL!$J$7:$CC$7)=H$5)*FLUXO_MENSAL!$J12:$CC12)</f>
        <v>0</v>
      </c>
      <c r="I10" s="19" t="n">
        <f aca="false">SUMPRODUCT((YEAR(FLUXO_MENSAL!$J$7:$CC$7)=I$5)*FLUXO_MENSAL!$J12:$CC12)</f>
        <v>0</v>
      </c>
      <c r="J10" s="19" t="n">
        <f aca="false">SUMPRODUCT((YEAR(FLUXO_MENSAL!$J$7:$CC$7)=J$5)*FLUXO_MENSAL!$J12:$CC12)</f>
        <v>0</v>
      </c>
      <c r="K10" s="19" t="n">
        <f aca="false">SUMPRODUCT((YEAR(FLUXO_MENSAL!$J$7:$CC$7)=K$5)*FLUXO_MENSAL!$J12:$CC12)</f>
        <v>0</v>
      </c>
      <c r="L10" s="19" t="n">
        <f aca="false">SUM(E10:K10)</f>
        <v>0</v>
      </c>
      <c r="M10" s="19" t="n">
        <f aca="false">IF(B10="",0,L10-D10)</f>
        <v>-85665.05</v>
      </c>
    </row>
    <row r="11" customFormat="false" ht="15" hidden="false" customHeight="false" outlineLevel="0" collapsed="false">
      <c r="A11" s="31" t="str">
        <f aca="false">FLUXO_MENSAL!A13</f>
        <v>06</v>
      </c>
      <c r="B11" s="31" t="str">
        <f aca="false">FLUXO_MENSAL!B13</f>
        <v>CONSUMO DE ÁGUA, ENERGIA, ETC.</v>
      </c>
      <c r="C11" s="31" t="str">
        <f aca="false">FLUXO_MENSAL!C13</f>
        <v>INDIRETOS</v>
      </c>
      <c r="D11" s="32" t="n">
        <f aca="false">FLUXO_MENSAL!D13</f>
        <v>544229.22</v>
      </c>
      <c r="E11" s="19" t="n">
        <f aca="false">SUMPRODUCT((YEAR(FLUXO_MENSAL!$J$7:$CC$7)=E$5)*FLUXO_MENSAL!$J13:$CC13)</f>
        <v>0</v>
      </c>
      <c r="F11" s="19" t="n">
        <f aca="false">SUMPRODUCT((YEAR(FLUXO_MENSAL!$J$7:$CC$7)=F$5)*FLUXO_MENSAL!$J13:$CC13)</f>
        <v>3408.11</v>
      </c>
      <c r="G11" s="19" t="n">
        <f aca="false">SUMPRODUCT((YEAR(FLUXO_MENSAL!$J$7:$CC$7)=G$5)*FLUXO_MENSAL!$J13:$CC13)</f>
        <v>82048.381252347</v>
      </c>
      <c r="H11" s="19" t="n">
        <f aca="false">SUMPRODUCT((YEAR(FLUXO_MENSAL!$J$7:$CC$7)=H$5)*FLUXO_MENSAL!$J13:$CC13)</f>
        <v>143909.552179944</v>
      </c>
      <c r="I11" s="19" t="n">
        <f aca="false">SUMPRODUCT((YEAR(FLUXO_MENSAL!$J$7:$CC$7)=I$5)*FLUXO_MENSAL!$J13:$CC13)</f>
        <v>148358.438171809</v>
      </c>
      <c r="J11" s="19" t="n">
        <f aca="false">SUMPRODUCT((YEAR(FLUXO_MENSAL!$J$7:$CC$7)=J$5)*FLUXO_MENSAL!$J13:$CC13)</f>
        <v>166504.738395901</v>
      </c>
      <c r="K11" s="19" t="n">
        <f aca="false">SUMPRODUCT((YEAR(FLUXO_MENSAL!$J$7:$CC$7)=K$5)*FLUXO_MENSAL!$J13:$CC13)</f>
        <v>0</v>
      </c>
      <c r="L11" s="19" t="n">
        <f aca="false">SUM(E11:K11)</f>
        <v>544229.22</v>
      </c>
      <c r="M11" s="19" t="n">
        <f aca="false">IF(B11="",0,L11-D11)</f>
        <v>0</v>
      </c>
    </row>
    <row r="12" customFormat="false" ht="15" hidden="false" customHeight="false" outlineLevel="0" collapsed="false">
      <c r="A12" s="31" t="str">
        <f aca="false">FLUXO_MENSAL!A14</f>
        <v>07</v>
      </c>
      <c r="B12" s="31" t="str">
        <f aca="false">FLUXO_MENSAL!B14</f>
        <v>DIVERSOS</v>
      </c>
      <c r="C12" s="31" t="str">
        <f aca="false">FLUXO_MENSAL!C14</f>
        <v>INDIRETOS</v>
      </c>
      <c r="D12" s="32" t="n">
        <f aca="false">FLUXO_MENSAL!D14</f>
        <v>194480.67</v>
      </c>
      <c r="E12" s="19" t="n">
        <f aca="false">SUMPRODUCT((YEAR(FLUXO_MENSAL!$J$7:$CC$7)=E$5)*FLUXO_MENSAL!$J14:$CC14)</f>
        <v>7617.91</v>
      </c>
      <c r="F12" s="19" t="n">
        <f aca="false">SUMPRODUCT((YEAR(FLUXO_MENSAL!$J$7:$CC$7)=F$5)*FLUXO_MENSAL!$J14:$CC14)</f>
        <v>9086.08</v>
      </c>
      <c r="G12" s="19" t="n">
        <f aca="false">SUMPRODUCT((YEAR(FLUXO_MENSAL!$J$7:$CC$7)=G$5)*FLUXO_MENSAL!$J14:$CC14)</f>
        <v>35610.8824984997</v>
      </c>
      <c r="H12" s="19" t="n">
        <f aca="false">SUMPRODUCT((YEAR(FLUXO_MENSAL!$J$7:$CC$7)=H$5)*FLUXO_MENSAL!$J14:$CC14)</f>
        <v>64636.3625036892</v>
      </c>
      <c r="I12" s="19" t="n">
        <f aca="false">SUMPRODUCT((YEAR(FLUXO_MENSAL!$J$7:$CC$7)=I$5)*FLUXO_MENSAL!$J14:$CC14)</f>
        <v>64180.3224154698</v>
      </c>
      <c r="J12" s="19" t="n">
        <f aca="false">SUMPRODUCT((YEAR(FLUXO_MENSAL!$J$7:$CC$7)=J$5)*FLUXO_MENSAL!$J14:$CC14)</f>
        <v>13349.1125823414</v>
      </c>
      <c r="K12" s="19" t="n">
        <f aca="false">SUMPRODUCT((YEAR(FLUXO_MENSAL!$J$7:$CC$7)=K$5)*FLUXO_MENSAL!$J14:$CC14)</f>
        <v>0</v>
      </c>
      <c r="L12" s="19" t="n">
        <f aca="false">SUM(E12:K12)</f>
        <v>194480.67</v>
      </c>
      <c r="M12" s="19" t="n">
        <f aca="false">IF(B12="",0,L12-D12)</f>
        <v>0</v>
      </c>
    </row>
    <row r="13" customFormat="false" ht="15" hidden="false" customHeight="false" outlineLevel="0" collapsed="false">
      <c r="A13" s="31" t="str">
        <f aca="false">FLUXO_MENSAL!A15</f>
        <v>08</v>
      </c>
      <c r="B13" s="31" t="str">
        <f aca="false">FLUXO_MENSAL!B15</f>
        <v>TRANSPORTES</v>
      </c>
      <c r="C13" s="31" t="str">
        <f aca="false">FLUXO_MENSAL!C15</f>
        <v>INDIRETOS</v>
      </c>
      <c r="D13" s="32" t="n">
        <f aca="false">FLUXO_MENSAL!D15</f>
        <v>817599.43</v>
      </c>
      <c r="E13" s="19" t="n">
        <f aca="false">SUMPRODUCT((YEAR(FLUXO_MENSAL!$J$7:$CC$7)=E$5)*FLUXO_MENSAL!$J15:$CC15)</f>
        <v>230</v>
      </c>
      <c r="F13" s="19" t="n">
        <f aca="false">SUMPRODUCT((YEAR(FLUXO_MENSAL!$J$7:$CC$7)=F$5)*FLUXO_MENSAL!$J15:$CC15)</f>
        <v>38732.89</v>
      </c>
      <c r="G13" s="19" t="n">
        <f aca="false">SUMPRODUCT((YEAR(FLUXO_MENSAL!$J$7:$CC$7)=G$5)*FLUXO_MENSAL!$J15:$CC15)</f>
        <v>89905.6315179551</v>
      </c>
      <c r="H13" s="19" t="n">
        <f aca="false">SUMPRODUCT((YEAR(FLUXO_MENSAL!$J$7:$CC$7)=H$5)*FLUXO_MENSAL!$J15:$CC15)</f>
        <v>347554.679326605</v>
      </c>
      <c r="I13" s="19" t="n">
        <f aca="false">SUMPRODUCT((YEAR(FLUXO_MENSAL!$J$7:$CC$7)=I$5)*FLUXO_MENSAL!$J15:$CC15)</f>
        <v>199541.825354691</v>
      </c>
      <c r="J13" s="19" t="n">
        <f aca="false">SUMPRODUCT((YEAR(FLUXO_MENSAL!$J$7:$CC$7)=J$5)*FLUXO_MENSAL!$J15:$CC15)</f>
        <v>141634.403800749</v>
      </c>
      <c r="K13" s="19" t="n">
        <f aca="false">SUMPRODUCT((YEAR(FLUXO_MENSAL!$J$7:$CC$7)=K$5)*FLUXO_MENSAL!$J15:$CC15)</f>
        <v>0</v>
      </c>
      <c r="L13" s="19" t="n">
        <f aca="false">SUM(E13:K13)</f>
        <v>817599.43</v>
      </c>
      <c r="M13" s="19" t="n">
        <f aca="false">IF(B13="",0,L13-D13)</f>
        <v>0</v>
      </c>
    </row>
    <row r="14" customFormat="false" ht="15" hidden="false" customHeight="false" outlineLevel="0" collapsed="false">
      <c r="A14" s="31" t="str">
        <f aca="false">FLUXO_MENSAL!A16</f>
        <v>09</v>
      </c>
      <c r="B14" s="31" t="str">
        <f aca="false">FLUXO_MENSAL!B16</f>
        <v>CONSULTORIAS (OBRAS)</v>
      </c>
      <c r="C14" s="31" t="str">
        <f aca="false">FLUXO_MENSAL!C16</f>
        <v>INDIRETOS</v>
      </c>
      <c r="D14" s="32" t="n">
        <f aca="false">FLUXO_MENSAL!D16</f>
        <v>1371532.11</v>
      </c>
      <c r="E14" s="19" t="n">
        <f aca="false">SUMPRODUCT((YEAR(FLUXO_MENSAL!$J$7:$CC$7)=E$5)*FLUXO_MENSAL!$J16:$CC16)</f>
        <v>43088.09</v>
      </c>
      <c r="F14" s="19" t="n">
        <f aca="false">SUMPRODUCT((YEAR(FLUXO_MENSAL!$J$7:$CC$7)=F$5)*FLUXO_MENSAL!$J16:$CC16)</f>
        <v>396498.82</v>
      </c>
      <c r="G14" s="19" t="n">
        <f aca="false">SUMPRODUCT((YEAR(FLUXO_MENSAL!$J$7:$CC$7)=G$5)*FLUXO_MENSAL!$J16:$CC16)</f>
        <v>359813.178514587</v>
      </c>
      <c r="H14" s="19" t="n">
        <f aca="false">SUMPRODUCT((YEAR(FLUXO_MENSAL!$J$7:$CC$7)=H$5)*FLUXO_MENSAL!$J16:$CC16)</f>
        <v>247855.916311357</v>
      </c>
      <c r="I14" s="19" t="n">
        <f aca="false">SUMPRODUCT((YEAR(FLUXO_MENSAL!$J$7:$CC$7)=I$5)*FLUXO_MENSAL!$J16:$CC16)</f>
        <v>231849.156549573</v>
      </c>
      <c r="J14" s="19" t="n">
        <f aca="false">SUMPRODUCT((YEAR(FLUXO_MENSAL!$J$7:$CC$7)=J$5)*FLUXO_MENSAL!$J16:$CC16)</f>
        <v>92426.9486244831</v>
      </c>
      <c r="K14" s="19" t="n">
        <f aca="false">SUMPRODUCT((YEAR(FLUXO_MENSAL!$J$7:$CC$7)=K$5)*FLUXO_MENSAL!$J16:$CC16)</f>
        <v>0</v>
      </c>
      <c r="L14" s="19" t="n">
        <f aca="false">SUM(E14:K14)</f>
        <v>1371532.11</v>
      </c>
      <c r="M14" s="19" t="n">
        <f aca="false">IF(B14="",0,L14-D14)</f>
        <v>0</v>
      </c>
    </row>
    <row r="15" customFormat="false" ht="15" hidden="false" customHeight="false" outlineLevel="0" collapsed="false">
      <c r="A15" s="31" t="str">
        <f aca="false">FLUXO_MENSAL!A17</f>
        <v>10</v>
      </c>
      <c r="B15" s="31" t="str">
        <f aca="false">FLUXO_MENSAL!B17</f>
        <v>MÃO DE OBRA PRÓPRIA</v>
      </c>
      <c r="C15" s="31" t="str">
        <f aca="false">FLUXO_MENSAL!C17</f>
        <v>INDIRETOS</v>
      </c>
      <c r="D15" s="32" t="n">
        <f aca="false">FLUXO_MENSAL!D17</f>
        <v>21271106.08</v>
      </c>
      <c r="E15" s="19" t="n">
        <f aca="false">SUMPRODUCT((YEAR(FLUXO_MENSAL!$J$7:$CC$7)=E$5)*FLUXO_MENSAL!$J17:$CC17)</f>
        <v>387208.85</v>
      </c>
      <c r="F15" s="19" t="n">
        <f aca="false">SUMPRODUCT((YEAR(FLUXO_MENSAL!$J$7:$CC$7)=F$5)*FLUXO_MENSAL!$J17:$CC17)</f>
        <v>1129350.6</v>
      </c>
      <c r="G15" s="19" t="n">
        <f aca="false">SUMPRODUCT((YEAR(FLUXO_MENSAL!$J$7:$CC$7)=G$5)*FLUXO_MENSAL!$J17:$CC17)</f>
        <v>3275935.01361374</v>
      </c>
      <c r="H15" s="19" t="n">
        <f aca="false">SUMPRODUCT((YEAR(FLUXO_MENSAL!$J$7:$CC$7)=H$5)*FLUXO_MENSAL!$J17:$CC17)</f>
        <v>5917364.87621039</v>
      </c>
      <c r="I15" s="19" t="n">
        <f aca="false">SUMPRODUCT((YEAR(FLUXO_MENSAL!$J$7:$CC$7)=I$5)*FLUXO_MENSAL!$J17:$CC17)</f>
        <v>5719698.76184134</v>
      </c>
      <c r="J15" s="19" t="n">
        <f aca="false">SUMPRODUCT((YEAR(FLUXO_MENSAL!$J$7:$CC$7)=J$5)*FLUXO_MENSAL!$J17:$CC17)</f>
        <v>4841547.97833453</v>
      </c>
      <c r="K15" s="19" t="n">
        <f aca="false">SUMPRODUCT((YEAR(FLUXO_MENSAL!$J$7:$CC$7)=K$5)*FLUXO_MENSAL!$J17:$CC17)</f>
        <v>0</v>
      </c>
      <c r="L15" s="19" t="n">
        <f aca="false">SUM(E15:K15)</f>
        <v>21271106.08</v>
      </c>
      <c r="M15" s="19" t="n">
        <f aca="false">IF(B15="",0,L15-D15)</f>
        <v>0</v>
      </c>
    </row>
    <row r="16" customFormat="false" ht="15" hidden="false" customHeight="false" outlineLevel="0" collapsed="false">
      <c r="A16" s="31" t="str">
        <f aca="false">FLUXO_MENSAL!A18</f>
        <v>11</v>
      </c>
      <c r="B16" s="31" t="str">
        <f aca="false">FLUXO_MENSAL!B18</f>
        <v>EQUIPAMENTOS E FERRAMENTAS</v>
      </c>
      <c r="C16" s="31" t="str">
        <f aca="false">FLUXO_MENSAL!C18</f>
        <v>INDIRETOS</v>
      </c>
      <c r="D16" s="32" t="n">
        <f aca="false">FLUXO_MENSAL!D18</f>
        <v>6774432.94</v>
      </c>
      <c r="E16" s="19" t="n">
        <f aca="false">SUMPRODUCT((YEAR(FLUXO_MENSAL!$J$7:$CC$7)=E$5)*FLUXO_MENSAL!$J18:$CC18)</f>
        <v>0</v>
      </c>
      <c r="F16" s="19" t="n">
        <f aca="false">SUMPRODUCT((YEAR(FLUXO_MENSAL!$J$7:$CC$7)=F$5)*FLUXO_MENSAL!$J18:$CC18)</f>
        <v>136581.26</v>
      </c>
      <c r="G16" s="19" t="n">
        <f aca="false">SUMPRODUCT((YEAR(FLUXO_MENSAL!$J$7:$CC$7)=G$5)*FLUXO_MENSAL!$J18:$CC18)</f>
        <v>1056426.26640811</v>
      </c>
      <c r="H16" s="19" t="n">
        <f aca="false">SUMPRODUCT((YEAR(FLUXO_MENSAL!$J$7:$CC$7)=H$5)*FLUXO_MENSAL!$J18:$CC18)</f>
        <v>2728657.99220019</v>
      </c>
      <c r="I16" s="19" t="n">
        <f aca="false">SUMPRODUCT((YEAR(FLUXO_MENSAL!$J$7:$CC$7)=I$5)*FLUXO_MENSAL!$J18:$CC18)</f>
        <v>2650129.39271427</v>
      </c>
      <c r="J16" s="19" t="n">
        <f aca="false">SUMPRODUCT((YEAR(FLUXO_MENSAL!$J$7:$CC$7)=J$5)*FLUXO_MENSAL!$J18:$CC18)</f>
        <v>202638.028677429</v>
      </c>
      <c r="K16" s="19" t="n">
        <f aca="false">SUMPRODUCT((YEAR(FLUXO_MENSAL!$J$7:$CC$7)=K$5)*FLUXO_MENSAL!$J18:$CC18)</f>
        <v>0</v>
      </c>
      <c r="L16" s="19" t="n">
        <f aca="false">SUM(E16:K16)</f>
        <v>6774432.94</v>
      </c>
      <c r="M16" s="19" t="n">
        <f aca="false">IF(B16="",0,L16-D16)</f>
        <v>0</v>
      </c>
    </row>
    <row r="17" customFormat="false" ht="15" hidden="false" customHeight="false" outlineLevel="0" collapsed="false">
      <c r="A17" s="31" t="str">
        <f aca="false">FLUXO_MENSAL!A19</f>
        <v>12</v>
      </c>
      <c r="B17" s="31" t="str">
        <f aca="false">FLUXO_MENSAL!B19</f>
        <v>SERVIÇOS INICIAIS</v>
      </c>
      <c r="C17" s="31" t="str">
        <f aca="false">FLUXO_MENSAL!C19</f>
        <v>INFRAESTRUTURA</v>
      </c>
      <c r="D17" s="32" t="n">
        <f aca="false">FLUXO_MENSAL!D19</f>
        <v>176378.52</v>
      </c>
      <c r="E17" s="19" t="n">
        <f aca="false">SUMPRODUCT((YEAR(FLUXO_MENSAL!$J$7:$CC$7)=E$5)*FLUXO_MENSAL!$J19:$CC19)</f>
        <v>0</v>
      </c>
      <c r="F17" s="19" t="n">
        <f aca="false">SUMPRODUCT((YEAR(FLUXO_MENSAL!$J$7:$CC$7)=F$5)*FLUXO_MENSAL!$J19:$CC19)</f>
        <v>82151.56</v>
      </c>
      <c r="G17" s="19" t="n">
        <f aca="false">SUMPRODUCT((YEAR(FLUXO_MENSAL!$J$7:$CC$7)=G$5)*FLUXO_MENSAL!$J19:$CC19)</f>
        <v>30014.48</v>
      </c>
      <c r="H17" s="19" t="n">
        <f aca="false">SUMPRODUCT((YEAR(FLUXO_MENSAL!$J$7:$CC$7)=H$5)*FLUXO_MENSAL!$J19:$CC19)</f>
        <v>64212.48</v>
      </c>
      <c r="I17" s="19" t="n">
        <f aca="false">SUMPRODUCT((YEAR(FLUXO_MENSAL!$J$7:$CC$7)=I$5)*FLUXO_MENSAL!$J19:$CC19)</f>
        <v>0</v>
      </c>
      <c r="J17" s="19" t="n">
        <f aca="false">SUMPRODUCT((YEAR(FLUXO_MENSAL!$J$7:$CC$7)=J$5)*FLUXO_MENSAL!$J19:$CC19)</f>
        <v>0</v>
      </c>
      <c r="K17" s="19" t="n">
        <f aca="false">SUMPRODUCT((YEAR(FLUXO_MENSAL!$J$7:$CC$7)=K$5)*FLUXO_MENSAL!$J19:$CC19)</f>
        <v>0</v>
      </c>
      <c r="L17" s="19" t="n">
        <f aca="false">SUM(E17:K17)</f>
        <v>176378.52</v>
      </c>
      <c r="M17" s="19" t="n">
        <f aca="false">IF(B17="",0,L17-D17)</f>
        <v>0</v>
      </c>
    </row>
    <row r="18" customFormat="false" ht="15" hidden="false" customHeight="false" outlineLevel="0" collapsed="false">
      <c r="A18" s="31" t="str">
        <f aca="false">FLUXO_MENSAL!A20</f>
        <v>13</v>
      </c>
      <c r="B18" s="31" t="str">
        <f aca="false">FLUXO_MENSAL!B20</f>
        <v>CONTENÇÃO</v>
      </c>
      <c r="C18" s="31" t="str">
        <f aca="false">FLUXO_MENSAL!C20</f>
        <v>INFRAESTRUTURA</v>
      </c>
      <c r="D18" s="32" t="n">
        <f aca="false">FLUXO_MENSAL!D20</f>
        <v>1475989.69</v>
      </c>
      <c r="E18" s="19" t="n">
        <f aca="false">SUMPRODUCT((YEAR(FLUXO_MENSAL!$J$7:$CC$7)=E$5)*FLUXO_MENSAL!$J20:$CC20)</f>
        <v>0</v>
      </c>
      <c r="F18" s="19" t="n">
        <f aca="false">SUMPRODUCT((YEAR(FLUXO_MENSAL!$J$7:$CC$7)=F$5)*FLUXO_MENSAL!$J20:$CC20)</f>
        <v>978729.37</v>
      </c>
      <c r="G18" s="19" t="n">
        <f aca="false">SUMPRODUCT((YEAR(FLUXO_MENSAL!$J$7:$CC$7)=G$5)*FLUXO_MENSAL!$J20:$CC20)</f>
        <v>252689.07</v>
      </c>
      <c r="H18" s="19" t="n">
        <f aca="false">SUMPRODUCT((YEAR(FLUXO_MENSAL!$J$7:$CC$7)=H$5)*FLUXO_MENSAL!$J20:$CC20)</f>
        <v>244571.25</v>
      </c>
      <c r="I18" s="19" t="n">
        <f aca="false">SUMPRODUCT((YEAR(FLUXO_MENSAL!$J$7:$CC$7)=I$5)*FLUXO_MENSAL!$J20:$CC20)</f>
        <v>0</v>
      </c>
      <c r="J18" s="19" t="n">
        <f aca="false">SUMPRODUCT((YEAR(FLUXO_MENSAL!$J$7:$CC$7)=J$5)*FLUXO_MENSAL!$J20:$CC20)</f>
        <v>0</v>
      </c>
      <c r="K18" s="19" t="n">
        <f aca="false">SUMPRODUCT((YEAR(FLUXO_MENSAL!$J$7:$CC$7)=K$5)*FLUXO_MENSAL!$J20:$CC20)</f>
        <v>0</v>
      </c>
      <c r="L18" s="19" t="n">
        <f aca="false">SUM(E18:K18)</f>
        <v>1475989.69</v>
      </c>
      <c r="M18" s="19" t="n">
        <f aca="false">IF(B18="",0,L18-D18)</f>
        <v>0</v>
      </c>
    </row>
    <row r="19" customFormat="false" ht="15" hidden="false" customHeight="false" outlineLevel="0" collapsed="false">
      <c r="A19" s="31" t="str">
        <f aca="false">FLUXO_MENSAL!A21</f>
        <v>14</v>
      </c>
      <c r="B19" s="31" t="str">
        <f aca="false">FLUXO_MENSAL!B21</f>
        <v>TERRAPLENAGEM</v>
      </c>
      <c r="C19" s="31" t="str">
        <f aca="false">FLUXO_MENSAL!C21</f>
        <v>INFRAESTRUTURA</v>
      </c>
      <c r="D19" s="32" t="n">
        <f aca="false">FLUXO_MENSAL!D21</f>
        <v>1293873.46</v>
      </c>
      <c r="E19" s="19" t="n">
        <f aca="false">SUMPRODUCT((YEAR(FLUXO_MENSAL!$J$7:$CC$7)=E$5)*FLUXO_MENSAL!$J21:$CC21)</f>
        <v>0</v>
      </c>
      <c r="F19" s="19" t="n">
        <f aca="false">SUMPRODUCT((YEAR(FLUXO_MENSAL!$J$7:$CC$7)=F$5)*FLUXO_MENSAL!$J21:$CC21)</f>
        <v>62032.5</v>
      </c>
      <c r="G19" s="19" t="n">
        <f aca="false">SUMPRODUCT((YEAR(FLUXO_MENSAL!$J$7:$CC$7)=G$5)*FLUXO_MENSAL!$J21:$CC21)</f>
        <v>1176975.93</v>
      </c>
      <c r="H19" s="19" t="n">
        <f aca="false">SUMPRODUCT((YEAR(FLUXO_MENSAL!$J$7:$CC$7)=H$5)*FLUXO_MENSAL!$J21:$CC21)</f>
        <v>54865.03</v>
      </c>
      <c r="I19" s="19" t="n">
        <f aca="false">SUMPRODUCT((YEAR(FLUXO_MENSAL!$J$7:$CC$7)=I$5)*FLUXO_MENSAL!$J21:$CC21)</f>
        <v>0</v>
      </c>
      <c r="J19" s="19" t="n">
        <f aca="false">SUMPRODUCT((YEAR(FLUXO_MENSAL!$J$7:$CC$7)=J$5)*FLUXO_MENSAL!$J21:$CC21)</f>
        <v>0</v>
      </c>
      <c r="K19" s="19" t="n">
        <f aca="false">SUMPRODUCT((YEAR(FLUXO_MENSAL!$J$7:$CC$7)=K$5)*FLUXO_MENSAL!$J21:$CC21)</f>
        <v>0</v>
      </c>
      <c r="L19" s="19" t="n">
        <f aca="false">SUM(E19:K19)</f>
        <v>1293873.46</v>
      </c>
      <c r="M19" s="19" t="n">
        <f aca="false">IF(B19="",0,L19-D19)</f>
        <v>0</v>
      </c>
    </row>
    <row r="20" customFormat="false" ht="15" hidden="false" customHeight="false" outlineLevel="0" collapsed="false">
      <c r="A20" s="31" t="str">
        <f aca="false">FLUXO_MENSAL!A22</f>
        <v>15</v>
      </c>
      <c r="B20" s="31" t="str">
        <f aca="false">FLUXO_MENSAL!B22</f>
        <v>FUNDAÇÃO PROFUNDA</v>
      </c>
      <c r="C20" s="31" t="str">
        <f aca="false">FLUXO_MENSAL!C22</f>
        <v>INFRAESTRUTURA</v>
      </c>
      <c r="D20" s="32" t="n">
        <f aca="false">FLUXO_MENSAL!D22</f>
        <v>7012914.12</v>
      </c>
      <c r="E20" s="19" t="n">
        <f aca="false">SUMPRODUCT((YEAR(FLUXO_MENSAL!$J$7:$CC$7)=E$5)*FLUXO_MENSAL!$J22:$CC22)</f>
        <v>0</v>
      </c>
      <c r="F20" s="19" t="n">
        <f aca="false">SUMPRODUCT((YEAR(FLUXO_MENSAL!$J$7:$CC$7)=F$5)*FLUXO_MENSAL!$J22:$CC22)</f>
        <v>2677174.25</v>
      </c>
      <c r="G20" s="19" t="n">
        <f aca="false">SUMPRODUCT((YEAR(FLUXO_MENSAL!$J$7:$CC$7)=G$5)*FLUXO_MENSAL!$J22:$CC22)</f>
        <v>4095000.34</v>
      </c>
      <c r="H20" s="19" t="n">
        <f aca="false">SUMPRODUCT((YEAR(FLUXO_MENSAL!$J$7:$CC$7)=H$5)*FLUXO_MENSAL!$J22:$CC22)</f>
        <v>10101.76</v>
      </c>
      <c r="I20" s="19" t="n">
        <f aca="false">SUMPRODUCT((YEAR(FLUXO_MENSAL!$J$7:$CC$7)=I$5)*FLUXO_MENSAL!$J22:$CC22)</f>
        <v>2044</v>
      </c>
      <c r="J20" s="19" t="n">
        <f aca="false">SUMPRODUCT((YEAR(FLUXO_MENSAL!$J$7:$CC$7)=J$5)*FLUXO_MENSAL!$J22:$CC22)</f>
        <v>0</v>
      </c>
      <c r="K20" s="19" t="n">
        <f aca="false">SUMPRODUCT((YEAR(FLUXO_MENSAL!$J$7:$CC$7)=K$5)*FLUXO_MENSAL!$J22:$CC22)</f>
        <v>0</v>
      </c>
      <c r="L20" s="19" t="n">
        <f aca="false">SUM(E20:K20)</f>
        <v>6784320.35</v>
      </c>
      <c r="M20" s="19" t="n">
        <f aca="false">IF(B20="",0,L20-D20)</f>
        <v>-228593.77</v>
      </c>
    </row>
    <row r="21" customFormat="false" ht="15" hidden="false" customHeight="false" outlineLevel="0" collapsed="false">
      <c r="A21" s="31" t="str">
        <f aca="false">FLUXO_MENSAL!A23</f>
        <v>16</v>
      </c>
      <c r="B21" s="31" t="str">
        <f aca="false">FLUXO_MENSAL!B23</f>
        <v>FUNDAÇÃO SUPERFICIAL</v>
      </c>
      <c r="C21" s="31" t="str">
        <f aca="false">FLUXO_MENSAL!C23</f>
        <v>INFRAESTRUTURA</v>
      </c>
      <c r="D21" s="32" t="n">
        <f aca="false">FLUXO_MENSAL!D23</f>
        <v>4346500.29</v>
      </c>
      <c r="E21" s="19" t="n">
        <f aca="false">SUMPRODUCT((YEAR(FLUXO_MENSAL!$J$7:$CC$7)=E$5)*FLUXO_MENSAL!$J23:$CC23)</f>
        <v>0</v>
      </c>
      <c r="F21" s="19" t="n">
        <f aca="false">SUMPRODUCT((YEAR(FLUXO_MENSAL!$J$7:$CC$7)=F$5)*FLUXO_MENSAL!$J23:$CC23)</f>
        <v>0</v>
      </c>
      <c r="G21" s="19" t="n">
        <f aca="false">SUMPRODUCT((YEAR(FLUXO_MENSAL!$J$7:$CC$7)=G$5)*FLUXO_MENSAL!$J23:$CC23)</f>
        <v>3148040.08921134</v>
      </c>
      <c r="H21" s="19" t="n">
        <f aca="false">SUMPRODUCT((YEAR(FLUXO_MENSAL!$J$7:$CC$7)=H$5)*FLUXO_MENSAL!$J23:$CC23)</f>
        <v>945113.732760284</v>
      </c>
      <c r="I21" s="19" t="n">
        <f aca="false">SUMPRODUCT((YEAR(FLUXO_MENSAL!$J$7:$CC$7)=I$5)*FLUXO_MENSAL!$J23:$CC23)</f>
        <v>253346.46802838</v>
      </c>
      <c r="J21" s="19" t="n">
        <f aca="false">SUMPRODUCT((YEAR(FLUXO_MENSAL!$J$7:$CC$7)=J$5)*FLUXO_MENSAL!$J23:$CC23)</f>
        <v>0</v>
      </c>
      <c r="K21" s="19" t="n">
        <f aca="false">SUMPRODUCT((YEAR(FLUXO_MENSAL!$J$7:$CC$7)=K$5)*FLUXO_MENSAL!$J23:$CC23)</f>
        <v>0</v>
      </c>
      <c r="L21" s="19" t="n">
        <f aca="false">SUM(E21:K21)</f>
        <v>4346500.29</v>
      </c>
      <c r="M21" s="19" t="n">
        <f aca="false">IF(B21="",0,L21-D21)</f>
        <v>0</v>
      </c>
    </row>
    <row r="22" customFormat="false" ht="15" hidden="false" customHeight="false" outlineLevel="0" collapsed="false">
      <c r="A22" s="31" t="str">
        <f aca="false">FLUXO_MENSAL!A24</f>
        <v>17</v>
      </c>
      <c r="B22" s="31" t="str">
        <f aca="false">FLUXO_MENSAL!B24</f>
        <v>ESTRUTURA EM CONCRETO ARMADO</v>
      </c>
      <c r="C22" s="31" t="str">
        <f aca="false">FLUXO_MENSAL!C24</f>
        <v>ESTRUTURA</v>
      </c>
      <c r="D22" s="32" t="n">
        <f aca="false">FLUXO_MENSAL!D24</f>
        <v>26850931.32</v>
      </c>
      <c r="E22" s="19" t="n">
        <f aca="false">SUMPRODUCT((YEAR(FLUXO_MENSAL!$J$7:$CC$7)=E$5)*FLUXO_MENSAL!$J24:$CC24)</f>
        <v>0</v>
      </c>
      <c r="F22" s="19" t="n">
        <f aca="false">SUMPRODUCT((YEAR(FLUXO_MENSAL!$J$7:$CC$7)=F$5)*FLUXO_MENSAL!$J24:$CC24)</f>
        <v>0</v>
      </c>
      <c r="G22" s="19" t="n">
        <f aca="false">SUMPRODUCT((YEAR(FLUXO_MENSAL!$J$7:$CC$7)=G$5)*FLUXO_MENSAL!$J24:$CC24)</f>
        <v>6406093.89282223</v>
      </c>
      <c r="H22" s="19" t="n">
        <f aca="false">SUMPRODUCT((YEAR(FLUXO_MENSAL!$J$7:$CC$7)=H$5)*FLUXO_MENSAL!$J24:$CC24)</f>
        <v>17796164.6849645</v>
      </c>
      <c r="I22" s="19" t="n">
        <f aca="false">SUMPRODUCT((YEAR(FLUXO_MENSAL!$J$7:$CC$7)=I$5)*FLUXO_MENSAL!$J24:$CC24)</f>
        <v>1466212.45122142</v>
      </c>
      <c r="J22" s="19" t="n">
        <f aca="false">SUMPRODUCT((YEAR(FLUXO_MENSAL!$J$7:$CC$7)=J$5)*FLUXO_MENSAL!$J24:$CC24)</f>
        <v>1182460.29099182</v>
      </c>
      <c r="K22" s="19" t="n">
        <f aca="false">SUMPRODUCT((YEAR(FLUXO_MENSAL!$J$7:$CC$7)=K$5)*FLUXO_MENSAL!$J24:$CC24)</f>
        <v>0</v>
      </c>
      <c r="L22" s="19" t="n">
        <f aca="false">SUM(E22:K22)</f>
        <v>26850931.32</v>
      </c>
      <c r="M22" s="19" t="n">
        <f aca="false">IF(B22="",0,L22-D22)</f>
        <v>0</v>
      </c>
    </row>
    <row r="23" customFormat="false" ht="15" hidden="false" customHeight="false" outlineLevel="0" collapsed="false">
      <c r="A23" s="31" t="str">
        <f aca="false">FLUXO_MENSAL!A25</f>
        <v>18</v>
      </c>
      <c r="B23" s="31" t="str">
        <f aca="false">FLUXO_MENSAL!B25</f>
        <v>ALVENARIA</v>
      </c>
      <c r="C23" s="31" t="str">
        <f aca="false">FLUXO_MENSAL!C25</f>
        <v>SISTEMAS E VEDAÇÕES</v>
      </c>
      <c r="D23" s="32" t="n">
        <f aca="false">FLUXO_MENSAL!D25</f>
        <v>6245482.98</v>
      </c>
      <c r="E23" s="19" t="n">
        <f aca="false">SUMPRODUCT((YEAR(FLUXO_MENSAL!$J$7:$CC$7)=E$5)*FLUXO_MENSAL!$J25:$CC25)</f>
        <v>0</v>
      </c>
      <c r="F23" s="19" t="n">
        <f aca="false">SUMPRODUCT((YEAR(FLUXO_MENSAL!$J$7:$CC$7)=F$5)*FLUXO_MENSAL!$J25:$CC25)</f>
        <v>0</v>
      </c>
      <c r="G23" s="19" t="n">
        <f aca="false">SUMPRODUCT((YEAR(FLUXO_MENSAL!$J$7:$CC$7)=G$5)*FLUXO_MENSAL!$J25:$CC25)</f>
        <v>0</v>
      </c>
      <c r="H23" s="19" t="n">
        <f aca="false">SUMPRODUCT((YEAR(FLUXO_MENSAL!$J$7:$CC$7)=H$5)*FLUXO_MENSAL!$J25:$CC25)</f>
        <v>3654392.74755377</v>
      </c>
      <c r="I23" s="19" t="n">
        <f aca="false">SUMPRODUCT((YEAR(FLUXO_MENSAL!$J$7:$CC$7)=I$5)*FLUXO_MENSAL!$J25:$CC25)</f>
        <v>2591090.23244623</v>
      </c>
      <c r="J23" s="19" t="n">
        <f aca="false">SUMPRODUCT((YEAR(FLUXO_MENSAL!$J$7:$CC$7)=J$5)*FLUXO_MENSAL!$J25:$CC25)</f>
        <v>0</v>
      </c>
      <c r="K23" s="19" t="n">
        <f aca="false">SUMPRODUCT((YEAR(FLUXO_MENSAL!$J$7:$CC$7)=K$5)*FLUXO_MENSAL!$J25:$CC25)</f>
        <v>0</v>
      </c>
      <c r="L23" s="19" t="n">
        <f aca="false">SUM(E23:K23)</f>
        <v>6245482.98</v>
      </c>
      <c r="M23" s="19" t="n">
        <f aca="false">IF(B23="",0,L23-D23)</f>
        <v>0</v>
      </c>
    </row>
    <row r="24" customFormat="false" ht="15" hidden="false" customHeight="false" outlineLevel="0" collapsed="false">
      <c r="A24" s="31" t="str">
        <f aca="false">FLUXO_MENSAL!A26</f>
        <v>19</v>
      </c>
      <c r="B24" s="31" t="str">
        <f aca="false">FLUXO_MENSAL!B26</f>
        <v>IMPERMEABILIZAÇÃO</v>
      </c>
      <c r="C24" s="31" t="str">
        <f aca="false">FLUXO_MENSAL!C26</f>
        <v>SISTEMAS E VEDAÇÕES</v>
      </c>
      <c r="D24" s="32" t="n">
        <f aca="false">FLUXO_MENSAL!D26</f>
        <v>4139097.74</v>
      </c>
      <c r="E24" s="19" t="n">
        <f aca="false">SUMPRODUCT((YEAR(FLUXO_MENSAL!$J$7:$CC$7)=E$5)*FLUXO_MENSAL!$J26:$CC26)</f>
        <v>0</v>
      </c>
      <c r="F24" s="19" t="n">
        <f aca="false">SUMPRODUCT((YEAR(FLUXO_MENSAL!$J$7:$CC$7)=F$5)*FLUXO_MENSAL!$J26:$CC26)</f>
        <v>0</v>
      </c>
      <c r="G24" s="19" t="n">
        <f aca="false">SUMPRODUCT((YEAR(FLUXO_MENSAL!$J$7:$CC$7)=G$5)*FLUXO_MENSAL!$J26:$CC26)</f>
        <v>0</v>
      </c>
      <c r="H24" s="19" t="n">
        <f aca="false">SUMPRODUCT((YEAR(FLUXO_MENSAL!$J$7:$CC$7)=H$5)*FLUXO_MENSAL!$J26:$CC26)</f>
        <v>1041363.55251592</v>
      </c>
      <c r="I24" s="19" t="n">
        <f aca="false">SUMPRODUCT((YEAR(FLUXO_MENSAL!$J$7:$CC$7)=I$5)*FLUXO_MENSAL!$J26:$CC26)</f>
        <v>3097734.18748408</v>
      </c>
      <c r="J24" s="19" t="n">
        <f aca="false">SUMPRODUCT((YEAR(FLUXO_MENSAL!$J$7:$CC$7)=J$5)*FLUXO_MENSAL!$J26:$CC26)</f>
        <v>0</v>
      </c>
      <c r="K24" s="19" t="n">
        <f aca="false">SUMPRODUCT((YEAR(FLUXO_MENSAL!$J$7:$CC$7)=K$5)*FLUXO_MENSAL!$J26:$CC26)</f>
        <v>0</v>
      </c>
      <c r="L24" s="19" t="n">
        <f aca="false">SUM(E24:K24)</f>
        <v>4139097.74</v>
      </c>
      <c r="M24" s="19" t="n">
        <f aca="false">IF(B24="",0,L24-D24)</f>
        <v>0</v>
      </c>
    </row>
    <row r="25" customFormat="false" ht="15" hidden="false" customHeight="false" outlineLevel="0" collapsed="false">
      <c r="A25" s="31" t="str">
        <f aca="false">FLUXO_MENSAL!A27</f>
        <v>20</v>
      </c>
      <c r="B25" s="31" t="str">
        <f aca="false">FLUXO_MENSAL!B27</f>
        <v>INSTALAÇÕES ELÉTRICAS</v>
      </c>
      <c r="C25" s="31" t="str">
        <f aca="false">FLUXO_MENSAL!C27</f>
        <v>SISTEMAS E VEDAÇÕES</v>
      </c>
      <c r="D25" s="32" t="n">
        <f aca="false">FLUXO_MENSAL!D27</f>
        <v>11595096.01</v>
      </c>
      <c r="E25" s="19" t="n">
        <f aca="false">SUMPRODUCT((YEAR(FLUXO_MENSAL!$J$7:$CC$7)=E$5)*FLUXO_MENSAL!$J27:$CC27)</f>
        <v>0</v>
      </c>
      <c r="F25" s="19" t="n">
        <f aca="false">SUMPRODUCT((YEAR(FLUXO_MENSAL!$J$7:$CC$7)=F$5)*FLUXO_MENSAL!$J27:$CC27)</f>
        <v>2235.2</v>
      </c>
      <c r="G25" s="19" t="n">
        <f aca="false">SUMPRODUCT((YEAR(FLUXO_MENSAL!$J$7:$CC$7)=G$5)*FLUXO_MENSAL!$J27:$CC27)</f>
        <v>344806.31003727</v>
      </c>
      <c r="H25" s="19" t="n">
        <f aca="false">SUMPRODUCT((YEAR(FLUXO_MENSAL!$J$7:$CC$7)=H$5)*FLUXO_MENSAL!$J27:$CC27)</f>
        <v>2074559.23368187</v>
      </c>
      <c r="I25" s="19" t="n">
        <f aca="false">SUMPRODUCT((YEAR(FLUXO_MENSAL!$J$7:$CC$7)=I$5)*FLUXO_MENSAL!$J27:$CC27)</f>
        <v>7961192.9141293</v>
      </c>
      <c r="J25" s="19" t="n">
        <f aca="false">SUMPRODUCT((YEAR(FLUXO_MENSAL!$J$7:$CC$7)=J$5)*FLUXO_MENSAL!$J27:$CC27)</f>
        <v>1212302.35215156</v>
      </c>
      <c r="K25" s="19" t="n">
        <f aca="false">SUMPRODUCT((YEAR(FLUXO_MENSAL!$J$7:$CC$7)=K$5)*FLUXO_MENSAL!$J27:$CC27)</f>
        <v>0</v>
      </c>
      <c r="L25" s="19" t="n">
        <f aca="false">SUM(E25:K25)</f>
        <v>11595096.01</v>
      </c>
      <c r="M25" s="19" t="n">
        <f aca="false">IF(B25="",0,L25-D25)</f>
        <v>0</v>
      </c>
    </row>
    <row r="26" customFormat="false" ht="15" hidden="false" customHeight="false" outlineLevel="0" collapsed="false">
      <c r="A26" s="31" t="str">
        <f aca="false">FLUXO_MENSAL!A28</f>
        <v>21</v>
      </c>
      <c r="B26" s="31" t="str">
        <f aca="false">FLUXO_MENSAL!B28</f>
        <v>INSTALAÇÕES HIDROSANITÁRIAS</v>
      </c>
      <c r="C26" s="31" t="str">
        <f aca="false">FLUXO_MENSAL!C28</f>
        <v>SISTEMAS E VEDAÇÕES</v>
      </c>
      <c r="D26" s="32" t="n">
        <f aca="false">FLUXO_MENSAL!D28</f>
        <v>7769655.06</v>
      </c>
      <c r="E26" s="19" t="n">
        <f aca="false">SUMPRODUCT((YEAR(FLUXO_MENSAL!$J$7:$CC$7)=E$5)*FLUXO_MENSAL!$J28:$CC28)</f>
        <v>0</v>
      </c>
      <c r="F26" s="19" t="n">
        <f aca="false">SUMPRODUCT((YEAR(FLUXO_MENSAL!$J$7:$CC$7)=F$5)*FLUXO_MENSAL!$J28:$CC28)</f>
        <v>0</v>
      </c>
      <c r="G26" s="19" t="n">
        <f aca="false">SUMPRODUCT((YEAR(FLUXO_MENSAL!$J$7:$CC$7)=G$5)*FLUXO_MENSAL!$J28:$CC28)</f>
        <v>227929.99974166</v>
      </c>
      <c r="H26" s="19" t="n">
        <f aca="false">SUMPRODUCT((YEAR(FLUXO_MENSAL!$J$7:$CC$7)=H$5)*FLUXO_MENSAL!$J28:$CC28)</f>
        <v>1663704.35785099</v>
      </c>
      <c r="I26" s="19" t="n">
        <f aca="false">SUMPRODUCT((YEAR(FLUXO_MENSAL!$J$7:$CC$7)=I$5)*FLUXO_MENSAL!$J28:$CC28)</f>
        <v>5517721.27287275</v>
      </c>
      <c r="J26" s="19" t="n">
        <f aca="false">SUMPRODUCT((YEAR(FLUXO_MENSAL!$J$7:$CC$7)=J$5)*FLUXO_MENSAL!$J28:$CC28)</f>
        <v>360299.429534601</v>
      </c>
      <c r="K26" s="19" t="n">
        <f aca="false">SUMPRODUCT((YEAR(FLUXO_MENSAL!$J$7:$CC$7)=K$5)*FLUXO_MENSAL!$J28:$CC28)</f>
        <v>0</v>
      </c>
      <c r="L26" s="19" t="n">
        <f aca="false">SUM(E26:K26)</f>
        <v>7769655.06</v>
      </c>
      <c r="M26" s="19" t="n">
        <f aca="false">IF(B26="",0,L26-D26)</f>
        <v>0</v>
      </c>
    </row>
    <row r="27" customFormat="false" ht="15" hidden="false" customHeight="false" outlineLevel="0" collapsed="false">
      <c r="A27" s="31" t="str">
        <f aca="false">FLUXO_MENSAL!A29</f>
        <v>22</v>
      </c>
      <c r="B27" s="31" t="str">
        <f aca="false">FLUXO_MENSAL!B29</f>
        <v>INSTALAÇÕES COMBATE INCÊNDIO</v>
      </c>
      <c r="C27" s="31" t="str">
        <f aca="false">FLUXO_MENSAL!C29</f>
        <v>SISTEMAS E VEDAÇÕES</v>
      </c>
      <c r="D27" s="32" t="n">
        <f aca="false">FLUXO_MENSAL!D29</f>
        <v>823490.46</v>
      </c>
      <c r="E27" s="19" t="n">
        <f aca="false">SUMPRODUCT((YEAR(FLUXO_MENSAL!$J$7:$CC$7)=E$5)*FLUXO_MENSAL!$J29:$CC29)</f>
        <v>0</v>
      </c>
      <c r="F27" s="19" t="n">
        <f aca="false">SUMPRODUCT((YEAR(FLUXO_MENSAL!$J$7:$CC$7)=F$5)*FLUXO_MENSAL!$J29:$CC29)</f>
        <v>0</v>
      </c>
      <c r="G27" s="19" t="n">
        <f aca="false">SUMPRODUCT((YEAR(FLUXO_MENSAL!$J$7:$CC$7)=G$5)*FLUXO_MENSAL!$J29:$CC29)</f>
        <v>0</v>
      </c>
      <c r="H27" s="19" t="n">
        <f aca="false">SUMPRODUCT((YEAR(FLUXO_MENSAL!$J$7:$CC$7)=H$5)*FLUXO_MENSAL!$J29:$CC29)</f>
        <v>476306.88</v>
      </c>
      <c r="I27" s="19" t="n">
        <f aca="false">SUMPRODUCT((YEAR(FLUXO_MENSAL!$J$7:$CC$7)=I$5)*FLUXO_MENSAL!$J29:$CC29)</f>
        <v>342819.07</v>
      </c>
      <c r="J27" s="19" t="n">
        <f aca="false">SUMPRODUCT((YEAR(FLUXO_MENSAL!$J$7:$CC$7)=J$5)*FLUXO_MENSAL!$J29:$CC29)</f>
        <v>4364.51</v>
      </c>
      <c r="K27" s="19" t="n">
        <f aca="false">SUMPRODUCT((YEAR(FLUXO_MENSAL!$J$7:$CC$7)=K$5)*FLUXO_MENSAL!$J29:$CC29)</f>
        <v>0</v>
      </c>
      <c r="L27" s="19" t="n">
        <f aca="false">SUM(E27:K27)</f>
        <v>823490.46</v>
      </c>
      <c r="M27" s="19" t="n">
        <f aca="false">IF(B27="",0,L27-D27)</f>
        <v>0</v>
      </c>
    </row>
    <row r="28" customFormat="false" ht="15" hidden="false" customHeight="false" outlineLevel="0" collapsed="false">
      <c r="A28" s="31" t="str">
        <f aca="false">FLUXO_MENSAL!A30</f>
        <v>23</v>
      </c>
      <c r="B28" s="31" t="str">
        <f aca="false">FLUXO_MENSAL!B30</f>
        <v>INSTALAÇÕES ESPECIAIS</v>
      </c>
      <c r="C28" s="31" t="str">
        <f aca="false">FLUXO_MENSAL!C30</f>
        <v>SISTEMAS E VEDAÇÕES</v>
      </c>
      <c r="D28" s="32" t="n">
        <f aca="false">FLUXO_MENSAL!D30</f>
        <v>2828799.66</v>
      </c>
      <c r="E28" s="19" t="n">
        <f aca="false">SUMPRODUCT((YEAR(FLUXO_MENSAL!$J$7:$CC$7)=E$5)*FLUXO_MENSAL!$J30:$CC30)</f>
        <v>0</v>
      </c>
      <c r="F28" s="19" t="n">
        <f aca="false">SUMPRODUCT((YEAR(FLUXO_MENSAL!$J$7:$CC$7)=F$5)*FLUXO_MENSAL!$J30:$CC30)</f>
        <v>0</v>
      </c>
      <c r="G28" s="19" t="n">
        <f aca="false">SUMPRODUCT((YEAR(FLUXO_MENSAL!$J$7:$CC$7)=G$5)*FLUXO_MENSAL!$J30:$CC30)</f>
        <v>0</v>
      </c>
      <c r="H28" s="19" t="n">
        <f aca="false">SUMPRODUCT((YEAR(FLUXO_MENSAL!$J$7:$CC$7)=H$5)*FLUXO_MENSAL!$J30:$CC30)</f>
        <v>782163.102765</v>
      </c>
      <c r="I28" s="19" t="n">
        <f aca="false">SUMPRODUCT((YEAR(FLUXO_MENSAL!$J$7:$CC$7)=I$5)*FLUXO_MENSAL!$J30:$CC30)</f>
        <v>1811280.426403</v>
      </c>
      <c r="J28" s="19" t="n">
        <f aca="false">SUMPRODUCT((YEAR(FLUXO_MENSAL!$J$7:$CC$7)=J$5)*FLUXO_MENSAL!$J30:$CC30)</f>
        <v>235356.130832</v>
      </c>
      <c r="K28" s="19" t="n">
        <f aca="false">SUMPRODUCT((YEAR(FLUXO_MENSAL!$J$7:$CC$7)=K$5)*FLUXO_MENSAL!$J30:$CC30)</f>
        <v>0</v>
      </c>
      <c r="L28" s="19" t="n">
        <f aca="false">SUM(E28:K28)</f>
        <v>2828799.66</v>
      </c>
      <c r="M28" s="19" t="n">
        <f aca="false">IF(B28="",0,L28-D28)</f>
        <v>0</v>
      </c>
    </row>
    <row r="29" customFormat="false" ht="15" hidden="false" customHeight="false" outlineLevel="0" collapsed="false">
      <c r="A29" s="31" t="str">
        <f aca="false">FLUXO_MENSAL!A31</f>
        <v>24</v>
      </c>
      <c r="B29" s="31" t="str">
        <f aca="false">FLUXO_MENSAL!B31</f>
        <v>ELEVADORES</v>
      </c>
      <c r="C29" s="31" t="str">
        <f aca="false">FLUXO_MENSAL!C31</f>
        <v>SISTEMAS E VEDAÇÕES</v>
      </c>
      <c r="D29" s="32" t="n">
        <f aca="false">FLUXO_MENSAL!D31</f>
        <v>3409802.3</v>
      </c>
      <c r="E29" s="19" t="n">
        <f aca="false">SUMPRODUCT((YEAR(FLUXO_MENSAL!$J$7:$CC$7)=E$5)*FLUXO_MENSAL!$J31:$CC31)</f>
        <v>0</v>
      </c>
      <c r="F29" s="19" t="n">
        <f aca="false">SUMPRODUCT((YEAR(FLUXO_MENSAL!$J$7:$CC$7)=F$5)*FLUXO_MENSAL!$J31:$CC31)</f>
        <v>0</v>
      </c>
      <c r="G29" s="19" t="n">
        <f aca="false">SUMPRODUCT((YEAR(FLUXO_MENSAL!$J$7:$CC$7)=G$5)*FLUXO_MENSAL!$J31:$CC31)</f>
        <v>0</v>
      </c>
      <c r="H29" s="19" t="n">
        <f aca="false">SUMPRODUCT((YEAR(FLUXO_MENSAL!$J$7:$CC$7)=H$5)*FLUXO_MENSAL!$J31:$CC31)</f>
        <v>1527272.73208374</v>
      </c>
      <c r="I29" s="19" t="n">
        <f aca="false">SUMPRODUCT((YEAR(FLUXO_MENSAL!$J$7:$CC$7)=I$5)*FLUXO_MENSAL!$J31:$CC31)</f>
        <v>1882529.56791626</v>
      </c>
      <c r="J29" s="19" t="n">
        <f aca="false">SUMPRODUCT((YEAR(FLUXO_MENSAL!$J$7:$CC$7)=J$5)*FLUXO_MENSAL!$J31:$CC31)</f>
        <v>0</v>
      </c>
      <c r="K29" s="19" t="n">
        <f aca="false">SUMPRODUCT((YEAR(FLUXO_MENSAL!$J$7:$CC$7)=K$5)*FLUXO_MENSAL!$J31:$CC31)</f>
        <v>0</v>
      </c>
      <c r="L29" s="19" t="n">
        <f aca="false">SUM(E29:K29)</f>
        <v>3409802.3</v>
      </c>
      <c r="M29" s="19" t="n">
        <f aca="false">IF(B29="",0,L29-D29)</f>
        <v>0</v>
      </c>
    </row>
    <row r="30" customFormat="false" ht="15" hidden="false" customHeight="false" outlineLevel="0" collapsed="false">
      <c r="A30" s="31" t="str">
        <f aca="false">FLUXO_MENSAL!A32</f>
        <v>25</v>
      </c>
      <c r="B30" s="31" t="str">
        <f aca="false">FLUXO_MENSAL!B32</f>
        <v>ESQUADRIAS</v>
      </c>
      <c r="C30" s="31" t="str">
        <f aca="false">FLUXO_MENSAL!C32</f>
        <v>ACABAMENTOS</v>
      </c>
      <c r="D30" s="32" t="n">
        <f aca="false">FLUXO_MENSAL!D32</f>
        <v>11781362.82</v>
      </c>
      <c r="E30" s="19" t="n">
        <f aca="false">SUMPRODUCT((YEAR(FLUXO_MENSAL!$J$7:$CC$7)=E$5)*FLUXO_MENSAL!$J32:$CC32)</f>
        <v>0</v>
      </c>
      <c r="F30" s="19" t="n">
        <f aca="false">SUMPRODUCT((YEAR(FLUXO_MENSAL!$J$7:$CC$7)=F$5)*FLUXO_MENSAL!$J32:$CC32)</f>
        <v>0</v>
      </c>
      <c r="G30" s="19" t="n">
        <f aca="false">SUMPRODUCT((YEAR(FLUXO_MENSAL!$J$7:$CC$7)=G$5)*FLUXO_MENSAL!$J32:$CC32)</f>
        <v>0</v>
      </c>
      <c r="H30" s="19" t="n">
        <f aca="false">SUMPRODUCT((YEAR(FLUXO_MENSAL!$J$7:$CC$7)=H$5)*FLUXO_MENSAL!$J32:$CC32)</f>
        <v>2819635.20957321</v>
      </c>
      <c r="I30" s="19" t="n">
        <f aca="false">SUMPRODUCT((YEAR(FLUXO_MENSAL!$J$7:$CC$7)=I$5)*FLUXO_MENSAL!$J32:$CC32)</f>
        <v>7843277.53662944</v>
      </c>
      <c r="J30" s="19" t="n">
        <f aca="false">SUMPRODUCT((YEAR(FLUXO_MENSAL!$J$7:$CC$7)=J$5)*FLUXO_MENSAL!$J32:$CC32)</f>
        <v>1118450.07379735</v>
      </c>
      <c r="K30" s="19" t="n">
        <f aca="false">SUMPRODUCT((YEAR(FLUXO_MENSAL!$J$7:$CC$7)=K$5)*FLUXO_MENSAL!$J32:$CC32)</f>
        <v>0</v>
      </c>
      <c r="L30" s="19" t="n">
        <f aca="false">SUM(E30:K30)</f>
        <v>11781362.82</v>
      </c>
      <c r="M30" s="19" t="n">
        <f aca="false">IF(B30="",0,L30-D30)</f>
        <v>0</v>
      </c>
    </row>
    <row r="31" customFormat="false" ht="15" hidden="false" customHeight="false" outlineLevel="0" collapsed="false">
      <c r="A31" s="31" t="str">
        <f aca="false">FLUXO_MENSAL!A33</f>
        <v>26</v>
      </c>
      <c r="B31" s="31" t="str">
        <f aca="false">FLUXO_MENSAL!B33</f>
        <v>SERRALHERIA</v>
      </c>
      <c r="C31" s="31" t="str">
        <f aca="false">FLUXO_MENSAL!C33</f>
        <v>ACABAMENTOS</v>
      </c>
      <c r="D31" s="32" t="n">
        <f aca="false">FLUXO_MENSAL!D33</f>
        <v>508667.05</v>
      </c>
      <c r="E31" s="19" t="n">
        <f aca="false">SUMPRODUCT((YEAR(FLUXO_MENSAL!$J$7:$CC$7)=E$5)*FLUXO_MENSAL!$J33:$CC33)</f>
        <v>0</v>
      </c>
      <c r="F31" s="19" t="n">
        <f aca="false">SUMPRODUCT((YEAR(FLUXO_MENSAL!$J$7:$CC$7)=F$5)*FLUXO_MENSAL!$J33:$CC33)</f>
        <v>0</v>
      </c>
      <c r="G31" s="19" t="n">
        <f aca="false">SUMPRODUCT((YEAR(FLUXO_MENSAL!$J$7:$CC$7)=G$5)*FLUXO_MENSAL!$J33:$CC33)</f>
        <v>0</v>
      </c>
      <c r="H31" s="19" t="n">
        <f aca="false">SUMPRODUCT((YEAR(FLUXO_MENSAL!$J$7:$CC$7)=H$5)*FLUXO_MENSAL!$J33:$CC33)</f>
        <v>80979.7915919999</v>
      </c>
      <c r="I31" s="19" t="n">
        <f aca="false">SUMPRODUCT((YEAR(FLUXO_MENSAL!$J$7:$CC$7)=I$5)*FLUXO_MENSAL!$J33:$CC33)</f>
        <v>348080.866843</v>
      </c>
      <c r="J31" s="19" t="n">
        <f aca="false">SUMPRODUCT((YEAR(FLUXO_MENSAL!$J$7:$CC$7)=J$5)*FLUXO_MENSAL!$J33:$CC33)</f>
        <v>79606.391565</v>
      </c>
      <c r="K31" s="19" t="n">
        <f aca="false">SUMPRODUCT((YEAR(FLUXO_MENSAL!$J$7:$CC$7)=K$5)*FLUXO_MENSAL!$J33:$CC33)</f>
        <v>0</v>
      </c>
      <c r="L31" s="19" t="n">
        <f aca="false">SUM(E31:K31)</f>
        <v>508667.05</v>
      </c>
      <c r="M31" s="19" t="n">
        <f aca="false">IF(B31="",0,L31-D31)</f>
        <v>0</v>
      </c>
    </row>
    <row r="32" customFormat="false" ht="15" hidden="false" customHeight="false" outlineLevel="0" collapsed="false">
      <c r="A32" s="31" t="str">
        <f aca="false">FLUXO_MENSAL!A34</f>
        <v>27</v>
      </c>
      <c r="B32" s="31" t="str">
        <f aca="false">FLUXO_MENSAL!B34</f>
        <v>MARCENARIA</v>
      </c>
      <c r="C32" s="31" t="str">
        <f aca="false">FLUXO_MENSAL!C34</f>
        <v>ACABAMENTOS</v>
      </c>
      <c r="D32" s="32" t="n">
        <f aca="false">FLUXO_MENSAL!D34</f>
        <v>3137103.29</v>
      </c>
      <c r="E32" s="19" t="n">
        <f aca="false">SUMPRODUCT((YEAR(FLUXO_MENSAL!$J$7:$CC$7)=E$5)*FLUXO_MENSAL!$J34:$CC34)</f>
        <v>0</v>
      </c>
      <c r="F32" s="19" t="n">
        <f aca="false">SUMPRODUCT((YEAR(FLUXO_MENSAL!$J$7:$CC$7)=F$5)*FLUXO_MENSAL!$J34:$CC34)</f>
        <v>0</v>
      </c>
      <c r="G32" s="19" t="n">
        <f aca="false">SUMPRODUCT((YEAR(FLUXO_MENSAL!$J$7:$CC$7)=G$5)*FLUXO_MENSAL!$J34:$CC34)</f>
        <v>7000</v>
      </c>
      <c r="H32" s="19" t="n">
        <f aca="false">SUMPRODUCT((YEAR(FLUXO_MENSAL!$J$7:$CC$7)=H$5)*FLUXO_MENSAL!$J34:$CC34)</f>
        <v>0</v>
      </c>
      <c r="I32" s="19" t="n">
        <f aca="false">SUMPRODUCT((YEAR(FLUXO_MENSAL!$J$7:$CC$7)=I$5)*FLUXO_MENSAL!$J34:$CC34)</f>
        <v>2653701.56999835</v>
      </c>
      <c r="J32" s="19" t="n">
        <f aca="false">SUMPRODUCT((YEAR(FLUXO_MENSAL!$J$7:$CC$7)=J$5)*FLUXO_MENSAL!$J34:$CC34)</f>
        <v>476401.720001647</v>
      </c>
      <c r="K32" s="19" t="n">
        <f aca="false">SUMPRODUCT((YEAR(FLUXO_MENSAL!$J$7:$CC$7)=K$5)*FLUXO_MENSAL!$J34:$CC34)</f>
        <v>0</v>
      </c>
      <c r="L32" s="19" t="n">
        <f aca="false">SUM(E32:K32)</f>
        <v>3137103.29</v>
      </c>
      <c r="M32" s="19" t="n">
        <f aca="false">IF(B32="",0,L32-D32)</f>
        <v>0</v>
      </c>
    </row>
    <row r="33" customFormat="false" ht="15" hidden="false" customHeight="false" outlineLevel="0" collapsed="false">
      <c r="A33" s="31" t="str">
        <f aca="false">FLUXO_MENSAL!A35</f>
        <v>28</v>
      </c>
      <c r="B33" s="31" t="str">
        <f aca="false">FLUXO_MENSAL!B35</f>
        <v>REVESTIMENTOS DE MASSA EM PISOS</v>
      </c>
      <c r="C33" s="31" t="str">
        <f aca="false">FLUXO_MENSAL!C35</f>
        <v>ACABAMENTOS</v>
      </c>
      <c r="D33" s="32" t="n">
        <f aca="false">FLUXO_MENSAL!D35</f>
        <v>1154877.34</v>
      </c>
      <c r="E33" s="19" t="n">
        <f aca="false">SUMPRODUCT((YEAR(FLUXO_MENSAL!$J$7:$CC$7)=E$5)*FLUXO_MENSAL!$J35:$CC35)</f>
        <v>0</v>
      </c>
      <c r="F33" s="19" t="n">
        <f aca="false">SUMPRODUCT((YEAR(FLUXO_MENSAL!$J$7:$CC$7)=F$5)*FLUXO_MENSAL!$J35:$CC35)</f>
        <v>0</v>
      </c>
      <c r="G33" s="19" t="n">
        <f aca="false">SUMPRODUCT((YEAR(FLUXO_MENSAL!$J$7:$CC$7)=G$5)*FLUXO_MENSAL!$J35:$CC35)</f>
        <v>0</v>
      </c>
      <c r="H33" s="19" t="n">
        <f aca="false">SUMPRODUCT((YEAR(FLUXO_MENSAL!$J$7:$CC$7)=H$5)*FLUXO_MENSAL!$J35:$CC35)</f>
        <v>533206.875383</v>
      </c>
      <c r="I33" s="19" t="n">
        <f aca="false">SUMPRODUCT((YEAR(FLUXO_MENSAL!$J$7:$CC$7)=I$5)*FLUXO_MENSAL!$J35:$CC35)</f>
        <v>621670.464617</v>
      </c>
      <c r="J33" s="19" t="n">
        <f aca="false">SUMPRODUCT((YEAR(FLUXO_MENSAL!$J$7:$CC$7)=J$5)*FLUXO_MENSAL!$J35:$CC35)</f>
        <v>0</v>
      </c>
      <c r="K33" s="19" t="n">
        <f aca="false">SUMPRODUCT((YEAR(FLUXO_MENSAL!$J$7:$CC$7)=K$5)*FLUXO_MENSAL!$J35:$CC35)</f>
        <v>0</v>
      </c>
      <c r="L33" s="19" t="n">
        <f aca="false">SUM(E33:K33)</f>
        <v>1154877.34</v>
      </c>
      <c r="M33" s="19" t="n">
        <f aca="false">IF(B33="",0,L33-D33)</f>
        <v>0</v>
      </c>
    </row>
    <row r="34" customFormat="false" ht="15" hidden="false" customHeight="false" outlineLevel="0" collapsed="false">
      <c r="A34" s="31" t="str">
        <f aca="false">FLUXO_MENSAL!A36</f>
        <v>29</v>
      </c>
      <c r="B34" s="31" t="str">
        <f aca="false">FLUXO_MENSAL!B36</f>
        <v>REVESTIMENTOS DE MASSA EM PAREDES</v>
      </c>
      <c r="C34" s="31" t="str">
        <f aca="false">FLUXO_MENSAL!C36</f>
        <v>ACABAMENTOS</v>
      </c>
      <c r="D34" s="32" t="n">
        <f aca="false">FLUXO_MENSAL!D36</f>
        <v>2653291.4</v>
      </c>
      <c r="E34" s="19" t="n">
        <f aca="false">SUMPRODUCT((YEAR(FLUXO_MENSAL!$J$7:$CC$7)=E$5)*FLUXO_MENSAL!$J36:$CC36)</f>
        <v>0</v>
      </c>
      <c r="F34" s="19" t="n">
        <f aca="false">SUMPRODUCT((YEAR(FLUXO_MENSAL!$J$7:$CC$7)=F$5)*FLUXO_MENSAL!$J36:$CC36)</f>
        <v>0</v>
      </c>
      <c r="G34" s="19" t="n">
        <f aca="false">SUMPRODUCT((YEAR(FLUXO_MENSAL!$J$7:$CC$7)=G$5)*FLUXO_MENSAL!$J36:$CC36)</f>
        <v>0</v>
      </c>
      <c r="H34" s="19" t="n">
        <f aca="false">SUMPRODUCT((YEAR(FLUXO_MENSAL!$J$7:$CC$7)=H$5)*FLUXO_MENSAL!$J36:$CC36)</f>
        <v>1368833.039682</v>
      </c>
      <c r="I34" s="19" t="n">
        <f aca="false">SUMPRODUCT((YEAR(FLUXO_MENSAL!$J$7:$CC$7)=I$5)*FLUXO_MENSAL!$J36:$CC36)</f>
        <v>1284458.360318</v>
      </c>
      <c r="J34" s="19" t="n">
        <f aca="false">SUMPRODUCT((YEAR(FLUXO_MENSAL!$J$7:$CC$7)=J$5)*FLUXO_MENSAL!$J36:$CC36)</f>
        <v>0</v>
      </c>
      <c r="K34" s="19" t="n">
        <f aca="false">SUMPRODUCT((YEAR(FLUXO_MENSAL!$J$7:$CC$7)=K$5)*FLUXO_MENSAL!$J36:$CC36)</f>
        <v>0</v>
      </c>
      <c r="L34" s="19" t="n">
        <f aca="false">SUM(E34:K34)</f>
        <v>2653291.4</v>
      </c>
      <c r="M34" s="19" t="n">
        <f aca="false">IF(B34="",0,L34-D34)</f>
        <v>0</v>
      </c>
    </row>
    <row r="35" customFormat="false" ht="15" hidden="false" customHeight="false" outlineLevel="0" collapsed="false">
      <c r="A35" s="31" t="str">
        <f aca="false">FLUXO_MENSAL!A37</f>
        <v>30</v>
      </c>
      <c r="B35" s="31" t="str">
        <f aca="false">FLUXO_MENSAL!B37</f>
        <v>REVESTIMENTOS DE ACABAMENTO</v>
      </c>
      <c r="C35" s="31" t="str">
        <f aca="false">FLUXO_MENSAL!C37</f>
        <v>ACABAMENTOS</v>
      </c>
      <c r="D35" s="32" t="n">
        <f aca="false">FLUXO_MENSAL!D37</f>
        <v>10960439.57</v>
      </c>
      <c r="E35" s="19" t="n">
        <f aca="false">SUMPRODUCT((YEAR(FLUXO_MENSAL!$J$7:$CC$7)=E$5)*FLUXO_MENSAL!$J37:$CC37)</f>
        <v>0</v>
      </c>
      <c r="F35" s="19" t="n">
        <f aca="false">SUMPRODUCT((YEAR(FLUXO_MENSAL!$J$7:$CC$7)=F$5)*FLUXO_MENSAL!$J37:$CC37)</f>
        <v>0</v>
      </c>
      <c r="G35" s="19" t="n">
        <f aca="false">SUMPRODUCT((YEAR(FLUXO_MENSAL!$J$7:$CC$7)=G$5)*FLUXO_MENSAL!$J37:$CC37)</f>
        <v>0</v>
      </c>
      <c r="H35" s="19" t="n">
        <f aca="false">SUMPRODUCT((YEAR(FLUXO_MENSAL!$J$7:$CC$7)=H$5)*FLUXO_MENSAL!$J37:$CC37)</f>
        <v>1711170.36102494</v>
      </c>
      <c r="I35" s="19" t="n">
        <f aca="false">SUMPRODUCT((YEAR(FLUXO_MENSAL!$J$7:$CC$7)=I$5)*FLUXO_MENSAL!$J37:$CC37)</f>
        <v>8155481.8404483</v>
      </c>
      <c r="J35" s="19" t="n">
        <f aca="false">SUMPRODUCT((YEAR(FLUXO_MENSAL!$J$7:$CC$7)=J$5)*FLUXO_MENSAL!$J37:$CC37)</f>
        <v>1093787.36852676</v>
      </c>
      <c r="K35" s="19" t="n">
        <f aca="false">SUMPRODUCT((YEAR(FLUXO_MENSAL!$J$7:$CC$7)=K$5)*FLUXO_MENSAL!$J37:$CC37)</f>
        <v>0</v>
      </c>
      <c r="L35" s="19" t="n">
        <f aca="false">SUM(E35:K35)</f>
        <v>10960439.57</v>
      </c>
      <c r="M35" s="19" t="n">
        <f aca="false">IF(B35="",0,L35-D35)</f>
        <v>0</v>
      </c>
    </row>
    <row r="36" customFormat="false" ht="15" hidden="false" customHeight="false" outlineLevel="0" collapsed="false">
      <c r="A36" s="31" t="str">
        <f aca="false">FLUXO_MENSAL!A38</f>
        <v>31</v>
      </c>
      <c r="B36" s="31" t="str">
        <f aca="false">FLUXO_MENSAL!B38</f>
        <v>PAVIMENTAÇÃO</v>
      </c>
      <c r="C36" s="31" t="str">
        <f aca="false">FLUXO_MENSAL!C38</f>
        <v>ACABAMENTOS</v>
      </c>
      <c r="D36" s="32" t="n">
        <f aca="false">FLUXO_MENSAL!D38</f>
        <v>112630.59</v>
      </c>
      <c r="E36" s="19" t="n">
        <f aca="false">SUMPRODUCT((YEAR(FLUXO_MENSAL!$J$7:$CC$7)=E$5)*FLUXO_MENSAL!$J38:$CC38)</f>
        <v>0</v>
      </c>
      <c r="F36" s="19" t="n">
        <f aca="false">SUMPRODUCT((YEAR(FLUXO_MENSAL!$J$7:$CC$7)=F$5)*FLUXO_MENSAL!$J38:$CC38)</f>
        <v>0</v>
      </c>
      <c r="G36" s="19" t="n">
        <f aca="false">SUMPRODUCT((YEAR(FLUXO_MENSAL!$J$7:$CC$7)=G$5)*FLUXO_MENSAL!$J38:$CC38)</f>
        <v>0</v>
      </c>
      <c r="H36" s="19" t="n">
        <f aca="false">SUMPRODUCT((YEAR(FLUXO_MENSAL!$J$7:$CC$7)=H$5)*FLUXO_MENSAL!$J38:$CC38)</f>
        <v>0</v>
      </c>
      <c r="I36" s="19" t="n">
        <f aca="false">SUMPRODUCT((YEAR(FLUXO_MENSAL!$J$7:$CC$7)=I$5)*FLUXO_MENSAL!$J38:$CC38)</f>
        <v>112630.59</v>
      </c>
      <c r="J36" s="19" t="n">
        <f aca="false">SUMPRODUCT((YEAR(FLUXO_MENSAL!$J$7:$CC$7)=J$5)*FLUXO_MENSAL!$J38:$CC38)</f>
        <v>0</v>
      </c>
      <c r="K36" s="19" t="n">
        <f aca="false">SUMPRODUCT((YEAR(FLUXO_MENSAL!$J$7:$CC$7)=K$5)*FLUXO_MENSAL!$J38:$CC38)</f>
        <v>0</v>
      </c>
      <c r="L36" s="19" t="n">
        <f aca="false">SUM(E36:K36)</f>
        <v>112630.59</v>
      </c>
      <c r="M36" s="19" t="n">
        <f aca="false">IF(B36="",0,L36-D36)</f>
        <v>0</v>
      </c>
    </row>
    <row r="37" customFormat="false" ht="15" hidden="false" customHeight="false" outlineLevel="0" collapsed="false">
      <c r="A37" s="31" t="str">
        <f aca="false">FLUXO_MENSAL!A39</f>
        <v>32</v>
      </c>
      <c r="B37" s="31" t="str">
        <f aca="false">FLUXO_MENSAL!B39</f>
        <v>REVESTIMENTO DIVERSOS - FACHADA</v>
      </c>
      <c r="C37" s="31" t="str">
        <f aca="false">FLUXO_MENSAL!C39</f>
        <v>ACABAMENTOS</v>
      </c>
      <c r="D37" s="32" t="n">
        <f aca="false">FLUXO_MENSAL!D39</f>
        <v>5326854.93</v>
      </c>
      <c r="E37" s="19" t="n">
        <f aca="false">SUMPRODUCT((YEAR(FLUXO_MENSAL!$J$7:$CC$7)=E$5)*FLUXO_MENSAL!$J39:$CC39)</f>
        <v>0</v>
      </c>
      <c r="F37" s="19" t="n">
        <f aca="false">SUMPRODUCT((YEAR(FLUXO_MENSAL!$J$7:$CC$7)=F$5)*FLUXO_MENSAL!$J39:$CC39)</f>
        <v>0</v>
      </c>
      <c r="G37" s="19" t="n">
        <f aca="false">SUMPRODUCT((YEAR(FLUXO_MENSAL!$J$7:$CC$7)=G$5)*FLUXO_MENSAL!$J39:$CC39)</f>
        <v>0</v>
      </c>
      <c r="H37" s="19" t="n">
        <f aca="false">SUMPRODUCT((YEAR(FLUXO_MENSAL!$J$7:$CC$7)=H$5)*FLUXO_MENSAL!$J39:$CC39)</f>
        <v>1249147.47531</v>
      </c>
      <c r="I37" s="19" t="n">
        <f aca="false">SUMPRODUCT((YEAR(FLUXO_MENSAL!$J$7:$CC$7)=I$5)*FLUXO_MENSAL!$J39:$CC39)</f>
        <v>3944003.395192</v>
      </c>
      <c r="J37" s="19" t="n">
        <f aca="false">SUMPRODUCT((YEAR(FLUXO_MENSAL!$J$7:$CC$7)=J$5)*FLUXO_MENSAL!$J39:$CC39)</f>
        <v>133704.059498</v>
      </c>
      <c r="K37" s="19" t="n">
        <f aca="false">SUMPRODUCT((YEAR(FLUXO_MENSAL!$J$7:$CC$7)=K$5)*FLUXO_MENSAL!$J39:$CC39)</f>
        <v>0</v>
      </c>
      <c r="L37" s="19" t="n">
        <f aca="false">SUM(E37:K37)</f>
        <v>5326854.93</v>
      </c>
      <c r="M37" s="19" t="n">
        <f aca="false">IF(B37="",0,L37-D37)</f>
        <v>0</v>
      </c>
    </row>
    <row r="38" customFormat="false" ht="15" hidden="false" customHeight="false" outlineLevel="0" collapsed="false">
      <c r="A38" s="31" t="str">
        <f aca="false">FLUXO_MENSAL!A40</f>
        <v>33</v>
      </c>
      <c r="B38" s="31" t="str">
        <f aca="false">FLUXO_MENSAL!B40</f>
        <v>FORRO</v>
      </c>
      <c r="C38" s="31" t="str">
        <f aca="false">FLUXO_MENSAL!C40</f>
        <v>ACABAMENTOS</v>
      </c>
      <c r="D38" s="32" t="n">
        <f aca="false">FLUXO_MENSAL!D40</f>
        <v>1781242.11</v>
      </c>
      <c r="E38" s="19" t="n">
        <f aca="false">SUMPRODUCT((YEAR(FLUXO_MENSAL!$J$7:$CC$7)=E$5)*FLUXO_MENSAL!$J40:$CC40)</f>
        <v>0</v>
      </c>
      <c r="F38" s="19" t="n">
        <f aca="false">SUMPRODUCT((YEAR(FLUXO_MENSAL!$J$7:$CC$7)=F$5)*FLUXO_MENSAL!$J40:$CC40)</f>
        <v>0</v>
      </c>
      <c r="G38" s="19" t="n">
        <f aca="false">SUMPRODUCT((YEAR(FLUXO_MENSAL!$J$7:$CC$7)=G$5)*FLUXO_MENSAL!$J40:$CC40)</f>
        <v>0</v>
      </c>
      <c r="H38" s="19" t="n">
        <f aca="false">SUMPRODUCT((YEAR(FLUXO_MENSAL!$J$7:$CC$7)=H$5)*FLUXO_MENSAL!$J40:$CC40)</f>
        <v>201458.481131</v>
      </c>
      <c r="I38" s="19" t="n">
        <f aca="false">SUMPRODUCT((YEAR(FLUXO_MENSAL!$J$7:$CC$7)=I$5)*FLUXO_MENSAL!$J40:$CC40)</f>
        <v>1579783.628869</v>
      </c>
      <c r="J38" s="19" t="n">
        <f aca="false">SUMPRODUCT((YEAR(FLUXO_MENSAL!$J$7:$CC$7)=J$5)*FLUXO_MENSAL!$J40:$CC40)</f>
        <v>0</v>
      </c>
      <c r="K38" s="19" t="n">
        <f aca="false">SUMPRODUCT((YEAR(FLUXO_MENSAL!$J$7:$CC$7)=K$5)*FLUXO_MENSAL!$J40:$CC40)</f>
        <v>0</v>
      </c>
      <c r="L38" s="19" t="n">
        <f aca="false">SUM(E38:K38)</f>
        <v>1781242.11</v>
      </c>
      <c r="M38" s="19" t="n">
        <f aca="false">IF(B38="",0,L38-D38)</f>
        <v>0</v>
      </c>
    </row>
    <row r="39" customFormat="false" ht="15" hidden="false" customHeight="false" outlineLevel="0" collapsed="false">
      <c r="A39" s="31" t="str">
        <f aca="false">FLUXO_MENSAL!A41</f>
        <v>34</v>
      </c>
      <c r="B39" s="31" t="str">
        <f aca="false">FLUXO_MENSAL!B41</f>
        <v>LOUÇAS SANITÁRIAS</v>
      </c>
      <c r="C39" s="31" t="str">
        <f aca="false">FLUXO_MENSAL!C41</f>
        <v>ACABAMENTOS</v>
      </c>
      <c r="D39" s="32" t="n">
        <f aca="false">FLUXO_MENSAL!D41</f>
        <v>2160628.3</v>
      </c>
      <c r="E39" s="19" t="n">
        <f aca="false">SUMPRODUCT((YEAR(FLUXO_MENSAL!$J$7:$CC$7)=E$5)*FLUXO_MENSAL!$J41:$CC41)</f>
        <v>0</v>
      </c>
      <c r="F39" s="19" t="n">
        <f aca="false">SUMPRODUCT((YEAR(FLUXO_MENSAL!$J$7:$CC$7)=F$5)*FLUXO_MENSAL!$J41:$CC41)</f>
        <v>0</v>
      </c>
      <c r="G39" s="19" t="n">
        <f aca="false">SUMPRODUCT((YEAR(FLUXO_MENSAL!$J$7:$CC$7)=G$5)*FLUXO_MENSAL!$J41:$CC41)</f>
        <v>0</v>
      </c>
      <c r="H39" s="19" t="n">
        <f aca="false">SUMPRODUCT((YEAR(FLUXO_MENSAL!$J$7:$CC$7)=H$5)*FLUXO_MENSAL!$J41:$CC41)</f>
        <v>0</v>
      </c>
      <c r="I39" s="19" t="n">
        <f aca="false">SUMPRODUCT((YEAR(FLUXO_MENSAL!$J$7:$CC$7)=I$5)*FLUXO_MENSAL!$J41:$CC41)</f>
        <v>1793105.43</v>
      </c>
      <c r="J39" s="19" t="n">
        <f aca="false">SUMPRODUCT((YEAR(FLUXO_MENSAL!$J$7:$CC$7)=J$5)*FLUXO_MENSAL!$J41:$CC41)</f>
        <v>367522.87</v>
      </c>
      <c r="K39" s="19" t="n">
        <f aca="false">SUMPRODUCT((YEAR(FLUXO_MENSAL!$J$7:$CC$7)=K$5)*FLUXO_MENSAL!$J41:$CC41)</f>
        <v>0</v>
      </c>
      <c r="L39" s="19" t="n">
        <f aca="false">SUM(E39:K39)</f>
        <v>2160628.3</v>
      </c>
      <c r="M39" s="19" t="n">
        <f aca="false">IF(B39="",0,L39-D39)</f>
        <v>0</v>
      </c>
    </row>
    <row r="40" customFormat="false" ht="15" hidden="false" customHeight="false" outlineLevel="0" collapsed="false">
      <c r="A40" s="31" t="str">
        <f aca="false">FLUXO_MENSAL!A42</f>
        <v>35</v>
      </c>
      <c r="B40" s="31" t="str">
        <f aca="false">FLUXO_MENSAL!B42</f>
        <v>PINTURA</v>
      </c>
      <c r="C40" s="31" t="str">
        <f aca="false">FLUXO_MENSAL!C42</f>
        <v>ACABAMENTOS</v>
      </c>
      <c r="D40" s="32" t="n">
        <f aca="false">FLUXO_MENSAL!D42</f>
        <v>3874003.32</v>
      </c>
      <c r="E40" s="19" t="n">
        <f aca="false">SUMPRODUCT((YEAR(FLUXO_MENSAL!$J$7:$CC$7)=E$5)*FLUXO_MENSAL!$J42:$CC42)</f>
        <v>0</v>
      </c>
      <c r="F40" s="19" t="n">
        <f aca="false">SUMPRODUCT((YEAR(FLUXO_MENSAL!$J$7:$CC$7)=F$5)*FLUXO_MENSAL!$J42:$CC42)</f>
        <v>0</v>
      </c>
      <c r="G40" s="19" t="n">
        <f aca="false">SUMPRODUCT((YEAR(FLUXO_MENSAL!$J$7:$CC$7)=G$5)*FLUXO_MENSAL!$J42:$CC42)</f>
        <v>0</v>
      </c>
      <c r="H40" s="19" t="n">
        <f aca="false">SUMPRODUCT((YEAR(FLUXO_MENSAL!$J$7:$CC$7)=H$5)*FLUXO_MENSAL!$J42:$CC42)</f>
        <v>392066.903222719</v>
      </c>
      <c r="I40" s="19" t="n">
        <f aca="false">SUMPRODUCT((YEAR(FLUXO_MENSAL!$J$7:$CC$7)=I$5)*FLUXO_MENSAL!$J42:$CC42)</f>
        <v>2553294.31277794</v>
      </c>
      <c r="J40" s="19" t="n">
        <f aca="false">SUMPRODUCT((YEAR(FLUXO_MENSAL!$J$7:$CC$7)=J$5)*FLUXO_MENSAL!$J42:$CC42)</f>
        <v>928642.103999342</v>
      </c>
      <c r="K40" s="19" t="n">
        <f aca="false">SUMPRODUCT((YEAR(FLUXO_MENSAL!$J$7:$CC$7)=K$5)*FLUXO_MENSAL!$J42:$CC42)</f>
        <v>0</v>
      </c>
      <c r="L40" s="19" t="n">
        <f aca="false">SUM(E40:K40)</f>
        <v>3874003.32</v>
      </c>
      <c r="M40" s="19" t="n">
        <f aca="false">IF(B40="",0,L40-D40)</f>
        <v>0</v>
      </c>
    </row>
    <row r="41" customFormat="false" ht="15" hidden="false" customHeight="false" outlineLevel="0" collapsed="false">
      <c r="A41" s="31" t="str">
        <f aca="false">FLUXO_MENSAL!A43</f>
        <v>36</v>
      </c>
      <c r="B41" s="31" t="str">
        <f aca="false">FLUXO_MENSAL!B43</f>
        <v>PAISAGISMO</v>
      </c>
      <c r="C41" s="31" t="str">
        <f aca="false">FLUXO_MENSAL!C43</f>
        <v>ACABAMENTOS</v>
      </c>
      <c r="D41" s="32" t="n">
        <f aca="false">FLUXO_MENSAL!D43</f>
        <v>1176926.3</v>
      </c>
      <c r="E41" s="19" t="n">
        <f aca="false">SUMPRODUCT((YEAR(FLUXO_MENSAL!$J$7:$CC$7)=E$5)*FLUXO_MENSAL!$J43:$CC43)</f>
        <v>0</v>
      </c>
      <c r="F41" s="19" t="n">
        <f aca="false">SUMPRODUCT((YEAR(FLUXO_MENSAL!$J$7:$CC$7)=F$5)*FLUXO_MENSAL!$J43:$CC43)</f>
        <v>0</v>
      </c>
      <c r="G41" s="19" t="n">
        <f aca="false">SUMPRODUCT((YEAR(FLUXO_MENSAL!$J$7:$CC$7)=G$5)*FLUXO_MENSAL!$J43:$CC43)</f>
        <v>0</v>
      </c>
      <c r="H41" s="19" t="n">
        <f aca="false">SUMPRODUCT((YEAR(FLUXO_MENSAL!$J$7:$CC$7)=H$5)*FLUXO_MENSAL!$J43:$CC43)</f>
        <v>0</v>
      </c>
      <c r="I41" s="19" t="n">
        <f aca="false">SUMPRODUCT((YEAR(FLUXO_MENSAL!$J$7:$CC$7)=I$5)*FLUXO_MENSAL!$J43:$CC43)</f>
        <v>1115490.749478</v>
      </c>
      <c r="J41" s="19" t="n">
        <f aca="false">SUMPRODUCT((YEAR(FLUXO_MENSAL!$J$7:$CC$7)=J$5)*FLUXO_MENSAL!$J43:$CC43)</f>
        <v>61435.550522</v>
      </c>
      <c r="K41" s="19" t="n">
        <f aca="false">SUMPRODUCT((YEAR(FLUXO_MENSAL!$J$7:$CC$7)=K$5)*FLUXO_MENSAL!$J43:$CC43)</f>
        <v>0</v>
      </c>
      <c r="L41" s="19" t="n">
        <f aca="false">SUM(E41:K41)</f>
        <v>1176926.3</v>
      </c>
      <c r="M41" s="19" t="n">
        <f aca="false">IF(B41="",0,L41-D41)</f>
        <v>0</v>
      </c>
    </row>
    <row r="42" customFormat="false" ht="15" hidden="false" customHeight="false" outlineLevel="0" collapsed="false">
      <c r="A42" s="31" t="str">
        <f aca="false">FLUXO_MENSAL!A44</f>
        <v>37</v>
      </c>
      <c r="B42" s="31" t="str">
        <f aca="false">FLUXO_MENSAL!B44</f>
        <v>LIMPEZA FINAL DE OBRA</v>
      </c>
      <c r="C42" s="31" t="str">
        <f aca="false">FLUXO_MENSAL!C44</f>
        <v>ACABAMENTOS</v>
      </c>
      <c r="D42" s="32" t="n">
        <f aca="false">FLUXO_MENSAL!D44</f>
        <v>935395.03</v>
      </c>
      <c r="E42" s="19" t="n">
        <f aca="false">SUMPRODUCT((YEAR(FLUXO_MENSAL!$J$7:$CC$7)=E$5)*FLUXO_MENSAL!$J44:$CC44)</f>
        <v>0</v>
      </c>
      <c r="F42" s="19" t="n">
        <f aca="false">SUMPRODUCT((YEAR(FLUXO_MENSAL!$J$7:$CC$7)=F$5)*FLUXO_MENSAL!$J44:$CC44)</f>
        <v>0</v>
      </c>
      <c r="G42" s="19" t="n">
        <f aca="false">SUMPRODUCT((YEAR(FLUXO_MENSAL!$J$7:$CC$7)=G$5)*FLUXO_MENSAL!$J44:$CC44)</f>
        <v>0</v>
      </c>
      <c r="H42" s="19" t="n">
        <f aca="false">SUMPRODUCT((YEAR(FLUXO_MENSAL!$J$7:$CC$7)=H$5)*FLUXO_MENSAL!$J44:$CC44)</f>
        <v>0</v>
      </c>
      <c r="I42" s="19" t="n">
        <f aca="false">SUMPRODUCT((YEAR(FLUXO_MENSAL!$J$7:$CC$7)=I$5)*FLUXO_MENSAL!$J44:$CC44)</f>
        <v>602789.339827081</v>
      </c>
      <c r="J42" s="19" t="n">
        <f aca="false">SUMPRODUCT((YEAR(FLUXO_MENSAL!$J$7:$CC$7)=J$5)*FLUXO_MENSAL!$J44:$CC44)</f>
        <v>332605.690172919</v>
      </c>
      <c r="K42" s="19" t="n">
        <f aca="false">SUMPRODUCT((YEAR(FLUXO_MENSAL!$J$7:$CC$7)=K$5)*FLUXO_MENSAL!$J44:$CC44)</f>
        <v>0</v>
      </c>
      <c r="L42" s="19" t="n">
        <f aca="false">SUM(E42:K42)</f>
        <v>935395.03</v>
      </c>
      <c r="M42" s="19" t="n">
        <f aca="false">IF(B42="",0,L42-D42)</f>
        <v>0</v>
      </c>
    </row>
    <row r="43" customFormat="false" ht="15" hidden="false" customHeight="false" outlineLevel="0" collapsed="false">
      <c r="A43" s="31" t="str">
        <f aca="false">FLUXO_MENSAL!A45</f>
        <v>38</v>
      </c>
      <c r="B43" s="31" t="str">
        <f aca="false">FLUXO_MENSAL!B45</f>
        <v>TAXA DE ADMINISTRAÇÃO</v>
      </c>
      <c r="C43" s="31" t="str">
        <f aca="false">FLUXO_MENSAL!C45</f>
        <v>TAXA DE ADMINISTRAÇÃO</v>
      </c>
      <c r="D43" s="32" t="n">
        <f aca="false">FLUXO_MENSAL!D45</f>
        <v>566105.29</v>
      </c>
      <c r="E43" s="19" t="n">
        <f aca="false">SUMPRODUCT((YEAR(FLUXO_MENSAL!$J$7:$CC$7)=E$5)*FLUXO_MENSAL!$J45:$CC45)</f>
        <v>137450</v>
      </c>
      <c r="F43" s="19" t="n">
        <f aca="false">SUMPRODUCT((YEAR(FLUXO_MENSAL!$J$7:$CC$7)=F$5)*FLUXO_MENSAL!$J45:$CC45)</f>
        <v>428655.29</v>
      </c>
      <c r="G43" s="19" t="n">
        <f aca="false">SUMPRODUCT((YEAR(FLUXO_MENSAL!$J$7:$CC$7)=G$5)*FLUXO_MENSAL!$J45:$CC45)</f>
        <v>0</v>
      </c>
      <c r="H43" s="19" t="n">
        <f aca="false">SUMPRODUCT((YEAR(FLUXO_MENSAL!$J$7:$CC$7)=H$5)*FLUXO_MENSAL!$J45:$CC45)</f>
        <v>0</v>
      </c>
      <c r="I43" s="19" t="n">
        <f aca="false">SUMPRODUCT((YEAR(FLUXO_MENSAL!$J$7:$CC$7)=I$5)*FLUXO_MENSAL!$J45:$CC45)</f>
        <v>0</v>
      </c>
      <c r="J43" s="19" t="n">
        <f aca="false">SUMPRODUCT((YEAR(FLUXO_MENSAL!$J$7:$CC$7)=J$5)*FLUXO_MENSAL!$J45:$CC45)</f>
        <v>0</v>
      </c>
      <c r="K43" s="19" t="n">
        <f aca="false">SUMPRODUCT((YEAR(FLUXO_MENSAL!$J$7:$CC$7)=K$5)*FLUXO_MENSAL!$J45:$CC45)</f>
        <v>0</v>
      </c>
      <c r="L43" s="19" t="n">
        <f aca="false">SUM(E43:K43)</f>
        <v>566105.29</v>
      </c>
      <c r="M43" s="19" t="n">
        <f aca="false">IF(B43="",0,L43-D43)</f>
        <v>0</v>
      </c>
    </row>
    <row r="44" customFormat="false" ht="15" hidden="false" customHeight="false" outlineLevel="0" collapsed="false">
      <c r="A44" s="31" t="str">
        <f aca="false">FLUXO_MENSAL!A46</f>
        <v/>
      </c>
      <c r="B44" s="31" t="str">
        <f aca="false">FLUXO_MENSAL!B46</f>
        <v/>
      </c>
      <c r="C44" s="31" t="str">
        <f aca="false">FLUXO_MENSAL!C46</f>
        <v/>
      </c>
      <c r="D44" s="32" t="n">
        <f aca="false">FLUXO_MENSAL!D46</f>
        <v>0</v>
      </c>
      <c r="E44" s="19" t="n">
        <f aca="false">SUMPRODUCT((YEAR(FLUXO_MENSAL!$J$7:$CC$7)=E$5)*FLUXO_MENSAL!$J46:$CC46)</f>
        <v>0</v>
      </c>
      <c r="F44" s="19" t="n">
        <f aca="false">SUMPRODUCT((YEAR(FLUXO_MENSAL!$J$7:$CC$7)=F$5)*FLUXO_MENSAL!$J46:$CC46)</f>
        <v>0</v>
      </c>
      <c r="G44" s="19" t="n">
        <f aca="false">SUMPRODUCT((YEAR(FLUXO_MENSAL!$J$7:$CC$7)=G$5)*FLUXO_MENSAL!$J46:$CC46)</f>
        <v>0</v>
      </c>
      <c r="H44" s="19" t="n">
        <f aca="false">SUMPRODUCT((YEAR(FLUXO_MENSAL!$J$7:$CC$7)=H$5)*FLUXO_MENSAL!$J46:$CC46)</f>
        <v>0</v>
      </c>
      <c r="I44" s="19" t="n">
        <f aca="false">SUMPRODUCT((YEAR(FLUXO_MENSAL!$J$7:$CC$7)=I$5)*FLUXO_MENSAL!$J46:$CC46)</f>
        <v>0</v>
      </c>
      <c r="J44" s="19" t="n">
        <f aca="false">SUMPRODUCT((YEAR(FLUXO_MENSAL!$J$7:$CC$7)=J$5)*FLUXO_MENSAL!$J46:$CC46)</f>
        <v>0</v>
      </c>
      <c r="K44" s="19" t="n">
        <f aca="false">SUMPRODUCT((YEAR(FLUXO_MENSAL!$J$7:$CC$7)=K$5)*FLUXO_MENSAL!$J46:$CC46)</f>
        <v>0</v>
      </c>
      <c r="L44" s="19" t="n">
        <f aca="false">SUM(E44:K44)</f>
        <v>0</v>
      </c>
      <c r="M44" s="19" t="n">
        <f aca="false">IF(B44="",0,L44-D44)</f>
        <v>0</v>
      </c>
    </row>
    <row r="45" customFormat="false" ht="15" hidden="false" customHeight="false" outlineLevel="0" collapsed="false">
      <c r="A45" s="31" t="str">
        <f aca="false">FLUXO_MENSAL!A47</f>
        <v/>
      </c>
      <c r="B45" s="31" t="str">
        <f aca="false">FLUXO_MENSAL!B47</f>
        <v/>
      </c>
      <c r="C45" s="31" t="str">
        <f aca="false">FLUXO_MENSAL!C47</f>
        <v/>
      </c>
      <c r="D45" s="32" t="n">
        <f aca="false">FLUXO_MENSAL!D47</f>
        <v>0</v>
      </c>
      <c r="E45" s="19" t="n">
        <f aca="false">SUMPRODUCT((YEAR(FLUXO_MENSAL!$J$7:$CC$7)=E$5)*FLUXO_MENSAL!$J47:$CC47)</f>
        <v>0</v>
      </c>
      <c r="F45" s="19" t="n">
        <f aca="false">SUMPRODUCT((YEAR(FLUXO_MENSAL!$J$7:$CC$7)=F$5)*FLUXO_MENSAL!$J47:$CC47)</f>
        <v>0</v>
      </c>
      <c r="G45" s="19" t="n">
        <f aca="false">SUMPRODUCT((YEAR(FLUXO_MENSAL!$J$7:$CC$7)=G$5)*FLUXO_MENSAL!$J47:$CC47)</f>
        <v>0</v>
      </c>
      <c r="H45" s="19" t="n">
        <f aca="false">SUMPRODUCT((YEAR(FLUXO_MENSAL!$J$7:$CC$7)=H$5)*FLUXO_MENSAL!$J47:$CC47)</f>
        <v>0</v>
      </c>
      <c r="I45" s="19" t="n">
        <f aca="false">SUMPRODUCT((YEAR(FLUXO_MENSAL!$J$7:$CC$7)=I$5)*FLUXO_MENSAL!$J47:$CC47)</f>
        <v>0</v>
      </c>
      <c r="J45" s="19" t="n">
        <f aca="false">SUMPRODUCT((YEAR(FLUXO_MENSAL!$J$7:$CC$7)=J$5)*FLUXO_MENSAL!$J47:$CC47)</f>
        <v>0</v>
      </c>
      <c r="K45" s="19" t="n">
        <f aca="false">SUMPRODUCT((YEAR(FLUXO_MENSAL!$J$7:$CC$7)=K$5)*FLUXO_MENSAL!$J47:$CC47)</f>
        <v>0</v>
      </c>
      <c r="L45" s="19" t="n">
        <f aca="false">SUM(E45:K45)</f>
        <v>0</v>
      </c>
      <c r="M45" s="19" t="n">
        <f aca="false">IF(B45="",0,L45-D45)</f>
        <v>0</v>
      </c>
    </row>
    <row r="46" customFormat="false" ht="15" hidden="false" customHeight="false" outlineLevel="0" collapsed="false">
      <c r="A46" s="31" t="str">
        <f aca="false">FLUXO_MENSAL!A48</f>
        <v/>
      </c>
      <c r="B46" s="31" t="str">
        <f aca="false">FLUXO_MENSAL!B48</f>
        <v/>
      </c>
      <c r="C46" s="31" t="str">
        <f aca="false">FLUXO_MENSAL!C48</f>
        <v/>
      </c>
      <c r="D46" s="32" t="n">
        <f aca="false">FLUXO_MENSAL!D48</f>
        <v>0</v>
      </c>
      <c r="E46" s="19" t="n">
        <f aca="false">SUMPRODUCT((YEAR(FLUXO_MENSAL!$J$7:$CC$7)=E$5)*FLUXO_MENSAL!$J48:$CC48)</f>
        <v>0</v>
      </c>
      <c r="F46" s="19" t="n">
        <f aca="false">SUMPRODUCT((YEAR(FLUXO_MENSAL!$J$7:$CC$7)=F$5)*FLUXO_MENSAL!$J48:$CC48)</f>
        <v>0</v>
      </c>
      <c r="G46" s="19" t="n">
        <f aca="false">SUMPRODUCT((YEAR(FLUXO_MENSAL!$J$7:$CC$7)=G$5)*FLUXO_MENSAL!$J48:$CC48)</f>
        <v>0</v>
      </c>
      <c r="H46" s="19" t="n">
        <f aca="false">SUMPRODUCT((YEAR(FLUXO_MENSAL!$J$7:$CC$7)=H$5)*FLUXO_MENSAL!$J48:$CC48)</f>
        <v>0</v>
      </c>
      <c r="I46" s="19" t="n">
        <f aca="false">SUMPRODUCT((YEAR(FLUXO_MENSAL!$J$7:$CC$7)=I$5)*FLUXO_MENSAL!$J48:$CC48)</f>
        <v>0</v>
      </c>
      <c r="J46" s="19" t="n">
        <f aca="false">SUMPRODUCT((YEAR(FLUXO_MENSAL!$J$7:$CC$7)=J$5)*FLUXO_MENSAL!$J48:$CC48)</f>
        <v>0</v>
      </c>
      <c r="K46" s="19" t="n">
        <f aca="false">SUMPRODUCT((YEAR(FLUXO_MENSAL!$J$7:$CC$7)=K$5)*FLUXO_MENSAL!$J48:$CC48)</f>
        <v>0</v>
      </c>
      <c r="L46" s="19" t="n">
        <f aca="false">SUM(E46:K46)</f>
        <v>0</v>
      </c>
      <c r="M46" s="19" t="n">
        <f aca="false">IF(B46="",0,L46-D46)</f>
        <v>0</v>
      </c>
    </row>
    <row r="47" customFormat="false" ht="15" hidden="false" customHeight="false" outlineLevel="0" collapsed="false">
      <c r="A47" s="31" t="str">
        <f aca="false">FLUXO_MENSAL!A49</f>
        <v/>
      </c>
      <c r="B47" s="31" t="str">
        <f aca="false">FLUXO_MENSAL!B49</f>
        <v/>
      </c>
      <c r="C47" s="31" t="str">
        <f aca="false">FLUXO_MENSAL!C49</f>
        <v/>
      </c>
      <c r="D47" s="32" t="n">
        <f aca="false">FLUXO_MENSAL!D49</f>
        <v>0</v>
      </c>
      <c r="E47" s="19" t="n">
        <f aca="false">SUMPRODUCT((YEAR(FLUXO_MENSAL!$J$7:$CC$7)=E$5)*FLUXO_MENSAL!$J49:$CC49)</f>
        <v>0</v>
      </c>
      <c r="F47" s="19" t="n">
        <f aca="false">SUMPRODUCT((YEAR(FLUXO_MENSAL!$J$7:$CC$7)=F$5)*FLUXO_MENSAL!$J49:$CC49)</f>
        <v>0</v>
      </c>
      <c r="G47" s="19" t="n">
        <f aca="false">SUMPRODUCT((YEAR(FLUXO_MENSAL!$J$7:$CC$7)=G$5)*FLUXO_MENSAL!$J49:$CC49)</f>
        <v>0</v>
      </c>
      <c r="H47" s="19" t="n">
        <f aca="false">SUMPRODUCT((YEAR(FLUXO_MENSAL!$J$7:$CC$7)=H$5)*FLUXO_MENSAL!$J49:$CC49)</f>
        <v>0</v>
      </c>
      <c r="I47" s="19" t="n">
        <f aca="false">SUMPRODUCT((YEAR(FLUXO_MENSAL!$J$7:$CC$7)=I$5)*FLUXO_MENSAL!$J49:$CC49)</f>
        <v>0</v>
      </c>
      <c r="J47" s="19" t="n">
        <f aca="false">SUMPRODUCT((YEAR(FLUXO_MENSAL!$J$7:$CC$7)=J$5)*FLUXO_MENSAL!$J49:$CC49)</f>
        <v>0</v>
      </c>
      <c r="K47" s="19" t="n">
        <f aca="false">SUMPRODUCT((YEAR(FLUXO_MENSAL!$J$7:$CC$7)=K$5)*FLUXO_MENSAL!$J49:$CC49)</f>
        <v>0</v>
      </c>
      <c r="L47" s="19" t="n">
        <f aca="false">SUM(E47:K47)</f>
        <v>0</v>
      </c>
      <c r="M47" s="19" t="n">
        <f aca="false">IF(B47="",0,L47-D47)</f>
        <v>0</v>
      </c>
    </row>
    <row r="48" customFormat="false" ht="15" hidden="false" customHeight="false" outlineLevel="0" collapsed="false">
      <c r="A48" s="31" t="str">
        <f aca="false">FLUXO_MENSAL!A50</f>
        <v/>
      </c>
      <c r="B48" s="31" t="str">
        <f aca="false">FLUXO_MENSAL!B50</f>
        <v/>
      </c>
      <c r="C48" s="31" t="str">
        <f aca="false">FLUXO_MENSAL!C50</f>
        <v/>
      </c>
      <c r="D48" s="32" t="n">
        <f aca="false">FLUXO_MENSAL!D50</f>
        <v>0</v>
      </c>
      <c r="E48" s="19" t="n">
        <f aca="false">SUMPRODUCT((YEAR(FLUXO_MENSAL!$J$7:$CC$7)=E$5)*FLUXO_MENSAL!$J50:$CC50)</f>
        <v>0</v>
      </c>
      <c r="F48" s="19" t="n">
        <f aca="false">SUMPRODUCT((YEAR(FLUXO_MENSAL!$J$7:$CC$7)=F$5)*FLUXO_MENSAL!$J50:$CC50)</f>
        <v>0</v>
      </c>
      <c r="G48" s="19" t="n">
        <f aca="false">SUMPRODUCT((YEAR(FLUXO_MENSAL!$J$7:$CC$7)=G$5)*FLUXO_MENSAL!$J50:$CC50)</f>
        <v>0</v>
      </c>
      <c r="H48" s="19" t="n">
        <f aca="false">SUMPRODUCT((YEAR(FLUXO_MENSAL!$J$7:$CC$7)=H$5)*FLUXO_MENSAL!$J50:$CC50)</f>
        <v>0</v>
      </c>
      <c r="I48" s="19" t="n">
        <f aca="false">SUMPRODUCT((YEAR(FLUXO_MENSAL!$J$7:$CC$7)=I$5)*FLUXO_MENSAL!$J50:$CC50)</f>
        <v>0</v>
      </c>
      <c r="J48" s="19" t="n">
        <f aca="false">SUMPRODUCT((YEAR(FLUXO_MENSAL!$J$7:$CC$7)=J$5)*FLUXO_MENSAL!$J50:$CC50)</f>
        <v>0</v>
      </c>
      <c r="K48" s="19" t="n">
        <f aca="false">SUMPRODUCT((YEAR(FLUXO_MENSAL!$J$7:$CC$7)=K$5)*FLUXO_MENSAL!$J50:$CC50)</f>
        <v>0</v>
      </c>
      <c r="L48" s="19" t="n">
        <f aca="false">SUM(E48:K48)</f>
        <v>0</v>
      </c>
      <c r="M48" s="19" t="n">
        <f aca="false">IF(B48="",0,L48-D48)</f>
        <v>0</v>
      </c>
    </row>
    <row r="49" customFormat="false" ht="15" hidden="false" customHeight="false" outlineLevel="0" collapsed="false">
      <c r="A49" s="31" t="str">
        <f aca="false">FLUXO_MENSAL!A51</f>
        <v/>
      </c>
      <c r="B49" s="31" t="str">
        <f aca="false">FLUXO_MENSAL!B51</f>
        <v/>
      </c>
      <c r="C49" s="31" t="str">
        <f aca="false">FLUXO_MENSAL!C51</f>
        <v/>
      </c>
      <c r="D49" s="32" t="n">
        <f aca="false">FLUXO_MENSAL!D51</f>
        <v>0</v>
      </c>
      <c r="E49" s="19" t="n">
        <f aca="false">SUMPRODUCT((YEAR(FLUXO_MENSAL!$J$7:$CC$7)=E$5)*FLUXO_MENSAL!$J51:$CC51)</f>
        <v>0</v>
      </c>
      <c r="F49" s="19" t="n">
        <f aca="false">SUMPRODUCT((YEAR(FLUXO_MENSAL!$J$7:$CC$7)=F$5)*FLUXO_MENSAL!$J51:$CC51)</f>
        <v>0</v>
      </c>
      <c r="G49" s="19" t="n">
        <f aca="false">SUMPRODUCT((YEAR(FLUXO_MENSAL!$J$7:$CC$7)=G$5)*FLUXO_MENSAL!$J51:$CC51)</f>
        <v>0</v>
      </c>
      <c r="H49" s="19" t="n">
        <f aca="false">SUMPRODUCT((YEAR(FLUXO_MENSAL!$J$7:$CC$7)=H$5)*FLUXO_MENSAL!$J51:$CC51)</f>
        <v>0</v>
      </c>
      <c r="I49" s="19" t="n">
        <f aca="false">SUMPRODUCT((YEAR(FLUXO_MENSAL!$J$7:$CC$7)=I$5)*FLUXO_MENSAL!$J51:$CC51)</f>
        <v>0</v>
      </c>
      <c r="J49" s="19" t="n">
        <f aca="false">SUMPRODUCT((YEAR(FLUXO_MENSAL!$J$7:$CC$7)=J$5)*FLUXO_MENSAL!$J51:$CC51)</f>
        <v>0</v>
      </c>
      <c r="K49" s="19" t="n">
        <f aca="false">SUMPRODUCT((YEAR(FLUXO_MENSAL!$J$7:$CC$7)=K$5)*FLUXO_MENSAL!$J51:$CC51)</f>
        <v>0</v>
      </c>
      <c r="L49" s="19" t="n">
        <f aca="false">SUM(E49:K49)</f>
        <v>0</v>
      </c>
      <c r="M49" s="19" t="n">
        <f aca="false">IF(B49="",0,L49-D49)</f>
        <v>0</v>
      </c>
    </row>
    <row r="50" customFormat="false" ht="15" hidden="false" customHeight="false" outlineLevel="0" collapsed="false">
      <c r="A50" s="31" t="str">
        <f aca="false">FLUXO_MENSAL!A52</f>
        <v/>
      </c>
      <c r="B50" s="31" t="str">
        <f aca="false">FLUXO_MENSAL!B52</f>
        <v/>
      </c>
      <c r="C50" s="31" t="str">
        <f aca="false">FLUXO_MENSAL!C52</f>
        <v/>
      </c>
      <c r="D50" s="32" t="n">
        <f aca="false">FLUXO_MENSAL!D52</f>
        <v>0</v>
      </c>
      <c r="E50" s="19" t="n">
        <f aca="false">SUMPRODUCT((YEAR(FLUXO_MENSAL!$J$7:$CC$7)=E$5)*FLUXO_MENSAL!$J52:$CC52)</f>
        <v>0</v>
      </c>
      <c r="F50" s="19" t="n">
        <f aca="false">SUMPRODUCT((YEAR(FLUXO_MENSAL!$J$7:$CC$7)=F$5)*FLUXO_MENSAL!$J52:$CC52)</f>
        <v>0</v>
      </c>
      <c r="G50" s="19" t="n">
        <f aca="false">SUMPRODUCT((YEAR(FLUXO_MENSAL!$J$7:$CC$7)=G$5)*FLUXO_MENSAL!$J52:$CC52)</f>
        <v>0</v>
      </c>
      <c r="H50" s="19" t="n">
        <f aca="false">SUMPRODUCT((YEAR(FLUXO_MENSAL!$J$7:$CC$7)=H$5)*FLUXO_MENSAL!$J52:$CC52)</f>
        <v>0</v>
      </c>
      <c r="I50" s="19" t="n">
        <f aca="false">SUMPRODUCT((YEAR(FLUXO_MENSAL!$J$7:$CC$7)=I$5)*FLUXO_MENSAL!$J52:$CC52)</f>
        <v>0</v>
      </c>
      <c r="J50" s="19" t="n">
        <f aca="false">SUMPRODUCT((YEAR(FLUXO_MENSAL!$J$7:$CC$7)=J$5)*FLUXO_MENSAL!$J52:$CC52)</f>
        <v>0</v>
      </c>
      <c r="K50" s="19" t="n">
        <f aca="false">SUMPRODUCT((YEAR(FLUXO_MENSAL!$J$7:$CC$7)=K$5)*FLUXO_MENSAL!$J52:$CC52)</f>
        <v>0</v>
      </c>
      <c r="L50" s="19" t="n">
        <f aca="false">SUM(E50:K50)</f>
        <v>0</v>
      </c>
      <c r="M50" s="19" t="n">
        <f aca="false">IF(B50="",0,L50-D50)</f>
        <v>0</v>
      </c>
    </row>
    <row r="51" customFormat="false" ht="15" hidden="false" customHeight="false" outlineLevel="0" collapsed="false">
      <c r="A51" s="31" t="str">
        <f aca="false">FLUXO_MENSAL!A53</f>
        <v/>
      </c>
      <c r="B51" s="31" t="str">
        <f aca="false">FLUXO_MENSAL!B53</f>
        <v/>
      </c>
      <c r="C51" s="31" t="str">
        <f aca="false">FLUXO_MENSAL!C53</f>
        <v/>
      </c>
      <c r="D51" s="32" t="n">
        <f aca="false">FLUXO_MENSAL!D53</f>
        <v>0</v>
      </c>
      <c r="E51" s="19" t="n">
        <f aca="false">SUMPRODUCT((YEAR(FLUXO_MENSAL!$J$7:$CC$7)=E$5)*FLUXO_MENSAL!$J53:$CC53)</f>
        <v>0</v>
      </c>
      <c r="F51" s="19" t="n">
        <f aca="false">SUMPRODUCT((YEAR(FLUXO_MENSAL!$J$7:$CC$7)=F$5)*FLUXO_MENSAL!$J53:$CC53)</f>
        <v>0</v>
      </c>
      <c r="G51" s="19" t="n">
        <f aca="false">SUMPRODUCT((YEAR(FLUXO_MENSAL!$J$7:$CC$7)=G$5)*FLUXO_MENSAL!$J53:$CC53)</f>
        <v>0</v>
      </c>
      <c r="H51" s="19" t="n">
        <f aca="false">SUMPRODUCT((YEAR(FLUXO_MENSAL!$J$7:$CC$7)=H$5)*FLUXO_MENSAL!$J53:$CC53)</f>
        <v>0</v>
      </c>
      <c r="I51" s="19" t="n">
        <f aca="false">SUMPRODUCT((YEAR(FLUXO_MENSAL!$J$7:$CC$7)=I$5)*FLUXO_MENSAL!$J53:$CC53)</f>
        <v>0</v>
      </c>
      <c r="J51" s="19" t="n">
        <f aca="false">SUMPRODUCT((YEAR(FLUXO_MENSAL!$J$7:$CC$7)=J$5)*FLUXO_MENSAL!$J53:$CC53)</f>
        <v>0</v>
      </c>
      <c r="K51" s="19" t="n">
        <f aca="false">SUMPRODUCT((YEAR(FLUXO_MENSAL!$J$7:$CC$7)=K$5)*FLUXO_MENSAL!$J53:$CC53)</f>
        <v>0</v>
      </c>
      <c r="L51" s="19" t="n">
        <f aca="false">SUM(E51:K51)</f>
        <v>0</v>
      </c>
      <c r="M51" s="19" t="n">
        <f aca="false">IF(B51="",0,L51-D51)</f>
        <v>0</v>
      </c>
    </row>
    <row r="52" customFormat="false" ht="15" hidden="false" customHeight="false" outlineLevel="0" collapsed="false">
      <c r="A52" s="31" t="str">
        <f aca="false">FLUXO_MENSAL!A54</f>
        <v/>
      </c>
      <c r="B52" s="31" t="str">
        <f aca="false">FLUXO_MENSAL!B54</f>
        <v/>
      </c>
      <c r="C52" s="31" t="str">
        <f aca="false">FLUXO_MENSAL!C54</f>
        <v/>
      </c>
      <c r="D52" s="32" t="n">
        <f aca="false">FLUXO_MENSAL!D54</f>
        <v>0</v>
      </c>
      <c r="E52" s="19" t="n">
        <f aca="false">SUMPRODUCT((YEAR(FLUXO_MENSAL!$J$7:$CC$7)=E$5)*FLUXO_MENSAL!$J54:$CC54)</f>
        <v>0</v>
      </c>
      <c r="F52" s="19" t="n">
        <f aca="false">SUMPRODUCT((YEAR(FLUXO_MENSAL!$J$7:$CC$7)=F$5)*FLUXO_MENSAL!$J54:$CC54)</f>
        <v>0</v>
      </c>
      <c r="G52" s="19" t="n">
        <f aca="false">SUMPRODUCT((YEAR(FLUXO_MENSAL!$J$7:$CC$7)=G$5)*FLUXO_MENSAL!$J54:$CC54)</f>
        <v>0</v>
      </c>
      <c r="H52" s="19" t="n">
        <f aca="false">SUMPRODUCT((YEAR(FLUXO_MENSAL!$J$7:$CC$7)=H$5)*FLUXO_MENSAL!$J54:$CC54)</f>
        <v>0</v>
      </c>
      <c r="I52" s="19" t="n">
        <f aca="false">SUMPRODUCT((YEAR(FLUXO_MENSAL!$J$7:$CC$7)=I$5)*FLUXO_MENSAL!$J54:$CC54)</f>
        <v>0</v>
      </c>
      <c r="J52" s="19" t="n">
        <f aca="false">SUMPRODUCT((YEAR(FLUXO_MENSAL!$J$7:$CC$7)=J$5)*FLUXO_MENSAL!$J54:$CC54)</f>
        <v>0</v>
      </c>
      <c r="K52" s="19" t="n">
        <f aca="false">SUMPRODUCT((YEAR(FLUXO_MENSAL!$J$7:$CC$7)=K$5)*FLUXO_MENSAL!$J54:$CC54)</f>
        <v>0</v>
      </c>
      <c r="L52" s="19" t="n">
        <f aca="false">SUM(E52:K52)</f>
        <v>0</v>
      </c>
      <c r="M52" s="19" t="n">
        <f aca="false">IF(B52="",0,L52-D52)</f>
        <v>0</v>
      </c>
    </row>
    <row r="53" customFormat="false" ht="15" hidden="false" customHeight="false" outlineLevel="0" collapsed="false">
      <c r="A53" s="31" t="str">
        <f aca="false">FLUXO_MENSAL!A55</f>
        <v/>
      </c>
      <c r="B53" s="31" t="str">
        <f aca="false">FLUXO_MENSAL!B55</f>
        <v/>
      </c>
      <c r="C53" s="31" t="str">
        <f aca="false">FLUXO_MENSAL!C55</f>
        <v/>
      </c>
      <c r="D53" s="32" t="n">
        <f aca="false">FLUXO_MENSAL!D55</f>
        <v>0</v>
      </c>
      <c r="E53" s="19" t="n">
        <f aca="false">SUMPRODUCT((YEAR(FLUXO_MENSAL!$J$7:$CC$7)=E$5)*FLUXO_MENSAL!$J55:$CC55)</f>
        <v>0</v>
      </c>
      <c r="F53" s="19" t="n">
        <f aca="false">SUMPRODUCT((YEAR(FLUXO_MENSAL!$J$7:$CC$7)=F$5)*FLUXO_MENSAL!$J55:$CC55)</f>
        <v>0</v>
      </c>
      <c r="G53" s="19" t="n">
        <f aca="false">SUMPRODUCT((YEAR(FLUXO_MENSAL!$J$7:$CC$7)=G$5)*FLUXO_MENSAL!$J55:$CC55)</f>
        <v>0</v>
      </c>
      <c r="H53" s="19" t="n">
        <f aca="false">SUMPRODUCT((YEAR(FLUXO_MENSAL!$J$7:$CC$7)=H$5)*FLUXO_MENSAL!$J55:$CC55)</f>
        <v>0</v>
      </c>
      <c r="I53" s="19" t="n">
        <f aca="false">SUMPRODUCT((YEAR(FLUXO_MENSAL!$J$7:$CC$7)=I$5)*FLUXO_MENSAL!$J55:$CC55)</f>
        <v>0</v>
      </c>
      <c r="J53" s="19" t="n">
        <f aca="false">SUMPRODUCT((YEAR(FLUXO_MENSAL!$J$7:$CC$7)=J$5)*FLUXO_MENSAL!$J55:$CC55)</f>
        <v>0</v>
      </c>
      <c r="K53" s="19" t="n">
        <f aca="false">SUMPRODUCT((YEAR(FLUXO_MENSAL!$J$7:$CC$7)=K$5)*FLUXO_MENSAL!$J55:$CC55)</f>
        <v>0</v>
      </c>
      <c r="L53" s="19" t="n">
        <f aca="false">SUM(E53:K53)</f>
        <v>0</v>
      </c>
      <c r="M53" s="19" t="n">
        <f aca="false">IF(B53="",0,L53-D53)</f>
        <v>0</v>
      </c>
    </row>
    <row r="54" customFormat="false" ht="15" hidden="false" customHeight="false" outlineLevel="0" collapsed="false">
      <c r="A54" s="31" t="str">
        <f aca="false">FLUXO_MENSAL!A56</f>
        <v/>
      </c>
      <c r="B54" s="31" t="str">
        <f aca="false">FLUXO_MENSAL!B56</f>
        <v/>
      </c>
      <c r="C54" s="31" t="str">
        <f aca="false">FLUXO_MENSAL!C56</f>
        <v/>
      </c>
      <c r="D54" s="32" t="n">
        <f aca="false">FLUXO_MENSAL!D56</f>
        <v>0</v>
      </c>
      <c r="E54" s="19" t="n">
        <f aca="false">SUMPRODUCT((YEAR(FLUXO_MENSAL!$J$7:$CC$7)=E$5)*FLUXO_MENSAL!$J56:$CC56)</f>
        <v>0</v>
      </c>
      <c r="F54" s="19" t="n">
        <f aca="false">SUMPRODUCT((YEAR(FLUXO_MENSAL!$J$7:$CC$7)=F$5)*FLUXO_MENSAL!$J56:$CC56)</f>
        <v>0</v>
      </c>
      <c r="G54" s="19" t="n">
        <f aca="false">SUMPRODUCT((YEAR(FLUXO_MENSAL!$J$7:$CC$7)=G$5)*FLUXO_MENSAL!$J56:$CC56)</f>
        <v>0</v>
      </c>
      <c r="H54" s="19" t="n">
        <f aca="false">SUMPRODUCT((YEAR(FLUXO_MENSAL!$J$7:$CC$7)=H$5)*FLUXO_MENSAL!$J56:$CC56)</f>
        <v>0</v>
      </c>
      <c r="I54" s="19" t="n">
        <f aca="false">SUMPRODUCT((YEAR(FLUXO_MENSAL!$J$7:$CC$7)=I$5)*FLUXO_MENSAL!$J56:$CC56)</f>
        <v>0</v>
      </c>
      <c r="J54" s="19" t="n">
        <f aca="false">SUMPRODUCT((YEAR(FLUXO_MENSAL!$J$7:$CC$7)=J$5)*FLUXO_MENSAL!$J56:$CC56)</f>
        <v>0</v>
      </c>
      <c r="K54" s="19" t="n">
        <f aca="false">SUMPRODUCT((YEAR(FLUXO_MENSAL!$J$7:$CC$7)=K$5)*FLUXO_MENSAL!$J56:$CC56)</f>
        <v>0</v>
      </c>
      <c r="L54" s="19" t="n">
        <f aca="false">SUM(E54:K54)</f>
        <v>0</v>
      </c>
      <c r="M54" s="19" t="n">
        <f aca="false">IF(B54="",0,L54-D54)</f>
        <v>0</v>
      </c>
    </row>
    <row r="55" customFormat="false" ht="15" hidden="false" customHeight="false" outlineLevel="0" collapsed="false">
      <c r="A55" s="31" t="str">
        <f aca="false">FLUXO_MENSAL!A57</f>
        <v/>
      </c>
      <c r="B55" s="31" t="str">
        <f aca="false">FLUXO_MENSAL!B57</f>
        <v/>
      </c>
      <c r="C55" s="31" t="str">
        <f aca="false">FLUXO_MENSAL!C57</f>
        <v/>
      </c>
      <c r="D55" s="32" t="n">
        <f aca="false">FLUXO_MENSAL!D57</f>
        <v>0</v>
      </c>
      <c r="E55" s="19" t="n">
        <f aca="false">SUMPRODUCT((YEAR(FLUXO_MENSAL!$J$7:$CC$7)=E$5)*FLUXO_MENSAL!$J57:$CC57)</f>
        <v>0</v>
      </c>
      <c r="F55" s="19" t="n">
        <f aca="false">SUMPRODUCT((YEAR(FLUXO_MENSAL!$J$7:$CC$7)=F$5)*FLUXO_MENSAL!$J57:$CC57)</f>
        <v>0</v>
      </c>
      <c r="G55" s="19" t="n">
        <f aca="false">SUMPRODUCT((YEAR(FLUXO_MENSAL!$J$7:$CC$7)=G$5)*FLUXO_MENSAL!$J57:$CC57)</f>
        <v>0</v>
      </c>
      <c r="H55" s="19" t="n">
        <f aca="false">SUMPRODUCT((YEAR(FLUXO_MENSAL!$J$7:$CC$7)=H$5)*FLUXO_MENSAL!$J57:$CC57)</f>
        <v>0</v>
      </c>
      <c r="I55" s="19" t="n">
        <f aca="false">SUMPRODUCT((YEAR(FLUXO_MENSAL!$J$7:$CC$7)=I$5)*FLUXO_MENSAL!$J57:$CC57)</f>
        <v>0</v>
      </c>
      <c r="J55" s="19" t="n">
        <f aca="false">SUMPRODUCT((YEAR(FLUXO_MENSAL!$J$7:$CC$7)=J$5)*FLUXO_MENSAL!$J57:$CC57)</f>
        <v>0</v>
      </c>
      <c r="K55" s="19" t="n">
        <f aca="false">SUMPRODUCT((YEAR(FLUXO_MENSAL!$J$7:$CC$7)=K$5)*FLUXO_MENSAL!$J57:$CC57)</f>
        <v>0</v>
      </c>
      <c r="L55" s="19" t="n">
        <f aca="false">SUM(E55:K55)</f>
        <v>0</v>
      </c>
      <c r="M55" s="19" t="n">
        <f aca="false">IF(B55="",0,L55-D55)</f>
        <v>0</v>
      </c>
    </row>
    <row r="56" customFormat="false" ht="15" hidden="false" customHeight="false" outlineLevel="0" collapsed="false">
      <c r="A56" s="7"/>
      <c r="B56" s="3" t="s">
        <v>173</v>
      </c>
      <c r="C56" s="7"/>
      <c r="D56" s="36" t="n">
        <f aca="false">SUM(D6:D55)</f>
        <v>159333109.97</v>
      </c>
      <c r="E56" s="36" t="n">
        <f aca="false">SUM(E6:E55)</f>
        <v>1055724.07</v>
      </c>
      <c r="F56" s="36" t="n">
        <f aca="false">SUM(F6:F55)</f>
        <v>7574836.74</v>
      </c>
      <c r="G56" s="36" t="n">
        <f aca="false">SUM(G6:G55)</f>
        <v>21524567.8521591</v>
      </c>
      <c r="H56" s="36" t="n">
        <f aca="false">SUM(H6:H55)</f>
        <v>48540176.2291441</v>
      </c>
      <c r="I56" s="36" t="n">
        <f aca="false">SUM(I6:I55)</f>
        <v>66970446.8855238</v>
      </c>
      <c r="J56" s="36" t="n">
        <f aca="false">SUM(J6:J55)</f>
        <v>13225187.383173</v>
      </c>
      <c r="K56" s="36" t="n">
        <f aca="false">SUM(K6:K55)</f>
        <v>0</v>
      </c>
      <c r="L56" s="36" t="n">
        <f aca="false">SUM(L6:L55)</f>
        <v>158890939.16</v>
      </c>
      <c r="M56" s="36" t="n">
        <f aca="false">SUM(M6:M55)</f>
        <v>-442170.81</v>
      </c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customFormat="false" ht="15" hidden="false" customHeight="false" outlineLevel="0" collapsed="false">
      <c r="A58" s="7"/>
      <c r="B58" s="3" t="s">
        <v>230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customFormat="false" ht="15" hidden="false" customHeight="false" outlineLevel="0" collapsed="false">
      <c r="A59" s="17"/>
      <c r="B59" s="17" t="s">
        <v>56</v>
      </c>
      <c r="C59" s="17"/>
      <c r="D59" s="17" t="s">
        <v>209</v>
      </c>
      <c r="E59" s="39" t="n">
        <f aca="false">E5</f>
        <v>2024</v>
      </c>
      <c r="F59" s="39" t="n">
        <f aca="false">F5</f>
        <v>2025</v>
      </c>
      <c r="G59" s="39" t="n">
        <f aca="false">G5</f>
        <v>2026</v>
      </c>
      <c r="H59" s="39" t="n">
        <f aca="false">H5</f>
        <v>2027</v>
      </c>
      <c r="I59" s="39" t="n">
        <f aca="false">I5</f>
        <v>2028</v>
      </c>
      <c r="J59" s="39" t="n">
        <f aca="false">J5</f>
        <v>2029</v>
      </c>
      <c r="K59" s="39" t="n">
        <f aca="false">K5</f>
        <v>2030</v>
      </c>
      <c r="L59" s="17" t="s">
        <v>228</v>
      </c>
      <c r="M59" s="17"/>
    </row>
    <row r="60" customFormat="false" ht="15" hidden="false" customHeight="false" outlineLevel="0" collapsed="false">
      <c r="A60" s="7"/>
      <c r="B60" s="31" t="str">
        <f aca="false">IF(PARAMETROS!E4="","",PARAMETROS!E4)</f>
        <v>INDIRETOS</v>
      </c>
      <c r="C60" s="7"/>
      <c r="D60" s="19" t="n">
        <f aca="false">IF($B60="","",SUMIF($C$6:$C$55,$B60,D$6:D$55))</f>
        <v>35235571.02</v>
      </c>
      <c r="E60" s="19" t="n">
        <f aca="false">IF($B60="","",SUMIF($C$6:$C$55,$B60,E$6:E$55))</f>
        <v>918274.07</v>
      </c>
      <c r="F60" s="19" t="n">
        <f aca="false">IF($B60="","",SUMIF($C$6:$C$55,$B60,F$6:F$55))</f>
        <v>3343858.57</v>
      </c>
      <c r="G60" s="19" t="n">
        <f aca="false">IF($B60="","",SUMIF($C$6:$C$55,$B60,G$6:G$55))</f>
        <v>5836017.74034657</v>
      </c>
      <c r="H60" s="19" t="n">
        <f aca="false">IF($B60="","",SUMIF($C$6:$C$55,$B60,H$6:H$55))</f>
        <v>9848886.5480491</v>
      </c>
      <c r="I60" s="19" t="n">
        <f aca="false">IF($B60="","",SUMIF($C$6:$C$55,$B60,I$6:I$55))</f>
        <v>9436708.2100243</v>
      </c>
      <c r="J60" s="19" t="n">
        <f aca="false">IF($B60="","",SUMIF($C$6:$C$55,$B60,J$6:J$55))</f>
        <v>5638248.84158003</v>
      </c>
      <c r="K60" s="19" t="n">
        <f aca="false">IF($B60="","",SUMIF($C$6:$C$55,$B60,K$6:K$55))</f>
        <v>0</v>
      </c>
      <c r="L60" s="19" t="n">
        <f aca="false">IF($B60="","",SUMIF($C$6:$C$55,$B60,L$6:L$55))</f>
        <v>35021993.98</v>
      </c>
      <c r="M60" s="7"/>
    </row>
    <row r="61" customFormat="false" ht="15" hidden="false" customHeight="false" outlineLevel="0" collapsed="false">
      <c r="A61" s="7"/>
      <c r="B61" s="31" t="str">
        <f aca="false">IF(PARAMETROS!E5="","",PARAMETROS!E5)</f>
        <v>INFRAESTRUTURA</v>
      </c>
      <c r="C61" s="7"/>
      <c r="D61" s="19" t="n">
        <f aca="false">IF($B61="","",SUMIF($C$6:$C$55,$B61,D$6:D$55))</f>
        <v>14305656.08</v>
      </c>
      <c r="E61" s="19" t="n">
        <f aca="false">IF($B61="","",SUMIF($C$6:$C$55,$B61,E$6:E$55))</f>
        <v>0</v>
      </c>
      <c r="F61" s="19" t="n">
        <f aca="false">IF($B61="","",SUMIF($C$6:$C$55,$B61,F$6:F$55))</f>
        <v>3800087.68</v>
      </c>
      <c r="G61" s="19" t="n">
        <f aca="false">IF($B61="","",SUMIF($C$6:$C$55,$B61,G$6:G$55))</f>
        <v>8702719.90921134</v>
      </c>
      <c r="H61" s="19" t="n">
        <f aca="false">IF($B61="","",SUMIF($C$6:$C$55,$B61,H$6:H$55))</f>
        <v>1318864.25276028</v>
      </c>
      <c r="I61" s="19" t="n">
        <f aca="false">IF($B61="","",SUMIF($C$6:$C$55,$B61,I$6:I$55))</f>
        <v>255390.46802838</v>
      </c>
      <c r="J61" s="19" t="n">
        <f aca="false">IF($B61="","",SUMIF($C$6:$C$55,$B61,J$6:J$55))</f>
        <v>0</v>
      </c>
      <c r="K61" s="19" t="n">
        <f aca="false">IF($B61="","",SUMIF($C$6:$C$55,$B61,K$6:K$55))</f>
        <v>0</v>
      </c>
      <c r="L61" s="19" t="n">
        <f aca="false">IF($B61="","",SUMIF($C$6:$C$55,$B61,L$6:L$55))</f>
        <v>14077062.31</v>
      </c>
      <c r="M61" s="7"/>
    </row>
    <row r="62" customFormat="false" ht="15" hidden="false" customHeight="false" outlineLevel="0" collapsed="false">
      <c r="A62" s="7"/>
      <c r="B62" s="31" t="str">
        <f aca="false">IF(PARAMETROS!E6="","",PARAMETROS!E6)</f>
        <v>ESTRUTURA</v>
      </c>
      <c r="C62" s="7"/>
      <c r="D62" s="19" t="n">
        <f aca="false">IF($B62="","",SUMIF($C$6:$C$55,$B62,D$6:D$55))</f>
        <v>26850931.32</v>
      </c>
      <c r="E62" s="19" t="n">
        <f aca="false">IF($B62="","",SUMIF($C$6:$C$55,$B62,E$6:E$55))</f>
        <v>0</v>
      </c>
      <c r="F62" s="19" t="n">
        <f aca="false">IF($B62="","",SUMIF($C$6:$C$55,$B62,F$6:F$55))</f>
        <v>0</v>
      </c>
      <c r="G62" s="19" t="n">
        <f aca="false">IF($B62="","",SUMIF($C$6:$C$55,$B62,G$6:G$55))</f>
        <v>6406093.89282223</v>
      </c>
      <c r="H62" s="19" t="n">
        <f aca="false">IF($B62="","",SUMIF($C$6:$C$55,$B62,H$6:H$55))</f>
        <v>17796164.6849645</v>
      </c>
      <c r="I62" s="19" t="n">
        <f aca="false">IF($B62="","",SUMIF($C$6:$C$55,$B62,I$6:I$55))</f>
        <v>1466212.45122142</v>
      </c>
      <c r="J62" s="19" t="n">
        <f aca="false">IF($B62="","",SUMIF($C$6:$C$55,$B62,J$6:J$55))</f>
        <v>1182460.29099182</v>
      </c>
      <c r="K62" s="19" t="n">
        <f aca="false">IF($B62="","",SUMIF($C$6:$C$55,$B62,K$6:K$55))</f>
        <v>0</v>
      </c>
      <c r="L62" s="19" t="n">
        <f aca="false">IF($B62="","",SUMIF($C$6:$C$55,$B62,L$6:L$55))</f>
        <v>26850931.32</v>
      </c>
      <c r="M62" s="7"/>
    </row>
    <row r="63" customFormat="false" ht="15" hidden="false" customHeight="false" outlineLevel="0" collapsed="false">
      <c r="A63" s="7"/>
      <c r="B63" s="31" t="str">
        <f aca="false">IF(PARAMETROS!E7="","",PARAMETROS!E7)</f>
        <v>SISTEMAS E VEDAÇÕES</v>
      </c>
      <c r="C63" s="7"/>
      <c r="D63" s="19" t="n">
        <f aca="false">IF($B63="","",SUMIF($C$6:$C$55,$B63,D$6:D$55))</f>
        <v>36811424.21</v>
      </c>
      <c r="E63" s="19" t="n">
        <f aca="false">IF($B63="","",SUMIF($C$6:$C$55,$B63,E$6:E$55))</f>
        <v>0</v>
      </c>
      <c r="F63" s="19" t="n">
        <f aca="false">IF($B63="","",SUMIF($C$6:$C$55,$B63,F$6:F$55))</f>
        <v>2235.2</v>
      </c>
      <c r="G63" s="19" t="n">
        <f aca="false">IF($B63="","",SUMIF($C$6:$C$55,$B63,G$6:G$55))</f>
        <v>572736.30977893</v>
      </c>
      <c r="H63" s="19" t="n">
        <f aca="false">IF($B63="","",SUMIF($C$6:$C$55,$B63,H$6:H$55))</f>
        <v>11219762.6064513</v>
      </c>
      <c r="I63" s="19" t="n">
        <f aca="false">IF($B63="","",SUMIF($C$6:$C$55,$B63,I$6:I$55))</f>
        <v>23204367.6712516</v>
      </c>
      <c r="J63" s="19" t="n">
        <f aca="false">IF($B63="","",SUMIF($C$6:$C$55,$B63,J$6:J$55))</f>
        <v>1812322.42251816</v>
      </c>
      <c r="K63" s="19" t="n">
        <f aca="false">IF($B63="","",SUMIF($C$6:$C$55,$B63,K$6:K$55))</f>
        <v>0</v>
      </c>
      <c r="L63" s="19" t="n">
        <f aca="false">IF($B63="","",SUMIF($C$6:$C$55,$B63,L$6:L$55))</f>
        <v>36811424.21</v>
      </c>
      <c r="M63" s="7"/>
    </row>
    <row r="64" customFormat="false" ht="15" hidden="false" customHeight="false" outlineLevel="0" collapsed="false">
      <c r="A64" s="7"/>
      <c r="B64" s="31" t="str">
        <f aca="false">IF(PARAMETROS!E8="","",PARAMETROS!E8)</f>
        <v>ACABAMENTOS</v>
      </c>
      <c r="C64" s="7"/>
      <c r="D64" s="19" t="n">
        <f aca="false">IF($B64="","",SUMIF($C$6:$C$55,$B64,D$6:D$55))</f>
        <v>45563422.05</v>
      </c>
      <c r="E64" s="19" t="n">
        <f aca="false">IF($B64="","",SUMIF($C$6:$C$55,$B64,E$6:E$55))</f>
        <v>0</v>
      </c>
      <c r="F64" s="19" t="n">
        <f aca="false">IF($B64="","",SUMIF($C$6:$C$55,$B64,F$6:F$55))</f>
        <v>0</v>
      </c>
      <c r="G64" s="19" t="n">
        <f aca="false">IF($B64="","",SUMIF($C$6:$C$55,$B64,G$6:G$55))</f>
        <v>7000</v>
      </c>
      <c r="H64" s="19" t="n">
        <f aca="false">IF($B64="","",SUMIF($C$6:$C$55,$B64,H$6:H$55))</f>
        <v>8356498.13691886</v>
      </c>
      <c r="I64" s="19" t="n">
        <f aca="false">IF($B64="","",SUMIF($C$6:$C$55,$B64,I$6:I$55))</f>
        <v>32607768.0849981</v>
      </c>
      <c r="J64" s="19" t="n">
        <f aca="false">IF($B64="","",SUMIF($C$6:$C$55,$B64,J$6:J$55))</f>
        <v>4592155.82808302</v>
      </c>
      <c r="K64" s="19" t="n">
        <f aca="false">IF($B64="","",SUMIF($C$6:$C$55,$B64,K$6:K$55))</f>
        <v>0</v>
      </c>
      <c r="L64" s="19" t="n">
        <f aca="false">IF($B64="","",SUMIF($C$6:$C$55,$B64,L$6:L$55))</f>
        <v>45563422.05</v>
      </c>
      <c r="M64" s="7"/>
    </row>
    <row r="65" customFormat="false" ht="15" hidden="false" customHeight="false" outlineLevel="0" collapsed="false">
      <c r="A65" s="7"/>
      <c r="B65" s="31" t="str">
        <f aca="false">IF(PARAMETROS!E9="","",PARAMETROS!E9)</f>
        <v>TAXA DE ADMINISTRAÇÃO</v>
      </c>
      <c r="C65" s="7"/>
      <c r="D65" s="19" t="n">
        <f aca="false">IF($B65="","",SUMIF($C$6:$C$55,$B65,D$6:D$55))</f>
        <v>566105.29</v>
      </c>
      <c r="E65" s="19" t="n">
        <f aca="false">IF($B65="","",SUMIF($C$6:$C$55,$B65,E$6:E$55))</f>
        <v>137450</v>
      </c>
      <c r="F65" s="19" t="n">
        <f aca="false">IF($B65="","",SUMIF($C$6:$C$55,$B65,F$6:F$55))</f>
        <v>428655.29</v>
      </c>
      <c r="G65" s="19" t="n">
        <f aca="false">IF($B65="","",SUMIF($C$6:$C$55,$B65,G$6:G$55))</f>
        <v>0</v>
      </c>
      <c r="H65" s="19" t="n">
        <f aca="false">IF($B65="","",SUMIF($C$6:$C$55,$B65,H$6:H$55))</f>
        <v>0</v>
      </c>
      <c r="I65" s="19" t="n">
        <f aca="false">IF($B65="","",SUMIF($C$6:$C$55,$B65,I$6:I$55))</f>
        <v>0</v>
      </c>
      <c r="J65" s="19" t="n">
        <f aca="false">IF($B65="","",SUMIF($C$6:$C$55,$B65,J$6:J$55))</f>
        <v>0</v>
      </c>
      <c r="K65" s="19" t="n">
        <f aca="false">IF($B65="","",SUMIF($C$6:$C$55,$B65,K$6:K$55))</f>
        <v>0</v>
      </c>
      <c r="L65" s="19" t="n">
        <f aca="false">IF($B65="","",SUMIF($C$6:$C$55,$B65,L$6:L$55))</f>
        <v>566105.29</v>
      </c>
      <c r="M65" s="7"/>
    </row>
    <row r="66" customFormat="false" ht="15" hidden="false" customHeight="false" outlineLevel="0" collapsed="false">
      <c r="A66" s="7"/>
      <c r="B66" s="31" t="str">
        <f aca="false">IF(PARAMETROS!E10="","",PARAMETROS!E10)</f>
        <v/>
      </c>
      <c r="C66" s="7"/>
      <c r="D66" s="19" t="str">
        <f aca="false">IF($B66="","",SUMIF($C$6:$C$55,$B66,D$6:D$55))</f>
        <v/>
      </c>
      <c r="E66" s="19" t="str">
        <f aca="false">IF($B66="","",SUMIF($C$6:$C$55,$B66,E$6:E$55))</f>
        <v/>
      </c>
      <c r="F66" s="19" t="str">
        <f aca="false">IF($B66="","",SUMIF($C$6:$C$55,$B66,F$6:F$55))</f>
        <v/>
      </c>
      <c r="G66" s="19" t="str">
        <f aca="false">IF($B66="","",SUMIF($C$6:$C$55,$B66,G$6:G$55))</f>
        <v/>
      </c>
      <c r="H66" s="19" t="str">
        <f aca="false">IF($B66="","",SUMIF($C$6:$C$55,$B66,H$6:H$55))</f>
        <v/>
      </c>
      <c r="I66" s="19" t="str">
        <f aca="false">IF($B66="","",SUMIF($C$6:$C$55,$B66,I$6:I$55))</f>
        <v/>
      </c>
      <c r="J66" s="19" t="str">
        <f aca="false">IF($B66="","",SUMIF($C$6:$C$55,$B66,J$6:J$55))</f>
        <v/>
      </c>
      <c r="K66" s="19" t="str">
        <f aca="false">IF($B66="","",SUMIF($C$6:$C$55,$B66,K$6:K$55))</f>
        <v/>
      </c>
      <c r="L66" s="19" t="str">
        <f aca="false">IF($B66="","",SUMIF($C$6:$C$55,$B66,L$6:L$55))</f>
        <v/>
      </c>
      <c r="M66" s="7"/>
    </row>
    <row r="67" customFormat="false" ht="15" hidden="false" customHeight="false" outlineLevel="0" collapsed="false">
      <c r="A67" s="7"/>
      <c r="B67" s="31" t="str">
        <f aca="false">IF(PARAMETROS!E11="","",PARAMETROS!E11)</f>
        <v/>
      </c>
      <c r="C67" s="7"/>
      <c r="D67" s="19" t="str">
        <f aca="false">IF($B67="","",SUMIF($C$6:$C$55,$B67,D$6:D$55))</f>
        <v/>
      </c>
      <c r="E67" s="19" t="str">
        <f aca="false">IF($B67="","",SUMIF($C$6:$C$55,$B67,E$6:E$55))</f>
        <v/>
      </c>
      <c r="F67" s="19" t="str">
        <f aca="false">IF($B67="","",SUMIF($C$6:$C$55,$B67,F$6:F$55))</f>
        <v/>
      </c>
      <c r="G67" s="19" t="str">
        <f aca="false">IF($B67="","",SUMIF($C$6:$C$55,$B67,G$6:G$55))</f>
        <v/>
      </c>
      <c r="H67" s="19" t="str">
        <f aca="false">IF($B67="","",SUMIF($C$6:$C$55,$B67,H$6:H$55))</f>
        <v/>
      </c>
      <c r="I67" s="19" t="str">
        <f aca="false">IF($B67="","",SUMIF($C$6:$C$55,$B67,I$6:I$55))</f>
        <v/>
      </c>
      <c r="J67" s="19" t="str">
        <f aca="false">IF($B67="","",SUMIF($C$6:$C$55,$B67,J$6:J$55))</f>
        <v/>
      </c>
      <c r="K67" s="19" t="str">
        <f aca="false">IF($B67="","",SUMIF($C$6:$C$55,$B67,K$6:K$55))</f>
        <v/>
      </c>
      <c r="L67" s="19" t="str">
        <f aca="false">IF($B67="","",SUMIF($C$6:$C$55,$B67,L$6:L$55))</f>
        <v/>
      </c>
      <c r="M67" s="7"/>
    </row>
    <row r="68" customFormat="false" ht="15" hidden="false" customHeight="false" outlineLevel="0" collapsed="false">
      <c r="A68" s="7"/>
      <c r="B68" s="31" t="str">
        <f aca="false">IF(PARAMETROS!E12="","",PARAMETROS!E12)</f>
        <v/>
      </c>
      <c r="C68" s="7"/>
      <c r="D68" s="19" t="str">
        <f aca="false">IF($B68="","",SUMIF($C$6:$C$55,$B68,D$6:D$55))</f>
        <v/>
      </c>
      <c r="E68" s="19" t="str">
        <f aca="false">IF($B68="","",SUMIF($C$6:$C$55,$B68,E$6:E$55))</f>
        <v/>
      </c>
      <c r="F68" s="19" t="str">
        <f aca="false">IF($B68="","",SUMIF($C$6:$C$55,$B68,F$6:F$55))</f>
        <v/>
      </c>
      <c r="G68" s="19" t="str">
        <f aca="false">IF($B68="","",SUMIF($C$6:$C$55,$B68,G$6:G$55))</f>
        <v/>
      </c>
      <c r="H68" s="19" t="str">
        <f aca="false">IF($B68="","",SUMIF($C$6:$C$55,$B68,H$6:H$55))</f>
        <v/>
      </c>
      <c r="I68" s="19" t="str">
        <f aca="false">IF($B68="","",SUMIF($C$6:$C$55,$B68,I$6:I$55))</f>
        <v/>
      </c>
      <c r="J68" s="19" t="str">
        <f aca="false">IF($B68="","",SUMIF($C$6:$C$55,$B68,J$6:J$55))</f>
        <v/>
      </c>
      <c r="K68" s="19" t="str">
        <f aca="false">IF($B68="","",SUMIF($C$6:$C$55,$B68,K$6:K$55))</f>
        <v/>
      </c>
      <c r="L68" s="19" t="str">
        <f aca="false">IF($B68="","",SUMIF($C$6:$C$55,$B68,L$6:L$55))</f>
        <v/>
      </c>
      <c r="M68" s="7"/>
    </row>
    <row r="69" customFormat="false" ht="15" hidden="false" customHeight="false" outlineLevel="0" collapsed="false">
      <c r="A69" s="7"/>
      <c r="B69" s="31" t="str">
        <f aca="false">IF(PARAMETROS!E13="","",PARAMETROS!E13)</f>
        <v/>
      </c>
      <c r="C69" s="7"/>
      <c r="D69" s="19" t="str">
        <f aca="false">IF($B69="","",SUMIF($C$6:$C$55,$B69,D$6:D$55))</f>
        <v/>
      </c>
      <c r="E69" s="19" t="str">
        <f aca="false">IF($B69="","",SUMIF($C$6:$C$55,$B69,E$6:E$55))</f>
        <v/>
      </c>
      <c r="F69" s="19" t="str">
        <f aca="false">IF($B69="","",SUMIF($C$6:$C$55,$B69,F$6:F$55))</f>
        <v/>
      </c>
      <c r="G69" s="19" t="str">
        <f aca="false">IF($B69="","",SUMIF($C$6:$C$55,$B69,G$6:G$55))</f>
        <v/>
      </c>
      <c r="H69" s="19" t="str">
        <f aca="false">IF($B69="","",SUMIF($C$6:$C$55,$B69,H$6:H$55))</f>
        <v/>
      </c>
      <c r="I69" s="19" t="str">
        <f aca="false">IF($B69="","",SUMIF($C$6:$C$55,$B69,I$6:I$55))</f>
        <v/>
      </c>
      <c r="J69" s="19" t="str">
        <f aca="false">IF($B69="","",SUMIF($C$6:$C$55,$B69,J$6:J$55))</f>
        <v/>
      </c>
      <c r="K69" s="19" t="str">
        <f aca="false">IF($B69="","",SUMIF($C$6:$C$55,$B69,K$6:K$55))</f>
        <v/>
      </c>
      <c r="L69" s="19" t="str">
        <f aca="false">IF($B69="","",SUMIF($C$6:$C$55,$B69,L$6:L$55))</f>
        <v/>
      </c>
      <c r="M69" s="7"/>
    </row>
    <row r="70" customFormat="false" ht="15" hidden="false" customHeight="false" outlineLevel="0" collapsed="false">
      <c r="A70" s="7"/>
      <c r="B70" s="31" t="str">
        <f aca="false">IF(PARAMETROS!E14="","",PARAMETROS!E14)</f>
        <v/>
      </c>
      <c r="C70" s="7"/>
      <c r="D70" s="19" t="str">
        <f aca="false">IF($B70="","",SUMIF($C$6:$C$55,$B70,D$6:D$55))</f>
        <v/>
      </c>
      <c r="E70" s="19" t="str">
        <f aca="false">IF($B70="","",SUMIF($C$6:$C$55,$B70,E$6:E$55))</f>
        <v/>
      </c>
      <c r="F70" s="19" t="str">
        <f aca="false">IF($B70="","",SUMIF($C$6:$C$55,$B70,F$6:F$55))</f>
        <v/>
      </c>
      <c r="G70" s="19" t="str">
        <f aca="false">IF($B70="","",SUMIF($C$6:$C$55,$B70,G$6:G$55))</f>
        <v/>
      </c>
      <c r="H70" s="19" t="str">
        <f aca="false">IF($B70="","",SUMIF($C$6:$C$55,$B70,H$6:H$55))</f>
        <v/>
      </c>
      <c r="I70" s="19" t="str">
        <f aca="false">IF($B70="","",SUMIF($C$6:$C$55,$B70,I$6:I$55))</f>
        <v/>
      </c>
      <c r="J70" s="19" t="str">
        <f aca="false">IF($B70="","",SUMIF($C$6:$C$55,$B70,J$6:J$55))</f>
        <v/>
      </c>
      <c r="K70" s="19" t="str">
        <f aca="false">IF($B70="","",SUMIF($C$6:$C$55,$B70,K$6:K$55))</f>
        <v/>
      </c>
      <c r="L70" s="19" t="str">
        <f aca="false">IF($B70="","",SUMIF($C$6:$C$55,$B70,L$6:L$55))</f>
        <v/>
      </c>
      <c r="M70" s="7"/>
    </row>
    <row r="71" customFormat="false" ht="15" hidden="false" customHeight="false" outlineLevel="0" collapsed="false">
      <c r="A71" s="7"/>
      <c r="B71" s="31" t="str">
        <f aca="false">IF(PARAMETROS!E15="","",PARAMETROS!E15)</f>
        <v/>
      </c>
      <c r="C71" s="7"/>
      <c r="D71" s="19" t="str">
        <f aca="false">IF($B71="","",SUMIF($C$6:$C$55,$B71,D$6:D$55))</f>
        <v/>
      </c>
      <c r="E71" s="19" t="str">
        <f aca="false">IF($B71="","",SUMIF($C$6:$C$55,$B71,E$6:E$55))</f>
        <v/>
      </c>
      <c r="F71" s="19" t="str">
        <f aca="false">IF($B71="","",SUMIF($C$6:$C$55,$B71,F$6:F$55))</f>
        <v/>
      </c>
      <c r="G71" s="19" t="str">
        <f aca="false">IF($B71="","",SUMIF($C$6:$C$55,$B71,G$6:G$55))</f>
        <v/>
      </c>
      <c r="H71" s="19" t="str">
        <f aca="false">IF($B71="","",SUMIF($C$6:$C$55,$B71,H$6:H$55))</f>
        <v/>
      </c>
      <c r="I71" s="19" t="str">
        <f aca="false">IF($B71="","",SUMIF($C$6:$C$55,$B71,I$6:I$55))</f>
        <v/>
      </c>
      <c r="J71" s="19" t="str">
        <f aca="false">IF($B71="","",SUMIF($C$6:$C$55,$B71,J$6:J$55))</f>
        <v/>
      </c>
      <c r="K71" s="19" t="str">
        <f aca="false">IF($B71="","",SUMIF($C$6:$C$55,$B71,K$6:K$55))</f>
        <v/>
      </c>
      <c r="L71" s="19" t="str">
        <f aca="false">IF($B71="","",SUMIF($C$6:$C$55,$B71,L$6:L$55))</f>
        <v/>
      </c>
      <c r="M71" s="7"/>
    </row>
    <row r="72" customFormat="false" ht="15" hidden="false" customHeight="false" outlineLevel="0" collapsed="false">
      <c r="A72" s="7"/>
      <c r="B72" s="2" t="s">
        <v>231</v>
      </c>
      <c r="C72" s="7"/>
      <c r="D72" s="40" t="n">
        <f aca="false">D56-SUM(D60:D71)</f>
        <v>0</v>
      </c>
      <c r="E72" s="40" t="n">
        <f aca="false">E56-SUM(E60:E71)</f>
        <v>0</v>
      </c>
      <c r="F72" s="40" t="n">
        <f aca="false">F56-SUM(F60:F71)</f>
        <v>0</v>
      </c>
      <c r="G72" s="40" t="n">
        <f aca="false">G56-SUM(G60:G71)</f>
        <v>0</v>
      </c>
      <c r="H72" s="40" t="n">
        <f aca="false">H56-SUM(H60:H71)</f>
        <v>0</v>
      </c>
      <c r="I72" s="40" t="n">
        <f aca="false">I56-SUM(I60:I71)</f>
        <v>0</v>
      </c>
      <c r="J72" s="40" t="n">
        <f aca="false">J56-SUM(J60:J71)</f>
        <v>0</v>
      </c>
      <c r="K72" s="40" t="n">
        <f aca="false">K56-SUM(K60:K71)</f>
        <v>0</v>
      </c>
      <c r="L72" s="40" t="n">
        <f aca="false">L56-SUM(L60:L71)</f>
        <v>0</v>
      </c>
      <c r="M7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7" min="4" style="0" width="16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tr">
        <f aca="false">PARAMETROS!C4&amp;" — RETRATO DE "&amp;PARAMETROS!$C$7</f>
        <v>BOTÂNICO — RETRATO DE 2027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tr">
        <f aca="false">"Ano escolhido em PARAMETROS!C7. Avanço financeiro = acumulado no fim do ano ÷ projeção."</f>
        <v>Ano escolhido em PARAMETROS!C7. Avanço financeiro = acumulado no fim do ano ÷ projeção.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39.55" hidden="false" customHeight="false" outlineLevel="0" collapsed="false">
      <c r="A4" s="17" t="s">
        <v>54</v>
      </c>
      <c r="B4" s="17" t="s">
        <v>55</v>
      </c>
      <c r="C4" s="17" t="s">
        <v>56</v>
      </c>
      <c r="D4" s="17" t="s">
        <v>209</v>
      </c>
      <c r="E4" s="17" t="s">
        <v>232</v>
      </c>
      <c r="F4" s="17" t="s">
        <v>233</v>
      </c>
      <c r="G4" s="17" t="s">
        <v>234</v>
      </c>
      <c r="H4" s="17" t="s">
        <v>235</v>
      </c>
      <c r="I4" s="17" t="s">
        <v>236</v>
      </c>
      <c r="J4" s="17" t="s">
        <v>237</v>
      </c>
    </row>
    <row r="5" customFormat="false" ht="15" hidden="false" customHeight="false" outlineLevel="0" collapsed="false">
      <c r="A5" s="31" t="str">
        <f aca="false">FLUXO_MENSAL!A8</f>
        <v>01</v>
      </c>
      <c r="B5" s="31" t="str">
        <f aca="false">FLUXO_MENSAL!B8</f>
        <v>PROJETOS</v>
      </c>
      <c r="C5" s="31" t="str">
        <f aca="false">FLUXO_MENSAL!C8</f>
        <v>INDIRETOS</v>
      </c>
      <c r="D5" s="32" t="n">
        <f aca="false">FLUXO_MENSAL!D8</f>
        <v>2640655</v>
      </c>
      <c r="E5" s="19" t="n">
        <f aca="false">SUMPRODUCT((FLUXO_MENSAL!$J$7:$CC$7&lt;DATE(PARAMETROS!$C$7,1,1))*FLUXO_MENSAL!$J8:$CC8)</f>
        <v>2337005.73</v>
      </c>
      <c r="F5" s="19" t="n">
        <f aca="false">SUMPRODUCT((YEAR(FLUXO_MENSAL!$J$7:$CC$7)=PARAMETROS!$C$7)*FLUXO_MENSAL!$J8:$CC8)</f>
        <v>26933</v>
      </c>
      <c r="G5" s="19" t="n">
        <f aca="false">E5+F5</f>
        <v>2363938.73</v>
      </c>
      <c r="H5" s="41" t="n">
        <f aca="false">IF(D5=0,0,G5/D5)</f>
        <v>0.895209230285668</v>
      </c>
      <c r="I5" s="19" t="n">
        <f aca="false">D5-G5</f>
        <v>276716.27</v>
      </c>
      <c r="J5" s="11"/>
    </row>
    <row r="6" customFormat="false" ht="15" hidden="false" customHeight="false" outlineLevel="0" collapsed="false">
      <c r="A6" s="31" t="str">
        <f aca="false">FLUXO_MENSAL!A9</f>
        <v>02</v>
      </c>
      <c r="B6" s="31" t="str">
        <f aca="false">FLUXO_MENSAL!B9</f>
        <v>SEGUROS</v>
      </c>
      <c r="C6" s="31" t="str">
        <f aca="false">FLUXO_MENSAL!C9</f>
        <v>INDIRETOS</v>
      </c>
      <c r="D6" s="32" t="n">
        <f aca="false">FLUXO_MENSAL!D9</f>
        <v>127911.99</v>
      </c>
      <c r="E6" s="19" t="n">
        <f aca="false">SUMPRODUCT((FLUXO_MENSAL!$J$7:$CC$7&lt;DATE(PARAMETROS!$C$7,1,1))*FLUXO_MENSAL!$J9:$CC9)</f>
        <v>0</v>
      </c>
      <c r="F6" s="19" t="n">
        <f aca="false">SUMPRODUCT((YEAR(FLUXO_MENSAL!$J$7:$CC$7)=PARAMETROS!$C$7)*FLUXO_MENSAL!$J9:$CC9)</f>
        <v>0</v>
      </c>
      <c r="G6" s="19" t="n">
        <f aca="false">E6+F6</f>
        <v>0</v>
      </c>
      <c r="H6" s="41" t="n">
        <f aca="false">IF(D6=0,0,G6/D6)</f>
        <v>0</v>
      </c>
      <c r="I6" s="19" t="n">
        <f aca="false">D6-G6</f>
        <v>127911.99</v>
      </c>
      <c r="J6" s="11"/>
    </row>
    <row r="7" customFormat="false" ht="15" hidden="false" customHeight="false" outlineLevel="0" collapsed="false">
      <c r="A7" s="31" t="str">
        <f aca="false">FLUXO_MENSAL!A10</f>
        <v>03</v>
      </c>
      <c r="B7" s="31" t="str">
        <f aca="false">FLUXO_MENSAL!B10</f>
        <v>TAXAS DIVERSAS</v>
      </c>
      <c r="C7" s="31" t="str">
        <f aca="false">FLUXO_MENSAL!C10</f>
        <v>INDIRETOS</v>
      </c>
      <c r="D7" s="32" t="n">
        <f aca="false">FLUXO_MENSAL!D10</f>
        <v>158047.46</v>
      </c>
      <c r="E7" s="19" t="n">
        <f aca="false">SUMPRODUCT((FLUXO_MENSAL!$J$7:$CC$7&lt;DATE(PARAMETROS!$C$7,1,1))*FLUXO_MENSAL!$J10:$CC10)</f>
        <v>7766.02073196158</v>
      </c>
      <c r="F7" s="19" t="n">
        <f aca="false">SUMPRODUCT((YEAR(FLUXO_MENSAL!$J$7:$CC$7)=PARAMETROS!$C$7)*FLUXO_MENSAL!$J10:$CC10)</f>
        <v>2791.24609794237</v>
      </c>
      <c r="G7" s="19" t="n">
        <f aca="false">E7+F7</f>
        <v>10557.2668299039</v>
      </c>
      <c r="H7" s="41" t="n">
        <f aca="false">IF(D7=0,0,G7/D7)</f>
        <v>0.0667980797027927</v>
      </c>
      <c r="I7" s="19" t="n">
        <f aca="false">D7-G7</f>
        <v>147490.193170096</v>
      </c>
      <c r="J7" s="11"/>
    </row>
    <row r="8" customFormat="false" ht="15" hidden="false" customHeight="false" outlineLevel="0" collapsed="false">
      <c r="A8" s="31" t="str">
        <f aca="false">FLUXO_MENSAL!A11</f>
        <v>04</v>
      </c>
      <c r="B8" s="31" t="str">
        <f aca="false">FLUXO_MENSAL!B11</f>
        <v>BARRACAO DE OBRA</v>
      </c>
      <c r="C8" s="31" t="str">
        <f aca="false">FLUXO_MENSAL!C11</f>
        <v>INDIRETOS</v>
      </c>
      <c r="D8" s="32" t="n">
        <f aca="false">FLUXO_MENSAL!D11</f>
        <v>1249911.07</v>
      </c>
      <c r="E8" s="19" t="n">
        <f aca="false">SUMPRODUCT((FLUXO_MENSAL!$J$7:$CC$7&lt;DATE(PARAMETROS!$C$7,1,1))*FLUXO_MENSAL!$J11:$CC11)</f>
        <v>701836.665809381</v>
      </c>
      <c r="F8" s="19" t="n">
        <f aca="false">SUMPRODUCT((YEAR(FLUXO_MENSAL!$J$7:$CC$7)=PARAMETROS!$C$7)*FLUXO_MENSAL!$J11:$CC11)</f>
        <v>369182.923218981</v>
      </c>
      <c r="G8" s="19" t="n">
        <f aca="false">E8+F8</f>
        <v>1071019.58902836</v>
      </c>
      <c r="H8" s="41" t="n">
        <f aca="false">IF(D8=0,0,G8/D8)</f>
        <v>0.856876632853857</v>
      </c>
      <c r="I8" s="19" t="n">
        <f aca="false">D8-G8</f>
        <v>178891.480971638</v>
      </c>
      <c r="J8" s="11"/>
    </row>
    <row r="9" customFormat="false" ht="15" hidden="false" customHeight="false" outlineLevel="0" collapsed="false">
      <c r="A9" s="31" t="str">
        <f aca="false">FLUXO_MENSAL!A12</f>
        <v>05</v>
      </c>
      <c r="B9" s="31" t="str">
        <f aca="false">FLUXO_MENSAL!B12</f>
        <v>LIGAÇÕES PROVISÓRIAS AGUA, ENERGIA,TELEFONIA, ESGOTO</v>
      </c>
      <c r="C9" s="31" t="str">
        <f aca="false">FLUXO_MENSAL!C12</f>
        <v>INDIRETOS</v>
      </c>
      <c r="D9" s="32" t="n">
        <f aca="false">FLUXO_MENSAL!D12</f>
        <v>85665.05</v>
      </c>
      <c r="E9" s="19" t="n">
        <f aca="false">SUMPRODUCT((FLUXO_MENSAL!$J$7:$CC$7&lt;DATE(PARAMETROS!$C$7,1,1))*FLUXO_MENSAL!$J12:$CC12)</f>
        <v>0</v>
      </c>
      <c r="F9" s="19" t="n">
        <f aca="false">SUMPRODUCT((YEAR(FLUXO_MENSAL!$J$7:$CC$7)=PARAMETROS!$C$7)*FLUXO_MENSAL!$J12:$CC12)</f>
        <v>0</v>
      </c>
      <c r="G9" s="19" t="n">
        <f aca="false">E9+F9</f>
        <v>0</v>
      </c>
      <c r="H9" s="41" t="n">
        <f aca="false">IF(D9=0,0,G9/D9)</f>
        <v>0</v>
      </c>
      <c r="I9" s="19" t="n">
        <f aca="false">D9-G9</f>
        <v>85665.05</v>
      </c>
      <c r="J9" s="11"/>
    </row>
    <row r="10" customFormat="false" ht="15" hidden="false" customHeight="false" outlineLevel="0" collapsed="false">
      <c r="A10" s="31" t="str">
        <f aca="false">FLUXO_MENSAL!A13</f>
        <v>06</v>
      </c>
      <c r="B10" s="31" t="str">
        <f aca="false">FLUXO_MENSAL!B13</f>
        <v>CONSUMO DE ÁGUA, ENERGIA, ETC.</v>
      </c>
      <c r="C10" s="31" t="str">
        <f aca="false">FLUXO_MENSAL!C13</f>
        <v>INDIRETOS</v>
      </c>
      <c r="D10" s="32" t="n">
        <f aca="false">FLUXO_MENSAL!D13</f>
        <v>544229.22</v>
      </c>
      <c r="E10" s="19" t="n">
        <f aca="false">SUMPRODUCT((FLUXO_MENSAL!$J$7:$CC$7&lt;DATE(PARAMETROS!$C$7,1,1))*FLUXO_MENSAL!$J13:$CC13)</f>
        <v>85456.491252347</v>
      </c>
      <c r="F10" s="19" t="n">
        <f aca="false">SUMPRODUCT((YEAR(FLUXO_MENSAL!$J$7:$CC$7)=PARAMETROS!$C$7)*FLUXO_MENSAL!$J13:$CC13)</f>
        <v>143909.552179944</v>
      </c>
      <c r="G10" s="19" t="n">
        <f aca="false">E10+F10</f>
        <v>229366.043432291</v>
      </c>
      <c r="H10" s="41" t="n">
        <f aca="false">IF(D10=0,0,G10/D10)</f>
        <v>0.421451173518928</v>
      </c>
      <c r="I10" s="19" t="n">
        <f aca="false">D10-G10</f>
        <v>314863.176567709</v>
      </c>
      <c r="J10" s="11"/>
    </row>
    <row r="11" customFormat="false" ht="15" hidden="false" customHeight="false" outlineLevel="0" collapsed="false">
      <c r="A11" s="31" t="str">
        <f aca="false">FLUXO_MENSAL!A14</f>
        <v>07</v>
      </c>
      <c r="B11" s="31" t="str">
        <f aca="false">FLUXO_MENSAL!B14</f>
        <v>DIVERSOS</v>
      </c>
      <c r="C11" s="31" t="str">
        <f aca="false">FLUXO_MENSAL!C14</f>
        <v>INDIRETOS</v>
      </c>
      <c r="D11" s="32" t="n">
        <f aca="false">FLUXO_MENSAL!D14</f>
        <v>194480.67</v>
      </c>
      <c r="E11" s="19" t="n">
        <f aca="false">SUMPRODUCT((FLUXO_MENSAL!$J$7:$CC$7&lt;DATE(PARAMETROS!$C$7,1,1))*FLUXO_MENSAL!$J14:$CC14)</f>
        <v>52314.8724984997</v>
      </c>
      <c r="F11" s="19" t="n">
        <f aca="false">SUMPRODUCT((YEAR(FLUXO_MENSAL!$J$7:$CC$7)=PARAMETROS!$C$7)*FLUXO_MENSAL!$J14:$CC14)</f>
        <v>64636.3625036892</v>
      </c>
      <c r="G11" s="19" t="n">
        <f aca="false">E11+F11</f>
        <v>116951.235002189</v>
      </c>
      <c r="H11" s="41" t="n">
        <f aca="false">IF(D11=0,0,G11/D11)</f>
        <v>0.601351460801677</v>
      </c>
      <c r="I11" s="19" t="n">
        <f aca="false">D11-G11</f>
        <v>77529.4349978112</v>
      </c>
      <c r="J11" s="11"/>
    </row>
    <row r="12" customFormat="false" ht="15" hidden="false" customHeight="false" outlineLevel="0" collapsed="false">
      <c r="A12" s="31" t="str">
        <f aca="false">FLUXO_MENSAL!A15</f>
        <v>08</v>
      </c>
      <c r="B12" s="31" t="str">
        <f aca="false">FLUXO_MENSAL!B15</f>
        <v>TRANSPORTES</v>
      </c>
      <c r="C12" s="31" t="str">
        <f aca="false">FLUXO_MENSAL!C15</f>
        <v>INDIRETOS</v>
      </c>
      <c r="D12" s="32" t="n">
        <f aca="false">FLUXO_MENSAL!D15</f>
        <v>817599.43</v>
      </c>
      <c r="E12" s="19" t="n">
        <f aca="false">SUMPRODUCT((FLUXO_MENSAL!$J$7:$CC$7&lt;DATE(PARAMETROS!$C$7,1,1))*FLUXO_MENSAL!$J15:$CC15)</f>
        <v>128868.521517955</v>
      </c>
      <c r="F12" s="19" t="n">
        <f aca="false">SUMPRODUCT((YEAR(FLUXO_MENSAL!$J$7:$CC$7)=PARAMETROS!$C$7)*FLUXO_MENSAL!$J15:$CC15)</f>
        <v>347554.679326605</v>
      </c>
      <c r="G12" s="19" t="n">
        <f aca="false">E12+F12</f>
        <v>476423.20084456</v>
      </c>
      <c r="H12" s="41" t="n">
        <f aca="false">IF(D12=0,0,G12/D12)</f>
        <v>0.582709800622733</v>
      </c>
      <c r="I12" s="19" t="n">
        <f aca="false">D12-G12</f>
        <v>341176.22915544</v>
      </c>
      <c r="J12" s="11"/>
    </row>
    <row r="13" customFormat="false" ht="15" hidden="false" customHeight="false" outlineLevel="0" collapsed="false">
      <c r="A13" s="31" t="str">
        <f aca="false">FLUXO_MENSAL!A16</f>
        <v>09</v>
      </c>
      <c r="B13" s="31" t="str">
        <f aca="false">FLUXO_MENSAL!B16</f>
        <v>CONSULTORIAS (OBRAS)</v>
      </c>
      <c r="C13" s="31" t="str">
        <f aca="false">FLUXO_MENSAL!C16</f>
        <v>INDIRETOS</v>
      </c>
      <c r="D13" s="32" t="n">
        <f aca="false">FLUXO_MENSAL!D16</f>
        <v>1371532.11</v>
      </c>
      <c r="E13" s="19" t="n">
        <f aca="false">SUMPRODUCT((FLUXO_MENSAL!$J$7:$CC$7&lt;DATE(PARAMETROS!$C$7,1,1))*FLUXO_MENSAL!$J16:$CC16)</f>
        <v>799400.088514587</v>
      </c>
      <c r="F13" s="19" t="n">
        <f aca="false">SUMPRODUCT((YEAR(FLUXO_MENSAL!$J$7:$CC$7)=PARAMETROS!$C$7)*FLUXO_MENSAL!$J16:$CC16)</f>
        <v>247855.916311357</v>
      </c>
      <c r="G13" s="19" t="n">
        <f aca="false">E13+F13</f>
        <v>1047256.00482594</v>
      </c>
      <c r="H13" s="41" t="n">
        <f aca="false">IF(D13=0,0,G13/D13)</f>
        <v>0.763566523299221</v>
      </c>
      <c r="I13" s="19" t="n">
        <f aca="false">D13-G13</f>
        <v>324276.105174056</v>
      </c>
      <c r="J13" s="11"/>
    </row>
    <row r="14" customFormat="false" ht="15" hidden="false" customHeight="false" outlineLevel="0" collapsed="false">
      <c r="A14" s="31" t="str">
        <f aca="false">FLUXO_MENSAL!A17</f>
        <v>10</v>
      </c>
      <c r="B14" s="31" t="str">
        <f aca="false">FLUXO_MENSAL!B17</f>
        <v>MÃO DE OBRA PRÓPRIA</v>
      </c>
      <c r="C14" s="31" t="str">
        <f aca="false">FLUXO_MENSAL!C17</f>
        <v>INDIRETOS</v>
      </c>
      <c r="D14" s="32" t="n">
        <f aca="false">FLUXO_MENSAL!D17</f>
        <v>21271106.08</v>
      </c>
      <c r="E14" s="19" t="n">
        <f aca="false">SUMPRODUCT((FLUXO_MENSAL!$J$7:$CC$7&lt;DATE(PARAMETROS!$C$7,1,1))*FLUXO_MENSAL!$J17:$CC17)</f>
        <v>4792494.46361374</v>
      </c>
      <c r="F14" s="19" t="n">
        <f aca="false">SUMPRODUCT((YEAR(FLUXO_MENSAL!$J$7:$CC$7)=PARAMETROS!$C$7)*FLUXO_MENSAL!$J17:$CC17)</f>
        <v>5917364.87621039</v>
      </c>
      <c r="G14" s="19" t="n">
        <f aca="false">E14+F14</f>
        <v>10709859.3398241</v>
      </c>
      <c r="H14" s="41" t="n">
        <f aca="false">IF(D14=0,0,G14/D14)</f>
        <v>0.503493297412211</v>
      </c>
      <c r="I14" s="19" t="n">
        <f aca="false">D14-G14</f>
        <v>10561246.7401759</v>
      </c>
      <c r="J14" s="11"/>
    </row>
    <row r="15" customFormat="false" ht="15" hidden="false" customHeight="false" outlineLevel="0" collapsed="false">
      <c r="A15" s="31" t="str">
        <f aca="false">FLUXO_MENSAL!A18</f>
        <v>11</v>
      </c>
      <c r="B15" s="31" t="str">
        <f aca="false">FLUXO_MENSAL!B18</f>
        <v>EQUIPAMENTOS E FERRAMENTAS</v>
      </c>
      <c r="C15" s="31" t="str">
        <f aca="false">FLUXO_MENSAL!C18</f>
        <v>INDIRETOS</v>
      </c>
      <c r="D15" s="32" t="n">
        <f aca="false">FLUXO_MENSAL!D18</f>
        <v>6774432.94</v>
      </c>
      <c r="E15" s="19" t="n">
        <f aca="false">SUMPRODUCT((FLUXO_MENSAL!$J$7:$CC$7&lt;DATE(PARAMETROS!$C$7,1,1))*FLUXO_MENSAL!$J18:$CC18)</f>
        <v>1193007.52640811</v>
      </c>
      <c r="F15" s="19" t="n">
        <f aca="false">SUMPRODUCT((YEAR(FLUXO_MENSAL!$J$7:$CC$7)=PARAMETROS!$C$7)*FLUXO_MENSAL!$J18:$CC18)</f>
        <v>2728657.99220019</v>
      </c>
      <c r="G15" s="19" t="n">
        <f aca="false">E15+F15</f>
        <v>3921665.5186083</v>
      </c>
      <c r="H15" s="41" t="n">
        <f aca="false">IF(D15=0,0,G15/D15)</f>
        <v>0.578892071608328</v>
      </c>
      <c r="I15" s="19" t="n">
        <f aca="false">D15-G15</f>
        <v>2852767.4213917</v>
      </c>
      <c r="J15" s="11"/>
    </row>
    <row r="16" customFormat="false" ht="15" hidden="false" customHeight="false" outlineLevel="0" collapsed="false">
      <c r="A16" s="31" t="str">
        <f aca="false">FLUXO_MENSAL!A19</f>
        <v>12</v>
      </c>
      <c r="B16" s="31" t="str">
        <f aca="false">FLUXO_MENSAL!B19</f>
        <v>SERVIÇOS INICIAIS</v>
      </c>
      <c r="C16" s="31" t="str">
        <f aca="false">FLUXO_MENSAL!C19</f>
        <v>INFRAESTRUTURA</v>
      </c>
      <c r="D16" s="32" t="n">
        <f aca="false">FLUXO_MENSAL!D19</f>
        <v>176378.52</v>
      </c>
      <c r="E16" s="19" t="n">
        <f aca="false">SUMPRODUCT((FLUXO_MENSAL!$J$7:$CC$7&lt;DATE(PARAMETROS!$C$7,1,1))*FLUXO_MENSAL!$J19:$CC19)</f>
        <v>112166.04</v>
      </c>
      <c r="F16" s="19" t="n">
        <f aca="false">SUMPRODUCT((YEAR(FLUXO_MENSAL!$J$7:$CC$7)=PARAMETROS!$C$7)*FLUXO_MENSAL!$J19:$CC19)</f>
        <v>64212.48</v>
      </c>
      <c r="G16" s="19" t="n">
        <f aca="false">E16+F16</f>
        <v>176378.52</v>
      </c>
      <c r="H16" s="41" t="n">
        <f aca="false">IF(D16=0,0,G16/D16)</f>
        <v>1</v>
      </c>
      <c r="I16" s="19" t="n">
        <f aca="false">D16-G16</f>
        <v>0</v>
      </c>
      <c r="J16" s="11"/>
    </row>
    <row r="17" customFormat="false" ht="15" hidden="false" customHeight="false" outlineLevel="0" collapsed="false">
      <c r="A17" s="31" t="str">
        <f aca="false">FLUXO_MENSAL!A20</f>
        <v>13</v>
      </c>
      <c r="B17" s="31" t="str">
        <f aca="false">FLUXO_MENSAL!B20</f>
        <v>CONTENÇÃO</v>
      </c>
      <c r="C17" s="31" t="str">
        <f aca="false">FLUXO_MENSAL!C20</f>
        <v>INFRAESTRUTURA</v>
      </c>
      <c r="D17" s="32" t="n">
        <f aca="false">FLUXO_MENSAL!D20</f>
        <v>1475989.69</v>
      </c>
      <c r="E17" s="19" t="n">
        <f aca="false">SUMPRODUCT((FLUXO_MENSAL!$J$7:$CC$7&lt;DATE(PARAMETROS!$C$7,1,1))*FLUXO_MENSAL!$J20:$CC20)</f>
        <v>1231418.44</v>
      </c>
      <c r="F17" s="19" t="n">
        <f aca="false">SUMPRODUCT((YEAR(FLUXO_MENSAL!$J$7:$CC$7)=PARAMETROS!$C$7)*FLUXO_MENSAL!$J20:$CC20)</f>
        <v>244571.25</v>
      </c>
      <c r="G17" s="19" t="n">
        <f aca="false">E17+F17</f>
        <v>1475989.69</v>
      </c>
      <c r="H17" s="41" t="n">
        <f aca="false">IF(D17=0,0,G17/D17)</f>
        <v>1</v>
      </c>
      <c r="I17" s="19" t="n">
        <f aca="false">D17-G17</f>
        <v>0</v>
      </c>
      <c r="J17" s="11"/>
    </row>
    <row r="18" customFormat="false" ht="15" hidden="false" customHeight="false" outlineLevel="0" collapsed="false">
      <c r="A18" s="31" t="str">
        <f aca="false">FLUXO_MENSAL!A21</f>
        <v>14</v>
      </c>
      <c r="B18" s="31" t="str">
        <f aca="false">FLUXO_MENSAL!B21</f>
        <v>TERRAPLENAGEM</v>
      </c>
      <c r="C18" s="31" t="str">
        <f aca="false">FLUXO_MENSAL!C21</f>
        <v>INFRAESTRUTURA</v>
      </c>
      <c r="D18" s="32" t="n">
        <f aca="false">FLUXO_MENSAL!D21</f>
        <v>1293873.46</v>
      </c>
      <c r="E18" s="19" t="n">
        <f aca="false">SUMPRODUCT((FLUXO_MENSAL!$J$7:$CC$7&lt;DATE(PARAMETROS!$C$7,1,1))*FLUXO_MENSAL!$J21:$CC21)</f>
        <v>1239008.43</v>
      </c>
      <c r="F18" s="19" t="n">
        <f aca="false">SUMPRODUCT((YEAR(FLUXO_MENSAL!$J$7:$CC$7)=PARAMETROS!$C$7)*FLUXO_MENSAL!$J21:$CC21)</f>
        <v>54865.03</v>
      </c>
      <c r="G18" s="19" t="n">
        <f aca="false">E18+F18</f>
        <v>1293873.46</v>
      </c>
      <c r="H18" s="41" t="n">
        <f aca="false">IF(D18=0,0,G18/D18)</f>
        <v>1</v>
      </c>
      <c r="I18" s="19" t="n">
        <f aca="false">D18-G18</f>
        <v>0</v>
      </c>
      <c r="J18" s="11"/>
    </row>
    <row r="19" customFormat="false" ht="15" hidden="false" customHeight="false" outlineLevel="0" collapsed="false">
      <c r="A19" s="31" t="str">
        <f aca="false">FLUXO_MENSAL!A22</f>
        <v>15</v>
      </c>
      <c r="B19" s="31" t="str">
        <f aca="false">FLUXO_MENSAL!B22</f>
        <v>FUNDAÇÃO PROFUNDA</v>
      </c>
      <c r="C19" s="31" t="str">
        <f aca="false">FLUXO_MENSAL!C22</f>
        <v>INFRAESTRUTURA</v>
      </c>
      <c r="D19" s="32" t="n">
        <f aca="false">FLUXO_MENSAL!D22</f>
        <v>7012914.12</v>
      </c>
      <c r="E19" s="19" t="n">
        <f aca="false">SUMPRODUCT((FLUXO_MENSAL!$J$7:$CC$7&lt;DATE(PARAMETROS!$C$7,1,1))*FLUXO_MENSAL!$J22:$CC22)</f>
        <v>6772174.59</v>
      </c>
      <c r="F19" s="19" t="n">
        <f aca="false">SUMPRODUCT((YEAR(FLUXO_MENSAL!$J$7:$CC$7)=PARAMETROS!$C$7)*FLUXO_MENSAL!$J22:$CC22)</f>
        <v>10101.76</v>
      </c>
      <c r="G19" s="19" t="n">
        <f aca="false">E19+F19</f>
        <v>6782276.35</v>
      </c>
      <c r="H19" s="41" t="n">
        <f aca="false">IF(D19=0,0,G19/D19)</f>
        <v>0.967112420592426</v>
      </c>
      <c r="I19" s="19" t="n">
        <f aca="false">D19-G19</f>
        <v>230637.77</v>
      </c>
      <c r="J19" s="11"/>
    </row>
    <row r="20" customFormat="false" ht="15" hidden="false" customHeight="false" outlineLevel="0" collapsed="false">
      <c r="A20" s="31" t="str">
        <f aca="false">FLUXO_MENSAL!A23</f>
        <v>16</v>
      </c>
      <c r="B20" s="31" t="str">
        <f aca="false">FLUXO_MENSAL!B23</f>
        <v>FUNDAÇÃO SUPERFICIAL</v>
      </c>
      <c r="C20" s="31" t="str">
        <f aca="false">FLUXO_MENSAL!C23</f>
        <v>INFRAESTRUTURA</v>
      </c>
      <c r="D20" s="32" t="n">
        <f aca="false">FLUXO_MENSAL!D23</f>
        <v>4346500.29</v>
      </c>
      <c r="E20" s="19" t="n">
        <f aca="false">SUMPRODUCT((FLUXO_MENSAL!$J$7:$CC$7&lt;DATE(PARAMETROS!$C$7,1,1))*FLUXO_MENSAL!$J23:$CC23)</f>
        <v>3148040.08921134</v>
      </c>
      <c r="F20" s="19" t="n">
        <f aca="false">SUMPRODUCT((YEAR(FLUXO_MENSAL!$J$7:$CC$7)=PARAMETROS!$C$7)*FLUXO_MENSAL!$J23:$CC23)</f>
        <v>945113.732760284</v>
      </c>
      <c r="G20" s="19" t="n">
        <f aca="false">E20+F20</f>
        <v>4093153.82197162</v>
      </c>
      <c r="H20" s="41" t="n">
        <f aca="false">IF(D20=0,0,G20/D20)</f>
        <v>0.941712538565509</v>
      </c>
      <c r="I20" s="19" t="n">
        <f aca="false">D20-G20</f>
        <v>253346.468028381</v>
      </c>
      <c r="J20" s="11"/>
    </row>
    <row r="21" customFormat="false" ht="15" hidden="false" customHeight="false" outlineLevel="0" collapsed="false">
      <c r="A21" s="31" t="str">
        <f aca="false">FLUXO_MENSAL!A24</f>
        <v>17</v>
      </c>
      <c r="B21" s="31" t="str">
        <f aca="false">FLUXO_MENSAL!B24</f>
        <v>ESTRUTURA EM CONCRETO ARMADO</v>
      </c>
      <c r="C21" s="31" t="str">
        <f aca="false">FLUXO_MENSAL!C24</f>
        <v>ESTRUTURA</v>
      </c>
      <c r="D21" s="32" t="n">
        <f aca="false">FLUXO_MENSAL!D24</f>
        <v>26850931.32</v>
      </c>
      <c r="E21" s="19" t="n">
        <f aca="false">SUMPRODUCT((FLUXO_MENSAL!$J$7:$CC$7&lt;DATE(PARAMETROS!$C$7,1,1))*FLUXO_MENSAL!$J24:$CC24)</f>
        <v>6406093.89282223</v>
      </c>
      <c r="F21" s="19" t="n">
        <f aca="false">SUMPRODUCT((YEAR(FLUXO_MENSAL!$J$7:$CC$7)=PARAMETROS!$C$7)*FLUXO_MENSAL!$J24:$CC24)</f>
        <v>17796164.6849645</v>
      </c>
      <c r="G21" s="19" t="n">
        <f aca="false">E21+F21</f>
        <v>24202258.5777868</v>
      </c>
      <c r="H21" s="41" t="n">
        <f aca="false">IF(D21=0,0,G21/D21)</f>
        <v>0.901356392050343</v>
      </c>
      <c r="I21" s="19" t="n">
        <f aca="false">D21-G21</f>
        <v>2648672.74221325</v>
      </c>
      <c r="J21" s="11"/>
    </row>
    <row r="22" customFormat="false" ht="15" hidden="false" customHeight="false" outlineLevel="0" collapsed="false">
      <c r="A22" s="31" t="str">
        <f aca="false">FLUXO_MENSAL!A25</f>
        <v>18</v>
      </c>
      <c r="B22" s="31" t="str">
        <f aca="false">FLUXO_MENSAL!B25</f>
        <v>ALVENARIA</v>
      </c>
      <c r="C22" s="31" t="str">
        <f aca="false">FLUXO_MENSAL!C25</f>
        <v>SISTEMAS E VEDAÇÕES</v>
      </c>
      <c r="D22" s="32" t="n">
        <f aca="false">FLUXO_MENSAL!D25</f>
        <v>6245482.98</v>
      </c>
      <c r="E22" s="19" t="n">
        <f aca="false">SUMPRODUCT((FLUXO_MENSAL!$J$7:$CC$7&lt;DATE(PARAMETROS!$C$7,1,1))*FLUXO_MENSAL!$J25:$CC25)</f>
        <v>0</v>
      </c>
      <c r="F22" s="19" t="n">
        <f aca="false">SUMPRODUCT((YEAR(FLUXO_MENSAL!$J$7:$CC$7)=PARAMETROS!$C$7)*FLUXO_MENSAL!$J25:$CC25)</f>
        <v>3654392.74755377</v>
      </c>
      <c r="G22" s="19" t="n">
        <f aca="false">E22+F22</f>
        <v>3654392.74755377</v>
      </c>
      <c r="H22" s="41" t="n">
        <f aca="false">IF(D22=0,0,G22/D22)</f>
        <v>0.585125723543925</v>
      </c>
      <c r="I22" s="19" t="n">
        <f aca="false">D22-G22</f>
        <v>2591090.23244623</v>
      </c>
      <c r="J22" s="11"/>
    </row>
    <row r="23" customFormat="false" ht="15" hidden="false" customHeight="false" outlineLevel="0" collapsed="false">
      <c r="A23" s="31" t="str">
        <f aca="false">FLUXO_MENSAL!A26</f>
        <v>19</v>
      </c>
      <c r="B23" s="31" t="str">
        <f aca="false">FLUXO_MENSAL!B26</f>
        <v>IMPERMEABILIZAÇÃO</v>
      </c>
      <c r="C23" s="31" t="str">
        <f aca="false">FLUXO_MENSAL!C26</f>
        <v>SISTEMAS E VEDAÇÕES</v>
      </c>
      <c r="D23" s="32" t="n">
        <f aca="false">FLUXO_MENSAL!D26</f>
        <v>4139097.74</v>
      </c>
      <c r="E23" s="19" t="n">
        <f aca="false">SUMPRODUCT((FLUXO_MENSAL!$J$7:$CC$7&lt;DATE(PARAMETROS!$C$7,1,1))*FLUXO_MENSAL!$J26:$CC26)</f>
        <v>0</v>
      </c>
      <c r="F23" s="19" t="n">
        <f aca="false">SUMPRODUCT((YEAR(FLUXO_MENSAL!$J$7:$CC$7)=PARAMETROS!$C$7)*FLUXO_MENSAL!$J26:$CC26)</f>
        <v>1041363.55251592</v>
      </c>
      <c r="G23" s="19" t="n">
        <f aca="false">E23+F23</f>
        <v>1041363.55251592</v>
      </c>
      <c r="H23" s="41" t="n">
        <f aca="false">IF(D23=0,0,G23/D23)</f>
        <v>0.251591921218057</v>
      </c>
      <c r="I23" s="19" t="n">
        <f aca="false">D23-G23</f>
        <v>3097734.18748408</v>
      </c>
      <c r="J23" s="11"/>
    </row>
    <row r="24" customFormat="false" ht="15" hidden="false" customHeight="false" outlineLevel="0" collapsed="false">
      <c r="A24" s="31" t="str">
        <f aca="false">FLUXO_MENSAL!A27</f>
        <v>20</v>
      </c>
      <c r="B24" s="31" t="str">
        <f aca="false">FLUXO_MENSAL!B27</f>
        <v>INSTALAÇÕES ELÉTRICAS</v>
      </c>
      <c r="C24" s="31" t="str">
        <f aca="false">FLUXO_MENSAL!C27</f>
        <v>SISTEMAS E VEDAÇÕES</v>
      </c>
      <c r="D24" s="32" t="n">
        <f aca="false">FLUXO_MENSAL!D27</f>
        <v>11595096.01</v>
      </c>
      <c r="E24" s="19" t="n">
        <f aca="false">SUMPRODUCT((FLUXO_MENSAL!$J$7:$CC$7&lt;DATE(PARAMETROS!$C$7,1,1))*FLUXO_MENSAL!$J27:$CC27)</f>
        <v>347041.51003727</v>
      </c>
      <c r="F24" s="19" t="n">
        <f aca="false">SUMPRODUCT((YEAR(FLUXO_MENSAL!$J$7:$CC$7)=PARAMETROS!$C$7)*FLUXO_MENSAL!$J27:$CC27)</f>
        <v>2074559.23368187</v>
      </c>
      <c r="G24" s="19" t="n">
        <f aca="false">E24+F24</f>
        <v>2421600.74371914</v>
      </c>
      <c r="H24" s="41" t="n">
        <f aca="false">IF(D24=0,0,G24/D24)</f>
        <v>0.208846976483047</v>
      </c>
      <c r="I24" s="19" t="n">
        <f aca="false">D24-G24</f>
        <v>9173495.26628086</v>
      </c>
      <c r="J24" s="11"/>
    </row>
    <row r="25" customFormat="false" ht="15" hidden="false" customHeight="false" outlineLevel="0" collapsed="false">
      <c r="A25" s="31" t="str">
        <f aca="false">FLUXO_MENSAL!A28</f>
        <v>21</v>
      </c>
      <c r="B25" s="31" t="str">
        <f aca="false">FLUXO_MENSAL!B28</f>
        <v>INSTALAÇÕES HIDROSANITÁRIAS</v>
      </c>
      <c r="C25" s="31" t="str">
        <f aca="false">FLUXO_MENSAL!C28</f>
        <v>SISTEMAS E VEDAÇÕES</v>
      </c>
      <c r="D25" s="32" t="n">
        <f aca="false">FLUXO_MENSAL!D28</f>
        <v>7769655.06</v>
      </c>
      <c r="E25" s="19" t="n">
        <f aca="false">SUMPRODUCT((FLUXO_MENSAL!$J$7:$CC$7&lt;DATE(PARAMETROS!$C$7,1,1))*FLUXO_MENSAL!$J28:$CC28)</f>
        <v>227929.99974166</v>
      </c>
      <c r="F25" s="19" t="n">
        <f aca="false">SUMPRODUCT((YEAR(FLUXO_MENSAL!$J$7:$CC$7)=PARAMETROS!$C$7)*FLUXO_MENSAL!$J28:$CC28)</f>
        <v>1663704.35785099</v>
      </c>
      <c r="G25" s="19" t="n">
        <f aca="false">E25+F25</f>
        <v>1891634.35759265</v>
      </c>
      <c r="H25" s="41" t="n">
        <f aca="false">IF(D25=0,0,G25/D25)</f>
        <v>0.243464393590808</v>
      </c>
      <c r="I25" s="19" t="n">
        <f aca="false">D25-G25</f>
        <v>5878020.70240735</v>
      </c>
      <c r="J25" s="11"/>
    </row>
    <row r="26" customFormat="false" ht="15" hidden="false" customHeight="false" outlineLevel="0" collapsed="false">
      <c r="A26" s="31" t="str">
        <f aca="false">FLUXO_MENSAL!A29</f>
        <v>22</v>
      </c>
      <c r="B26" s="31" t="str">
        <f aca="false">FLUXO_MENSAL!B29</f>
        <v>INSTALAÇÕES COMBATE INCÊNDIO</v>
      </c>
      <c r="C26" s="31" t="str">
        <f aca="false">FLUXO_MENSAL!C29</f>
        <v>SISTEMAS E VEDAÇÕES</v>
      </c>
      <c r="D26" s="32" t="n">
        <f aca="false">FLUXO_MENSAL!D29</f>
        <v>823490.46</v>
      </c>
      <c r="E26" s="19" t="n">
        <f aca="false">SUMPRODUCT((FLUXO_MENSAL!$J$7:$CC$7&lt;DATE(PARAMETROS!$C$7,1,1))*FLUXO_MENSAL!$J29:$CC29)</f>
        <v>0</v>
      </c>
      <c r="F26" s="19" t="n">
        <f aca="false">SUMPRODUCT((YEAR(FLUXO_MENSAL!$J$7:$CC$7)=PARAMETROS!$C$7)*FLUXO_MENSAL!$J29:$CC29)</f>
        <v>476306.88</v>
      </c>
      <c r="G26" s="19" t="n">
        <f aca="false">E26+F26</f>
        <v>476306.88</v>
      </c>
      <c r="H26" s="41" t="n">
        <f aca="false">IF(D26=0,0,G26/D26)</f>
        <v>0.578399997493596</v>
      </c>
      <c r="I26" s="19" t="n">
        <f aca="false">D26-G26</f>
        <v>347183.58</v>
      </c>
      <c r="J26" s="11"/>
    </row>
    <row r="27" customFormat="false" ht="15" hidden="false" customHeight="false" outlineLevel="0" collapsed="false">
      <c r="A27" s="31" t="str">
        <f aca="false">FLUXO_MENSAL!A30</f>
        <v>23</v>
      </c>
      <c r="B27" s="31" t="str">
        <f aca="false">FLUXO_MENSAL!B30</f>
        <v>INSTALAÇÕES ESPECIAIS</v>
      </c>
      <c r="C27" s="31" t="str">
        <f aca="false">FLUXO_MENSAL!C30</f>
        <v>SISTEMAS E VEDAÇÕES</v>
      </c>
      <c r="D27" s="32" t="n">
        <f aca="false">FLUXO_MENSAL!D30</f>
        <v>2828799.66</v>
      </c>
      <c r="E27" s="19" t="n">
        <f aca="false">SUMPRODUCT((FLUXO_MENSAL!$J$7:$CC$7&lt;DATE(PARAMETROS!$C$7,1,1))*FLUXO_MENSAL!$J30:$CC30)</f>
        <v>0</v>
      </c>
      <c r="F27" s="19" t="n">
        <f aca="false">SUMPRODUCT((YEAR(FLUXO_MENSAL!$J$7:$CC$7)=PARAMETROS!$C$7)*FLUXO_MENSAL!$J30:$CC30)</f>
        <v>782163.102765</v>
      </c>
      <c r="G27" s="19" t="n">
        <f aca="false">E27+F27</f>
        <v>782163.102765</v>
      </c>
      <c r="H27" s="41" t="n">
        <f aca="false">IF(D27=0,0,G27/D27)</f>
        <v>0.276499998859941</v>
      </c>
      <c r="I27" s="19" t="n">
        <f aca="false">D27-G27</f>
        <v>2046636.557235</v>
      </c>
      <c r="J27" s="11"/>
    </row>
    <row r="28" customFormat="false" ht="15" hidden="false" customHeight="false" outlineLevel="0" collapsed="false">
      <c r="A28" s="31" t="str">
        <f aca="false">FLUXO_MENSAL!A31</f>
        <v>24</v>
      </c>
      <c r="B28" s="31" t="str">
        <f aca="false">FLUXO_MENSAL!B31</f>
        <v>ELEVADORES</v>
      </c>
      <c r="C28" s="31" t="str">
        <f aca="false">FLUXO_MENSAL!C31</f>
        <v>SISTEMAS E VEDAÇÕES</v>
      </c>
      <c r="D28" s="32" t="n">
        <f aca="false">FLUXO_MENSAL!D31</f>
        <v>3409802.3</v>
      </c>
      <c r="E28" s="19" t="n">
        <f aca="false">SUMPRODUCT((FLUXO_MENSAL!$J$7:$CC$7&lt;DATE(PARAMETROS!$C$7,1,1))*FLUXO_MENSAL!$J31:$CC31)</f>
        <v>0</v>
      </c>
      <c r="F28" s="19" t="n">
        <f aca="false">SUMPRODUCT((YEAR(FLUXO_MENSAL!$J$7:$CC$7)=PARAMETROS!$C$7)*FLUXO_MENSAL!$J31:$CC31)</f>
        <v>1527272.73208374</v>
      </c>
      <c r="G28" s="19" t="n">
        <f aca="false">E28+F28</f>
        <v>1527272.73208374</v>
      </c>
      <c r="H28" s="41" t="n">
        <f aca="false">IF(D28=0,0,G28/D28)</f>
        <v>0.447906534664411</v>
      </c>
      <c r="I28" s="19" t="n">
        <f aca="false">D28-G28</f>
        <v>1882529.56791626</v>
      </c>
      <c r="J28" s="11"/>
    </row>
    <row r="29" customFormat="false" ht="15" hidden="false" customHeight="false" outlineLevel="0" collapsed="false">
      <c r="A29" s="31" t="str">
        <f aca="false">FLUXO_MENSAL!A32</f>
        <v>25</v>
      </c>
      <c r="B29" s="31" t="str">
        <f aca="false">FLUXO_MENSAL!B32</f>
        <v>ESQUADRIAS</v>
      </c>
      <c r="C29" s="31" t="str">
        <f aca="false">FLUXO_MENSAL!C32</f>
        <v>ACABAMENTOS</v>
      </c>
      <c r="D29" s="32" t="n">
        <f aca="false">FLUXO_MENSAL!D32</f>
        <v>11781362.82</v>
      </c>
      <c r="E29" s="19" t="n">
        <f aca="false">SUMPRODUCT((FLUXO_MENSAL!$J$7:$CC$7&lt;DATE(PARAMETROS!$C$7,1,1))*FLUXO_MENSAL!$J32:$CC32)</f>
        <v>0</v>
      </c>
      <c r="F29" s="19" t="n">
        <f aca="false">SUMPRODUCT((YEAR(FLUXO_MENSAL!$J$7:$CC$7)=PARAMETROS!$C$7)*FLUXO_MENSAL!$J32:$CC32)</f>
        <v>2819635.20957321</v>
      </c>
      <c r="G29" s="19" t="n">
        <f aca="false">E29+F29</f>
        <v>2819635.20957321</v>
      </c>
      <c r="H29" s="41" t="n">
        <f aca="false">IF(D29=0,0,G29/D29)</f>
        <v>0.239330139700528</v>
      </c>
      <c r="I29" s="19" t="n">
        <f aca="false">D29-G29</f>
        <v>8961727.6104268</v>
      </c>
      <c r="J29" s="11"/>
    </row>
    <row r="30" customFormat="false" ht="15" hidden="false" customHeight="false" outlineLevel="0" collapsed="false">
      <c r="A30" s="31" t="str">
        <f aca="false">FLUXO_MENSAL!A33</f>
        <v>26</v>
      </c>
      <c r="B30" s="31" t="str">
        <f aca="false">FLUXO_MENSAL!B33</f>
        <v>SERRALHERIA</v>
      </c>
      <c r="C30" s="31" t="str">
        <f aca="false">FLUXO_MENSAL!C33</f>
        <v>ACABAMENTOS</v>
      </c>
      <c r="D30" s="32" t="n">
        <f aca="false">FLUXO_MENSAL!D33</f>
        <v>508667.05</v>
      </c>
      <c r="E30" s="19" t="n">
        <f aca="false">SUMPRODUCT((FLUXO_MENSAL!$J$7:$CC$7&lt;DATE(PARAMETROS!$C$7,1,1))*FLUXO_MENSAL!$J33:$CC33)</f>
        <v>0</v>
      </c>
      <c r="F30" s="19" t="n">
        <f aca="false">SUMPRODUCT((YEAR(FLUXO_MENSAL!$J$7:$CC$7)=PARAMETROS!$C$7)*FLUXO_MENSAL!$J33:$CC33)</f>
        <v>80979.7915919999</v>
      </c>
      <c r="G30" s="19" t="n">
        <f aca="false">E30+F30</f>
        <v>80979.7915919999</v>
      </c>
      <c r="H30" s="41" t="n">
        <f aca="false">IF(D30=0,0,G30/D30)</f>
        <v>0.159199994558326</v>
      </c>
      <c r="I30" s="19" t="n">
        <f aca="false">D30-G30</f>
        <v>427687.258408</v>
      </c>
      <c r="J30" s="11"/>
    </row>
    <row r="31" customFormat="false" ht="15" hidden="false" customHeight="false" outlineLevel="0" collapsed="false">
      <c r="A31" s="31" t="str">
        <f aca="false">FLUXO_MENSAL!A34</f>
        <v>27</v>
      </c>
      <c r="B31" s="31" t="str">
        <f aca="false">FLUXO_MENSAL!B34</f>
        <v>MARCENARIA</v>
      </c>
      <c r="C31" s="31" t="str">
        <f aca="false">FLUXO_MENSAL!C34</f>
        <v>ACABAMENTOS</v>
      </c>
      <c r="D31" s="32" t="n">
        <f aca="false">FLUXO_MENSAL!D34</f>
        <v>3137103.29</v>
      </c>
      <c r="E31" s="19" t="n">
        <f aca="false">SUMPRODUCT((FLUXO_MENSAL!$J$7:$CC$7&lt;DATE(PARAMETROS!$C$7,1,1))*FLUXO_MENSAL!$J34:$CC34)</f>
        <v>7000</v>
      </c>
      <c r="F31" s="19" t="n">
        <f aca="false">SUMPRODUCT((YEAR(FLUXO_MENSAL!$J$7:$CC$7)=PARAMETROS!$C$7)*FLUXO_MENSAL!$J34:$CC34)</f>
        <v>0</v>
      </c>
      <c r="G31" s="19" t="n">
        <f aca="false">E31+F31</f>
        <v>7000</v>
      </c>
      <c r="H31" s="41" t="n">
        <f aca="false">IF(D31=0,0,G31/D31)</f>
        <v>0.00223135783329595</v>
      </c>
      <c r="I31" s="19" t="n">
        <f aca="false">D31-G31</f>
        <v>3130103.29</v>
      </c>
      <c r="J31" s="11"/>
    </row>
    <row r="32" customFormat="false" ht="15" hidden="false" customHeight="false" outlineLevel="0" collapsed="false">
      <c r="A32" s="31" t="str">
        <f aca="false">FLUXO_MENSAL!A35</f>
        <v>28</v>
      </c>
      <c r="B32" s="31" t="str">
        <f aca="false">FLUXO_MENSAL!B35</f>
        <v>REVESTIMENTOS DE MASSA EM PISOS</v>
      </c>
      <c r="C32" s="31" t="str">
        <f aca="false">FLUXO_MENSAL!C35</f>
        <v>ACABAMENTOS</v>
      </c>
      <c r="D32" s="32" t="n">
        <f aca="false">FLUXO_MENSAL!D35</f>
        <v>1154877.34</v>
      </c>
      <c r="E32" s="19" t="n">
        <f aca="false">SUMPRODUCT((FLUXO_MENSAL!$J$7:$CC$7&lt;DATE(PARAMETROS!$C$7,1,1))*FLUXO_MENSAL!$J35:$CC35)</f>
        <v>0</v>
      </c>
      <c r="F32" s="19" t="n">
        <f aca="false">SUMPRODUCT((YEAR(FLUXO_MENSAL!$J$7:$CC$7)=PARAMETROS!$C$7)*FLUXO_MENSAL!$J35:$CC35)</f>
        <v>533206.875383</v>
      </c>
      <c r="G32" s="19" t="n">
        <f aca="false">E32+F32</f>
        <v>533206.875383</v>
      </c>
      <c r="H32" s="41" t="n">
        <f aca="false">IF(D32=0,0,G32/D32)</f>
        <v>0.461700006498526</v>
      </c>
      <c r="I32" s="19" t="n">
        <f aca="false">D32-G32</f>
        <v>621670.464617</v>
      </c>
      <c r="J32" s="11"/>
    </row>
    <row r="33" customFormat="false" ht="15" hidden="false" customHeight="false" outlineLevel="0" collapsed="false">
      <c r="A33" s="31" t="str">
        <f aca="false">FLUXO_MENSAL!A36</f>
        <v>29</v>
      </c>
      <c r="B33" s="31" t="str">
        <f aca="false">FLUXO_MENSAL!B36</f>
        <v>REVESTIMENTOS DE MASSA EM PAREDES</v>
      </c>
      <c r="C33" s="31" t="str">
        <f aca="false">FLUXO_MENSAL!C36</f>
        <v>ACABAMENTOS</v>
      </c>
      <c r="D33" s="32" t="n">
        <f aca="false">FLUXO_MENSAL!D36</f>
        <v>2653291.4</v>
      </c>
      <c r="E33" s="19" t="n">
        <f aca="false">SUMPRODUCT((FLUXO_MENSAL!$J$7:$CC$7&lt;DATE(PARAMETROS!$C$7,1,1))*FLUXO_MENSAL!$J36:$CC36)</f>
        <v>0</v>
      </c>
      <c r="F33" s="19" t="n">
        <f aca="false">SUMPRODUCT((YEAR(FLUXO_MENSAL!$J$7:$CC$7)=PARAMETROS!$C$7)*FLUXO_MENSAL!$J36:$CC36)</f>
        <v>1368833.039682</v>
      </c>
      <c r="G33" s="19" t="n">
        <f aca="false">E33+F33</f>
        <v>1368833.039682</v>
      </c>
      <c r="H33" s="41" t="n">
        <f aca="false">IF(D33=0,0,G33/D33)</f>
        <v>0.51590000242039</v>
      </c>
      <c r="I33" s="19" t="n">
        <f aca="false">D33-G33</f>
        <v>1284458.360318</v>
      </c>
      <c r="J33" s="11"/>
    </row>
    <row r="34" customFormat="false" ht="15" hidden="false" customHeight="false" outlineLevel="0" collapsed="false">
      <c r="A34" s="31" t="str">
        <f aca="false">FLUXO_MENSAL!A37</f>
        <v>30</v>
      </c>
      <c r="B34" s="31" t="str">
        <f aca="false">FLUXO_MENSAL!B37</f>
        <v>REVESTIMENTOS DE ACABAMENTO</v>
      </c>
      <c r="C34" s="31" t="str">
        <f aca="false">FLUXO_MENSAL!C37</f>
        <v>ACABAMENTOS</v>
      </c>
      <c r="D34" s="32" t="n">
        <f aca="false">FLUXO_MENSAL!D37</f>
        <v>10960439.57</v>
      </c>
      <c r="E34" s="19" t="n">
        <f aca="false">SUMPRODUCT((FLUXO_MENSAL!$J$7:$CC$7&lt;DATE(PARAMETROS!$C$7,1,1))*FLUXO_MENSAL!$J37:$CC37)</f>
        <v>0</v>
      </c>
      <c r="F34" s="19" t="n">
        <f aca="false">SUMPRODUCT((YEAR(FLUXO_MENSAL!$J$7:$CC$7)=PARAMETROS!$C$7)*FLUXO_MENSAL!$J37:$CC37)</f>
        <v>1711170.36102494</v>
      </c>
      <c r="G34" s="19" t="n">
        <f aca="false">E34+F34</f>
        <v>1711170.36102494</v>
      </c>
      <c r="H34" s="41" t="n">
        <f aca="false">IF(D34=0,0,G34/D34)</f>
        <v>0.156122421012074</v>
      </c>
      <c r="I34" s="19" t="n">
        <f aca="false">D34-G34</f>
        <v>9249269.20897506</v>
      </c>
      <c r="J34" s="11"/>
    </row>
    <row r="35" customFormat="false" ht="15" hidden="false" customHeight="false" outlineLevel="0" collapsed="false">
      <c r="A35" s="31" t="str">
        <f aca="false">FLUXO_MENSAL!A38</f>
        <v>31</v>
      </c>
      <c r="B35" s="31" t="str">
        <f aca="false">FLUXO_MENSAL!B38</f>
        <v>PAVIMENTAÇÃO</v>
      </c>
      <c r="C35" s="31" t="str">
        <f aca="false">FLUXO_MENSAL!C38</f>
        <v>ACABAMENTOS</v>
      </c>
      <c r="D35" s="32" t="n">
        <f aca="false">FLUXO_MENSAL!D38</f>
        <v>112630.59</v>
      </c>
      <c r="E35" s="19" t="n">
        <f aca="false">SUMPRODUCT((FLUXO_MENSAL!$J$7:$CC$7&lt;DATE(PARAMETROS!$C$7,1,1))*FLUXO_MENSAL!$J38:$CC38)</f>
        <v>0</v>
      </c>
      <c r="F35" s="19" t="n">
        <f aca="false">SUMPRODUCT((YEAR(FLUXO_MENSAL!$J$7:$CC$7)=PARAMETROS!$C$7)*FLUXO_MENSAL!$J38:$CC38)</f>
        <v>0</v>
      </c>
      <c r="G35" s="19" t="n">
        <f aca="false">E35+F35</f>
        <v>0</v>
      </c>
      <c r="H35" s="41" t="n">
        <f aca="false">IF(D35=0,0,G35/D35)</f>
        <v>0</v>
      </c>
      <c r="I35" s="19" t="n">
        <f aca="false">D35-G35</f>
        <v>112630.59</v>
      </c>
      <c r="J35" s="11"/>
    </row>
    <row r="36" customFormat="false" ht="15" hidden="false" customHeight="false" outlineLevel="0" collapsed="false">
      <c r="A36" s="31" t="str">
        <f aca="false">FLUXO_MENSAL!A39</f>
        <v>32</v>
      </c>
      <c r="B36" s="31" t="str">
        <f aca="false">FLUXO_MENSAL!B39</f>
        <v>REVESTIMENTO DIVERSOS - FACHADA</v>
      </c>
      <c r="C36" s="31" t="str">
        <f aca="false">FLUXO_MENSAL!C39</f>
        <v>ACABAMENTOS</v>
      </c>
      <c r="D36" s="32" t="n">
        <f aca="false">FLUXO_MENSAL!D39</f>
        <v>5326854.93</v>
      </c>
      <c r="E36" s="19" t="n">
        <f aca="false">SUMPRODUCT((FLUXO_MENSAL!$J$7:$CC$7&lt;DATE(PARAMETROS!$C$7,1,1))*FLUXO_MENSAL!$J39:$CC39)</f>
        <v>0</v>
      </c>
      <c r="F36" s="19" t="n">
        <f aca="false">SUMPRODUCT((YEAR(FLUXO_MENSAL!$J$7:$CC$7)=PARAMETROS!$C$7)*FLUXO_MENSAL!$J39:$CC39)</f>
        <v>1249147.47531</v>
      </c>
      <c r="G36" s="19" t="n">
        <f aca="false">E36+F36</f>
        <v>1249147.47531</v>
      </c>
      <c r="H36" s="41" t="n">
        <f aca="false">IF(D36=0,0,G36/D36)</f>
        <v>0.234499998915871</v>
      </c>
      <c r="I36" s="19" t="n">
        <f aca="false">D36-G36</f>
        <v>4077707.45469</v>
      </c>
      <c r="J36" s="11"/>
    </row>
    <row r="37" customFormat="false" ht="15" hidden="false" customHeight="false" outlineLevel="0" collapsed="false">
      <c r="A37" s="31" t="str">
        <f aca="false">FLUXO_MENSAL!A40</f>
        <v>33</v>
      </c>
      <c r="B37" s="31" t="str">
        <f aca="false">FLUXO_MENSAL!B40</f>
        <v>FORRO</v>
      </c>
      <c r="C37" s="31" t="str">
        <f aca="false">FLUXO_MENSAL!C40</f>
        <v>ACABAMENTOS</v>
      </c>
      <c r="D37" s="32" t="n">
        <f aca="false">FLUXO_MENSAL!D40</f>
        <v>1781242.11</v>
      </c>
      <c r="E37" s="19" t="n">
        <f aca="false">SUMPRODUCT((FLUXO_MENSAL!$J$7:$CC$7&lt;DATE(PARAMETROS!$C$7,1,1))*FLUXO_MENSAL!$J40:$CC40)</f>
        <v>0</v>
      </c>
      <c r="F37" s="19" t="n">
        <f aca="false">SUMPRODUCT((YEAR(FLUXO_MENSAL!$J$7:$CC$7)=PARAMETROS!$C$7)*FLUXO_MENSAL!$J40:$CC40)</f>
        <v>201458.481131</v>
      </c>
      <c r="G37" s="19" t="n">
        <f aca="false">E37+F37</f>
        <v>201458.481131</v>
      </c>
      <c r="H37" s="41" t="n">
        <f aca="false">IF(D37=0,0,G37/D37)</f>
        <v>0.113099999152277</v>
      </c>
      <c r="I37" s="19" t="n">
        <f aca="false">D37-G37</f>
        <v>1579783.628869</v>
      </c>
      <c r="J37" s="11"/>
    </row>
    <row r="38" customFormat="false" ht="15" hidden="false" customHeight="false" outlineLevel="0" collapsed="false">
      <c r="A38" s="31" t="str">
        <f aca="false">FLUXO_MENSAL!A41</f>
        <v>34</v>
      </c>
      <c r="B38" s="31" t="str">
        <f aca="false">FLUXO_MENSAL!B41</f>
        <v>LOUÇAS SANITÁRIAS</v>
      </c>
      <c r="C38" s="31" t="str">
        <f aca="false">FLUXO_MENSAL!C41</f>
        <v>ACABAMENTOS</v>
      </c>
      <c r="D38" s="32" t="n">
        <f aca="false">FLUXO_MENSAL!D41</f>
        <v>2160628.3</v>
      </c>
      <c r="E38" s="19" t="n">
        <f aca="false">SUMPRODUCT((FLUXO_MENSAL!$J$7:$CC$7&lt;DATE(PARAMETROS!$C$7,1,1))*FLUXO_MENSAL!$J41:$CC41)</f>
        <v>0</v>
      </c>
      <c r="F38" s="19" t="n">
        <f aca="false">SUMPRODUCT((YEAR(FLUXO_MENSAL!$J$7:$CC$7)=PARAMETROS!$C$7)*FLUXO_MENSAL!$J41:$CC41)</f>
        <v>0</v>
      </c>
      <c r="G38" s="19" t="n">
        <f aca="false">E38+F38</f>
        <v>0</v>
      </c>
      <c r="H38" s="41" t="n">
        <f aca="false">IF(D38=0,0,G38/D38)</f>
        <v>0</v>
      </c>
      <c r="I38" s="19" t="n">
        <f aca="false">D38-G38</f>
        <v>2160628.3</v>
      </c>
      <c r="J38" s="11"/>
    </row>
    <row r="39" customFormat="false" ht="15" hidden="false" customHeight="false" outlineLevel="0" collapsed="false">
      <c r="A39" s="31" t="str">
        <f aca="false">FLUXO_MENSAL!A42</f>
        <v>35</v>
      </c>
      <c r="B39" s="31" t="str">
        <f aca="false">FLUXO_MENSAL!B42</f>
        <v>PINTURA</v>
      </c>
      <c r="C39" s="31" t="str">
        <f aca="false">FLUXO_MENSAL!C42</f>
        <v>ACABAMENTOS</v>
      </c>
      <c r="D39" s="32" t="n">
        <f aca="false">FLUXO_MENSAL!D42</f>
        <v>3874003.32</v>
      </c>
      <c r="E39" s="19" t="n">
        <f aca="false">SUMPRODUCT((FLUXO_MENSAL!$J$7:$CC$7&lt;DATE(PARAMETROS!$C$7,1,1))*FLUXO_MENSAL!$J42:$CC42)</f>
        <v>0</v>
      </c>
      <c r="F39" s="19" t="n">
        <f aca="false">SUMPRODUCT((YEAR(FLUXO_MENSAL!$J$7:$CC$7)=PARAMETROS!$C$7)*FLUXO_MENSAL!$J42:$CC42)</f>
        <v>392066.903222719</v>
      </c>
      <c r="G39" s="19" t="n">
        <f aca="false">E39+F39</f>
        <v>392066.903222719</v>
      </c>
      <c r="H39" s="41" t="n">
        <f aca="false">IF(D39=0,0,G39/D39)</f>
        <v>0.101204586273488</v>
      </c>
      <c r="I39" s="19" t="n">
        <f aca="false">D39-G39</f>
        <v>3481936.41677728</v>
      </c>
      <c r="J39" s="11"/>
    </row>
    <row r="40" customFormat="false" ht="15" hidden="false" customHeight="false" outlineLevel="0" collapsed="false">
      <c r="A40" s="31" t="str">
        <f aca="false">FLUXO_MENSAL!A43</f>
        <v>36</v>
      </c>
      <c r="B40" s="31" t="str">
        <f aca="false">FLUXO_MENSAL!B43</f>
        <v>PAISAGISMO</v>
      </c>
      <c r="C40" s="31" t="str">
        <f aca="false">FLUXO_MENSAL!C43</f>
        <v>ACABAMENTOS</v>
      </c>
      <c r="D40" s="32" t="n">
        <f aca="false">FLUXO_MENSAL!D43</f>
        <v>1176926.3</v>
      </c>
      <c r="E40" s="19" t="n">
        <f aca="false">SUMPRODUCT((FLUXO_MENSAL!$J$7:$CC$7&lt;DATE(PARAMETROS!$C$7,1,1))*FLUXO_MENSAL!$J43:$CC43)</f>
        <v>0</v>
      </c>
      <c r="F40" s="19" t="n">
        <f aca="false">SUMPRODUCT((YEAR(FLUXO_MENSAL!$J$7:$CC$7)=PARAMETROS!$C$7)*FLUXO_MENSAL!$J43:$CC43)</f>
        <v>0</v>
      </c>
      <c r="G40" s="19" t="n">
        <f aca="false">E40+F40</f>
        <v>0</v>
      </c>
      <c r="H40" s="41" t="n">
        <f aca="false">IF(D40=0,0,G40/D40)</f>
        <v>0</v>
      </c>
      <c r="I40" s="19" t="n">
        <f aca="false">D40-G40</f>
        <v>1176926.3</v>
      </c>
      <c r="J40" s="11"/>
    </row>
    <row r="41" customFormat="false" ht="15" hidden="false" customHeight="false" outlineLevel="0" collapsed="false">
      <c r="A41" s="31" t="str">
        <f aca="false">FLUXO_MENSAL!A44</f>
        <v>37</v>
      </c>
      <c r="B41" s="31" t="str">
        <f aca="false">FLUXO_MENSAL!B44</f>
        <v>LIMPEZA FINAL DE OBRA</v>
      </c>
      <c r="C41" s="31" t="str">
        <f aca="false">FLUXO_MENSAL!C44</f>
        <v>ACABAMENTOS</v>
      </c>
      <c r="D41" s="32" t="n">
        <f aca="false">FLUXO_MENSAL!D44</f>
        <v>935395.03</v>
      </c>
      <c r="E41" s="19" t="n">
        <f aca="false">SUMPRODUCT((FLUXO_MENSAL!$J$7:$CC$7&lt;DATE(PARAMETROS!$C$7,1,1))*FLUXO_MENSAL!$J44:$CC44)</f>
        <v>0</v>
      </c>
      <c r="F41" s="19" t="n">
        <f aca="false">SUMPRODUCT((YEAR(FLUXO_MENSAL!$J$7:$CC$7)=PARAMETROS!$C$7)*FLUXO_MENSAL!$J44:$CC44)</f>
        <v>0</v>
      </c>
      <c r="G41" s="19" t="n">
        <f aca="false">E41+F41</f>
        <v>0</v>
      </c>
      <c r="H41" s="41" t="n">
        <f aca="false">IF(D41=0,0,G41/D41)</f>
        <v>0</v>
      </c>
      <c r="I41" s="19" t="n">
        <f aca="false">D41-G41</f>
        <v>935395.03</v>
      </c>
      <c r="J41" s="11"/>
    </row>
    <row r="42" customFormat="false" ht="15" hidden="false" customHeight="false" outlineLevel="0" collapsed="false">
      <c r="A42" s="31" t="str">
        <f aca="false">FLUXO_MENSAL!A45</f>
        <v>38</v>
      </c>
      <c r="B42" s="31" t="str">
        <f aca="false">FLUXO_MENSAL!B45</f>
        <v>TAXA DE ADMINISTRAÇÃO</v>
      </c>
      <c r="C42" s="31" t="str">
        <f aca="false">FLUXO_MENSAL!C45</f>
        <v>TAXA DE ADMINISTRAÇÃO</v>
      </c>
      <c r="D42" s="32" t="n">
        <f aca="false">FLUXO_MENSAL!D45</f>
        <v>566105.29</v>
      </c>
      <c r="E42" s="19" t="n">
        <f aca="false">SUMPRODUCT((FLUXO_MENSAL!$J$7:$CC$7&lt;DATE(PARAMETROS!$C$7,1,1))*FLUXO_MENSAL!$J45:$CC45)</f>
        <v>566105.29</v>
      </c>
      <c r="F42" s="19" t="n">
        <f aca="false">SUMPRODUCT((YEAR(FLUXO_MENSAL!$J$7:$CC$7)=PARAMETROS!$C$7)*FLUXO_MENSAL!$J45:$CC45)</f>
        <v>0</v>
      </c>
      <c r="G42" s="19" t="n">
        <f aca="false">E42+F42</f>
        <v>566105.29</v>
      </c>
      <c r="H42" s="41" t="n">
        <f aca="false">IF(D42=0,0,G42/D42)</f>
        <v>1</v>
      </c>
      <c r="I42" s="19" t="n">
        <f aca="false">D42-G42</f>
        <v>0</v>
      </c>
      <c r="J42" s="11"/>
    </row>
    <row r="43" customFormat="false" ht="15" hidden="false" customHeight="false" outlineLevel="0" collapsed="false">
      <c r="A43" s="31" t="str">
        <f aca="false">FLUXO_MENSAL!A46</f>
        <v/>
      </c>
      <c r="B43" s="31" t="str">
        <f aca="false">FLUXO_MENSAL!B46</f>
        <v/>
      </c>
      <c r="C43" s="31" t="str">
        <f aca="false">FLUXO_MENSAL!C46</f>
        <v/>
      </c>
      <c r="D43" s="32" t="n">
        <f aca="false">FLUXO_MENSAL!D46</f>
        <v>0</v>
      </c>
      <c r="E43" s="19" t="n">
        <f aca="false">SUMPRODUCT((FLUXO_MENSAL!$J$7:$CC$7&lt;DATE(PARAMETROS!$C$7,1,1))*FLUXO_MENSAL!$J46:$CC46)</f>
        <v>0</v>
      </c>
      <c r="F43" s="19" t="n">
        <f aca="false">SUMPRODUCT((YEAR(FLUXO_MENSAL!$J$7:$CC$7)=PARAMETROS!$C$7)*FLUXO_MENSAL!$J46:$CC46)</f>
        <v>0</v>
      </c>
      <c r="G43" s="19" t="n">
        <f aca="false">E43+F43</f>
        <v>0</v>
      </c>
      <c r="H43" s="41" t="n">
        <f aca="false">IF(D43=0,0,G43/D43)</f>
        <v>0</v>
      </c>
      <c r="I43" s="19" t="n">
        <f aca="false">D43-G43</f>
        <v>0</v>
      </c>
      <c r="J43" s="11"/>
    </row>
    <row r="44" customFormat="false" ht="15" hidden="false" customHeight="false" outlineLevel="0" collapsed="false">
      <c r="A44" s="31" t="str">
        <f aca="false">FLUXO_MENSAL!A47</f>
        <v/>
      </c>
      <c r="B44" s="31" t="str">
        <f aca="false">FLUXO_MENSAL!B47</f>
        <v/>
      </c>
      <c r="C44" s="31" t="str">
        <f aca="false">FLUXO_MENSAL!C47</f>
        <v/>
      </c>
      <c r="D44" s="32" t="n">
        <f aca="false">FLUXO_MENSAL!D47</f>
        <v>0</v>
      </c>
      <c r="E44" s="19" t="n">
        <f aca="false">SUMPRODUCT((FLUXO_MENSAL!$J$7:$CC$7&lt;DATE(PARAMETROS!$C$7,1,1))*FLUXO_MENSAL!$J47:$CC47)</f>
        <v>0</v>
      </c>
      <c r="F44" s="19" t="n">
        <f aca="false">SUMPRODUCT((YEAR(FLUXO_MENSAL!$J$7:$CC$7)=PARAMETROS!$C$7)*FLUXO_MENSAL!$J47:$CC47)</f>
        <v>0</v>
      </c>
      <c r="G44" s="19" t="n">
        <f aca="false">E44+F44</f>
        <v>0</v>
      </c>
      <c r="H44" s="41" t="n">
        <f aca="false">IF(D44=0,0,G44/D44)</f>
        <v>0</v>
      </c>
      <c r="I44" s="19" t="n">
        <f aca="false">D44-G44</f>
        <v>0</v>
      </c>
      <c r="J44" s="11"/>
    </row>
    <row r="45" customFormat="false" ht="15" hidden="false" customHeight="false" outlineLevel="0" collapsed="false">
      <c r="A45" s="31" t="str">
        <f aca="false">FLUXO_MENSAL!A48</f>
        <v/>
      </c>
      <c r="B45" s="31" t="str">
        <f aca="false">FLUXO_MENSAL!B48</f>
        <v/>
      </c>
      <c r="C45" s="31" t="str">
        <f aca="false">FLUXO_MENSAL!C48</f>
        <v/>
      </c>
      <c r="D45" s="32" t="n">
        <f aca="false">FLUXO_MENSAL!D48</f>
        <v>0</v>
      </c>
      <c r="E45" s="19" t="n">
        <f aca="false">SUMPRODUCT((FLUXO_MENSAL!$J$7:$CC$7&lt;DATE(PARAMETROS!$C$7,1,1))*FLUXO_MENSAL!$J48:$CC48)</f>
        <v>0</v>
      </c>
      <c r="F45" s="19" t="n">
        <f aca="false">SUMPRODUCT((YEAR(FLUXO_MENSAL!$J$7:$CC$7)=PARAMETROS!$C$7)*FLUXO_MENSAL!$J48:$CC48)</f>
        <v>0</v>
      </c>
      <c r="G45" s="19" t="n">
        <f aca="false">E45+F45</f>
        <v>0</v>
      </c>
      <c r="H45" s="41" t="n">
        <f aca="false">IF(D45=0,0,G45/D45)</f>
        <v>0</v>
      </c>
      <c r="I45" s="19" t="n">
        <f aca="false">D45-G45</f>
        <v>0</v>
      </c>
      <c r="J45" s="11"/>
    </row>
    <row r="46" customFormat="false" ht="15" hidden="false" customHeight="false" outlineLevel="0" collapsed="false">
      <c r="A46" s="31" t="str">
        <f aca="false">FLUXO_MENSAL!A49</f>
        <v/>
      </c>
      <c r="B46" s="31" t="str">
        <f aca="false">FLUXO_MENSAL!B49</f>
        <v/>
      </c>
      <c r="C46" s="31" t="str">
        <f aca="false">FLUXO_MENSAL!C49</f>
        <v/>
      </c>
      <c r="D46" s="32" t="n">
        <f aca="false">FLUXO_MENSAL!D49</f>
        <v>0</v>
      </c>
      <c r="E46" s="19" t="n">
        <f aca="false">SUMPRODUCT((FLUXO_MENSAL!$J$7:$CC$7&lt;DATE(PARAMETROS!$C$7,1,1))*FLUXO_MENSAL!$J49:$CC49)</f>
        <v>0</v>
      </c>
      <c r="F46" s="19" t="n">
        <f aca="false">SUMPRODUCT((YEAR(FLUXO_MENSAL!$J$7:$CC$7)=PARAMETROS!$C$7)*FLUXO_MENSAL!$J49:$CC49)</f>
        <v>0</v>
      </c>
      <c r="G46" s="19" t="n">
        <f aca="false">E46+F46</f>
        <v>0</v>
      </c>
      <c r="H46" s="41" t="n">
        <f aca="false">IF(D46=0,0,G46/D46)</f>
        <v>0</v>
      </c>
      <c r="I46" s="19" t="n">
        <f aca="false">D46-G46</f>
        <v>0</v>
      </c>
      <c r="J46" s="11"/>
    </row>
    <row r="47" customFormat="false" ht="15" hidden="false" customHeight="false" outlineLevel="0" collapsed="false">
      <c r="A47" s="31" t="str">
        <f aca="false">FLUXO_MENSAL!A50</f>
        <v/>
      </c>
      <c r="B47" s="31" t="str">
        <f aca="false">FLUXO_MENSAL!B50</f>
        <v/>
      </c>
      <c r="C47" s="31" t="str">
        <f aca="false">FLUXO_MENSAL!C50</f>
        <v/>
      </c>
      <c r="D47" s="32" t="n">
        <f aca="false">FLUXO_MENSAL!D50</f>
        <v>0</v>
      </c>
      <c r="E47" s="19" t="n">
        <f aca="false">SUMPRODUCT((FLUXO_MENSAL!$J$7:$CC$7&lt;DATE(PARAMETROS!$C$7,1,1))*FLUXO_MENSAL!$J50:$CC50)</f>
        <v>0</v>
      </c>
      <c r="F47" s="19" t="n">
        <f aca="false">SUMPRODUCT((YEAR(FLUXO_MENSAL!$J$7:$CC$7)=PARAMETROS!$C$7)*FLUXO_MENSAL!$J50:$CC50)</f>
        <v>0</v>
      </c>
      <c r="G47" s="19" t="n">
        <f aca="false">E47+F47</f>
        <v>0</v>
      </c>
      <c r="H47" s="41" t="n">
        <f aca="false">IF(D47=0,0,G47/D47)</f>
        <v>0</v>
      </c>
      <c r="I47" s="19" t="n">
        <f aca="false">D47-G47</f>
        <v>0</v>
      </c>
      <c r="J47" s="11"/>
    </row>
    <row r="48" customFormat="false" ht="15" hidden="false" customHeight="false" outlineLevel="0" collapsed="false">
      <c r="A48" s="31" t="str">
        <f aca="false">FLUXO_MENSAL!A51</f>
        <v/>
      </c>
      <c r="B48" s="31" t="str">
        <f aca="false">FLUXO_MENSAL!B51</f>
        <v/>
      </c>
      <c r="C48" s="31" t="str">
        <f aca="false">FLUXO_MENSAL!C51</f>
        <v/>
      </c>
      <c r="D48" s="32" t="n">
        <f aca="false">FLUXO_MENSAL!D51</f>
        <v>0</v>
      </c>
      <c r="E48" s="19" t="n">
        <f aca="false">SUMPRODUCT((FLUXO_MENSAL!$J$7:$CC$7&lt;DATE(PARAMETROS!$C$7,1,1))*FLUXO_MENSAL!$J51:$CC51)</f>
        <v>0</v>
      </c>
      <c r="F48" s="19" t="n">
        <f aca="false">SUMPRODUCT((YEAR(FLUXO_MENSAL!$J$7:$CC$7)=PARAMETROS!$C$7)*FLUXO_MENSAL!$J51:$CC51)</f>
        <v>0</v>
      </c>
      <c r="G48" s="19" t="n">
        <f aca="false">E48+F48</f>
        <v>0</v>
      </c>
      <c r="H48" s="41" t="n">
        <f aca="false">IF(D48=0,0,G48/D48)</f>
        <v>0</v>
      </c>
      <c r="I48" s="19" t="n">
        <f aca="false">D48-G48</f>
        <v>0</v>
      </c>
      <c r="J48" s="11"/>
    </row>
    <row r="49" customFormat="false" ht="15" hidden="false" customHeight="false" outlineLevel="0" collapsed="false">
      <c r="A49" s="31" t="str">
        <f aca="false">FLUXO_MENSAL!A52</f>
        <v/>
      </c>
      <c r="B49" s="31" t="str">
        <f aca="false">FLUXO_MENSAL!B52</f>
        <v/>
      </c>
      <c r="C49" s="31" t="str">
        <f aca="false">FLUXO_MENSAL!C52</f>
        <v/>
      </c>
      <c r="D49" s="32" t="n">
        <f aca="false">FLUXO_MENSAL!D52</f>
        <v>0</v>
      </c>
      <c r="E49" s="19" t="n">
        <f aca="false">SUMPRODUCT((FLUXO_MENSAL!$J$7:$CC$7&lt;DATE(PARAMETROS!$C$7,1,1))*FLUXO_MENSAL!$J52:$CC52)</f>
        <v>0</v>
      </c>
      <c r="F49" s="19" t="n">
        <f aca="false">SUMPRODUCT((YEAR(FLUXO_MENSAL!$J$7:$CC$7)=PARAMETROS!$C$7)*FLUXO_MENSAL!$J52:$CC52)</f>
        <v>0</v>
      </c>
      <c r="G49" s="19" t="n">
        <f aca="false">E49+F49</f>
        <v>0</v>
      </c>
      <c r="H49" s="41" t="n">
        <f aca="false">IF(D49=0,0,G49/D49)</f>
        <v>0</v>
      </c>
      <c r="I49" s="19" t="n">
        <f aca="false">D49-G49</f>
        <v>0</v>
      </c>
      <c r="J49" s="11"/>
    </row>
    <row r="50" customFormat="false" ht="15" hidden="false" customHeight="false" outlineLevel="0" collapsed="false">
      <c r="A50" s="31" t="str">
        <f aca="false">FLUXO_MENSAL!A53</f>
        <v/>
      </c>
      <c r="B50" s="31" t="str">
        <f aca="false">FLUXO_MENSAL!B53</f>
        <v/>
      </c>
      <c r="C50" s="31" t="str">
        <f aca="false">FLUXO_MENSAL!C53</f>
        <v/>
      </c>
      <c r="D50" s="32" t="n">
        <f aca="false">FLUXO_MENSAL!D53</f>
        <v>0</v>
      </c>
      <c r="E50" s="19" t="n">
        <f aca="false">SUMPRODUCT((FLUXO_MENSAL!$J$7:$CC$7&lt;DATE(PARAMETROS!$C$7,1,1))*FLUXO_MENSAL!$J53:$CC53)</f>
        <v>0</v>
      </c>
      <c r="F50" s="19" t="n">
        <f aca="false">SUMPRODUCT((YEAR(FLUXO_MENSAL!$J$7:$CC$7)=PARAMETROS!$C$7)*FLUXO_MENSAL!$J53:$CC53)</f>
        <v>0</v>
      </c>
      <c r="G50" s="19" t="n">
        <f aca="false">E50+F50</f>
        <v>0</v>
      </c>
      <c r="H50" s="41" t="n">
        <f aca="false">IF(D50=0,0,G50/D50)</f>
        <v>0</v>
      </c>
      <c r="I50" s="19" t="n">
        <f aca="false">D50-G50</f>
        <v>0</v>
      </c>
      <c r="J50" s="11"/>
    </row>
    <row r="51" customFormat="false" ht="15" hidden="false" customHeight="false" outlineLevel="0" collapsed="false">
      <c r="A51" s="31" t="str">
        <f aca="false">FLUXO_MENSAL!A54</f>
        <v/>
      </c>
      <c r="B51" s="31" t="str">
        <f aca="false">FLUXO_MENSAL!B54</f>
        <v/>
      </c>
      <c r="C51" s="31" t="str">
        <f aca="false">FLUXO_MENSAL!C54</f>
        <v/>
      </c>
      <c r="D51" s="32" t="n">
        <f aca="false">FLUXO_MENSAL!D54</f>
        <v>0</v>
      </c>
      <c r="E51" s="19" t="n">
        <f aca="false">SUMPRODUCT((FLUXO_MENSAL!$J$7:$CC$7&lt;DATE(PARAMETROS!$C$7,1,1))*FLUXO_MENSAL!$J54:$CC54)</f>
        <v>0</v>
      </c>
      <c r="F51" s="19" t="n">
        <f aca="false">SUMPRODUCT((YEAR(FLUXO_MENSAL!$J$7:$CC$7)=PARAMETROS!$C$7)*FLUXO_MENSAL!$J54:$CC54)</f>
        <v>0</v>
      </c>
      <c r="G51" s="19" t="n">
        <f aca="false">E51+F51</f>
        <v>0</v>
      </c>
      <c r="H51" s="41" t="n">
        <f aca="false">IF(D51=0,0,G51/D51)</f>
        <v>0</v>
      </c>
      <c r="I51" s="19" t="n">
        <f aca="false">D51-G51</f>
        <v>0</v>
      </c>
      <c r="J51" s="11"/>
    </row>
    <row r="52" customFormat="false" ht="15" hidden="false" customHeight="false" outlineLevel="0" collapsed="false">
      <c r="A52" s="31" t="str">
        <f aca="false">FLUXO_MENSAL!A55</f>
        <v/>
      </c>
      <c r="B52" s="31" t="str">
        <f aca="false">FLUXO_MENSAL!B55</f>
        <v/>
      </c>
      <c r="C52" s="31" t="str">
        <f aca="false">FLUXO_MENSAL!C55</f>
        <v/>
      </c>
      <c r="D52" s="32" t="n">
        <f aca="false">FLUXO_MENSAL!D55</f>
        <v>0</v>
      </c>
      <c r="E52" s="19" t="n">
        <f aca="false">SUMPRODUCT((FLUXO_MENSAL!$J$7:$CC$7&lt;DATE(PARAMETROS!$C$7,1,1))*FLUXO_MENSAL!$J55:$CC55)</f>
        <v>0</v>
      </c>
      <c r="F52" s="19" t="n">
        <f aca="false">SUMPRODUCT((YEAR(FLUXO_MENSAL!$J$7:$CC$7)=PARAMETROS!$C$7)*FLUXO_MENSAL!$J55:$CC55)</f>
        <v>0</v>
      </c>
      <c r="G52" s="19" t="n">
        <f aca="false">E52+F52</f>
        <v>0</v>
      </c>
      <c r="H52" s="41" t="n">
        <f aca="false">IF(D52=0,0,G52/D52)</f>
        <v>0</v>
      </c>
      <c r="I52" s="19" t="n">
        <f aca="false">D52-G52</f>
        <v>0</v>
      </c>
      <c r="J52" s="11"/>
    </row>
    <row r="53" customFormat="false" ht="15" hidden="false" customHeight="false" outlineLevel="0" collapsed="false">
      <c r="A53" s="31" t="str">
        <f aca="false">FLUXO_MENSAL!A56</f>
        <v/>
      </c>
      <c r="B53" s="31" t="str">
        <f aca="false">FLUXO_MENSAL!B56</f>
        <v/>
      </c>
      <c r="C53" s="31" t="str">
        <f aca="false">FLUXO_MENSAL!C56</f>
        <v/>
      </c>
      <c r="D53" s="32" t="n">
        <f aca="false">FLUXO_MENSAL!D56</f>
        <v>0</v>
      </c>
      <c r="E53" s="19" t="n">
        <f aca="false">SUMPRODUCT((FLUXO_MENSAL!$J$7:$CC$7&lt;DATE(PARAMETROS!$C$7,1,1))*FLUXO_MENSAL!$J56:$CC56)</f>
        <v>0</v>
      </c>
      <c r="F53" s="19" t="n">
        <f aca="false">SUMPRODUCT((YEAR(FLUXO_MENSAL!$J$7:$CC$7)=PARAMETROS!$C$7)*FLUXO_MENSAL!$J56:$CC56)</f>
        <v>0</v>
      </c>
      <c r="G53" s="19" t="n">
        <f aca="false">E53+F53</f>
        <v>0</v>
      </c>
      <c r="H53" s="41" t="n">
        <f aca="false">IF(D53=0,0,G53/D53)</f>
        <v>0</v>
      </c>
      <c r="I53" s="19" t="n">
        <f aca="false">D53-G53</f>
        <v>0</v>
      </c>
      <c r="J53" s="11"/>
    </row>
    <row r="54" customFormat="false" ht="15" hidden="false" customHeight="false" outlineLevel="0" collapsed="false">
      <c r="A54" s="31" t="str">
        <f aca="false">FLUXO_MENSAL!A57</f>
        <v/>
      </c>
      <c r="B54" s="31" t="str">
        <f aca="false">FLUXO_MENSAL!B57</f>
        <v/>
      </c>
      <c r="C54" s="31" t="str">
        <f aca="false">FLUXO_MENSAL!C57</f>
        <v/>
      </c>
      <c r="D54" s="32" t="n">
        <f aca="false">FLUXO_MENSAL!D57</f>
        <v>0</v>
      </c>
      <c r="E54" s="19" t="n">
        <f aca="false">SUMPRODUCT((FLUXO_MENSAL!$J$7:$CC$7&lt;DATE(PARAMETROS!$C$7,1,1))*FLUXO_MENSAL!$J57:$CC57)</f>
        <v>0</v>
      </c>
      <c r="F54" s="19" t="n">
        <f aca="false">SUMPRODUCT((YEAR(FLUXO_MENSAL!$J$7:$CC$7)=PARAMETROS!$C$7)*FLUXO_MENSAL!$J57:$CC57)</f>
        <v>0</v>
      </c>
      <c r="G54" s="19" t="n">
        <f aca="false">E54+F54</f>
        <v>0</v>
      </c>
      <c r="H54" s="41" t="n">
        <f aca="false">IF(D54=0,0,G54/D54)</f>
        <v>0</v>
      </c>
      <c r="I54" s="19" t="n">
        <f aca="false">D54-G54</f>
        <v>0</v>
      </c>
      <c r="J54" s="11"/>
    </row>
    <row r="55" customFormat="false" ht="15" hidden="false" customHeight="false" outlineLevel="0" collapsed="false">
      <c r="A55" s="7"/>
      <c r="B55" s="3" t="s">
        <v>238</v>
      </c>
      <c r="C55" s="7"/>
      <c r="D55" s="36" t="n">
        <f aca="false">SUM(D5:D54)</f>
        <v>159333109.97</v>
      </c>
      <c r="E55" s="36" t="n">
        <f aca="false">SUM(E5:E54)</f>
        <v>30155128.6621591</v>
      </c>
      <c r="F55" s="36" t="n">
        <f aca="false">SUM(F5:F54)</f>
        <v>48540176.2291441</v>
      </c>
      <c r="G55" s="36" t="n">
        <f aca="false">SUM(G5:G54)</f>
        <v>78695304.8913031</v>
      </c>
      <c r="H55" s="42" t="n">
        <f aca="false">IF(D55=0,0,G55/D55)</f>
        <v>0.493904279569515</v>
      </c>
      <c r="I55" s="36" t="n">
        <f aca="false">SUM(I5:I54)</f>
        <v>80637805.0786969</v>
      </c>
      <c r="J55" s="7"/>
    </row>
    <row r="56" customFormat="false" ht="15" hidden="false" customHeight="false" outlineLevel="0" collapsed="false">
      <c r="A56" s="7"/>
      <c r="B56" s="3" t="s">
        <v>239</v>
      </c>
      <c r="C56" s="7"/>
      <c r="D56" s="36" t="n">
        <f aca="false">D55-SUMIF($C$5:$C$54,"TAXA DE ADMINISTRAÇÃO",D$5:D$54)</f>
        <v>158767004.68</v>
      </c>
      <c r="E56" s="36" t="n">
        <f aca="false">E55-SUMIF($C$5:$C$54,"TAXA DE ADMINISTRAÇÃO",E$5:E$54)</f>
        <v>29589023.3721591</v>
      </c>
      <c r="F56" s="36" t="n">
        <f aca="false">F55-SUMIF($C$5:$C$54,"TAXA DE ADMINISTRAÇÃO",F$5:F$54)</f>
        <v>48540176.2291441</v>
      </c>
      <c r="G56" s="36" t="n">
        <f aca="false">G55-SUMIF($C$5:$C$54,"TAXA DE ADMINISTRAÇÃO",G$5:G$54)</f>
        <v>78129199.6013031</v>
      </c>
      <c r="H56" s="42" t="n">
        <f aca="false">IF(D56=0,0,G56/D56)</f>
        <v>0.49209972663259</v>
      </c>
      <c r="I56" s="36" t="n">
        <f aca="false">I55-SUMIF($C$5:$C$54,"TAXA DE ADMINISTRAÇÃO",I$5:I$54)</f>
        <v>80637805.0786969</v>
      </c>
      <c r="J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5" hidden="false" customHeight="false" outlineLevel="0" collapsed="false">
      <c r="A58" s="7"/>
      <c r="B58" s="3" t="s">
        <v>230</v>
      </c>
      <c r="C58" s="7"/>
      <c r="D58" s="7"/>
      <c r="E58" s="7"/>
      <c r="F58" s="7"/>
      <c r="G58" s="7"/>
      <c r="H58" s="7"/>
      <c r="I58" s="7"/>
      <c r="J58" s="7"/>
    </row>
    <row r="59" customFormat="false" ht="39.55" hidden="false" customHeight="false" outlineLevel="0" collapsed="false">
      <c r="A59" s="17"/>
      <c r="B59" s="17" t="s">
        <v>56</v>
      </c>
      <c r="C59" s="17"/>
      <c r="D59" s="17" t="s">
        <v>209</v>
      </c>
      <c r="E59" s="17" t="s">
        <v>232</v>
      </c>
      <c r="F59" s="17" t="s">
        <v>233</v>
      </c>
      <c r="G59" s="17" t="s">
        <v>234</v>
      </c>
      <c r="H59" s="17" t="s">
        <v>235</v>
      </c>
      <c r="I59" s="17" t="s">
        <v>236</v>
      </c>
      <c r="J59" s="7"/>
    </row>
    <row r="60" customFormat="false" ht="15" hidden="false" customHeight="false" outlineLevel="0" collapsed="false">
      <c r="A60" s="7"/>
      <c r="B60" s="31" t="str">
        <f aca="false">IF(PARAMETROS!E4="","",PARAMETROS!E4)</f>
        <v>INDIRETOS</v>
      </c>
      <c r="C60" s="7"/>
      <c r="D60" s="40" t="n">
        <f aca="false">IF($B60="","",SUMIF($C$5:$C$54,$B60,D$5:D$54))</f>
        <v>35235571.02</v>
      </c>
      <c r="E60" s="40" t="n">
        <f aca="false">IF($B60="","",SUMIF($C$5:$C$54,$B60,E$5:E$54))</f>
        <v>10098150.3803466</v>
      </c>
      <c r="F60" s="40" t="n">
        <f aca="false">IF($B60="","",SUMIF($C$5:$C$54,$B60,F$5:F$54))</f>
        <v>9848886.5480491</v>
      </c>
      <c r="G60" s="40" t="n">
        <f aca="false">IF($B60="","",SUMIF($C$5:$C$54,$B60,G$5:G$54))</f>
        <v>19947036.9283957</v>
      </c>
      <c r="H60" s="43" t="n">
        <f aca="false">IF($B60="","",IF(D60=0,0,G60/D60))</f>
        <v>0.566105113411489</v>
      </c>
      <c r="I60" s="40" t="n">
        <f aca="false">IF($B60="","",SUMIF($C$5:$C$54,$B60,I$5:I$54))</f>
        <v>15288534.0916043</v>
      </c>
      <c r="J60" s="7"/>
    </row>
    <row r="61" customFormat="false" ht="15" hidden="false" customHeight="false" outlineLevel="0" collapsed="false">
      <c r="A61" s="7"/>
      <c r="B61" s="31" t="str">
        <f aca="false">IF(PARAMETROS!E5="","",PARAMETROS!E5)</f>
        <v>INFRAESTRUTURA</v>
      </c>
      <c r="C61" s="7"/>
      <c r="D61" s="40" t="n">
        <f aca="false">IF($B61="","",SUMIF($C$5:$C$54,$B61,D$5:D$54))</f>
        <v>14305656.08</v>
      </c>
      <c r="E61" s="40" t="n">
        <f aca="false">IF($B61="","",SUMIF($C$5:$C$54,$B61,E$5:E$54))</f>
        <v>12502807.5892113</v>
      </c>
      <c r="F61" s="40" t="n">
        <f aca="false">IF($B61="","",SUMIF($C$5:$C$54,$B61,F$5:F$54))</f>
        <v>1318864.25276028</v>
      </c>
      <c r="G61" s="40" t="n">
        <f aca="false">IF($B61="","",SUMIF($C$5:$C$54,$B61,G$5:G$54))</f>
        <v>13821671.8419716</v>
      </c>
      <c r="H61" s="43" t="n">
        <f aca="false">IF($B61="","",IF(D61=0,0,G61/D61))</f>
        <v>0.966168329832491</v>
      </c>
      <c r="I61" s="40" t="n">
        <f aca="false">IF($B61="","",SUMIF($C$5:$C$54,$B61,I$5:I$54))</f>
        <v>483984.238028381</v>
      </c>
      <c r="J61" s="7"/>
    </row>
    <row r="62" customFormat="false" ht="15" hidden="false" customHeight="false" outlineLevel="0" collapsed="false">
      <c r="A62" s="7"/>
      <c r="B62" s="31" t="str">
        <f aca="false">IF(PARAMETROS!E6="","",PARAMETROS!E6)</f>
        <v>ESTRUTURA</v>
      </c>
      <c r="C62" s="7"/>
      <c r="D62" s="40" t="n">
        <f aca="false">IF($B62="","",SUMIF($C$5:$C$54,$B62,D$5:D$54))</f>
        <v>26850931.32</v>
      </c>
      <c r="E62" s="40" t="n">
        <f aca="false">IF($B62="","",SUMIF($C$5:$C$54,$B62,E$5:E$54))</f>
        <v>6406093.89282223</v>
      </c>
      <c r="F62" s="40" t="n">
        <f aca="false">IF($B62="","",SUMIF($C$5:$C$54,$B62,F$5:F$54))</f>
        <v>17796164.6849645</v>
      </c>
      <c r="G62" s="40" t="n">
        <f aca="false">IF($B62="","",SUMIF($C$5:$C$54,$B62,G$5:G$54))</f>
        <v>24202258.5777868</v>
      </c>
      <c r="H62" s="43" t="n">
        <f aca="false">IF($B62="","",IF(D62=0,0,G62/D62))</f>
        <v>0.901356392050343</v>
      </c>
      <c r="I62" s="40" t="n">
        <f aca="false">IF($B62="","",SUMIF($C$5:$C$54,$B62,I$5:I$54))</f>
        <v>2648672.74221325</v>
      </c>
      <c r="J62" s="7"/>
    </row>
    <row r="63" customFormat="false" ht="15" hidden="false" customHeight="false" outlineLevel="0" collapsed="false">
      <c r="A63" s="7"/>
      <c r="B63" s="31" t="str">
        <f aca="false">IF(PARAMETROS!E7="","",PARAMETROS!E7)</f>
        <v>SISTEMAS E VEDAÇÕES</v>
      </c>
      <c r="C63" s="7"/>
      <c r="D63" s="40" t="n">
        <f aca="false">IF($B63="","",SUMIF($C$5:$C$54,$B63,D$5:D$54))</f>
        <v>36811424.21</v>
      </c>
      <c r="E63" s="40" t="n">
        <f aca="false">IF($B63="","",SUMIF($C$5:$C$54,$B63,E$5:E$54))</f>
        <v>574971.50977893</v>
      </c>
      <c r="F63" s="40" t="n">
        <f aca="false">IF($B63="","",SUMIF($C$5:$C$54,$B63,F$5:F$54))</f>
        <v>11219762.6064513</v>
      </c>
      <c r="G63" s="40" t="n">
        <f aca="false">IF($B63="","",SUMIF($C$5:$C$54,$B63,G$5:G$54))</f>
        <v>11794734.1162302</v>
      </c>
      <c r="H63" s="43" t="n">
        <f aca="false">IF($B63="","",IF(D63=0,0,G63/D63))</f>
        <v>0.320409611128985</v>
      </c>
      <c r="I63" s="40" t="n">
        <f aca="false">IF($B63="","",SUMIF($C$5:$C$54,$B63,I$5:I$54))</f>
        <v>25016690.0937698</v>
      </c>
      <c r="J63" s="7"/>
    </row>
    <row r="64" customFormat="false" ht="15" hidden="false" customHeight="false" outlineLevel="0" collapsed="false">
      <c r="A64" s="7"/>
      <c r="B64" s="31" t="str">
        <f aca="false">IF(PARAMETROS!E8="","",PARAMETROS!E8)</f>
        <v>ACABAMENTOS</v>
      </c>
      <c r="C64" s="7"/>
      <c r="D64" s="40" t="n">
        <f aca="false">IF($B64="","",SUMIF($C$5:$C$54,$B64,D$5:D$54))</f>
        <v>45563422.05</v>
      </c>
      <c r="E64" s="40" t="n">
        <f aca="false">IF($B64="","",SUMIF($C$5:$C$54,$B64,E$5:E$54))</f>
        <v>7000</v>
      </c>
      <c r="F64" s="40" t="n">
        <f aca="false">IF($B64="","",SUMIF($C$5:$C$54,$B64,F$5:F$54))</f>
        <v>8356498.13691886</v>
      </c>
      <c r="G64" s="40" t="n">
        <f aca="false">IF($B64="","",SUMIF($C$5:$C$54,$B64,G$5:G$54))</f>
        <v>8363498.13691886</v>
      </c>
      <c r="H64" s="43" t="n">
        <f aca="false">IF($B64="","",IF(D64=0,0,G64/D64))</f>
        <v>0.183557286977721</v>
      </c>
      <c r="I64" s="40" t="n">
        <f aca="false">IF($B64="","",SUMIF($C$5:$C$54,$B64,I$5:I$54))</f>
        <v>37199923.9130811</v>
      </c>
      <c r="J64" s="7"/>
    </row>
    <row r="65" customFormat="false" ht="15" hidden="false" customHeight="false" outlineLevel="0" collapsed="false">
      <c r="A65" s="7"/>
      <c r="B65" s="31" t="str">
        <f aca="false">IF(PARAMETROS!E9="","",PARAMETROS!E9)</f>
        <v>TAXA DE ADMINISTRAÇÃO</v>
      </c>
      <c r="C65" s="7"/>
      <c r="D65" s="40" t="n">
        <f aca="false">IF($B65="","",SUMIF($C$5:$C$54,$B65,D$5:D$54))</f>
        <v>566105.29</v>
      </c>
      <c r="E65" s="40" t="n">
        <f aca="false">IF($B65="","",SUMIF($C$5:$C$54,$B65,E$5:E$54))</f>
        <v>566105.29</v>
      </c>
      <c r="F65" s="40" t="n">
        <f aca="false">IF($B65="","",SUMIF($C$5:$C$54,$B65,F$5:F$54))</f>
        <v>0</v>
      </c>
      <c r="G65" s="40" t="n">
        <f aca="false">IF($B65="","",SUMIF($C$5:$C$54,$B65,G$5:G$54))</f>
        <v>566105.29</v>
      </c>
      <c r="H65" s="43" t="n">
        <f aca="false">IF($B65="","",IF(D65=0,0,G65/D65))</f>
        <v>1</v>
      </c>
      <c r="I65" s="40" t="n">
        <f aca="false">IF($B65="","",SUMIF($C$5:$C$54,$B65,I$5:I$54))</f>
        <v>0</v>
      </c>
      <c r="J65" s="7"/>
    </row>
    <row r="66" customFormat="false" ht="15" hidden="false" customHeight="false" outlineLevel="0" collapsed="false">
      <c r="A66" s="7"/>
      <c r="B66" s="31" t="str">
        <f aca="false">IF(PARAMETROS!E10="","",PARAMETROS!E10)</f>
        <v/>
      </c>
      <c r="C66" s="7"/>
      <c r="D66" s="40" t="str">
        <f aca="false">IF($B66="","",SUMIF($C$5:$C$54,$B66,D$5:D$54))</f>
        <v/>
      </c>
      <c r="E66" s="40" t="str">
        <f aca="false">IF($B66="","",SUMIF($C$5:$C$54,$B66,E$5:E$54))</f>
        <v/>
      </c>
      <c r="F66" s="40" t="str">
        <f aca="false">IF($B66="","",SUMIF($C$5:$C$54,$B66,F$5:F$54))</f>
        <v/>
      </c>
      <c r="G66" s="40" t="str">
        <f aca="false">IF($B66="","",SUMIF($C$5:$C$54,$B66,G$5:G$54))</f>
        <v/>
      </c>
      <c r="H66" s="43" t="str">
        <f aca="false">IF($B66="","",IF(D66=0,0,G66/D66))</f>
        <v/>
      </c>
      <c r="I66" s="40" t="str">
        <f aca="false">IF($B66="","",SUMIF($C$5:$C$54,$B66,I$5:I$54))</f>
        <v/>
      </c>
      <c r="J66" s="7"/>
    </row>
    <row r="67" customFormat="false" ht="15" hidden="false" customHeight="false" outlineLevel="0" collapsed="false">
      <c r="A67" s="7"/>
      <c r="B67" s="31" t="str">
        <f aca="false">IF(PARAMETROS!E11="","",PARAMETROS!E11)</f>
        <v/>
      </c>
      <c r="C67" s="7"/>
      <c r="D67" s="40" t="str">
        <f aca="false">IF($B67="","",SUMIF($C$5:$C$54,$B67,D$5:D$54))</f>
        <v/>
      </c>
      <c r="E67" s="40" t="str">
        <f aca="false">IF($B67="","",SUMIF($C$5:$C$54,$B67,E$5:E$54))</f>
        <v/>
      </c>
      <c r="F67" s="40" t="str">
        <f aca="false">IF($B67="","",SUMIF($C$5:$C$54,$B67,F$5:F$54))</f>
        <v/>
      </c>
      <c r="G67" s="40" t="str">
        <f aca="false">IF($B67="","",SUMIF($C$5:$C$54,$B67,G$5:G$54))</f>
        <v/>
      </c>
      <c r="H67" s="43" t="str">
        <f aca="false">IF($B67="","",IF(D67=0,0,G67/D67))</f>
        <v/>
      </c>
      <c r="I67" s="40" t="str">
        <f aca="false">IF($B67="","",SUMIF($C$5:$C$54,$B67,I$5:I$54))</f>
        <v/>
      </c>
      <c r="J67" s="7"/>
    </row>
    <row r="68" customFormat="false" ht="15" hidden="false" customHeight="false" outlineLevel="0" collapsed="false">
      <c r="A68" s="7"/>
      <c r="B68" s="31" t="str">
        <f aca="false">IF(PARAMETROS!E12="","",PARAMETROS!E12)</f>
        <v/>
      </c>
      <c r="C68" s="7"/>
      <c r="D68" s="40" t="str">
        <f aca="false">IF($B68="","",SUMIF($C$5:$C$54,$B68,D$5:D$54))</f>
        <v/>
      </c>
      <c r="E68" s="40" t="str">
        <f aca="false">IF($B68="","",SUMIF($C$5:$C$54,$B68,E$5:E$54))</f>
        <v/>
      </c>
      <c r="F68" s="40" t="str">
        <f aca="false">IF($B68="","",SUMIF($C$5:$C$54,$B68,F$5:F$54))</f>
        <v/>
      </c>
      <c r="G68" s="40" t="str">
        <f aca="false">IF($B68="","",SUMIF($C$5:$C$54,$B68,G$5:G$54))</f>
        <v/>
      </c>
      <c r="H68" s="43" t="str">
        <f aca="false">IF($B68="","",IF(D68=0,0,G68/D68))</f>
        <v/>
      </c>
      <c r="I68" s="40" t="str">
        <f aca="false">IF($B68="","",SUMIF($C$5:$C$54,$B68,I$5:I$54))</f>
        <v/>
      </c>
      <c r="J68" s="7"/>
    </row>
    <row r="69" customFormat="false" ht="15" hidden="false" customHeight="false" outlineLevel="0" collapsed="false">
      <c r="A69" s="7"/>
      <c r="B69" s="31" t="str">
        <f aca="false">IF(PARAMETROS!E13="","",PARAMETROS!E13)</f>
        <v/>
      </c>
      <c r="C69" s="7"/>
      <c r="D69" s="40" t="str">
        <f aca="false">IF($B69="","",SUMIF($C$5:$C$54,$B69,D$5:D$54))</f>
        <v/>
      </c>
      <c r="E69" s="40" t="str">
        <f aca="false">IF($B69="","",SUMIF($C$5:$C$54,$B69,E$5:E$54))</f>
        <v/>
      </c>
      <c r="F69" s="40" t="str">
        <f aca="false">IF($B69="","",SUMIF($C$5:$C$54,$B69,F$5:F$54))</f>
        <v/>
      </c>
      <c r="G69" s="40" t="str">
        <f aca="false">IF($B69="","",SUMIF($C$5:$C$54,$B69,G$5:G$54))</f>
        <v/>
      </c>
      <c r="H69" s="43" t="str">
        <f aca="false">IF($B69="","",IF(D69=0,0,G69/D69))</f>
        <v/>
      </c>
      <c r="I69" s="40" t="str">
        <f aca="false">IF($B69="","",SUMIF($C$5:$C$54,$B69,I$5:I$54))</f>
        <v/>
      </c>
      <c r="J69" s="7"/>
    </row>
    <row r="70" customFormat="false" ht="15" hidden="false" customHeight="false" outlineLevel="0" collapsed="false">
      <c r="A70" s="7"/>
      <c r="B70" s="31" t="str">
        <f aca="false">IF(PARAMETROS!E14="","",PARAMETROS!E14)</f>
        <v/>
      </c>
      <c r="C70" s="7"/>
      <c r="D70" s="40" t="str">
        <f aca="false">IF($B70="","",SUMIF($C$5:$C$54,$B70,D$5:D$54))</f>
        <v/>
      </c>
      <c r="E70" s="40" t="str">
        <f aca="false">IF($B70="","",SUMIF($C$5:$C$54,$B70,E$5:E$54))</f>
        <v/>
      </c>
      <c r="F70" s="40" t="str">
        <f aca="false">IF($B70="","",SUMIF($C$5:$C$54,$B70,F$5:F$54))</f>
        <v/>
      </c>
      <c r="G70" s="40" t="str">
        <f aca="false">IF($B70="","",SUMIF($C$5:$C$54,$B70,G$5:G$54))</f>
        <v/>
      </c>
      <c r="H70" s="43" t="str">
        <f aca="false">IF($B70="","",IF(D70=0,0,G70/D70))</f>
        <v/>
      </c>
      <c r="I70" s="40" t="str">
        <f aca="false">IF($B70="","",SUMIF($C$5:$C$54,$B70,I$5:I$54))</f>
        <v/>
      </c>
      <c r="J70" s="7"/>
    </row>
    <row r="71" customFormat="false" ht="15" hidden="false" customHeight="false" outlineLevel="0" collapsed="false">
      <c r="A71" s="7"/>
      <c r="B71" s="31" t="str">
        <f aca="false">IF(PARAMETROS!E15="","",PARAMETROS!E15)</f>
        <v/>
      </c>
      <c r="C71" s="7"/>
      <c r="D71" s="40" t="str">
        <f aca="false">IF($B71="","",SUMIF($C$5:$C$54,$B71,D$5:D$54))</f>
        <v/>
      </c>
      <c r="E71" s="40" t="str">
        <f aca="false">IF($B71="","",SUMIF($C$5:$C$54,$B71,E$5:E$54))</f>
        <v/>
      </c>
      <c r="F71" s="40" t="str">
        <f aca="false">IF($B71="","",SUMIF($C$5:$C$54,$B71,F$5:F$54))</f>
        <v/>
      </c>
      <c r="G71" s="40" t="str">
        <f aca="false">IF($B71="","",SUMIF($C$5:$C$54,$B71,G$5:G$54))</f>
        <v/>
      </c>
      <c r="H71" s="43" t="str">
        <f aca="false">IF($B71="","",IF(D71=0,0,G71/D71))</f>
        <v/>
      </c>
      <c r="I71" s="40" t="str">
        <f aca="false">IF($B71="","",SUMIF($C$5:$C$54,$B71,I$5:I$54))</f>
        <v/>
      </c>
      <c r="J71" s="7"/>
    </row>
  </sheetData>
  <conditionalFormatting sqref="F5:F56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2026-09-24T19:04:31Z</dcterms:created>
  <dc:creator>openpyxl</dc:creator>
  <dc:description/>
  <dc:language>en-US</dc:language>
  <cp:lastModifiedBy/>
  <dcterms:modified xsi:type="dcterms:W3CDTF">2026-09-24T19:04:38Z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