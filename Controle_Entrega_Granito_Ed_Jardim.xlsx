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ODC-300" sheetId="1" r:id="rId1"/>
    <sheet name="PAINEL FACHADA" sheetId="2" r:id="rId2"/>
    <sheet name="RECEBIMENTOS" sheetId="3" r:id="rId3"/>
    <sheet name="AUX-POS" sheetId="4" r:id="rId4" state="hidden"/>
  </sheets>
  <calcPr calcId="191029" fullCalcOnLoad="1"/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numFmts count="4">
    <numFmt numFmtId="165" formatCode="0.0"/>
    <numFmt numFmtId="166" formatCode="0.0000"/>
    <numFmt numFmtId="167" formatCode="#,##0.0"/>
    <numFmt numFmtId="168" formatCode="dd/mm/yyyy"/>
  </numFmts>
  <fonts count="37" x14ac:knownFonts="1">
    <font>
      <sz val="11"/>
      <name val="Calibri"/>
    </font>
    <font>
      <sz val="11"/>
      <name val="Calibri"/>
    </font>
    <font>
      <sz val="14"/>
      <name val="Aptos Narrow"/>
      <b/>
      <color rgb="FFFFFF"/>
    </font>
    <font>
      <sz val="10"/>
      <name val="Aptos Narrow"/>
    </font>
    <font>
      <sz val="11"/>
      <name val="Aptos Narrow"/>
      <b/>
      <color rgb="FFFFFF"/>
    </font>
    <font>
      <sz val="10"/>
      <name val="Aptos Narrow"/>
    </font>
    <font>
      <sz val="10"/>
      <name val="Aptos Narrow"/>
      <b/>
    </font>
    <font>
      <sz val="10"/>
      <name val="Aptos Narrow"/>
      <b/>
    </font>
    <font>
      <sz val="10"/>
      <name val="Aptos Narrow"/>
      <b/>
    </font>
    <font>
      <sz val="10"/>
      <name val="Aptos Narrow"/>
    </font>
    <font>
      <sz val="10"/>
      <name val="Aptos Narrow"/>
    </font>
    <font>
      <sz val="10"/>
      <name val="Aptos Narrow"/>
      <b/>
    </font>
    <font>
      <sz val="10"/>
      <name val="Aptos Narrow"/>
    </font>
    <font>
      <sz val="10"/>
      <name val="Aptos Narrow"/>
    </font>
    <font>
      <sz val="10"/>
      <name val="Aptos Narrow"/>
      <b/>
    </font>
    <font>
      <sz val="10"/>
      <name val="Aptos Narrow"/>
      <b/>
    </font>
    <font>
      <sz val="10"/>
      <name val="Aptos Narrow"/>
      <b/>
    </font>
    <font>
      <sz val="10"/>
      <name val="Aptos Narrow"/>
      <b/>
    </font>
    <font>
      <sz val="10"/>
      <name val="Aptos Narrow"/>
      <b/>
    </font>
    <font>
      <sz val="9"/>
      <name val="Aptos Narrow"/>
      <color rgb="595959"/>
    </font>
    <font>
      <sz val="10"/>
      <name val="Aptos Narrow"/>
      <b/>
    </font>
    <font>
      <sz val="8"/>
      <name val="Aptos Narrow"/>
      <b/>
    </font>
    <font>
      <sz val="10"/>
      <name val="Aptos Narrow"/>
    </font>
    <font>
      <sz val="8"/>
      <name val="Aptos Narrow"/>
      <b/>
    </font>
    <font>
      <sz val="12"/>
      <name val="Aptos Narrow"/>
      <b/>
    </font>
    <font>
      <sz val="8"/>
      <name val="Aptos Narrow"/>
      <color rgb="595959"/>
    </font>
    <font>
      <sz val="7"/>
      <name val="Aptos Narrow"/>
    </font>
    <font>
      <sz val="10"/>
      <name val="Aptos Narrow"/>
    </font>
    <font>
      <sz val="10"/>
      <name val="Aptos Narrow"/>
    </font>
    <font>
      <sz val="10"/>
      <name val="Aptos Narrow"/>
    </font>
    <font>
      <sz val="10"/>
      <name val="Aptos Narrow"/>
      <b/>
    </font>
    <font>
      <sz val="10"/>
      <name val="Aptos Narrow"/>
    </font>
    <font>
      <sz val="10"/>
      <name val="Aptos Narrow"/>
      <b/>
    </font>
    <font>
      <sz val="10"/>
      <name val="Aptos Narrow"/>
    </font>
    <font>
      <sz val="10"/>
      <name val="Aptos Narrow"/>
    </font>
    <font>
      <sz val="10"/>
      <name val="Aptos Narrow"/>
    </font>
    <font>
      <sz val="10"/>
      <name val="Aptos Narrow"/>
    </font>
  </fonts>
  <fills count="22">
    <fill>
      <patternFill patternType="none">
        <bgColor/>
      </patternFill>
    </fill>
    <fill>
      <patternFill patternType="gray125">
        <bgColor/>
      </patternFill>
    </fill>
    <fill>
      <patternFill patternType="solid">
        <fgColor rgb="FF232623"/>
        <bgColor/>
      </patternFill>
    </fill>
    <fill>
      <patternFill patternType="solid">
        <fgColor rgb="FF232623"/>
        <bgColor/>
      </patternFill>
    </fill>
    <fill>
      <patternFill patternType="solid">
        <fgColor rgb="FF595959"/>
        <bgColor/>
      </patternFill>
    </fill>
    <fill>
      <patternFill patternType="solid">
        <fgColor rgb="FF595959"/>
        <bgColor/>
      </patternFill>
    </fill>
    <fill>
      <patternFill patternType="solid">
        <fgColor rgb="FFA6A6A6"/>
        <bgColor/>
      </patternFill>
    </fill>
    <fill>
      <patternFill patternType="solid">
        <fgColor rgb="FFD6E4DD"/>
        <bgColor/>
      </patternFill>
    </fill>
    <fill>
      <patternFill patternType="solid">
        <fgColor rgb="FFD6E4DD"/>
        <bgColor/>
      </patternFill>
    </fill>
    <fill>
      <patternFill patternType="solid">
        <fgColor rgb="FFE6E9E6"/>
        <bgColor/>
      </patternFill>
    </fill>
    <fill>
      <patternFill patternType="solid">
        <fgColor rgb="FFE6E9E6"/>
        <bgColor/>
      </patternFill>
    </fill>
    <fill>
      <patternFill patternType="solid">
        <fgColor rgb="FFA6A6A6"/>
        <bgColor/>
      </patternFill>
    </fill>
    <fill>
      <patternFill patternType="solid">
        <fgColor rgb="FFA6A6A6"/>
        <bgColor/>
      </patternFill>
    </fill>
    <fill>
      <patternFill patternType="solid">
        <fgColor rgb="FFA6A6A6"/>
        <bgColor/>
      </patternFill>
    </fill>
    <fill>
      <patternFill patternType="solid">
        <fgColor rgb="FFD6E4DD"/>
        <bgColor/>
      </patternFill>
    </fill>
    <fill>
      <patternFill patternType="solid">
        <fgColor rgb="FFF2F2F2"/>
        <bgColor/>
      </patternFill>
    </fill>
    <fill>
      <patternFill patternType="lightUp">
        <fgColor rgb="FFBFBFBF"/>
        <bgColor/>
      </patternFill>
    </fill>
    <fill>
      <patternFill patternType="lightUp">
        <fgColor rgb="FFBFBFBF"/>
        <bgColor/>
      </patternFill>
    </fill>
    <fill>
      <patternFill patternType="solid">
        <fgColor rgb="FFD6E4DD"/>
        <bgColor/>
      </patternFill>
    </fill>
    <fill>
      <patternFill patternType="solid">
        <fgColor rgb="FFD6E4DD"/>
        <bgColor/>
      </patternFill>
    </fill>
    <fill>
      <patternFill patternType="solid">
        <fgColor rgb="FFE6E9E6"/>
        <bgColor/>
      </patternFill>
    </fill>
    <fill>
      <patternFill patternType="solid">
        <fgColor rgb="FFE6E9E6"/>
        <bgColor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</borders>
  <cellStyleXfs>
    <xf numFmtId="0" fontId="0" fillId="0" borderId="0"/>
  </cellStyleXfs>
  <cellXfs count="38">
    <xf numFmtId="0" fontId="0" fillId="0" borderId="0" xfId="0"/>
    <xf numFmtId="0" fontId="1" fillId="1" borderId="1" xfId="0" applyFont="1" applyFill="1" applyBorder="1"/>
    <xf numFmtId="0" fontId="0" fillId="0" borderId="0" xfId="0"/>
    <xf numFmtId="0" fontId="2" fillId="2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5" fillId="5" borderId="0" xfId="0" applyFont="1" applyFill="1" applyAlignment="1">
      <alignment horizontal="center" vertical="center"/>
    </xf>
    <xf numFmtId="0" fontId="6" fillId="6" borderId="2" xfId="0" applyFont="1" applyFill="1" applyBorder="1" applyAlignment="1">
      <alignment horizontal="center" vertical="center" wrapText="true"/>
    </xf>
    <xf numFmtId="0" fontId="7" fillId="7" borderId="3" xfId="0" applyFont="1" applyFill="1" applyBorder="1" applyAlignment="1">
      <alignment horizontal="center" vertical="center" wrapText="true"/>
    </xf>
    <xf numFmtId="0" fontId="8" fillId="0" borderId="4" xfId="0" applyFont="1" applyBorder="1" applyAlignment="1">
      <alignment horizontal="center" vertical="center"/>
    </xf>
    <xf numFmtId="165" fontId="9" fillId="0" borderId="5" xfId="0" applyFont="1" applyBorder="1" applyNumberFormat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/>
    </xf>
    <xf numFmtId="4" fontId="12" fillId="0" borderId="8" xfId="0" applyFont="1" applyBorder="1" applyNumberFormat="1" applyAlignment="1">
      <alignment horizontal="center" vertical="center"/>
    </xf>
    <xf numFmtId="166" fontId="13" fillId="0" borderId="9" xfId="0" applyFont="1" applyBorder="1" applyNumberFormat="1" applyAlignment="1">
      <alignment horizontal="center" vertical="center"/>
    </xf>
    <xf numFmtId="0" fontId="14" fillId="9" borderId="10" xfId="0" applyFont="1" applyFill="1" applyBorder="1" applyAlignment="1">
      <alignment horizontal="center" vertical="center"/>
    </xf>
    <xf numFmtId="4" fontId="15" fillId="10" borderId="11" xfId="0" applyFont="1" applyFill="1" applyBorder="1" applyNumberFormat="1" applyAlignment="1">
      <alignment horizontal="center" vertical="center"/>
    </xf>
    <xf numFmtId="0" fontId="16" fillId="0" borderId="12" xfId="0" applyFont="1" applyBorder="1" applyAlignment="1">
      <alignment horizontal="left" vertical="center"/>
    </xf>
    <xf numFmtId="4" fontId="17" fillId="0" borderId="13" xfId="0" applyFont="1" applyBorder="1" applyNumberFormat="1" applyAlignment="1">
      <alignment horizontal="center" vertical="center"/>
    </xf>
    <xf numFmtId="167" fontId="18" fillId="0" borderId="14" xfId="0" applyFont="1" applyBorder="1" applyNumberFormat="1" applyAlignment="1">
      <alignment horizontal="center" vertical="center"/>
    </xf>
    <xf numFmtId="0" fontId="19" fillId="0" borderId="0" xfId="0" applyFont="1" applyAlignment="1">
      <alignment horizontal="left" vertical="center" wrapText="true"/>
    </xf>
    <xf numFmtId="0" fontId="20" fillId="11" borderId="15" xfId="0" applyFont="1" applyFill="1" applyBorder="1" applyAlignment="1">
      <alignment horizontal="center" vertical="center"/>
    </xf>
    <xf numFmtId="0" fontId="21" fillId="12" borderId="16" xfId="0" applyFont="1" applyFill="1" applyBorder="1" applyAlignment="1">
      <alignment horizontal="center" vertical="center"/>
    </xf>
    <xf numFmtId="0" fontId="22" fillId="13" borderId="17" xfId="0" applyFont="1" applyFill="1" applyBorder="1" applyAlignment="1">
      <alignment horizontal="center" vertical="center"/>
    </xf>
    <xf numFmtId="0" fontId="23" fillId="14" borderId="18" xfId="0" applyFont="1" applyFill="1" applyBorder="1" applyAlignment="1">
      <alignment horizontal="center" vertical="center" wrapText="true"/>
    </xf>
    <xf numFmtId="0" fontId="24" fillId="0" borderId="19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6" fillId="15" borderId="2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8" fillId="16" borderId="0" xfId="0" applyFont="1" applyFill="1" applyAlignment="1">
      <alignment horizontal="center" vertical="center"/>
    </xf>
    <xf numFmtId="0" fontId="29" fillId="17" borderId="0" xfId="0" applyFont="1" applyFill="1" applyAlignment="1">
      <alignment horizontal="center" vertical="center"/>
    </xf>
    <xf numFmtId="9" fontId="30" fillId="18" borderId="22" xfId="0" applyFont="1" applyFill="1" applyBorder="1" applyNumberFormat="1" applyAlignment="1">
      <alignment horizontal="center" vertical="center"/>
    </xf>
    <xf numFmtId="0" fontId="31" fillId="19" borderId="23" xfId="0" applyFont="1" applyFill="1" applyBorder="1" applyAlignment="1">
      <alignment horizontal="center" vertical="center"/>
    </xf>
    <xf numFmtId="0" fontId="32" fillId="20" borderId="24" xfId="0" applyFont="1" applyFill="1" applyBorder="1" applyAlignment="1">
      <alignment horizontal="left" vertical="center"/>
    </xf>
    <xf numFmtId="0" fontId="33" fillId="21" borderId="25" xfId="0" applyFont="1" applyFill="1" applyBorder="1" applyAlignment="1">
      <alignment horizontal="center" vertical="center"/>
    </xf>
    <xf numFmtId="168" fontId="34" fillId="0" borderId="26" xfId="0" applyFont="1" applyBorder="1" applyNumberFormat="1" applyAlignment="1">
      <alignment horizontal="center" vertical="center"/>
    </xf>
    <xf numFmtId="0" fontId="35" fillId="0" borderId="27" xfId="0" applyFont="1" applyBorder="1" applyAlignment="1">
      <alignment horizontal="left" vertical="center"/>
    </xf>
    <xf numFmtId="0" fontId="36" fillId="0" borderId="0" xfId="0" applyFont="1" applyAlignment="1">
      <alignment horizontal="left" vertical="center"/>
    </xf>
  </cellXfs>
  <cellStyles>
    <cellStyle name="Normal" xfId="0" builtinId="0"/>
  </cellStyles>
  <dxfs count="3">
    <dxf>
      <font>
        <color rgb="FF000000"/>
      </font>
      <fill>
        <patternFill patternType="solid">
          <fgColor rgb="FF00B050"/>
          <bgColor rgb="FF00B05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000000"/>
      </font>
      <fill>
        <patternFill patternType="solid">
          <fgColor rgb="FF00B050"/>
          <bgColor rgb="FF00B050"/>
        </patternFill>
      </fill>
    </dxf>
  </dxfs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83"/>
  <sheetViews>
    <sheetView showGridLines="0" workbookViewId="0"/>
  </sheetViews>
  <cols>
    <col min="1" max="1" width="10.83203125" customWidth="1"/>
    <col min="2" max="2" width="11.83203125" customWidth="1"/>
    <col min="3" max="3" width="11.83203125" customWidth="1"/>
    <col min="4" max="4" width="11.83203125" customWidth="1"/>
    <col min="5" max="5" width="11.83203125" customWidth="1"/>
    <col min="6" max="6" width="11.83203125" customWidth="1"/>
    <col min="7" max="7" width="11.83203125" customWidth="1"/>
    <col min="8" max="8" width="11.83203125" customWidth="1"/>
    <col min="9" max="9" width="11.83203125" customWidth="1"/>
    <col min="10" max="10" width="11.83203125" customWidth="1"/>
    <col min="11" max="11" width="11.83203125" customWidth="1"/>
    <col min="12" max="12" width="11.83203125" customWidth="1"/>
    <col min="13" max="13" width="12.83203125" customWidth="1"/>
  </cols>
  <sheetData>
    <row r="1" ht="22" customHeight="1">
      <c r="A1" s="3" t="str">
        <v>CONTROLE DE ENTREGA · ODC-300 · SETOR C</v>
      </c>
      <c r="B1" s="4" t="str">
        <v/>
      </c>
      <c r="C1" s="4" t="str">
        <v/>
      </c>
      <c r="D1" s="4" t="str">
        <v/>
      </c>
      <c r="E1" s="4" t="str">
        <v/>
      </c>
      <c r="F1" s="4" t="str">
        <v/>
      </c>
      <c r="G1" s="4" t="str">
        <v/>
      </c>
      <c r="H1" s="4" t="str">
        <v/>
      </c>
      <c r="I1" s="4" t="str">
        <v/>
      </c>
      <c r="J1" s="4" t="str">
        <v/>
      </c>
      <c r="K1" s="4" t="str">
        <v/>
      </c>
      <c r="L1" s="4" t="str">
        <v/>
      </c>
      <c r="M1" s="4" t="str">
        <v/>
      </c>
    </row>
    <row r="2" ht="18" customHeight="1">
      <c r="A2" s="5" t="str">
        <v>ED. JARDIM · Fachada Posterior (4º ao 14º Pavimento) · desenho GM-895-FAC-003-R00 · Granito Cinza Santa Rosa - 0,02 - Jateado</v>
      </c>
      <c r="B2" s="6" t="str">
        <v/>
      </c>
      <c r="C2" s="6" t="str">
        <v/>
      </c>
      <c r="D2" s="6" t="str">
        <v/>
      </c>
      <c r="E2" s="6" t="str">
        <v/>
      </c>
      <c r="F2" s="6" t="str">
        <v/>
      </c>
      <c r="G2" s="6" t="str">
        <v/>
      </c>
      <c r="H2" s="6" t="str">
        <v/>
      </c>
      <c r="I2" s="6" t="str">
        <v/>
      </c>
      <c r="J2" s="6" t="str">
        <v/>
      </c>
      <c r="K2" s="6" t="str">
        <v/>
      </c>
      <c r="L2" s="6" t="str">
        <v/>
      </c>
      <c r="M2" s="6" t="str">
        <v/>
      </c>
    </row>
    <row r="3"/>
    <row r="4" ht="30" customHeight="1">
      <c r="A4" s="7" t="str">
        <v>PLACA</v>
      </c>
      <c r="B4" s="7" t="str">
        <v>CORTE B (cm)</v>
      </c>
      <c r="C4" s="7" t="str">
        <v>CORTE A (cm)</v>
      </c>
      <c r="D4" s="7" t="str">
        <v>EIXO B (cm)</v>
      </c>
      <c r="E4" s="7" t="str">
        <v>EIXO A (cm)</v>
      </c>
      <c r="F4" s="7" t="str">
        <v>PESO/PLACA (kg)</v>
      </c>
      <c r="G4" s="7" t="str">
        <v>PEDIDO</v>
      </c>
      <c r="H4" s="7" t="str">
        <v>RECEBIDO</v>
      </c>
      <c r="I4" s="7" t="str">
        <v>AVARIADAS</v>
      </c>
      <c r="J4" s="8" t="str">
        <v>SALDO</v>
      </c>
      <c r="K4" s="7" t="str">
        <v>m² PEDIDO</v>
      </c>
      <c r="L4" s="7" t="str">
        <v>m² POR PLACA</v>
      </c>
      <c r="M4" s="7" t="str">
        <v>SITUAÇÃO</v>
      </c>
    </row>
    <row r="5">
      <c r="A5" s="9" t="str">
        <v>C1</v>
      </c>
      <c r="B5" s="10">
        <v>101.8</v>
      </c>
      <c r="C5" s="10">
        <v>73</v>
      </c>
      <c r="D5" s="10">
        <v>102.3</v>
      </c>
      <c r="E5" s="10">
        <v>73.5</v>
      </c>
      <c r="F5" s="10">
        <v>45.114</v>
      </c>
      <c r="G5" s="11">
        <v>44</v>
      </c>
      <c r="H5" s="11">
        <f>SUMIF(RECEBIMENTOS!$C$5:$C$5000,A5,RECEBIMENTOS!$D$5:$D$5000)</f>
      </c>
      <c r="I5" s="11">
        <f>SUMIF(RECEBIMENTOS!$C$5:$C$5000,A5,RECEBIMENTOS!$E$5:$E$5000)</f>
      </c>
      <c r="J5" s="12">
        <f>MAX(0,G5-H5)</f>
      </c>
      <c r="K5" s="13">
        <f>G5*L5</f>
      </c>
      <c r="L5" s="14">
        <f>B5*C5/10000</f>
      </c>
      <c r="M5" s="11">
        <f>IF(H5&gt;=G5,"Completa",IF(H5&gt;0,"Parcial","Pendente"))</f>
      </c>
    </row>
    <row r="6">
      <c r="A6" s="9" t="str">
        <v>C2</v>
      </c>
      <c r="B6" s="10">
        <v>101.8</v>
      </c>
      <c r="C6" s="10">
        <v>73</v>
      </c>
      <c r="D6" s="10">
        <v>102.3</v>
      </c>
      <c r="E6" s="10">
        <v>73.5</v>
      </c>
      <c r="F6" s="10">
        <v>45.114</v>
      </c>
      <c r="G6" s="11">
        <v>44</v>
      </c>
      <c r="H6" s="11">
        <f>SUMIF(RECEBIMENTOS!$C$5:$C$5000,A6,RECEBIMENTOS!$D$5:$D$5000)</f>
      </c>
      <c r="I6" s="11">
        <f>SUMIF(RECEBIMENTOS!$C$5:$C$5000,A6,RECEBIMENTOS!$E$5:$E$5000)</f>
      </c>
      <c r="J6" s="12">
        <f>MAX(0,G6-H6)</f>
      </c>
      <c r="K6" s="13">
        <f>G6*L6</f>
      </c>
      <c r="L6" s="14">
        <f>B6*C6/10000</f>
      </c>
      <c r="M6" s="11">
        <f>IF(H6&gt;=G6,"Completa",IF(H6&gt;0,"Parcial","Pendente"))</f>
      </c>
    </row>
    <row r="7">
      <c r="A7" s="9" t="str">
        <v>C3</v>
      </c>
      <c r="B7" s="10">
        <v>91</v>
      </c>
      <c r="C7" s="10">
        <v>73</v>
      </c>
      <c r="D7" s="10">
        <v>91.5</v>
      </c>
      <c r="E7" s="10">
        <v>73.5</v>
      </c>
      <c r="F7" s="10">
        <v>40.351</v>
      </c>
      <c r="G7" s="11">
        <v>22</v>
      </c>
      <c r="H7" s="11">
        <f>SUMIF(RECEBIMENTOS!$C$5:$C$5000,A7,RECEBIMENTOS!$D$5:$D$5000)</f>
      </c>
      <c r="I7" s="11">
        <f>SUMIF(RECEBIMENTOS!$C$5:$C$5000,A7,RECEBIMENTOS!$E$5:$E$5000)</f>
      </c>
      <c r="J7" s="12">
        <f>MAX(0,G7-H7)</f>
      </c>
      <c r="K7" s="13">
        <f>G7*L7</f>
      </c>
      <c r="L7" s="14">
        <f>B7*C7/10000</f>
      </c>
      <c r="M7" s="11">
        <f>IF(H7&gt;=G7,"Completa",IF(H7&gt;0,"Parcial","Pendente"))</f>
      </c>
    </row>
    <row r="8">
      <c r="A8" s="9" t="str">
        <v>C4</v>
      </c>
      <c r="B8" s="10">
        <v>91</v>
      </c>
      <c r="C8" s="10">
        <v>73</v>
      </c>
      <c r="D8" s="10">
        <v>91.5</v>
      </c>
      <c r="E8" s="10">
        <v>73.5</v>
      </c>
      <c r="F8" s="10">
        <v>40.351</v>
      </c>
      <c r="G8" s="11">
        <v>44</v>
      </c>
      <c r="H8" s="11">
        <f>SUMIF(RECEBIMENTOS!$C$5:$C$5000,A8,RECEBIMENTOS!$D$5:$D$5000)</f>
      </c>
      <c r="I8" s="11">
        <f>SUMIF(RECEBIMENTOS!$C$5:$C$5000,A8,RECEBIMENTOS!$E$5:$E$5000)</f>
      </c>
      <c r="J8" s="12">
        <f>MAX(0,G8-H8)</f>
      </c>
      <c r="K8" s="13">
        <f>G8*L8</f>
      </c>
      <c r="L8" s="14">
        <f>B8*C8/10000</f>
      </c>
      <c r="M8" s="11">
        <f>IF(H8&gt;=G8,"Completa",IF(H8&gt;0,"Parcial","Pendente"))</f>
      </c>
    </row>
    <row r="9">
      <c r="A9" s="9" t="str">
        <v>C5</v>
      </c>
      <c r="B9" s="10">
        <v>91</v>
      </c>
      <c r="C9" s="10">
        <v>73</v>
      </c>
      <c r="D9" s="10">
        <v>91.5</v>
      </c>
      <c r="E9" s="10">
        <v>73.5</v>
      </c>
      <c r="F9" s="10">
        <v>40.351</v>
      </c>
      <c r="G9" s="11">
        <v>22</v>
      </c>
      <c r="H9" s="11">
        <f>SUMIF(RECEBIMENTOS!$C$5:$C$5000,A9,RECEBIMENTOS!$D$5:$D$5000)</f>
      </c>
      <c r="I9" s="11">
        <f>SUMIF(RECEBIMENTOS!$C$5:$C$5000,A9,RECEBIMENTOS!$E$5:$E$5000)</f>
      </c>
      <c r="J9" s="12">
        <f>MAX(0,G9-H9)</f>
      </c>
      <c r="K9" s="13">
        <f>G9*L9</f>
      </c>
      <c r="L9" s="14">
        <f>B9*C9/10000</f>
      </c>
      <c r="M9" s="11">
        <f>IF(H9&gt;=G9,"Completa",IF(H9&gt;0,"Parcial","Pendente"))</f>
      </c>
    </row>
    <row r="10">
      <c r="A10" s="9" t="str">
        <v>C6</v>
      </c>
      <c r="B10" s="10">
        <v>102.6</v>
      </c>
      <c r="C10" s="10">
        <v>73</v>
      </c>
      <c r="D10" s="10">
        <v>103.1</v>
      </c>
      <c r="E10" s="10">
        <v>73.5</v>
      </c>
      <c r="F10" s="10">
        <v>45.467</v>
      </c>
      <c r="G10" s="11">
        <v>22</v>
      </c>
      <c r="H10" s="11">
        <f>SUMIF(RECEBIMENTOS!$C$5:$C$5000,A10,RECEBIMENTOS!$D$5:$D$5000)</f>
      </c>
      <c r="I10" s="11">
        <f>SUMIF(RECEBIMENTOS!$C$5:$C$5000,A10,RECEBIMENTOS!$E$5:$E$5000)</f>
      </c>
      <c r="J10" s="12">
        <f>MAX(0,G10-H10)</f>
      </c>
      <c r="K10" s="13">
        <f>G10*L10</f>
      </c>
      <c r="L10" s="14">
        <f>B10*C10/10000</f>
      </c>
      <c r="M10" s="11">
        <f>IF(H10&gt;=G10,"Completa",IF(H10&gt;0,"Parcial","Pendente"))</f>
      </c>
    </row>
    <row r="11">
      <c r="A11" s="9" t="str">
        <v>C7</v>
      </c>
      <c r="B11" s="10">
        <v>102.6</v>
      </c>
      <c r="C11" s="10">
        <v>73</v>
      </c>
      <c r="D11" s="10">
        <v>103.1</v>
      </c>
      <c r="E11" s="10">
        <v>73.5</v>
      </c>
      <c r="F11" s="10">
        <v>45.467</v>
      </c>
      <c r="G11" s="11">
        <v>440</v>
      </c>
      <c r="H11" s="11">
        <f>SUMIF(RECEBIMENTOS!$C$5:$C$5000,A11,RECEBIMENTOS!$D$5:$D$5000)</f>
      </c>
      <c r="I11" s="11">
        <f>SUMIF(RECEBIMENTOS!$C$5:$C$5000,A11,RECEBIMENTOS!$E$5:$E$5000)</f>
      </c>
      <c r="J11" s="12">
        <f>MAX(0,G11-H11)</f>
      </c>
      <c r="K11" s="13">
        <f>G11*L11</f>
      </c>
      <c r="L11" s="14">
        <f>B11*C11/10000</f>
      </c>
      <c r="M11" s="11">
        <f>IF(H11&gt;=G11,"Completa",IF(H11&gt;0,"Parcial","Pendente"))</f>
      </c>
    </row>
    <row r="12">
      <c r="A12" s="9" t="str">
        <v>C8</v>
      </c>
      <c r="B12" s="10">
        <v>102.6</v>
      </c>
      <c r="C12" s="10">
        <v>73</v>
      </c>
      <c r="D12" s="10">
        <v>103.1</v>
      </c>
      <c r="E12" s="10">
        <v>73.5</v>
      </c>
      <c r="F12" s="10">
        <v>45.467</v>
      </c>
      <c r="G12" s="11">
        <v>22</v>
      </c>
      <c r="H12" s="11">
        <f>SUMIF(RECEBIMENTOS!$C$5:$C$5000,A12,RECEBIMENTOS!$D$5:$D$5000)</f>
      </c>
      <c r="I12" s="11">
        <f>SUMIF(RECEBIMENTOS!$C$5:$C$5000,A12,RECEBIMENTOS!$E$5:$E$5000)</f>
      </c>
      <c r="J12" s="12">
        <f>MAX(0,G12-H12)</f>
      </c>
      <c r="K12" s="13">
        <f>G12*L12</f>
      </c>
      <c r="L12" s="14">
        <f>B12*C12/10000</f>
      </c>
      <c r="M12" s="11">
        <f>IF(H12&gt;=G12,"Completa",IF(H12&gt;0,"Parcial","Pendente"))</f>
      </c>
    </row>
    <row r="13">
      <c r="A13" s="9" t="str">
        <v>C9</v>
      </c>
      <c r="B13" s="10">
        <v>106.5</v>
      </c>
      <c r="C13" s="10">
        <v>73</v>
      </c>
      <c r="D13" s="10">
        <v>107</v>
      </c>
      <c r="E13" s="10">
        <v>73.5</v>
      </c>
      <c r="F13" s="10">
        <v>47.187</v>
      </c>
      <c r="G13" s="11">
        <v>44</v>
      </c>
      <c r="H13" s="11">
        <f>SUMIF(RECEBIMENTOS!$C$5:$C$5000,A13,RECEBIMENTOS!$D$5:$D$5000)</f>
      </c>
      <c r="I13" s="11">
        <f>SUMIF(RECEBIMENTOS!$C$5:$C$5000,A13,RECEBIMENTOS!$E$5:$E$5000)</f>
      </c>
      <c r="J13" s="12">
        <f>MAX(0,G13-H13)</f>
      </c>
      <c r="K13" s="13">
        <f>G13*L13</f>
      </c>
      <c r="L13" s="14">
        <f>B13*C13/10000</f>
      </c>
      <c r="M13" s="11">
        <f>IF(H13&gt;=G13,"Completa",IF(H13&gt;0,"Parcial","Pendente"))</f>
      </c>
    </row>
    <row r="14">
      <c r="A14" s="9" t="str">
        <v>C10</v>
      </c>
      <c r="B14" s="10">
        <v>106.5</v>
      </c>
      <c r="C14" s="10">
        <v>73</v>
      </c>
      <c r="D14" s="10">
        <v>107</v>
      </c>
      <c r="E14" s="10">
        <v>73.5</v>
      </c>
      <c r="F14" s="10">
        <v>47.187</v>
      </c>
      <c r="G14" s="11">
        <v>44</v>
      </c>
      <c r="H14" s="11">
        <f>SUMIF(RECEBIMENTOS!$C$5:$C$5000,A14,RECEBIMENTOS!$D$5:$D$5000)</f>
      </c>
      <c r="I14" s="11">
        <f>SUMIF(RECEBIMENTOS!$C$5:$C$5000,A14,RECEBIMENTOS!$E$5:$E$5000)</f>
      </c>
      <c r="J14" s="12">
        <f>MAX(0,G14-H14)</f>
      </c>
      <c r="K14" s="13">
        <f>G14*L14</f>
      </c>
      <c r="L14" s="14">
        <f>B14*C14/10000</f>
      </c>
      <c r="M14" s="11">
        <f>IF(H14&gt;=G14,"Completa",IF(H14&gt;0,"Parcial","Pendente"))</f>
      </c>
    </row>
    <row r="15">
      <c r="A15" s="9" t="str">
        <v>C11</v>
      </c>
      <c r="B15" s="10">
        <v>91</v>
      </c>
      <c r="C15" s="10">
        <v>92.5</v>
      </c>
      <c r="D15" s="10">
        <v>91.5</v>
      </c>
      <c r="E15" s="10">
        <v>93</v>
      </c>
      <c r="F15" s="10">
        <v>51.057</v>
      </c>
      <c r="G15" s="11">
        <v>11</v>
      </c>
      <c r="H15" s="11">
        <f>SUMIF(RECEBIMENTOS!$C$5:$C$5000,A15,RECEBIMENTOS!$D$5:$D$5000)</f>
      </c>
      <c r="I15" s="11">
        <f>SUMIF(RECEBIMENTOS!$C$5:$C$5000,A15,RECEBIMENTOS!$E$5:$E$5000)</f>
      </c>
      <c r="J15" s="12">
        <f>MAX(0,G15-H15)</f>
      </c>
      <c r="K15" s="13">
        <f>G15*L15</f>
      </c>
      <c r="L15" s="14">
        <f>B15*C15/10000</f>
      </c>
      <c r="M15" s="11">
        <f>IF(H15&gt;=G15,"Completa",IF(H15&gt;0,"Parcial","Pendente"))</f>
      </c>
    </row>
    <row r="16">
      <c r="A16" s="9" t="str">
        <v>C12</v>
      </c>
      <c r="B16" s="10">
        <v>91</v>
      </c>
      <c r="C16" s="10">
        <v>92.5</v>
      </c>
      <c r="D16" s="10">
        <v>91.5</v>
      </c>
      <c r="E16" s="10">
        <v>93</v>
      </c>
      <c r="F16" s="10">
        <v>51.057</v>
      </c>
      <c r="G16" s="11">
        <v>22</v>
      </c>
      <c r="H16" s="11">
        <f>SUMIF(RECEBIMENTOS!$C$5:$C$5000,A16,RECEBIMENTOS!$D$5:$D$5000)</f>
      </c>
      <c r="I16" s="11">
        <f>SUMIF(RECEBIMENTOS!$C$5:$C$5000,A16,RECEBIMENTOS!$E$5:$E$5000)</f>
      </c>
      <c r="J16" s="12">
        <f>MAX(0,G16-H16)</f>
      </c>
      <c r="K16" s="13">
        <f>G16*L16</f>
      </c>
      <c r="L16" s="14">
        <f>B16*C16/10000</f>
      </c>
      <c r="M16" s="11">
        <f>IF(H16&gt;=G16,"Completa",IF(H16&gt;0,"Parcial","Pendente"))</f>
      </c>
    </row>
    <row r="17">
      <c r="A17" s="9" t="str">
        <v>C13</v>
      </c>
      <c r="B17" s="10">
        <v>91</v>
      </c>
      <c r="C17" s="10">
        <v>92.5</v>
      </c>
      <c r="D17" s="10">
        <v>91.5</v>
      </c>
      <c r="E17" s="10">
        <v>93</v>
      </c>
      <c r="F17" s="10">
        <v>51.057</v>
      </c>
      <c r="G17" s="11">
        <v>11</v>
      </c>
      <c r="H17" s="11">
        <f>SUMIF(RECEBIMENTOS!$C$5:$C$5000,A17,RECEBIMENTOS!$D$5:$D$5000)</f>
      </c>
      <c r="I17" s="11">
        <f>SUMIF(RECEBIMENTOS!$C$5:$C$5000,A17,RECEBIMENTOS!$E$5:$E$5000)</f>
      </c>
      <c r="J17" s="12">
        <f>MAX(0,G17-H17)</f>
      </c>
      <c r="K17" s="13">
        <f>G17*L17</f>
      </c>
      <c r="L17" s="14">
        <f>B17*C17/10000</f>
      </c>
      <c r="M17" s="11">
        <f>IF(H17&gt;=G17,"Completa",IF(H17&gt;0,"Parcial","Pendente"))</f>
      </c>
    </row>
    <row r="18">
      <c r="A18" s="9" t="str">
        <v>C14</v>
      </c>
      <c r="B18" s="10">
        <v>102.6</v>
      </c>
      <c r="C18" s="10">
        <v>92.5</v>
      </c>
      <c r="D18" s="10">
        <v>103.1</v>
      </c>
      <c r="E18" s="10">
        <v>93</v>
      </c>
      <c r="F18" s="10">
        <v>57.53</v>
      </c>
      <c r="G18" s="11">
        <v>11</v>
      </c>
      <c r="H18" s="11">
        <f>SUMIF(RECEBIMENTOS!$C$5:$C$5000,A18,RECEBIMENTOS!$D$5:$D$5000)</f>
      </c>
      <c r="I18" s="11">
        <f>SUMIF(RECEBIMENTOS!$C$5:$C$5000,A18,RECEBIMENTOS!$E$5:$E$5000)</f>
      </c>
      <c r="J18" s="12">
        <f>MAX(0,G18-H18)</f>
      </c>
      <c r="K18" s="13">
        <f>G18*L18</f>
      </c>
      <c r="L18" s="14">
        <f>B18*C18/10000</f>
      </c>
      <c r="M18" s="11">
        <f>IF(H18&gt;=G18,"Completa",IF(H18&gt;0,"Parcial","Pendente"))</f>
      </c>
    </row>
    <row r="19">
      <c r="A19" s="9" t="str">
        <v>C15</v>
      </c>
      <c r="B19" s="10">
        <v>102.6</v>
      </c>
      <c r="C19" s="10">
        <v>92.5</v>
      </c>
      <c r="D19" s="10">
        <v>103.1</v>
      </c>
      <c r="E19" s="10">
        <v>93</v>
      </c>
      <c r="F19" s="10">
        <v>57.53</v>
      </c>
      <c r="G19" s="11">
        <v>220</v>
      </c>
      <c r="H19" s="11">
        <f>SUMIF(RECEBIMENTOS!$C$5:$C$5000,A19,RECEBIMENTOS!$D$5:$D$5000)</f>
      </c>
      <c r="I19" s="11">
        <f>SUMIF(RECEBIMENTOS!$C$5:$C$5000,A19,RECEBIMENTOS!$E$5:$E$5000)</f>
      </c>
      <c r="J19" s="12">
        <f>MAX(0,G19-H19)</f>
      </c>
      <c r="K19" s="13">
        <f>G19*L19</f>
      </c>
      <c r="L19" s="14">
        <f>B19*C19/10000</f>
      </c>
      <c r="M19" s="11">
        <f>IF(H19&gt;=G19,"Completa",IF(H19&gt;0,"Parcial","Pendente"))</f>
      </c>
    </row>
    <row r="20">
      <c r="A20" s="9" t="str">
        <v>C16</v>
      </c>
      <c r="B20" s="10">
        <v>102.6</v>
      </c>
      <c r="C20" s="10">
        <v>92.5</v>
      </c>
      <c r="D20" s="10">
        <v>103.1</v>
      </c>
      <c r="E20" s="10">
        <v>93</v>
      </c>
      <c r="F20" s="10">
        <v>57.53</v>
      </c>
      <c r="G20" s="11">
        <v>11</v>
      </c>
      <c r="H20" s="11">
        <f>SUMIF(RECEBIMENTOS!$C$5:$C$5000,A20,RECEBIMENTOS!$D$5:$D$5000)</f>
      </c>
      <c r="I20" s="11">
        <f>SUMIF(RECEBIMENTOS!$C$5:$C$5000,A20,RECEBIMENTOS!$E$5:$E$5000)</f>
      </c>
      <c r="J20" s="12">
        <f>MAX(0,G20-H20)</f>
      </c>
      <c r="K20" s="13">
        <f>G20*L20</f>
      </c>
      <c r="L20" s="14">
        <f>B20*C20/10000</f>
      </c>
      <c r="M20" s="11">
        <f>IF(H20&gt;=G20,"Completa",IF(H20&gt;0,"Parcial","Pendente"))</f>
      </c>
    </row>
    <row r="21">
      <c r="A21" s="9" t="str">
        <v>C17</v>
      </c>
      <c r="B21" s="10">
        <v>101.8</v>
      </c>
      <c r="C21" s="10">
        <v>73.5</v>
      </c>
      <c r="D21" s="10">
        <v>102.3</v>
      </c>
      <c r="E21" s="10">
        <v>74</v>
      </c>
      <c r="F21" s="10">
        <v>45.421</v>
      </c>
      <c r="G21" s="11">
        <v>2</v>
      </c>
      <c r="H21" s="11">
        <f>SUMIF(RECEBIMENTOS!$C$5:$C$5000,A21,RECEBIMENTOS!$D$5:$D$5000)</f>
      </c>
      <c r="I21" s="11">
        <f>SUMIF(RECEBIMENTOS!$C$5:$C$5000,A21,RECEBIMENTOS!$E$5:$E$5000)</f>
      </c>
      <c r="J21" s="12">
        <f>MAX(0,G21-H21)</f>
      </c>
      <c r="K21" s="13">
        <f>G21*L21</f>
      </c>
      <c r="L21" s="14">
        <f>B21*C21/10000</f>
      </c>
      <c r="M21" s="11">
        <f>IF(H21&gt;=G21,"Completa",IF(H21&gt;0,"Parcial","Pendente"))</f>
      </c>
    </row>
    <row r="22">
      <c r="A22" s="9" t="str">
        <v>C18</v>
      </c>
      <c r="B22" s="10">
        <v>101.8</v>
      </c>
      <c r="C22" s="10">
        <v>73.5</v>
      </c>
      <c r="D22" s="10">
        <v>102.3</v>
      </c>
      <c r="E22" s="10">
        <v>74</v>
      </c>
      <c r="F22" s="10">
        <v>45.421</v>
      </c>
      <c r="G22" s="11">
        <v>2</v>
      </c>
      <c r="H22" s="11">
        <f>SUMIF(RECEBIMENTOS!$C$5:$C$5000,A22,RECEBIMENTOS!$D$5:$D$5000)</f>
      </c>
      <c r="I22" s="11">
        <f>SUMIF(RECEBIMENTOS!$C$5:$C$5000,A22,RECEBIMENTOS!$E$5:$E$5000)</f>
      </c>
      <c r="J22" s="12">
        <f>MAX(0,G22-H22)</f>
      </c>
      <c r="K22" s="13">
        <f>G22*L22</f>
      </c>
      <c r="L22" s="14">
        <f>B22*C22/10000</f>
      </c>
      <c r="M22" s="11">
        <f>IF(H22&gt;=G22,"Completa",IF(H22&gt;0,"Parcial","Pendente"))</f>
      </c>
    </row>
    <row r="23">
      <c r="A23" s="9" t="str">
        <v>C19</v>
      </c>
      <c r="B23" s="10">
        <v>91</v>
      </c>
      <c r="C23" s="10">
        <v>73.5</v>
      </c>
      <c r="D23" s="10">
        <v>91.5</v>
      </c>
      <c r="E23" s="10">
        <v>74</v>
      </c>
      <c r="F23" s="10">
        <v>40.626</v>
      </c>
      <c r="G23" s="11">
        <v>2</v>
      </c>
      <c r="H23" s="11">
        <f>SUMIF(RECEBIMENTOS!$C$5:$C$5000,A23,RECEBIMENTOS!$D$5:$D$5000)</f>
      </c>
      <c r="I23" s="11">
        <f>SUMIF(RECEBIMENTOS!$C$5:$C$5000,A23,RECEBIMENTOS!$E$5:$E$5000)</f>
      </c>
      <c r="J23" s="12">
        <f>MAX(0,G23-H23)</f>
      </c>
      <c r="K23" s="13">
        <f>G23*L23</f>
      </c>
      <c r="L23" s="14">
        <f>B23*C23/10000</f>
      </c>
      <c r="M23" s="11">
        <f>IF(H23&gt;=G23,"Completa",IF(H23&gt;0,"Parcial","Pendente"))</f>
      </c>
    </row>
    <row r="24">
      <c r="A24" s="9" t="str">
        <v>C20</v>
      </c>
      <c r="B24" s="10">
        <v>91</v>
      </c>
      <c r="C24" s="10">
        <v>73.5</v>
      </c>
      <c r="D24" s="10">
        <v>91.5</v>
      </c>
      <c r="E24" s="10">
        <v>74</v>
      </c>
      <c r="F24" s="10">
        <v>40.626</v>
      </c>
      <c r="G24" s="11">
        <v>4</v>
      </c>
      <c r="H24" s="11">
        <f>SUMIF(RECEBIMENTOS!$C$5:$C$5000,A24,RECEBIMENTOS!$D$5:$D$5000)</f>
      </c>
      <c r="I24" s="11">
        <f>SUMIF(RECEBIMENTOS!$C$5:$C$5000,A24,RECEBIMENTOS!$E$5:$E$5000)</f>
      </c>
      <c r="J24" s="12">
        <f>MAX(0,G24-H24)</f>
      </c>
      <c r="K24" s="13">
        <f>G24*L24</f>
      </c>
      <c r="L24" s="14">
        <f>B24*C24/10000</f>
      </c>
      <c r="M24" s="11">
        <f>IF(H24&gt;=G24,"Completa",IF(H24&gt;0,"Parcial","Pendente"))</f>
      </c>
    </row>
    <row r="25">
      <c r="A25" s="9" t="str">
        <v>C21</v>
      </c>
      <c r="B25" s="10">
        <v>91</v>
      </c>
      <c r="C25" s="10">
        <v>73.5</v>
      </c>
      <c r="D25" s="10">
        <v>91.5</v>
      </c>
      <c r="E25" s="10">
        <v>74</v>
      </c>
      <c r="F25" s="10">
        <v>40.626</v>
      </c>
      <c r="G25" s="11">
        <v>2</v>
      </c>
      <c r="H25" s="11">
        <f>SUMIF(RECEBIMENTOS!$C$5:$C$5000,A25,RECEBIMENTOS!$D$5:$D$5000)</f>
      </c>
      <c r="I25" s="11">
        <f>SUMIF(RECEBIMENTOS!$C$5:$C$5000,A25,RECEBIMENTOS!$E$5:$E$5000)</f>
      </c>
      <c r="J25" s="12">
        <f>MAX(0,G25-H25)</f>
      </c>
      <c r="K25" s="13">
        <f>G25*L25</f>
      </c>
      <c r="L25" s="14">
        <f>B25*C25/10000</f>
      </c>
      <c r="M25" s="11">
        <f>IF(H25&gt;=G25,"Completa",IF(H25&gt;0,"Parcial","Pendente"))</f>
      </c>
    </row>
    <row r="26">
      <c r="A26" s="9" t="str">
        <v>C22</v>
      </c>
      <c r="B26" s="10">
        <v>102.6</v>
      </c>
      <c r="C26" s="10">
        <v>73.5</v>
      </c>
      <c r="D26" s="10">
        <v>103.1</v>
      </c>
      <c r="E26" s="10">
        <v>74</v>
      </c>
      <c r="F26" s="10">
        <v>45.776</v>
      </c>
      <c r="G26" s="11">
        <v>2</v>
      </c>
      <c r="H26" s="11">
        <f>SUMIF(RECEBIMENTOS!$C$5:$C$5000,A26,RECEBIMENTOS!$D$5:$D$5000)</f>
      </c>
      <c r="I26" s="11">
        <f>SUMIF(RECEBIMENTOS!$C$5:$C$5000,A26,RECEBIMENTOS!$E$5:$E$5000)</f>
      </c>
      <c r="J26" s="12">
        <f>MAX(0,G26-H26)</f>
      </c>
      <c r="K26" s="13">
        <f>G26*L26</f>
      </c>
      <c r="L26" s="14">
        <f>B26*C26/10000</f>
      </c>
      <c r="M26" s="11">
        <f>IF(H26&gt;=G26,"Completa",IF(H26&gt;0,"Parcial","Pendente"))</f>
      </c>
    </row>
    <row r="27">
      <c r="A27" s="9" t="str">
        <v>C23</v>
      </c>
      <c r="B27" s="10">
        <v>102.6</v>
      </c>
      <c r="C27" s="10">
        <v>73.5</v>
      </c>
      <c r="D27" s="10">
        <v>103.1</v>
      </c>
      <c r="E27" s="10">
        <v>74</v>
      </c>
      <c r="F27" s="10">
        <v>45.776</v>
      </c>
      <c r="G27" s="11">
        <v>40</v>
      </c>
      <c r="H27" s="11">
        <f>SUMIF(RECEBIMENTOS!$C$5:$C$5000,A27,RECEBIMENTOS!$D$5:$D$5000)</f>
      </c>
      <c r="I27" s="11">
        <f>SUMIF(RECEBIMENTOS!$C$5:$C$5000,A27,RECEBIMENTOS!$E$5:$E$5000)</f>
      </c>
      <c r="J27" s="12">
        <f>MAX(0,G27-H27)</f>
      </c>
      <c r="K27" s="13">
        <f>G27*L27</f>
      </c>
      <c r="L27" s="14">
        <f>B27*C27/10000</f>
      </c>
      <c r="M27" s="11">
        <f>IF(H27&gt;=G27,"Completa",IF(H27&gt;0,"Parcial","Pendente"))</f>
      </c>
    </row>
    <row r="28">
      <c r="A28" s="9" t="str">
        <v>C24</v>
      </c>
      <c r="B28" s="10">
        <v>102.6</v>
      </c>
      <c r="C28" s="10">
        <v>73.5</v>
      </c>
      <c r="D28" s="10">
        <v>103.1</v>
      </c>
      <c r="E28" s="10">
        <v>74</v>
      </c>
      <c r="F28" s="10">
        <v>45.776</v>
      </c>
      <c r="G28" s="11">
        <v>2</v>
      </c>
      <c r="H28" s="11">
        <f>SUMIF(RECEBIMENTOS!$C$5:$C$5000,A28,RECEBIMENTOS!$D$5:$D$5000)</f>
      </c>
      <c r="I28" s="11">
        <f>SUMIF(RECEBIMENTOS!$C$5:$C$5000,A28,RECEBIMENTOS!$E$5:$E$5000)</f>
      </c>
      <c r="J28" s="12">
        <f>MAX(0,G28-H28)</f>
      </c>
      <c r="K28" s="13">
        <f>G28*L28</f>
      </c>
      <c r="L28" s="14">
        <f>B28*C28/10000</f>
      </c>
      <c r="M28" s="11">
        <f>IF(H28&gt;=G28,"Completa",IF(H28&gt;0,"Parcial","Pendente"))</f>
      </c>
    </row>
    <row r="29">
      <c r="A29" s="9" t="str">
        <v>C25</v>
      </c>
      <c r="B29" s="10">
        <v>106.5</v>
      </c>
      <c r="C29" s="10">
        <v>73.5</v>
      </c>
      <c r="D29" s="10">
        <v>107</v>
      </c>
      <c r="E29" s="10">
        <v>74</v>
      </c>
      <c r="F29" s="10">
        <v>47.508</v>
      </c>
      <c r="G29" s="11">
        <v>2</v>
      </c>
      <c r="H29" s="11">
        <f>SUMIF(RECEBIMENTOS!$C$5:$C$5000,A29,RECEBIMENTOS!$D$5:$D$5000)</f>
      </c>
      <c r="I29" s="11">
        <f>SUMIF(RECEBIMENTOS!$C$5:$C$5000,A29,RECEBIMENTOS!$E$5:$E$5000)</f>
      </c>
      <c r="J29" s="12">
        <f>MAX(0,G29-H29)</f>
      </c>
      <c r="K29" s="13">
        <f>G29*L29</f>
      </c>
      <c r="L29" s="14">
        <f>B29*C29/10000</f>
      </c>
      <c r="M29" s="11">
        <f>IF(H29&gt;=G29,"Completa",IF(H29&gt;0,"Parcial","Pendente"))</f>
      </c>
    </row>
    <row r="30">
      <c r="A30" s="9" t="str">
        <v>C26</v>
      </c>
      <c r="B30" s="10">
        <v>106.5</v>
      </c>
      <c r="C30" s="10">
        <v>73.5</v>
      </c>
      <c r="D30" s="10">
        <v>107</v>
      </c>
      <c r="E30" s="10">
        <v>74</v>
      </c>
      <c r="F30" s="10">
        <v>47.508</v>
      </c>
      <c r="G30" s="11">
        <v>2</v>
      </c>
      <c r="H30" s="11">
        <f>SUMIF(RECEBIMENTOS!$C$5:$C$5000,A30,RECEBIMENTOS!$D$5:$D$5000)</f>
      </c>
      <c r="I30" s="11">
        <f>SUMIF(RECEBIMENTOS!$C$5:$C$5000,A30,RECEBIMENTOS!$E$5:$E$5000)</f>
      </c>
      <c r="J30" s="12">
        <f>MAX(0,G30-H30)</f>
      </c>
      <c r="K30" s="13">
        <f>G30*L30</f>
      </c>
      <c r="L30" s="14">
        <f>B30*C30/10000</f>
      </c>
      <c r="M30" s="11">
        <f>IF(H30&gt;=G30,"Completa",IF(H30&gt;0,"Parcial","Pendente"))</f>
      </c>
    </row>
    <row r="31">
      <c r="A31" s="9" t="str">
        <v>C27</v>
      </c>
      <c r="B31" s="10">
        <v>101.8</v>
      </c>
      <c r="C31" s="10">
        <v>74</v>
      </c>
      <c r="D31" s="10">
        <v>102.3</v>
      </c>
      <c r="E31" s="10">
        <v>74.5</v>
      </c>
      <c r="F31" s="10">
        <v>45.728</v>
      </c>
      <c r="G31" s="11">
        <v>3</v>
      </c>
      <c r="H31" s="11">
        <f>SUMIF(RECEBIMENTOS!$C$5:$C$5000,A31,RECEBIMENTOS!$D$5:$D$5000)</f>
      </c>
      <c r="I31" s="11">
        <f>SUMIF(RECEBIMENTOS!$C$5:$C$5000,A31,RECEBIMENTOS!$E$5:$E$5000)</f>
      </c>
      <c r="J31" s="12">
        <f>MAX(0,G31-H31)</f>
      </c>
      <c r="K31" s="13">
        <f>G31*L31</f>
      </c>
      <c r="L31" s="14">
        <f>B31*C31/10000</f>
      </c>
      <c r="M31" s="11">
        <f>IF(H31&gt;=G31,"Completa",IF(H31&gt;0,"Parcial","Pendente"))</f>
      </c>
    </row>
    <row r="32">
      <c r="A32" s="9" t="str">
        <v>C28</v>
      </c>
      <c r="B32" s="10">
        <v>101.8</v>
      </c>
      <c r="C32" s="10">
        <v>74</v>
      </c>
      <c r="D32" s="10">
        <v>102.3</v>
      </c>
      <c r="E32" s="10">
        <v>74.5</v>
      </c>
      <c r="F32" s="10">
        <v>45.728</v>
      </c>
      <c r="G32" s="11">
        <v>3</v>
      </c>
      <c r="H32" s="11">
        <f>SUMIF(RECEBIMENTOS!$C$5:$C$5000,A32,RECEBIMENTOS!$D$5:$D$5000)</f>
      </c>
      <c r="I32" s="11">
        <f>SUMIF(RECEBIMENTOS!$C$5:$C$5000,A32,RECEBIMENTOS!$E$5:$E$5000)</f>
      </c>
      <c r="J32" s="12">
        <f>MAX(0,G32-H32)</f>
      </c>
      <c r="K32" s="13">
        <f>G32*L32</f>
      </c>
      <c r="L32" s="14">
        <f>B32*C32/10000</f>
      </c>
      <c r="M32" s="11">
        <f>IF(H32&gt;=G32,"Completa",IF(H32&gt;0,"Parcial","Pendente"))</f>
      </c>
    </row>
    <row r="33">
      <c r="A33" s="9" t="str">
        <v>C29</v>
      </c>
      <c r="B33" s="10">
        <v>91</v>
      </c>
      <c r="C33" s="10">
        <v>74</v>
      </c>
      <c r="D33" s="10">
        <v>91.5</v>
      </c>
      <c r="E33" s="10">
        <v>74.5</v>
      </c>
      <c r="F33" s="10">
        <v>40.901</v>
      </c>
      <c r="G33" s="11">
        <v>3</v>
      </c>
      <c r="H33" s="11">
        <f>SUMIF(RECEBIMENTOS!$C$5:$C$5000,A33,RECEBIMENTOS!$D$5:$D$5000)</f>
      </c>
      <c r="I33" s="11">
        <f>SUMIF(RECEBIMENTOS!$C$5:$C$5000,A33,RECEBIMENTOS!$E$5:$E$5000)</f>
      </c>
      <c r="J33" s="12">
        <f>MAX(0,G33-H33)</f>
      </c>
      <c r="K33" s="13">
        <f>G33*L33</f>
      </c>
      <c r="L33" s="14">
        <f>B33*C33/10000</f>
      </c>
      <c r="M33" s="11">
        <f>IF(H33&gt;=G33,"Completa",IF(H33&gt;0,"Parcial","Pendente"))</f>
      </c>
    </row>
    <row r="34">
      <c r="A34" s="9" t="str">
        <v>C30</v>
      </c>
      <c r="B34" s="10">
        <v>91</v>
      </c>
      <c r="C34" s="10">
        <v>74</v>
      </c>
      <c r="D34" s="10">
        <v>91.5</v>
      </c>
      <c r="E34" s="10">
        <v>74.5</v>
      </c>
      <c r="F34" s="10">
        <v>40.901</v>
      </c>
      <c r="G34" s="11">
        <v>6</v>
      </c>
      <c r="H34" s="11">
        <f>SUMIF(RECEBIMENTOS!$C$5:$C$5000,A34,RECEBIMENTOS!$D$5:$D$5000)</f>
      </c>
      <c r="I34" s="11">
        <f>SUMIF(RECEBIMENTOS!$C$5:$C$5000,A34,RECEBIMENTOS!$E$5:$E$5000)</f>
      </c>
      <c r="J34" s="12">
        <f>MAX(0,G34-H34)</f>
      </c>
      <c r="K34" s="13">
        <f>G34*L34</f>
      </c>
      <c r="L34" s="14">
        <f>B34*C34/10000</f>
      </c>
      <c r="M34" s="11">
        <f>IF(H34&gt;=G34,"Completa",IF(H34&gt;0,"Parcial","Pendente"))</f>
      </c>
    </row>
    <row r="35">
      <c r="A35" s="9" t="str">
        <v>C31</v>
      </c>
      <c r="B35" s="10">
        <v>91</v>
      </c>
      <c r="C35" s="10">
        <v>74</v>
      </c>
      <c r="D35" s="10">
        <v>91.5</v>
      </c>
      <c r="E35" s="10">
        <v>74.5</v>
      </c>
      <c r="F35" s="10">
        <v>40.901</v>
      </c>
      <c r="G35" s="11">
        <v>3</v>
      </c>
      <c r="H35" s="11">
        <f>SUMIF(RECEBIMENTOS!$C$5:$C$5000,A35,RECEBIMENTOS!$D$5:$D$5000)</f>
      </c>
      <c r="I35" s="11">
        <f>SUMIF(RECEBIMENTOS!$C$5:$C$5000,A35,RECEBIMENTOS!$E$5:$E$5000)</f>
      </c>
      <c r="J35" s="12">
        <f>MAX(0,G35-H35)</f>
      </c>
      <c r="K35" s="13">
        <f>G35*L35</f>
      </c>
      <c r="L35" s="14">
        <f>B35*C35/10000</f>
      </c>
      <c r="M35" s="11">
        <f>IF(H35&gt;=G35,"Completa",IF(H35&gt;0,"Parcial","Pendente"))</f>
      </c>
    </row>
    <row r="36">
      <c r="A36" s="9" t="str">
        <v>C32</v>
      </c>
      <c r="B36" s="10">
        <v>102.6</v>
      </c>
      <c r="C36" s="10">
        <v>74</v>
      </c>
      <c r="D36" s="10">
        <v>103.1</v>
      </c>
      <c r="E36" s="10">
        <v>74.5</v>
      </c>
      <c r="F36" s="10">
        <v>46.086</v>
      </c>
      <c r="G36" s="11">
        <v>3</v>
      </c>
      <c r="H36" s="11">
        <f>SUMIF(RECEBIMENTOS!$C$5:$C$5000,A36,RECEBIMENTOS!$D$5:$D$5000)</f>
      </c>
      <c r="I36" s="11">
        <f>SUMIF(RECEBIMENTOS!$C$5:$C$5000,A36,RECEBIMENTOS!$E$5:$E$5000)</f>
      </c>
      <c r="J36" s="12">
        <f>MAX(0,G36-H36)</f>
      </c>
      <c r="K36" s="13">
        <f>G36*L36</f>
      </c>
      <c r="L36" s="14">
        <f>B36*C36/10000</f>
      </c>
      <c r="M36" s="11">
        <f>IF(H36&gt;=G36,"Completa",IF(H36&gt;0,"Parcial","Pendente"))</f>
      </c>
    </row>
    <row r="37">
      <c r="A37" s="9" t="str">
        <v>C33</v>
      </c>
      <c r="B37" s="10">
        <v>102.6</v>
      </c>
      <c r="C37" s="10">
        <v>74</v>
      </c>
      <c r="D37" s="10">
        <v>103.1</v>
      </c>
      <c r="E37" s="10">
        <v>74.5</v>
      </c>
      <c r="F37" s="10">
        <v>46.086</v>
      </c>
      <c r="G37" s="11">
        <v>60</v>
      </c>
      <c r="H37" s="11">
        <f>SUMIF(RECEBIMENTOS!$C$5:$C$5000,A37,RECEBIMENTOS!$D$5:$D$5000)</f>
      </c>
      <c r="I37" s="11">
        <f>SUMIF(RECEBIMENTOS!$C$5:$C$5000,A37,RECEBIMENTOS!$E$5:$E$5000)</f>
      </c>
      <c r="J37" s="12">
        <f>MAX(0,G37-H37)</f>
      </c>
      <c r="K37" s="13">
        <f>G37*L37</f>
      </c>
      <c r="L37" s="14">
        <f>B37*C37/10000</f>
      </c>
      <c r="M37" s="11">
        <f>IF(H37&gt;=G37,"Completa",IF(H37&gt;0,"Parcial","Pendente"))</f>
      </c>
    </row>
    <row r="38">
      <c r="A38" s="9" t="str">
        <v>C34</v>
      </c>
      <c r="B38" s="10">
        <v>102.6</v>
      </c>
      <c r="C38" s="10">
        <v>74</v>
      </c>
      <c r="D38" s="10">
        <v>103.1</v>
      </c>
      <c r="E38" s="10">
        <v>74.5</v>
      </c>
      <c r="F38" s="10">
        <v>46.086</v>
      </c>
      <c r="G38" s="11">
        <v>3</v>
      </c>
      <c r="H38" s="11">
        <f>SUMIF(RECEBIMENTOS!$C$5:$C$5000,A38,RECEBIMENTOS!$D$5:$D$5000)</f>
      </c>
      <c r="I38" s="11">
        <f>SUMIF(RECEBIMENTOS!$C$5:$C$5000,A38,RECEBIMENTOS!$E$5:$E$5000)</f>
      </c>
      <c r="J38" s="12">
        <f>MAX(0,G38-H38)</f>
      </c>
      <c r="K38" s="13">
        <f>G38*L38</f>
      </c>
      <c r="L38" s="14">
        <f>B38*C38/10000</f>
      </c>
      <c r="M38" s="11">
        <f>IF(H38&gt;=G38,"Completa",IF(H38&gt;0,"Parcial","Pendente"))</f>
      </c>
    </row>
    <row r="39">
      <c r="A39" s="9" t="str">
        <v>C35</v>
      </c>
      <c r="B39" s="10">
        <v>106.5</v>
      </c>
      <c r="C39" s="10">
        <v>74</v>
      </c>
      <c r="D39" s="10">
        <v>107</v>
      </c>
      <c r="E39" s="10">
        <v>74.5</v>
      </c>
      <c r="F39" s="10">
        <v>47.829</v>
      </c>
      <c r="G39" s="11">
        <v>3</v>
      </c>
      <c r="H39" s="11">
        <f>SUMIF(RECEBIMENTOS!$C$5:$C$5000,A39,RECEBIMENTOS!$D$5:$D$5000)</f>
      </c>
      <c r="I39" s="11">
        <f>SUMIF(RECEBIMENTOS!$C$5:$C$5000,A39,RECEBIMENTOS!$E$5:$E$5000)</f>
      </c>
      <c r="J39" s="12">
        <f>MAX(0,G39-H39)</f>
      </c>
      <c r="K39" s="13">
        <f>G39*L39</f>
      </c>
      <c r="L39" s="14">
        <f>B39*C39/10000</f>
      </c>
      <c r="M39" s="11">
        <f>IF(H39&gt;=G39,"Completa",IF(H39&gt;0,"Parcial","Pendente"))</f>
      </c>
    </row>
    <row r="40">
      <c r="A40" s="9" t="str">
        <v>C36</v>
      </c>
      <c r="B40" s="10">
        <v>106.5</v>
      </c>
      <c r="C40" s="10">
        <v>74</v>
      </c>
      <c r="D40" s="10">
        <v>107</v>
      </c>
      <c r="E40" s="10">
        <v>74.5</v>
      </c>
      <c r="F40" s="10">
        <v>47.829</v>
      </c>
      <c r="G40" s="11">
        <v>3</v>
      </c>
      <c r="H40" s="11">
        <f>SUMIF(RECEBIMENTOS!$C$5:$C$5000,A40,RECEBIMENTOS!$D$5:$D$5000)</f>
      </c>
      <c r="I40" s="11">
        <f>SUMIF(RECEBIMENTOS!$C$5:$C$5000,A40,RECEBIMENTOS!$E$5:$E$5000)</f>
      </c>
      <c r="J40" s="12">
        <f>MAX(0,G40-H40)</f>
      </c>
      <c r="K40" s="13">
        <f>G40*L40</f>
      </c>
      <c r="L40" s="14">
        <f>B40*C40/10000</f>
      </c>
      <c r="M40" s="11">
        <f>IF(H40&gt;=G40,"Completa",IF(H40&gt;0,"Parcial","Pendente"))</f>
      </c>
    </row>
    <row r="41">
      <c r="A41" s="9" t="str">
        <v>C37</v>
      </c>
      <c r="B41" s="10">
        <v>101.8</v>
      </c>
      <c r="C41" s="10">
        <v>72.5</v>
      </c>
      <c r="D41" s="10">
        <v>102.3</v>
      </c>
      <c r="E41" s="10">
        <v>73</v>
      </c>
      <c r="F41" s="10">
        <v>44.807</v>
      </c>
      <c r="G41" s="11">
        <v>1</v>
      </c>
      <c r="H41" s="11">
        <f>SUMIF(RECEBIMENTOS!$C$5:$C$5000,A41,RECEBIMENTOS!$D$5:$D$5000)</f>
      </c>
      <c r="I41" s="11">
        <f>SUMIF(RECEBIMENTOS!$C$5:$C$5000,A41,RECEBIMENTOS!$E$5:$E$5000)</f>
      </c>
      <c r="J41" s="12">
        <f>MAX(0,G41-H41)</f>
      </c>
      <c r="K41" s="13">
        <f>G41*L41</f>
      </c>
      <c r="L41" s="14">
        <f>B41*C41/10000</f>
      </c>
      <c r="M41" s="11">
        <f>IF(H41&gt;=G41,"Completa",IF(H41&gt;0,"Parcial","Pendente"))</f>
      </c>
    </row>
    <row r="42">
      <c r="A42" s="9" t="str">
        <v>C38</v>
      </c>
      <c r="B42" s="10">
        <v>101.8</v>
      </c>
      <c r="C42" s="10">
        <v>72.5</v>
      </c>
      <c r="D42" s="10">
        <v>102.3</v>
      </c>
      <c r="E42" s="10">
        <v>73</v>
      </c>
      <c r="F42" s="10">
        <v>44.807</v>
      </c>
      <c r="G42" s="11">
        <v>1</v>
      </c>
      <c r="H42" s="11">
        <f>SUMIF(RECEBIMENTOS!$C$5:$C$5000,A42,RECEBIMENTOS!$D$5:$D$5000)</f>
      </c>
      <c r="I42" s="11">
        <f>SUMIF(RECEBIMENTOS!$C$5:$C$5000,A42,RECEBIMENTOS!$E$5:$E$5000)</f>
      </c>
      <c r="J42" s="12">
        <f>MAX(0,G42-H42)</f>
      </c>
      <c r="K42" s="13">
        <f>G42*L42</f>
      </c>
      <c r="L42" s="14">
        <f>B42*C42/10000</f>
      </c>
      <c r="M42" s="11">
        <f>IF(H42&gt;=G42,"Completa",IF(H42&gt;0,"Parcial","Pendente"))</f>
      </c>
    </row>
    <row r="43">
      <c r="A43" s="9" t="str">
        <v>C39</v>
      </c>
      <c r="B43" s="10">
        <v>91</v>
      </c>
      <c r="C43" s="10">
        <v>72.5</v>
      </c>
      <c r="D43" s="10">
        <v>91.5</v>
      </c>
      <c r="E43" s="10">
        <v>73</v>
      </c>
      <c r="F43" s="10">
        <v>40.077</v>
      </c>
      <c r="G43" s="11">
        <v>1</v>
      </c>
      <c r="H43" s="11">
        <f>SUMIF(RECEBIMENTOS!$C$5:$C$5000,A43,RECEBIMENTOS!$D$5:$D$5000)</f>
      </c>
      <c r="I43" s="11">
        <f>SUMIF(RECEBIMENTOS!$C$5:$C$5000,A43,RECEBIMENTOS!$E$5:$E$5000)</f>
      </c>
      <c r="J43" s="12">
        <f>MAX(0,G43-H43)</f>
      </c>
      <c r="K43" s="13">
        <f>G43*L43</f>
      </c>
      <c r="L43" s="14">
        <f>B43*C43/10000</f>
      </c>
      <c r="M43" s="11">
        <f>IF(H43&gt;=G43,"Completa",IF(H43&gt;0,"Parcial","Pendente"))</f>
      </c>
    </row>
    <row r="44">
      <c r="A44" s="9" t="str">
        <v>C40</v>
      </c>
      <c r="B44" s="10">
        <v>91</v>
      </c>
      <c r="C44" s="10">
        <v>72.5</v>
      </c>
      <c r="D44" s="10">
        <v>91.5</v>
      </c>
      <c r="E44" s="10">
        <v>73</v>
      </c>
      <c r="F44" s="10">
        <v>40.077</v>
      </c>
      <c r="G44" s="11">
        <v>2</v>
      </c>
      <c r="H44" s="11">
        <f>SUMIF(RECEBIMENTOS!$C$5:$C$5000,A44,RECEBIMENTOS!$D$5:$D$5000)</f>
      </c>
      <c r="I44" s="11">
        <f>SUMIF(RECEBIMENTOS!$C$5:$C$5000,A44,RECEBIMENTOS!$E$5:$E$5000)</f>
      </c>
      <c r="J44" s="12">
        <f>MAX(0,G44-H44)</f>
      </c>
      <c r="K44" s="13">
        <f>G44*L44</f>
      </c>
      <c r="L44" s="14">
        <f>B44*C44/10000</f>
      </c>
      <c r="M44" s="11">
        <f>IF(H44&gt;=G44,"Completa",IF(H44&gt;0,"Parcial","Pendente"))</f>
      </c>
    </row>
    <row r="45">
      <c r="A45" s="9" t="str">
        <v>C41</v>
      </c>
      <c r="B45" s="10">
        <v>91</v>
      </c>
      <c r="C45" s="10">
        <v>72.5</v>
      </c>
      <c r="D45" s="10">
        <v>91.5</v>
      </c>
      <c r="E45" s="10">
        <v>73</v>
      </c>
      <c r="F45" s="10">
        <v>40.077</v>
      </c>
      <c r="G45" s="11">
        <v>1</v>
      </c>
      <c r="H45" s="11">
        <f>SUMIF(RECEBIMENTOS!$C$5:$C$5000,A45,RECEBIMENTOS!$D$5:$D$5000)</f>
      </c>
      <c r="I45" s="11">
        <f>SUMIF(RECEBIMENTOS!$C$5:$C$5000,A45,RECEBIMENTOS!$E$5:$E$5000)</f>
      </c>
      <c r="J45" s="12">
        <f>MAX(0,G45-H45)</f>
      </c>
      <c r="K45" s="13">
        <f>G45*L45</f>
      </c>
      <c r="L45" s="14">
        <f>B45*C45/10000</f>
      </c>
      <c r="M45" s="11">
        <f>IF(H45&gt;=G45,"Completa",IF(H45&gt;0,"Parcial","Pendente"))</f>
      </c>
    </row>
    <row r="46">
      <c r="A46" s="9" t="str">
        <v>C42</v>
      </c>
      <c r="B46" s="10">
        <v>102.6</v>
      </c>
      <c r="C46" s="10">
        <v>72.5</v>
      </c>
      <c r="D46" s="10">
        <v>103.1</v>
      </c>
      <c r="E46" s="10">
        <v>73</v>
      </c>
      <c r="F46" s="10">
        <v>45.158</v>
      </c>
      <c r="G46" s="11">
        <v>1</v>
      </c>
      <c r="H46" s="11">
        <f>SUMIF(RECEBIMENTOS!$C$5:$C$5000,A46,RECEBIMENTOS!$D$5:$D$5000)</f>
      </c>
      <c r="I46" s="11">
        <f>SUMIF(RECEBIMENTOS!$C$5:$C$5000,A46,RECEBIMENTOS!$E$5:$E$5000)</f>
      </c>
      <c r="J46" s="12">
        <f>MAX(0,G46-H46)</f>
      </c>
      <c r="K46" s="13">
        <f>G46*L46</f>
      </c>
      <c r="L46" s="14">
        <f>B46*C46/10000</f>
      </c>
      <c r="M46" s="11">
        <f>IF(H46&gt;=G46,"Completa",IF(H46&gt;0,"Parcial","Pendente"))</f>
      </c>
    </row>
    <row r="47">
      <c r="A47" s="9" t="str">
        <v>C43</v>
      </c>
      <c r="B47" s="10">
        <v>102.6</v>
      </c>
      <c r="C47" s="10">
        <v>72.5</v>
      </c>
      <c r="D47" s="10">
        <v>103.1</v>
      </c>
      <c r="E47" s="10">
        <v>73</v>
      </c>
      <c r="F47" s="10">
        <v>45.158</v>
      </c>
      <c r="G47" s="11">
        <v>20</v>
      </c>
      <c r="H47" s="11">
        <f>SUMIF(RECEBIMENTOS!$C$5:$C$5000,A47,RECEBIMENTOS!$D$5:$D$5000)</f>
      </c>
      <c r="I47" s="11">
        <f>SUMIF(RECEBIMENTOS!$C$5:$C$5000,A47,RECEBIMENTOS!$E$5:$E$5000)</f>
      </c>
      <c r="J47" s="12">
        <f>MAX(0,G47-H47)</f>
      </c>
      <c r="K47" s="13">
        <f>G47*L47</f>
      </c>
      <c r="L47" s="14">
        <f>B47*C47/10000</f>
      </c>
      <c r="M47" s="11">
        <f>IF(H47&gt;=G47,"Completa",IF(H47&gt;0,"Parcial","Pendente"))</f>
      </c>
    </row>
    <row r="48">
      <c r="A48" s="9" t="str">
        <v>C44</v>
      </c>
      <c r="B48" s="10">
        <v>102.6</v>
      </c>
      <c r="C48" s="10">
        <v>72.5</v>
      </c>
      <c r="D48" s="10">
        <v>103.1</v>
      </c>
      <c r="E48" s="10">
        <v>73</v>
      </c>
      <c r="F48" s="10">
        <v>45.158</v>
      </c>
      <c r="G48" s="11">
        <v>1</v>
      </c>
      <c r="H48" s="11">
        <f>SUMIF(RECEBIMENTOS!$C$5:$C$5000,A48,RECEBIMENTOS!$D$5:$D$5000)</f>
      </c>
      <c r="I48" s="11">
        <f>SUMIF(RECEBIMENTOS!$C$5:$C$5000,A48,RECEBIMENTOS!$E$5:$E$5000)</f>
      </c>
      <c r="J48" s="12">
        <f>MAX(0,G48-H48)</f>
      </c>
      <c r="K48" s="13">
        <f>G48*L48</f>
      </c>
      <c r="L48" s="14">
        <f>B48*C48/10000</f>
      </c>
      <c r="M48" s="11">
        <f>IF(H48&gt;=G48,"Completa",IF(H48&gt;0,"Parcial","Pendente"))</f>
      </c>
    </row>
    <row r="49">
      <c r="A49" s="9" t="str">
        <v>C45</v>
      </c>
      <c r="B49" s="10">
        <v>106.5</v>
      </c>
      <c r="C49" s="10">
        <v>72.5</v>
      </c>
      <c r="D49" s="10">
        <v>107</v>
      </c>
      <c r="E49" s="10">
        <v>73</v>
      </c>
      <c r="F49" s="10">
        <v>46.866</v>
      </c>
      <c r="G49" s="11">
        <v>1</v>
      </c>
      <c r="H49" s="11">
        <f>SUMIF(RECEBIMENTOS!$C$5:$C$5000,A49,RECEBIMENTOS!$D$5:$D$5000)</f>
      </c>
      <c r="I49" s="11">
        <f>SUMIF(RECEBIMENTOS!$C$5:$C$5000,A49,RECEBIMENTOS!$E$5:$E$5000)</f>
      </c>
      <c r="J49" s="12">
        <f>MAX(0,G49-H49)</f>
      </c>
      <c r="K49" s="13">
        <f>G49*L49</f>
      </c>
      <c r="L49" s="14">
        <f>B49*C49/10000</f>
      </c>
      <c r="M49" s="11">
        <f>IF(H49&gt;=G49,"Completa",IF(H49&gt;0,"Parcial","Pendente"))</f>
      </c>
    </row>
    <row r="50">
      <c r="A50" s="9" t="str">
        <v>C46</v>
      </c>
      <c r="B50" s="10">
        <v>106.5</v>
      </c>
      <c r="C50" s="10">
        <v>72.5</v>
      </c>
      <c r="D50" s="10">
        <v>107</v>
      </c>
      <c r="E50" s="10">
        <v>73</v>
      </c>
      <c r="F50" s="10">
        <v>46.866</v>
      </c>
      <c r="G50" s="11">
        <v>1</v>
      </c>
      <c r="H50" s="11">
        <f>SUMIF(RECEBIMENTOS!$C$5:$C$5000,A50,RECEBIMENTOS!$D$5:$D$5000)</f>
      </c>
      <c r="I50" s="11">
        <f>SUMIF(RECEBIMENTOS!$C$5:$C$5000,A50,RECEBIMENTOS!$E$5:$E$5000)</f>
      </c>
      <c r="J50" s="12">
        <f>MAX(0,G50-H50)</f>
      </c>
      <c r="K50" s="13">
        <f>G50*L50</f>
      </c>
      <c r="L50" s="14">
        <f>B50*C50/10000</f>
      </c>
      <c r="M50" s="11">
        <f>IF(H50&gt;=G50,"Completa",IF(H50&gt;0,"Parcial","Pendente"))</f>
      </c>
    </row>
    <row r="51">
      <c r="A51" s="9" t="str">
        <v>C47</v>
      </c>
      <c r="B51" s="10">
        <v>101.8</v>
      </c>
      <c r="C51" s="10">
        <v>71.5</v>
      </c>
      <c r="D51" s="10">
        <v>102.3</v>
      </c>
      <c r="E51" s="10">
        <v>72</v>
      </c>
      <c r="F51" s="10">
        <v>44.194</v>
      </c>
      <c r="G51" s="11">
        <v>1</v>
      </c>
      <c r="H51" s="11">
        <f>SUMIF(RECEBIMENTOS!$C$5:$C$5000,A51,RECEBIMENTOS!$D$5:$D$5000)</f>
      </c>
      <c r="I51" s="11">
        <f>SUMIF(RECEBIMENTOS!$C$5:$C$5000,A51,RECEBIMENTOS!$E$5:$E$5000)</f>
      </c>
      <c r="J51" s="12">
        <f>MAX(0,G51-H51)</f>
      </c>
      <c r="K51" s="13">
        <f>G51*L51</f>
      </c>
      <c r="L51" s="14">
        <f>B51*C51/10000</f>
      </c>
      <c r="M51" s="11">
        <f>IF(H51&gt;=G51,"Completa",IF(H51&gt;0,"Parcial","Pendente"))</f>
      </c>
    </row>
    <row r="52">
      <c r="A52" s="9" t="str">
        <v>C48</v>
      </c>
      <c r="B52" s="10">
        <v>101.8</v>
      </c>
      <c r="C52" s="10">
        <v>71.5</v>
      </c>
      <c r="D52" s="10">
        <v>102.3</v>
      </c>
      <c r="E52" s="10">
        <v>72</v>
      </c>
      <c r="F52" s="10">
        <v>44.194</v>
      </c>
      <c r="G52" s="11">
        <v>1</v>
      </c>
      <c r="H52" s="11">
        <f>SUMIF(RECEBIMENTOS!$C$5:$C$5000,A52,RECEBIMENTOS!$D$5:$D$5000)</f>
      </c>
      <c r="I52" s="11">
        <f>SUMIF(RECEBIMENTOS!$C$5:$C$5000,A52,RECEBIMENTOS!$E$5:$E$5000)</f>
      </c>
      <c r="J52" s="12">
        <f>MAX(0,G52-H52)</f>
      </c>
      <c r="K52" s="13">
        <f>G52*L52</f>
      </c>
      <c r="L52" s="14">
        <f>B52*C52/10000</f>
      </c>
      <c r="M52" s="11">
        <f>IF(H52&gt;=G52,"Completa",IF(H52&gt;0,"Parcial","Pendente"))</f>
      </c>
    </row>
    <row r="53">
      <c r="A53" s="9" t="str">
        <v>C49</v>
      </c>
      <c r="B53" s="10">
        <v>91</v>
      </c>
      <c r="C53" s="10">
        <v>71.5</v>
      </c>
      <c r="D53" s="10">
        <v>91.5</v>
      </c>
      <c r="E53" s="10">
        <v>72</v>
      </c>
      <c r="F53" s="10">
        <v>39.528</v>
      </c>
      <c r="G53" s="11">
        <v>1</v>
      </c>
      <c r="H53" s="11">
        <f>SUMIF(RECEBIMENTOS!$C$5:$C$5000,A53,RECEBIMENTOS!$D$5:$D$5000)</f>
      </c>
      <c r="I53" s="11">
        <f>SUMIF(RECEBIMENTOS!$C$5:$C$5000,A53,RECEBIMENTOS!$E$5:$E$5000)</f>
      </c>
      <c r="J53" s="12">
        <f>MAX(0,G53-H53)</f>
      </c>
      <c r="K53" s="13">
        <f>G53*L53</f>
      </c>
      <c r="L53" s="14">
        <f>B53*C53/10000</f>
      </c>
      <c r="M53" s="11">
        <f>IF(H53&gt;=G53,"Completa",IF(H53&gt;0,"Parcial","Pendente"))</f>
      </c>
    </row>
    <row r="54">
      <c r="A54" s="9" t="str">
        <v>C50</v>
      </c>
      <c r="B54" s="10">
        <v>91</v>
      </c>
      <c r="C54" s="10">
        <v>71.5</v>
      </c>
      <c r="D54" s="10">
        <v>91.5</v>
      </c>
      <c r="E54" s="10">
        <v>72</v>
      </c>
      <c r="F54" s="10">
        <v>39.528</v>
      </c>
      <c r="G54" s="11">
        <v>2</v>
      </c>
      <c r="H54" s="11">
        <f>SUMIF(RECEBIMENTOS!$C$5:$C$5000,A54,RECEBIMENTOS!$D$5:$D$5000)</f>
      </c>
      <c r="I54" s="11">
        <f>SUMIF(RECEBIMENTOS!$C$5:$C$5000,A54,RECEBIMENTOS!$E$5:$E$5000)</f>
      </c>
      <c r="J54" s="12">
        <f>MAX(0,G54-H54)</f>
      </c>
      <c r="K54" s="13">
        <f>G54*L54</f>
      </c>
      <c r="L54" s="14">
        <f>B54*C54/10000</f>
      </c>
      <c r="M54" s="11">
        <f>IF(H54&gt;=G54,"Completa",IF(H54&gt;0,"Parcial","Pendente"))</f>
      </c>
    </row>
    <row r="55">
      <c r="A55" s="9" t="str">
        <v>C51</v>
      </c>
      <c r="B55" s="10">
        <v>91</v>
      </c>
      <c r="C55" s="10">
        <v>71.5</v>
      </c>
      <c r="D55" s="10">
        <v>91.5</v>
      </c>
      <c r="E55" s="10">
        <v>72</v>
      </c>
      <c r="F55" s="10">
        <v>39.528</v>
      </c>
      <c r="G55" s="11">
        <v>1</v>
      </c>
      <c r="H55" s="11">
        <f>SUMIF(RECEBIMENTOS!$C$5:$C$5000,A55,RECEBIMENTOS!$D$5:$D$5000)</f>
      </c>
      <c r="I55" s="11">
        <f>SUMIF(RECEBIMENTOS!$C$5:$C$5000,A55,RECEBIMENTOS!$E$5:$E$5000)</f>
      </c>
      <c r="J55" s="12">
        <f>MAX(0,G55-H55)</f>
      </c>
      <c r="K55" s="13">
        <f>G55*L55</f>
      </c>
      <c r="L55" s="14">
        <f>B55*C55/10000</f>
      </c>
      <c r="M55" s="11">
        <f>IF(H55&gt;=G55,"Completa",IF(H55&gt;0,"Parcial","Pendente"))</f>
      </c>
    </row>
    <row r="56">
      <c r="A56" s="9" t="str">
        <v>C52</v>
      </c>
      <c r="B56" s="10">
        <v>102.6</v>
      </c>
      <c r="C56" s="10">
        <v>71.5</v>
      </c>
      <c r="D56" s="10">
        <v>103.1</v>
      </c>
      <c r="E56" s="10">
        <v>72</v>
      </c>
      <c r="F56" s="10">
        <v>44.539</v>
      </c>
      <c r="G56" s="11">
        <v>1</v>
      </c>
      <c r="H56" s="11">
        <f>SUMIF(RECEBIMENTOS!$C$5:$C$5000,A56,RECEBIMENTOS!$D$5:$D$5000)</f>
      </c>
      <c r="I56" s="11">
        <f>SUMIF(RECEBIMENTOS!$C$5:$C$5000,A56,RECEBIMENTOS!$E$5:$E$5000)</f>
      </c>
      <c r="J56" s="12">
        <f>MAX(0,G56-H56)</f>
      </c>
      <c r="K56" s="13">
        <f>G56*L56</f>
      </c>
      <c r="L56" s="14">
        <f>B56*C56/10000</f>
      </c>
      <c r="M56" s="11">
        <f>IF(H56&gt;=G56,"Completa",IF(H56&gt;0,"Parcial","Pendente"))</f>
      </c>
    </row>
    <row r="57">
      <c r="A57" s="9" t="str">
        <v>C53</v>
      </c>
      <c r="B57" s="10">
        <v>102.6</v>
      </c>
      <c r="C57" s="10">
        <v>71.5</v>
      </c>
      <c r="D57" s="10">
        <v>103.1</v>
      </c>
      <c r="E57" s="10">
        <v>72</v>
      </c>
      <c r="F57" s="10">
        <v>44.539</v>
      </c>
      <c r="G57" s="11">
        <v>20</v>
      </c>
      <c r="H57" s="11">
        <f>SUMIF(RECEBIMENTOS!$C$5:$C$5000,A57,RECEBIMENTOS!$D$5:$D$5000)</f>
      </c>
      <c r="I57" s="11">
        <f>SUMIF(RECEBIMENTOS!$C$5:$C$5000,A57,RECEBIMENTOS!$E$5:$E$5000)</f>
      </c>
      <c r="J57" s="12">
        <f>MAX(0,G57-H57)</f>
      </c>
      <c r="K57" s="13">
        <f>G57*L57</f>
      </c>
      <c r="L57" s="14">
        <f>B57*C57/10000</f>
      </c>
      <c r="M57" s="11">
        <f>IF(H57&gt;=G57,"Completa",IF(H57&gt;0,"Parcial","Pendente"))</f>
      </c>
    </row>
    <row r="58">
      <c r="A58" s="9" t="str">
        <v>C54</v>
      </c>
      <c r="B58" s="10">
        <v>102.6</v>
      </c>
      <c r="C58" s="10">
        <v>71.5</v>
      </c>
      <c r="D58" s="10">
        <v>103.1</v>
      </c>
      <c r="E58" s="10">
        <v>72</v>
      </c>
      <c r="F58" s="10">
        <v>44.539</v>
      </c>
      <c r="G58" s="11">
        <v>1</v>
      </c>
      <c r="H58" s="11">
        <f>SUMIF(RECEBIMENTOS!$C$5:$C$5000,A58,RECEBIMENTOS!$D$5:$D$5000)</f>
      </c>
      <c r="I58" s="11">
        <f>SUMIF(RECEBIMENTOS!$C$5:$C$5000,A58,RECEBIMENTOS!$E$5:$E$5000)</f>
      </c>
      <c r="J58" s="12">
        <f>MAX(0,G58-H58)</f>
      </c>
      <c r="K58" s="13">
        <f>G58*L58</f>
      </c>
      <c r="L58" s="14">
        <f>B58*C58/10000</f>
      </c>
      <c r="M58" s="11">
        <f>IF(H58&gt;=G58,"Completa",IF(H58&gt;0,"Parcial","Pendente"))</f>
      </c>
    </row>
    <row r="59">
      <c r="A59" s="9" t="str">
        <v>C55</v>
      </c>
      <c r="B59" s="10">
        <v>106.5</v>
      </c>
      <c r="C59" s="10">
        <v>71.5</v>
      </c>
      <c r="D59" s="10">
        <v>107</v>
      </c>
      <c r="E59" s="10">
        <v>72</v>
      </c>
      <c r="F59" s="10">
        <v>46.224</v>
      </c>
      <c r="G59" s="11">
        <v>1</v>
      </c>
      <c r="H59" s="11">
        <f>SUMIF(RECEBIMENTOS!$C$5:$C$5000,A59,RECEBIMENTOS!$D$5:$D$5000)</f>
      </c>
      <c r="I59" s="11">
        <f>SUMIF(RECEBIMENTOS!$C$5:$C$5000,A59,RECEBIMENTOS!$E$5:$E$5000)</f>
      </c>
      <c r="J59" s="12">
        <f>MAX(0,G59-H59)</f>
      </c>
      <c r="K59" s="13">
        <f>G59*L59</f>
      </c>
      <c r="L59" s="14">
        <f>B59*C59/10000</f>
      </c>
      <c r="M59" s="11">
        <f>IF(H59&gt;=G59,"Completa",IF(H59&gt;0,"Parcial","Pendente"))</f>
      </c>
    </row>
    <row r="60">
      <c r="A60" s="9" t="str">
        <v>C56</v>
      </c>
      <c r="B60" s="10">
        <v>106.5</v>
      </c>
      <c r="C60" s="10">
        <v>71.5</v>
      </c>
      <c r="D60" s="10">
        <v>107</v>
      </c>
      <c r="E60" s="10">
        <v>72</v>
      </c>
      <c r="F60" s="10">
        <v>46.224</v>
      </c>
      <c r="G60" s="11">
        <v>1</v>
      </c>
      <c r="H60" s="11">
        <f>SUMIF(RECEBIMENTOS!$C$5:$C$5000,A60,RECEBIMENTOS!$D$5:$D$5000)</f>
      </c>
      <c r="I60" s="11">
        <f>SUMIF(RECEBIMENTOS!$C$5:$C$5000,A60,RECEBIMENTOS!$E$5:$E$5000)</f>
      </c>
      <c r="J60" s="12">
        <f>MAX(0,G60-H60)</f>
      </c>
      <c r="K60" s="13">
        <f>G60*L60</f>
      </c>
      <c r="L60" s="14">
        <f>B60*C60/10000</f>
      </c>
      <c r="M60" s="11">
        <f>IF(H60&gt;=G60,"Completa",IF(H60&gt;0,"Parcial","Pendente"))</f>
      </c>
    </row>
    <row r="61">
      <c r="A61" s="9" t="str">
        <v>C57</v>
      </c>
      <c r="B61" s="10">
        <v>101.8</v>
      </c>
      <c r="C61" s="10">
        <v>74.5</v>
      </c>
      <c r="D61" s="10">
        <v>102.3</v>
      </c>
      <c r="E61" s="10">
        <v>75</v>
      </c>
      <c r="F61" s="10">
        <v>46.035</v>
      </c>
      <c r="G61" s="11">
        <v>2</v>
      </c>
      <c r="H61" s="11">
        <f>SUMIF(RECEBIMENTOS!$C$5:$C$5000,A61,RECEBIMENTOS!$D$5:$D$5000)</f>
      </c>
      <c r="I61" s="11">
        <f>SUMIF(RECEBIMENTOS!$C$5:$C$5000,A61,RECEBIMENTOS!$E$5:$E$5000)</f>
      </c>
      <c r="J61" s="12">
        <f>MAX(0,G61-H61)</f>
      </c>
      <c r="K61" s="13">
        <f>G61*L61</f>
      </c>
      <c r="L61" s="14">
        <f>B61*C61/10000</f>
      </c>
      <c r="M61" s="11">
        <f>IF(H61&gt;=G61,"Completa",IF(H61&gt;0,"Parcial","Pendente"))</f>
      </c>
    </row>
    <row r="62">
      <c r="A62" s="9" t="str">
        <v>C58</v>
      </c>
      <c r="B62" s="10">
        <v>101.8</v>
      </c>
      <c r="C62" s="10">
        <v>74.5</v>
      </c>
      <c r="D62" s="10">
        <v>102.3</v>
      </c>
      <c r="E62" s="10">
        <v>75</v>
      </c>
      <c r="F62" s="10">
        <v>46.035</v>
      </c>
      <c r="G62" s="11">
        <v>2</v>
      </c>
      <c r="H62" s="11">
        <f>SUMIF(RECEBIMENTOS!$C$5:$C$5000,A62,RECEBIMENTOS!$D$5:$D$5000)</f>
      </c>
      <c r="I62" s="11">
        <f>SUMIF(RECEBIMENTOS!$C$5:$C$5000,A62,RECEBIMENTOS!$E$5:$E$5000)</f>
      </c>
      <c r="J62" s="12">
        <f>MAX(0,G62-H62)</f>
      </c>
      <c r="K62" s="13">
        <f>G62*L62</f>
      </c>
      <c r="L62" s="14">
        <f>B62*C62/10000</f>
      </c>
      <c r="M62" s="11">
        <f>IF(H62&gt;=G62,"Completa",IF(H62&gt;0,"Parcial","Pendente"))</f>
      </c>
    </row>
    <row r="63">
      <c r="A63" s="9" t="str">
        <v>C59</v>
      </c>
      <c r="B63" s="10">
        <v>91</v>
      </c>
      <c r="C63" s="10">
        <v>74.5</v>
      </c>
      <c r="D63" s="10">
        <v>91.5</v>
      </c>
      <c r="E63" s="10">
        <v>75</v>
      </c>
      <c r="F63" s="10">
        <v>41.175</v>
      </c>
      <c r="G63" s="11">
        <v>2</v>
      </c>
      <c r="H63" s="11">
        <f>SUMIF(RECEBIMENTOS!$C$5:$C$5000,A63,RECEBIMENTOS!$D$5:$D$5000)</f>
      </c>
      <c r="I63" s="11">
        <f>SUMIF(RECEBIMENTOS!$C$5:$C$5000,A63,RECEBIMENTOS!$E$5:$E$5000)</f>
      </c>
      <c r="J63" s="12">
        <f>MAX(0,G63-H63)</f>
      </c>
      <c r="K63" s="13">
        <f>G63*L63</f>
      </c>
      <c r="L63" s="14">
        <f>B63*C63/10000</f>
      </c>
      <c r="M63" s="11">
        <f>IF(H63&gt;=G63,"Completa",IF(H63&gt;0,"Parcial","Pendente"))</f>
      </c>
    </row>
    <row r="64">
      <c r="A64" s="9" t="str">
        <v>C60</v>
      </c>
      <c r="B64" s="10">
        <v>91</v>
      </c>
      <c r="C64" s="10">
        <v>74.5</v>
      </c>
      <c r="D64" s="10">
        <v>91.5</v>
      </c>
      <c r="E64" s="10">
        <v>75</v>
      </c>
      <c r="F64" s="10">
        <v>41.175</v>
      </c>
      <c r="G64" s="11">
        <v>4</v>
      </c>
      <c r="H64" s="11">
        <f>SUMIF(RECEBIMENTOS!$C$5:$C$5000,A64,RECEBIMENTOS!$D$5:$D$5000)</f>
      </c>
      <c r="I64" s="11">
        <f>SUMIF(RECEBIMENTOS!$C$5:$C$5000,A64,RECEBIMENTOS!$E$5:$E$5000)</f>
      </c>
      <c r="J64" s="12">
        <f>MAX(0,G64-H64)</f>
      </c>
      <c r="K64" s="13">
        <f>G64*L64</f>
      </c>
      <c r="L64" s="14">
        <f>B64*C64/10000</f>
      </c>
      <c r="M64" s="11">
        <f>IF(H64&gt;=G64,"Completa",IF(H64&gt;0,"Parcial","Pendente"))</f>
      </c>
    </row>
    <row r="65">
      <c r="A65" s="9" t="str">
        <v>C61</v>
      </c>
      <c r="B65" s="10">
        <v>91</v>
      </c>
      <c r="C65" s="10">
        <v>74.5</v>
      </c>
      <c r="D65" s="10">
        <v>91.5</v>
      </c>
      <c r="E65" s="10">
        <v>75</v>
      </c>
      <c r="F65" s="10">
        <v>41.175</v>
      </c>
      <c r="G65" s="11">
        <v>2</v>
      </c>
      <c r="H65" s="11">
        <f>SUMIF(RECEBIMENTOS!$C$5:$C$5000,A65,RECEBIMENTOS!$D$5:$D$5000)</f>
      </c>
      <c r="I65" s="11">
        <f>SUMIF(RECEBIMENTOS!$C$5:$C$5000,A65,RECEBIMENTOS!$E$5:$E$5000)</f>
      </c>
      <c r="J65" s="12">
        <f>MAX(0,G65-H65)</f>
      </c>
      <c r="K65" s="13">
        <f>G65*L65</f>
      </c>
      <c r="L65" s="14">
        <f>B65*C65/10000</f>
      </c>
      <c r="M65" s="11">
        <f>IF(H65&gt;=G65,"Completa",IF(H65&gt;0,"Parcial","Pendente"))</f>
      </c>
    </row>
    <row r="66">
      <c r="A66" s="9" t="str">
        <v>C62</v>
      </c>
      <c r="B66" s="10">
        <v>102.6</v>
      </c>
      <c r="C66" s="10">
        <v>74.5</v>
      </c>
      <c r="D66" s="10">
        <v>103.1</v>
      </c>
      <c r="E66" s="10">
        <v>75</v>
      </c>
      <c r="F66" s="10">
        <v>46.395</v>
      </c>
      <c r="G66" s="11">
        <v>2</v>
      </c>
      <c r="H66" s="11">
        <f>SUMIF(RECEBIMENTOS!$C$5:$C$5000,A66,RECEBIMENTOS!$D$5:$D$5000)</f>
      </c>
      <c r="I66" s="11">
        <f>SUMIF(RECEBIMENTOS!$C$5:$C$5000,A66,RECEBIMENTOS!$E$5:$E$5000)</f>
      </c>
      <c r="J66" s="12">
        <f>MAX(0,G66-H66)</f>
      </c>
      <c r="K66" s="13">
        <f>G66*L66</f>
      </c>
      <c r="L66" s="14">
        <f>B66*C66/10000</f>
      </c>
      <c r="M66" s="11">
        <f>IF(H66&gt;=G66,"Completa",IF(H66&gt;0,"Parcial","Pendente"))</f>
      </c>
    </row>
    <row r="67">
      <c r="A67" s="9" t="str">
        <v>C63</v>
      </c>
      <c r="B67" s="10">
        <v>102.6</v>
      </c>
      <c r="C67" s="10">
        <v>74.5</v>
      </c>
      <c r="D67" s="10">
        <v>103.1</v>
      </c>
      <c r="E67" s="10">
        <v>75</v>
      </c>
      <c r="F67" s="10">
        <v>46.395</v>
      </c>
      <c r="G67" s="11">
        <v>40</v>
      </c>
      <c r="H67" s="11">
        <f>SUMIF(RECEBIMENTOS!$C$5:$C$5000,A67,RECEBIMENTOS!$D$5:$D$5000)</f>
      </c>
      <c r="I67" s="11">
        <f>SUMIF(RECEBIMENTOS!$C$5:$C$5000,A67,RECEBIMENTOS!$E$5:$E$5000)</f>
      </c>
      <c r="J67" s="12">
        <f>MAX(0,G67-H67)</f>
      </c>
      <c r="K67" s="13">
        <f>G67*L67</f>
      </c>
      <c r="L67" s="14">
        <f>B67*C67/10000</f>
      </c>
      <c r="M67" s="11">
        <f>IF(H67&gt;=G67,"Completa",IF(H67&gt;0,"Parcial","Pendente"))</f>
      </c>
    </row>
    <row r="68">
      <c r="A68" s="9" t="str">
        <v>C64</v>
      </c>
      <c r="B68" s="10">
        <v>102.6</v>
      </c>
      <c r="C68" s="10">
        <v>74.5</v>
      </c>
      <c r="D68" s="10">
        <v>103.1</v>
      </c>
      <c r="E68" s="10">
        <v>75</v>
      </c>
      <c r="F68" s="10">
        <v>46.395</v>
      </c>
      <c r="G68" s="11">
        <v>2</v>
      </c>
      <c r="H68" s="11">
        <f>SUMIF(RECEBIMENTOS!$C$5:$C$5000,A68,RECEBIMENTOS!$D$5:$D$5000)</f>
      </c>
      <c r="I68" s="11">
        <f>SUMIF(RECEBIMENTOS!$C$5:$C$5000,A68,RECEBIMENTOS!$E$5:$E$5000)</f>
      </c>
      <c r="J68" s="12">
        <f>MAX(0,G68-H68)</f>
      </c>
      <c r="K68" s="13">
        <f>G68*L68</f>
      </c>
      <c r="L68" s="14">
        <f>B68*C68/10000</f>
      </c>
      <c r="M68" s="11">
        <f>IF(H68&gt;=G68,"Completa",IF(H68&gt;0,"Parcial","Pendente"))</f>
      </c>
    </row>
    <row r="69">
      <c r="A69" s="9" t="str">
        <v>C65</v>
      </c>
      <c r="B69" s="10">
        <v>106.5</v>
      </c>
      <c r="C69" s="10">
        <v>74.5</v>
      </c>
      <c r="D69" s="10">
        <v>107</v>
      </c>
      <c r="E69" s="10">
        <v>75</v>
      </c>
      <c r="F69" s="10">
        <v>48.15</v>
      </c>
      <c r="G69" s="11">
        <v>2</v>
      </c>
      <c r="H69" s="11">
        <f>SUMIF(RECEBIMENTOS!$C$5:$C$5000,A69,RECEBIMENTOS!$D$5:$D$5000)</f>
      </c>
      <c r="I69" s="11">
        <f>SUMIF(RECEBIMENTOS!$C$5:$C$5000,A69,RECEBIMENTOS!$E$5:$E$5000)</f>
      </c>
      <c r="J69" s="12">
        <f>MAX(0,G69-H69)</f>
      </c>
      <c r="K69" s="13">
        <f>G69*L69</f>
      </c>
      <c r="L69" s="14">
        <f>B69*C69/10000</f>
      </c>
      <c r="M69" s="11">
        <f>IF(H69&gt;=G69,"Completa",IF(H69&gt;0,"Parcial","Pendente"))</f>
      </c>
    </row>
    <row r="70">
      <c r="A70" s="9" t="str">
        <v>C66</v>
      </c>
      <c r="B70" s="10">
        <v>106.5</v>
      </c>
      <c r="C70" s="10">
        <v>74.5</v>
      </c>
      <c r="D70" s="10">
        <v>107</v>
      </c>
      <c r="E70" s="10">
        <v>75</v>
      </c>
      <c r="F70" s="10">
        <v>48.15</v>
      </c>
      <c r="G70" s="11">
        <v>2</v>
      </c>
      <c r="H70" s="11">
        <f>SUMIF(RECEBIMENTOS!$C$5:$C$5000,A70,RECEBIMENTOS!$D$5:$D$5000)</f>
      </c>
      <c r="I70" s="11">
        <f>SUMIF(RECEBIMENTOS!$C$5:$C$5000,A70,RECEBIMENTOS!$E$5:$E$5000)</f>
      </c>
      <c r="J70" s="12">
        <f>MAX(0,G70-H70)</f>
      </c>
      <c r="K70" s="13">
        <f>G70*L70</f>
      </c>
      <c r="L70" s="14">
        <f>B70*C70/10000</f>
      </c>
      <c r="M70" s="11">
        <f>IF(H70&gt;=G70,"Completa",IF(H70&gt;0,"Parcial","Pendente"))</f>
      </c>
    </row>
    <row r="71">
      <c r="A71" s="9" t="str">
        <v>C67</v>
      </c>
      <c r="B71" s="10">
        <v>101.8</v>
      </c>
      <c r="C71" s="10">
        <v>73.8</v>
      </c>
      <c r="D71" s="10">
        <v>102.3</v>
      </c>
      <c r="E71" s="10">
        <v>74.3</v>
      </c>
      <c r="F71" s="10">
        <v>45.605</v>
      </c>
      <c r="G71" s="11">
        <v>1</v>
      </c>
      <c r="H71" s="11">
        <f>SUMIF(RECEBIMENTOS!$C$5:$C$5000,A71,RECEBIMENTOS!$D$5:$D$5000)</f>
      </c>
      <c r="I71" s="11">
        <f>SUMIF(RECEBIMENTOS!$C$5:$C$5000,A71,RECEBIMENTOS!$E$5:$E$5000)</f>
      </c>
      <c r="J71" s="12">
        <f>MAX(0,G71-H71)</f>
      </c>
      <c r="K71" s="13">
        <f>G71*L71</f>
      </c>
      <c r="L71" s="14">
        <f>B71*C71/10000</f>
      </c>
      <c r="M71" s="11">
        <f>IF(H71&gt;=G71,"Completa",IF(H71&gt;0,"Parcial","Pendente"))</f>
      </c>
    </row>
    <row r="72">
      <c r="A72" s="9" t="str">
        <v>C68</v>
      </c>
      <c r="B72" s="10">
        <v>101.8</v>
      </c>
      <c r="C72" s="10">
        <v>73.8</v>
      </c>
      <c r="D72" s="10">
        <v>102.3</v>
      </c>
      <c r="E72" s="10">
        <v>74.3</v>
      </c>
      <c r="F72" s="10">
        <v>45.605</v>
      </c>
      <c r="G72" s="11">
        <v>1</v>
      </c>
      <c r="H72" s="11">
        <f>SUMIF(RECEBIMENTOS!$C$5:$C$5000,A72,RECEBIMENTOS!$D$5:$D$5000)</f>
      </c>
      <c r="I72" s="11">
        <f>SUMIF(RECEBIMENTOS!$C$5:$C$5000,A72,RECEBIMENTOS!$E$5:$E$5000)</f>
      </c>
      <c r="J72" s="12">
        <f>MAX(0,G72-H72)</f>
      </c>
      <c r="K72" s="13">
        <f>G72*L72</f>
      </c>
      <c r="L72" s="14">
        <f>B72*C72/10000</f>
      </c>
      <c r="M72" s="11">
        <f>IF(H72&gt;=G72,"Completa",IF(H72&gt;0,"Parcial","Pendente"))</f>
      </c>
    </row>
    <row r="73">
      <c r="A73" s="9" t="str">
        <v>C69</v>
      </c>
      <c r="B73" s="10">
        <v>91</v>
      </c>
      <c r="C73" s="10">
        <v>73.8</v>
      </c>
      <c r="D73" s="10">
        <v>91.5</v>
      </c>
      <c r="E73" s="10">
        <v>74.3</v>
      </c>
      <c r="F73" s="10">
        <v>40.791</v>
      </c>
      <c r="G73" s="11">
        <v>1</v>
      </c>
      <c r="H73" s="11">
        <f>SUMIF(RECEBIMENTOS!$C$5:$C$5000,A73,RECEBIMENTOS!$D$5:$D$5000)</f>
      </c>
      <c r="I73" s="11">
        <f>SUMIF(RECEBIMENTOS!$C$5:$C$5000,A73,RECEBIMENTOS!$E$5:$E$5000)</f>
      </c>
      <c r="J73" s="12">
        <f>MAX(0,G73-H73)</f>
      </c>
      <c r="K73" s="13">
        <f>G73*L73</f>
      </c>
      <c r="L73" s="14">
        <f>B73*C73/10000</f>
      </c>
      <c r="M73" s="11">
        <f>IF(H73&gt;=G73,"Completa",IF(H73&gt;0,"Parcial","Pendente"))</f>
      </c>
    </row>
    <row r="74">
      <c r="A74" s="9" t="str">
        <v>C70</v>
      </c>
      <c r="B74" s="10">
        <v>91</v>
      </c>
      <c r="C74" s="10">
        <v>73.8</v>
      </c>
      <c r="D74" s="10">
        <v>91.5</v>
      </c>
      <c r="E74" s="10">
        <v>74.3</v>
      </c>
      <c r="F74" s="10">
        <v>40.791</v>
      </c>
      <c r="G74" s="11">
        <v>2</v>
      </c>
      <c r="H74" s="11">
        <f>SUMIF(RECEBIMENTOS!$C$5:$C$5000,A74,RECEBIMENTOS!$D$5:$D$5000)</f>
      </c>
      <c r="I74" s="11">
        <f>SUMIF(RECEBIMENTOS!$C$5:$C$5000,A74,RECEBIMENTOS!$E$5:$E$5000)</f>
      </c>
      <c r="J74" s="12">
        <f>MAX(0,G74-H74)</f>
      </c>
      <c r="K74" s="13">
        <f>G74*L74</f>
      </c>
      <c r="L74" s="14">
        <f>B74*C74/10000</f>
      </c>
      <c r="M74" s="11">
        <f>IF(H74&gt;=G74,"Completa",IF(H74&gt;0,"Parcial","Pendente"))</f>
      </c>
    </row>
    <row r="75">
      <c r="A75" s="9" t="str">
        <v>C71</v>
      </c>
      <c r="B75" s="10">
        <v>91</v>
      </c>
      <c r="C75" s="10">
        <v>73.8</v>
      </c>
      <c r="D75" s="10">
        <v>91.5</v>
      </c>
      <c r="E75" s="10">
        <v>74.3</v>
      </c>
      <c r="F75" s="10">
        <v>40.791</v>
      </c>
      <c r="G75" s="11">
        <v>1</v>
      </c>
      <c r="H75" s="11">
        <f>SUMIF(RECEBIMENTOS!$C$5:$C$5000,A75,RECEBIMENTOS!$D$5:$D$5000)</f>
      </c>
      <c r="I75" s="11">
        <f>SUMIF(RECEBIMENTOS!$C$5:$C$5000,A75,RECEBIMENTOS!$E$5:$E$5000)</f>
      </c>
      <c r="J75" s="12">
        <f>MAX(0,G75-H75)</f>
      </c>
      <c r="K75" s="13">
        <f>G75*L75</f>
      </c>
      <c r="L75" s="14">
        <f>B75*C75/10000</f>
      </c>
      <c r="M75" s="11">
        <f>IF(H75&gt;=G75,"Completa",IF(H75&gt;0,"Parcial","Pendente"))</f>
      </c>
    </row>
    <row r="76">
      <c r="A76" s="9" t="str">
        <v>C72</v>
      </c>
      <c r="B76" s="10">
        <v>102.6</v>
      </c>
      <c r="C76" s="10">
        <v>73.8</v>
      </c>
      <c r="D76" s="10">
        <v>103.1</v>
      </c>
      <c r="E76" s="10">
        <v>74.3</v>
      </c>
      <c r="F76" s="10">
        <v>45.962</v>
      </c>
      <c r="G76" s="11">
        <v>1</v>
      </c>
      <c r="H76" s="11">
        <f>SUMIF(RECEBIMENTOS!$C$5:$C$5000,A76,RECEBIMENTOS!$D$5:$D$5000)</f>
      </c>
      <c r="I76" s="11">
        <f>SUMIF(RECEBIMENTOS!$C$5:$C$5000,A76,RECEBIMENTOS!$E$5:$E$5000)</f>
      </c>
      <c r="J76" s="12">
        <f>MAX(0,G76-H76)</f>
      </c>
      <c r="K76" s="13">
        <f>G76*L76</f>
      </c>
      <c r="L76" s="14">
        <f>B76*C76/10000</f>
      </c>
      <c r="M76" s="11">
        <f>IF(H76&gt;=G76,"Completa",IF(H76&gt;0,"Parcial","Pendente"))</f>
      </c>
    </row>
    <row r="77">
      <c r="A77" s="9" t="str">
        <v>C73</v>
      </c>
      <c r="B77" s="10">
        <v>102.6</v>
      </c>
      <c r="C77" s="10">
        <v>73.8</v>
      </c>
      <c r="D77" s="10">
        <v>103.1</v>
      </c>
      <c r="E77" s="10">
        <v>74.3</v>
      </c>
      <c r="F77" s="10">
        <v>45.962</v>
      </c>
      <c r="G77" s="11">
        <v>20</v>
      </c>
      <c r="H77" s="11">
        <f>SUMIF(RECEBIMENTOS!$C$5:$C$5000,A77,RECEBIMENTOS!$D$5:$D$5000)</f>
      </c>
      <c r="I77" s="11">
        <f>SUMIF(RECEBIMENTOS!$C$5:$C$5000,A77,RECEBIMENTOS!$E$5:$E$5000)</f>
      </c>
      <c r="J77" s="12">
        <f>MAX(0,G77-H77)</f>
      </c>
      <c r="K77" s="13">
        <f>G77*L77</f>
      </c>
      <c r="L77" s="14">
        <f>B77*C77/10000</f>
      </c>
      <c r="M77" s="11">
        <f>IF(H77&gt;=G77,"Completa",IF(H77&gt;0,"Parcial","Pendente"))</f>
      </c>
    </row>
    <row r="78">
      <c r="A78" s="9" t="str">
        <v>C74</v>
      </c>
      <c r="B78" s="10">
        <v>102.6</v>
      </c>
      <c r="C78" s="10">
        <v>73.8</v>
      </c>
      <c r="D78" s="10">
        <v>103.1</v>
      </c>
      <c r="E78" s="10">
        <v>74.3</v>
      </c>
      <c r="F78" s="10">
        <v>45.962</v>
      </c>
      <c r="G78" s="11">
        <v>1</v>
      </c>
      <c r="H78" s="11">
        <f>SUMIF(RECEBIMENTOS!$C$5:$C$5000,A78,RECEBIMENTOS!$D$5:$D$5000)</f>
      </c>
      <c r="I78" s="11">
        <f>SUMIF(RECEBIMENTOS!$C$5:$C$5000,A78,RECEBIMENTOS!$E$5:$E$5000)</f>
      </c>
      <c r="J78" s="12">
        <f>MAX(0,G78-H78)</f>
      </c>
      <c r="K78" s="13">
        <f>G78*L78</f>
      </c>
      <c r="L78" s="14">
        <f>B78*C78/10000</f>
      </c>
      <c r="M78" s="11">
        <f>IF(H78&gt;=G78,"Completa",IF(H78&gt;0,"Parcial","Pendente"))</f>
      </c>
    </row>
    <row r="79">
      <c r="A79" s="9" t="str">
        <v>C75</v>
      </c>
      <c r="B79" s="10">
        <v>106.5</v>
      </c>
      <c r="C79" s="10">
        <v>73.8</v>
      </c>
      <c r="D79" s="10">
        <v>107</v>
      </c>
      <c r="E79" s="10">
        <v>74.3</v>
      </c>
      <c r="F79" s="10">
        <v>47.701</v>
      </c>
      <c r="G79" s="11">
        <v>1</v>
      </c>
      <c r="H79" s="11">
        <f>SUMIF(RECEBIMENTOS!$C$5:$C$5000,A79,RECEBIMENTOS!$D$5:$D$5000)</f>
      </c>
      <c r="I79" s="11">
        <f>SUMIF(RECEBIMENTOS!$C$5:$C$5000,A79,RECEBIMENTOS!$E$5:$E$5000)</f>
      </c>
      <c r="J79" s="12">
        <f>MAX(0,G79-H79)</f>
      </c>
      <c r="K79" s="13">
        <f>G79*L79</f>
      </c>
      <c r="L79" s="14">
        <f>B79*C79/10000</f>
      </c>
      <c r="M79" s="11">
        <f>IF(H79&gt;=G79,"Completa",IF(H79&gt;0,"Parcial","Pendente"))</f>
      </c>
    </row>
    <row r="80">
      <c r="A80" s="9" t="str">
        <v>C76</v>
      </c>
      <c r="B80" s="10">
        <v>106.5</v>
      </c>
      <c r="C80" s="10">
        <v>73.8</v>
      </c>
      <c r="D80" s="10">
        <v>107</v>
      </c>
      <c r="E80" s="10">
        <v>74.3</v>
      </c>
      <c r="F80" s="10">
        <v>47.701</v>
      </c>
      <c r="G80" s="11">
        <v>1</v>
      </c>
      <c r="H80" s="11">
        <f>SUMIF(RECEBIMENTOS!$C$5:$C$5000,A80,RECEBIMENTOS!$D$5:$D$5000)</f>
      </c>
      <c r="I80" s="11">
        <f>SUMIF(RECEBIMENTOS!$C$5:$C$5000,A80,RECEBIMENTOS!$E$5:$E$5000)</f>
      </c>
      <c r="J80" s="12">
        <f>MAX(0,G80-H80)</f>
      </c>
      <c r="K80" s="13">
        <f>G80*L80</f>
      </c>
      <c r="L80" s="14">
        <f>B80*C80/10000</f>
      </c>
      <c r="M80" s="11">
        <f>IF(H80&gt;=G80,"Completa",IF(H80&gt;0,"Parcial","Pendente"))</f>
      </c>
    </row>
    <row r="81">
      <c r="A81" s="15" t="str">
        <v>TOTAL</v>
      </c>
      <c r="B81" s="15" t="str">
        <v/>
      </c>
      <c r="C81" s="15" t="str">
        <v/>
      </c>
      <c r="D81" s="15" t="str">
        <v/>
      </c>
      <c r="E81" s="15" t="str">
        <v/>
      </c>
      <c r="F81" s="15" t="str">
        <v/>
      </c>
      <c r="G81" s="15">
        <f>SUM(G5:G80)</f>
      </c>
      <c r="H81" s="15">
        <f>SUM(H5:H80)</f>
      </c>
      <c r="I81" s="15">
        <f>SUM(I5:I80)</f>
      </c>
      <c r="J81" s="15">
        <f>SUM(J5:J80)</f>
      </c>
      <c r="K81" s="16">
        <f>SUM(K5:K80)</f>
      </c>
      <c r="L81" s="15" t="str">
        <v/>
      </c>
      <c r="M81" s="15" t="str">
        <v/>
      </c>
    </row>
    <row r="82">
      <c r="A82" s="17" t="str">
        <v>Área do saldo (m²)</v>
      </c>
      <c r="J82" s="18">
        <f>SUMPRODUCT(J5:J80,L5:L80)</f>
      </c>
    </row>
    <row r="83">
      <c r="A83" s="17" t="str">
        <v>Peso recebido (t)</v>
      </c>
      <c r="J83" s="19">
        <f>SUMPRODUCT(H5:H80,F5:F80)/1000</f>
      </c>
    </row>
  </sheetData>
  <mergeCells count="2">
    <mergeCell ref="A1:M1"/>
    <mergeCell ref="A2:M2"/>
  </mergeCells>
  <ignoredErrors>
    <ignoredError numberStoredAsText="1" sqref="A1:M8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N71"/>
  <sheetViews>
    <sheetView showGridLines="0" workbookViewId="0">
      <pane xSplit="2" ySplit="5" topLeftCell="C6" activePane="bottomRight" state="frozen"/>
      <selection pane="bottomRight" activeCell="C6" sqref="C6"/>
    </sheetView>
  </sheetViews>
  <cols>
    <col min="1" max="1" width="6.83203125" customWidth="1"/>
    <col min="2" max="2" width="5.83203125" customWidth="1"/>
    <col min="3" max="3" width="5.43359375" customWidth="1"/>
    <col min="4" max="4" width="5.43359375" customWidth="1"/>
    <col min="5" max="5" width="2.33203125" customWidth="1"/>
    <col min="6" max="6" width="5.43359375" customWidth="1"/>
    <col min="7" max="7" width="5.43359375" customWidth="1"/>
    <col min="8" max="8" width="5.43359375" customWidth="1"/>
    <col min="9" max="9" width="5.43359375" customWidth="1"/>
    <col min="10" max="10" width="5.43359375" customWidth="1"/>
    <col min="11" max="11" width="5.43359375" customWidth="1"/>
    <col min="12" max="12" width="5.43359375" customWidth="1"/>
    <col min="13" max="13" width="5.43359375" customWidth="1"/>
    <col min="14" max="14" width="5.43359375" customWidth="1"/>
    <col min="15" max="15" width="5.43359375" customWidth="1"/>
    <col min="16" max="16" width="5.43359375" customWidth="1"/>
    <col min="17" max="17" width="5.43359375" customWidth="1"/>
    <col min="18" max="18" width="5.43359375" customWidth="1"/>
    <col min="19" max="19" width="5.43359375" customWidth="1"/>
    <col min="20" max="20" width="5.43359375" customWidth="1"/>
    <col min="21" max="21" width="5.43359375" customWidth="1"/>
    <col min="22" max="22" width="5.43359375" customWidth="1"/>
    <col min="23" max="23" width="5.43359375" customWidth="1"/>
    <col min="24" max="24" width="5.43359375" customWidth="1"/>
    <col min="25" max="25" width="5.43359375" customWidth="1"/>
    <col min="26" max="26" width="5.43359375" customWidth="1"/>
    <col min="27" max="27" width="5.43359375" customWidth="1"/>
    <col min="28" max="28" width="5.43359375" customWidth="1"/>
    <col min="29" max="29" width="5.43359375" customWidth="1"/>
    <col min="30" max="30" width="5.43359375" customWidth="1"/>
    <col min="31" max="31" width="5.43359375" customWidth="1"/>
    <col min="32" max="32" width="5.43359375" customWidth="1"/>
    <col min="33" max="33" width="5.43359375" customWidth="1"/>
    <col min="34" max="34" width="5.43359375" customWidth="1"/>
    <col min="35" max="35" width="2.33203125" customWidth="1"/>
    <col min="36" max="36" width="5.43359375" customWidth="1"/>
    <col min="37" max="37" width="5.43359375" customWidth="1"/>
    <col min="38" max="38" width="2.33203125" customWidth="1"/>
    <col min="39" max="39" width="10.83203125" customWidth="1"/>
    <col min="40" max="40" width="11.83203125" customWidth="1"/>
  </cols>
  <sheetData>
    <row r="1" ht="22" customHeight="1">
      <c r="A1" s="3" t="str">
        <v>PAINEL DA FACHADA · PEDRAS ENTREGUES · ODC-300</v>
      </c>
      <c r="B1" s="4" t="str">
        <v/>
      </c>
      <c r="C1" s="4" t="str">
        <v/>
      </c>
      <c r="D1" s="4" t="str">
        <v/>
      </c>
      <c r="E1" s="4" t="str">
        <v/>
      </c>
      <c r="F1" s="4" t="str">
        <v/>
      </c>
      <c r="G1" s="4" t="str">
        <v/>
      </c>
      <c r="H1" s="4" t="str">
        <v/>
      </c>
      <c r="I1" s="4" t="str">
        <v/>
      </c>
      <c r="J1" s="4" t="str">
        <v/>
      </c>
      <c r="K1" s="4" t="str">
        <v/>
      </c>
      <c r="L1" s="4" t="str">
        <v/>
      </c>
      <c r="M1" s="4" t="str">
        <v/>
      </c>
      <c r="N1" s="4" t="str">
        <v/>
      </c>
      <c r="O1" s="4" t="str">
        <v/>
      </c>
      <c r="P1" s="4" t="str">
        <v/>
      </c>
      <c r="Q1" s="4" t="str">
        <v/>
      </c>
      <c r="R1" s="4" t="str">
        <v/>
      </c>
      <c r="S1" s="4" t="str">
        <v/>
      </c>
      <c r="T1" s="4" t="str">
        <v/>
      </c>
      <c r="U1" s="4" t="str">
        <v/>
      </c>
      <c r="V1" s="4" t="str">
        <v/>
      </c>
      <c r="W1" s="4" t="str">
        <v/>
      </c>
      <c r="X1" s="4" t="str">
        <v/>
      </c>
      <c r="Y1" s="4" t="str">
        <v/>
      </c>
      <c r="Z1" s="4" t="str">
        <v/>
      </c>
      <c r="AA1" s="4" t="str">
        <v/>
      </c>
      <c r="AB1" s="4" t="str">
        <v/>
      </c>
      <c r="AC1" s="4" t="str">
        <v/>
      </c>
      <c r="AD1" s="4" t="str">
        <v/>
      </c>
      <c r="AE1" s="4" t="str">
        <v/>
      </c>
      <c r="AF1" s="4" t="str">
        <v/>
      </c>
      <c r="AG1" s="4" t="str">
        <v/>
      </c>
      <c r="AH1" s="4" t="str">
        <v/>
      </c>
      <c r="AI1" s="4" t="str">
        <v/>
      </c>
      <c r="AJ1" s="4" t="str">
        <v/>
      </c>
      <c r="AK1" s="4" t="str">
        <v/>
      </c>
      <c r="AL1" s="4" t="str">
        <v/>
      </c>
      <c r="AM1" s="4" t="str">
        <v/>
      </c>
      <c r="AN1" s="4" t="str">
        <v/>
      </c>
    </row>
    <row r="2" ht="18" customHeight="1">
      <c r="A2" s="5" t="str">
        <v>ED. JARDIM · Fachada Posterior (4º ao 14º Pavimento) · posição das placas conforme desenho GM-895-FAC-003-R00</v>
      </c>
      <c r="B2" s="6" t="str">
        <v/>
      </c>
      <c r="C2" s="6" t="str">
        <v/>
      </c>
      <c r="D2" s="6" t="str">
        <v/>
      </c>
      <c r="E2" s="6" t="str">
        <v/>
      </c>
      <c r="F2" s="6" t="str">
        <v/>
      </c>
      <c r="G2" s="6" t="str">
        <v/>
      </c>
      <c r="H2" s="6" t="str">
        <v/>
      </c>
      <c r="I2" s="6" t="str">
        <v/>
      </c>
      <c r="J2" s="6" t="str">
        <v/>
      </c>
      <c r="K2" s="6" t="str">
        <v/>
      </c>
      <c r="L2" s="6" t="str">
        <v/>
      </c>
      <c r="M2" s="6" t="str">
        <v/>
      </c>
      <c r="N2" s="6" t="str">
        <v/>
      </c>
      <c r="O2" s="6" t="str">
        <v/>
      </c>
      <c r="P2" s="6" t="str">
        <v/>
      </c>
      <c r="Q2" s="6" t="str">
        <v/>
      </c>
      <c r="R2" s="6" t="str">
        <v/>
      </c>
      <c r="S2" s="6" t="str">
        <v/>
      </c>
      <c r="T2" s="6" t="str">
        <v/>
      </c>
      <c r="U2" s="6" t="str">
        <v/>
      </c>
      <c r="V2" s="6" t="str">
        <v/>
      </c>
      <c r="W2" s="6" t="str">
        <v/>
      </c>
      <c r="X2" s="6" t="str">
        <v/>
      </c>
      <c r="Y2" s="6" t="str">
        <v/>
      </c>
      <c r="Z2" s="6" t="str">
        <v/>
      </c>
      <c r="AA2" s="6" t="str">
        <v/>
      </c>
      <c r="AB2" s="6" t="str">
        <v/>
      </c>
      <c r="AC2" s="6" t="str">
        <v/>
      </c>
      <c r="AD2" s="6" t="str">
        <v/>
      </c>
      <c r="AE2" s="6" t="str">
        <v/>
      </c>
      <c r="AF2" s="6" t="str">
        <v/>
      </c>
      <c r="AG2" s="6" t="str">
        <v/>
      </c>
      <c r="AH2" s="6" t="str">
        <v/>
      </c>
      <c r="AI2" s="6" t="str">
        <v/>
      </c>
      <c r="AJ2" s="6" t="str">
        <v/>
      </c>
      <c r="AK2" s="6" t="str">
        <v/>
      </c>
      <c r="AL2" s="6" t="str">
        <v/>
      </c>
      <c r="AM2" s="6" t="str">
        <v/>
      </c>
      <c r="AN2" s="6" t="str">
        <v/>
      </c>
    </row>
    <row r="3" ht="26" customHeight="1">
      <c r="A3" s="20" t="str">
        <v>Verde = placa entregue · vermelho = recebida avariada · cinza = a entregar · hachurado = shaft, sem granito. Atualiza sozinho ao lançar romaneios na aba RECEBIMENTOS; placas de mesmo código são preenchidas de baixo para cima (ordem de assentamento).</v>
      </c>
    </row>
    <row r="4" ht="6" customHeight="1"/>
    <row r="5" ht="24" customHeight="1">
      <c r="A5" s="21" t="str">
        <v>PAV.</v>
      </c>
      <c r="B5" s="21" t="str">
        <v>FIADA</v>
      </c>
      <c r="C5" s="22" t="str">
        <v>PRUMADA ESQ.</v>
      </c>
      <c r="D5" s="23" t="str">
        <v/>
      </c>
      <c r="F5" s="22" t="str">
        <v>ESQ. DO SHAFT</v>
      </c>
      <c r="G5" s="23" t="str">
        <v/>
      </c>
      <c r="H5" s="23" t="str">
        <v/>
      </c>
      <c r="I5" s="23" t="str">
        <v/>
      </c>
      <c r="J5" s="22" t="str">
        <v>SHAFT</v>
      </c>
      <c r="K5" s="23" t="str">
        <v/>
      </c>
      <c r="L5" s="23" t="str">
        <v/>
      </c>
      <c r="M5" s="22" t="str">
        <v>TRECHO CENTRAL</v>
      </c>
      <c r="N5" s="23" t="str">
        <v/>
      </c>
      <c r="O5" s="23" t="str">
        <v/>
      </c>
      <c r="P5" s="23" t="str">
        <v/>
      </c>
      <c r="Q5" s="23" t="str">
        <v/>
      </c>
      <c r="R5" s="23" t="str">
        <v/>
      </c>
      <c r="S5" s="23" t="str">
        <v/>
      </c>
      <c r="T5" s="23" t="str">
        <v/>
      </c>
      <c r="U5" s="23" t="str">
        <v/>
      </c>
      <c r="V5" s="23" t="str">
        <v/>
      </c>
      <c r="W5" s="23" t="str">
        <v/>
      </c>
      <c r="X5" s="23" t="str">
        <v/>
      </c>
      <c r="Y5" s="23" t="str">
        <v/>
      </c>
      <c r="Z5" s="23" t="str">
        <v/>
      </c>
      <c r="AA5" s="23" t="str">
        <v/>
      </c>
      <c r="AB5" s="23" t="str">
        <v/>
      </c>
      <c r="AC5" s="23" t="str">
        <v/>
      </c>
      <c r="AD5" s="23" t="str">
        <v/>
      </c>
      <c r="AE5" s="23" t="str">
        <v/>
      </c>
      <c r="AF5" s="23" t="str">
        <v/>
      </c>
      <c r="AG5" s="23" t="str">
        <v/>
      </c>
      <c r="AH5" s="23" t="str">
        <v/>
      </c>
      <c r="AJ5" s="22" t="str">
        <v>PRUMADA DIR.</v>
      </c>
      <c r="AK5" s="23" t="str">
        <v/>
      </c>
      <c r="AM5" s="24" t="str">
        <v>% ÁREA ENTREGUE</v>
      </c>
      <c r="AN5" s="22" t="str">
        <v>SITUAÇÃO</v>
      </c>
    </row>
    <row r="6" ht="14" customHeight="1">
      <c r="A6" s="25" t="str">
        <v>14º</v>
      </c>
      <c r="B6" s="26" t="str">
        <v>a</v>
      </c>
      <c r="C6" s="27" t="str">
        <v>C1</v>
      </c>
      <c r="D6" s="27" t="str">
        <v>C2</v>
      </c>
      <c r="F6" s="28" t="str">
        <v/>
      </c>
      <c r="G6" s="28" t="str">
        <v/>
      </c>
      <c r="H6" s="28" t="str">
        <v/>
      </c>
      <c r="I6" s="28" t="str">
        <v/>
      </c>
      <c r="J6" s="29" t="str">
        <v/>
      </c>
      <c r="K6" s="30" t="str">
        <v/>
      </c>
      <c r="L6" s="30" t="str">
        <v/>
      </c>
      <c r="M6" s="28" t="str">
        <v/>
      </c>
      <c r="N6" s="28" t="str">
        <v/>
      </c>
      <c r="O6" s="28" t="str">
        <v/>
      </c>
      <c r="P6" s="28" t="str">
        <v/>
      </c>
      <c r="Q6" s="28" t="str">
        <v/>
      </c>
      <c r="R6" s="28" t="str">
        <v/>
      </c>
      <c r="S6" s="28" t="str">
        <v/>
      </c>
      <c r="T6" s="28" t="str">
        <v/>
      </c>
      <c r="U6" s="28" t="str">
        <v/>
      </c>
      <c r="V6" s="28" t="str">
        <v/>
      </c>
      <c r="W6" s="28" t="str">
        <v/>
      </c>
      <c r="X6" s="28" t="str">
        <v/>
      </c>
      <c r="Y6" s="28" t="str">
        <v/>
      </c>
      <c r="Z6" s="28" t="str">
        <v/>
      </c>
      <c r="AA6" s="28" t="str">
        <v/>
      </c>
      <c r="AB6" s="28" t="str">
        <v/>
      </c>
      <c r="AC6" s="28" t="str">
        <v/>
      </c>
      <c r="AD6" s="28" t="str">
        <v/>
      </c>
      <c r="AE6" s="28" t="str">
        <v/>
      </c>
      <c r="AF6" s="28" t="str">
        <v/>
      </c>
      <c r="AG6" s="28" t="str">
        <v/>
      </c>
      <c r="AH6" s="28" t="str">
        <v/>
      </c>
      <c r="AJ6" s="27" t="str">
        <v>C9</v>
      </c>
      <c r="AK6" s="27" t="str">
        <v>C10</v>
      </c>
      <c r="AM6" s="31">
        <f>SUMPRODUCT(('AUX-POS'!C6:AK10&gt;0)*('AUX-POS'!C6:AK10&lt;=SUMIF('ODC-300'!$A$5:$A$80,C6:AK10,'ODC-300'!$H$5:$H$80)-SUMIF('ODC-300'!$A$5:$A$80,C6:AK10,'ODC-300'!$I$5:$I$80))*SUMIF('ODC-300'!$A$5:$A$80,C6:AK10,'ODC-300'!$L$5:$L$80))/SUMPRODUCT(('AUX-POS'!C6:AK10&gt;0)*SUMIF('ODC-300'!$A$5:$A$80,C6:AK10,'ODC-300'!$L$5:$L$80))</f>
        <v>0.05473159725223154</v>
      </c>
      <c r="AN6" s="9" t="str">
        <f>IF(AM6&gt;=0.9999,"Completo",IF(AM6&gt;0,"Parcial","A entregar"))</f>
        <v>Parcial</v>
      </c>
    </row>
    <row r="7" ht="17" customHeight="1">
      <c r="A7" s="11" t="str">
        <v/>
      </c>
      <c r="B7" s="26" t="str">
        <v>b</v>
      </c>
      <c r="C7" s="27" t="str">
        <v>C1</v>
      </c>
      <c r="D7" s="27" t="str">
        <v>C2</v>
      </c>
      <c r="F7" s="27" t="str">
        <v>C11</v>
      </c>
      <c r="G7" s="27" t="str">
        <v>C12</v>
      </c>
      <c r="H7" s="27" t="str">
        <v>C12</v>
      </c>
      <c r="I7" s="27" t="str">
        <v>C13</v>
      </c>
      <c r="J7" s="30" t="str">
        <v/>
      </c>
      <c r="K7" s="30" t="str">
        <v/>
      </c>
      <c r="L7" s="30" t="str">
        <v/>
      </c>
      <c r="M7" s="27" t="str">
        <v>C14</v>
      </c>
      <c r="N7" s="27" t="str">
        <v>C15</v>
      </c>
      <c r="O7" s="27" t="str">
        <v>C15</v>
      </c>
      <c r="P7" s="27" t="str">
        <v>C15</v>
      </c>
      <c r="Q7" s="27" t="str">
        <v>C15</v>
      </c>
      <c r="R7" s="27" t="str">
        <v>C15</v>
      </c>
      <c r="S7" s="27" t="str">
        <v>C15</v>
      </c>
      <c r="T7" s="27" t="str">
        <v>C15</v>
      </c>
      <c r="U7" s="27" t="str">
        <v>C15</v>
      </c>
      <c r="V7" s="27" t="str">
        <v>C15</v>
      </c>
      <c r="W7" s="27" t="str">
        <v>C15</v>
      </c>
      <c r="X7" s="27" t="str">
        <v>C15</v>
      </c>
      <c r="Y7" s="27" t="str">
        <v>C15</v>
      </c>
      <c r="Z7" s="27" t="str">
        <v>C15</v>
      </c>
      <c r="AA7" s="27" t="str">
        <v>C15</v>
      </c>
      <c r="AB7" s="27" t="str">
        <v>C15</v>
      </c>
      <c r="AC7" s="27" t="str">
        <v>C15</v>
      </c>
      <c r="AD7" s="27" t="str">
        <v>C15</v>
      </c>
      <c r="AE7" s="27" t="str">
        <v>C15</v>
      </c>
      <c r="AF7" s="27" t="str">
        <v>C15</v>
      </c>
      <c r="AG7" s="27" t="str">
        <v>C15</v>
      </c>
      <c r="AH7" s="27" t="str">
        <v>C16</v>
      </c>
      <c r="AJ7" s="27" t="str">
        <v>C9</v>
      </c>
      <c r="AK7" s="27" t="str">
        <v>C10</v>
      </c>
      <c r="AM7" s="32" t="str">
        <v/>
      </c>
      <c r="AN7" s="11" t="str">
        <v/>
      </c>
    </row>
    <row r="8" ht="14" customHeight="1">
      <c r="A8" s="11" t="str">
        <v/>
      </c>
      <c r="B8" s="26" t="str">
        <v>c</v>
      </c>
      <c r="C8" s="27" t="str">
        <v>C1</v>
      </c>
      <c r="D8" s="27" t="str">
        <v>C2</v>
      </c>
      <c r="F8" s="27" t="str">
        <v>C3</v>
      </c>
      <c r="G8" s="27" t="str">
        <v>C4</v>
      </c>
      <c r="H8" s="27" t="str">
        <v>C4</v>
      </c>
      <c r="I8" s="27" t="str">
        <v>C5</v>
      </c>
      <c r="J8" s="30" t="str">
        <v/>
      </c>
      <c r="K8" s="30" t="str">
        <v/>
      </c>
      <c r="L8" s="30" t="str">
        <v/>
      </c>
      <c r="M8" s="27" t="str">
        <v>C6</v>
      </c>
      <c r="N8" s="27" t="str">
        <v>C7</v>
      </c>
      <c r="O8" s="27" t="str">
        <v>C7</v>
      </c>
      <c r="P8" s="27" t="str">
        <v>C7</v>
      </c>
      <c r="Q8" s="27" t="str">
        <v>C7</v>
      </c>
      <c r="R8" s="27" t="str">
        <v>C7</v>
      </c>
      <c r="S8" s="27" t="str">
        <v>C7</v>
      </c>
      <c r="T8" s="27" t="str">
        <v>C7</v>
      </c>
      <c r="U8" s="27" t="str">
        <v>C7</v>
      </c>
      <c r="V8" s="27" t="str">
        <v>C7</v>
      </c>
      <c r="W8" s="27" t="str">
        <v>C7</v>
      </c>
      <c r="X8" s="27" t="str">
        <v>C7</v>
      </c>
      <c r="Y8" s="27" t="str">
        <v>C7</v>
      </c>
      <c r="Z8" s="27" t="str">
        <v>C7</v>
      </c>
      <c r="AA8" s="27" t="str">
        <v>C7</v>
      </c>
      <c r="AB8" s="27" t="str">
        <v>C7</v>
      </c>
      <c r="AC8" s="27" t="str">
        <v>C7</v>
      </c>
      <c r="AD8" s="27" t="str">
        <v>C7</v>
      </c>
      <c r="AE8" s="27" t="str">
        <v>C7</v>
      </c>
      <c r="AF8" s="27" t="str">
        <v>C7</v>
      </c>
      <c r="AG8" s="27" t="str">
        <v>C7</v>
      </c>
      <c r="AH8" s="27" t="str">
        <v>C8</v>
      </c>
      <c r="AJ8" s="27" t="str">
        <v>C9</v>
      </c>
      <c r="AK8" s="27" t="str">
        <v>C10</v>
      </c>
      <c r="AM8" s="32" t="str">
        <v/>
      </c>
      <c r="AN8" s="11" t="str">
        <v/>
      </c>
    </row>
    <row r="9" ht="14" customHeight="1">
      <c r="A9" s="11" t="str">
        <v/>
      </c>
      <c r="B9" s="26" t="str">
        <v>d</v>
      </c>
      <c r="C9" s="27" t="str">
        <v>C1</v>
      </c>
      <c r="D9" s="27" t="str">
        <v>C2</v>
      </c>
      <c r="F9" s="27" t="str">
        <v>C3</v>
      </c>
      <c r="G9" s="27" t="str">
        <v>C4</v>
      </c>
      <c r="H9" s="27" t="str">
        <v>C4</v>
      </c>
      <c r="I9" s="27" t="str">
        <v>C5</v>
      </c>
      <c r="J9" s="30" t="str">
        <v/>
      </c>
      <c r="K9" s="30" t="str">
        <v/>
      </c>
      <c r="L9" s="30" t="str">
        <v/>
      </c>
      <c r="M9" s="27" t="str">
        <v>C6</v>
      </c>
      <c r="N9" s="27" t="str">
        <v>C7</v>
      </c>
      <c r="O9" s="27" t="str">
        <v>C7</v>
      </c>
      <c r="P9" s="27" t="str">
        <v>C7</v>
      </c>
      <c r="Q9" s="27" t="str">
        <v>C7</v>
      </c>
      <c r="R9" s="27" t="str">
        <v>C7</v>
      </c>
      <c r="S9" s="27" t="str">
        <v>C7</v>
      </c>
      <c r="T9" s="27" t="str">
        <v>C7</v>
      </c>
      <c r="U9" s="27" t="str">
        <v>C7</v>
      </c>
      <c r="V9" s="27" t="str">
        <v>C7</v>
      </c>
      <c r="W9" s="27" t="str">
        <v>C7</v>
      </c>
      <c r="X9" s="27" t="str">
        <v>C7</v>
      </c>
      <c r="Y9" s="27" t="str">
        <v>C7</v>
      </c>
      <c r="Z9" s="27" t="str">
        <v>C7</v>
      </c>
      <c r="AA9" s="27" t="str">
        <v>C7</v>
      </c>
      <c r="AB9" s="27" t="str">
        <v>C7</v>
      </c>
      <c r="AC9" s="27" t="str">
        <v>C7</v>
      </c>
      <c r="AD9" s="27" t="str">
        <v>C7</v>
      </c>
      <c r="AE9" s="27" t="str">
        <v>C7</v>
      </c>
      <c r="AF9" s="27" t="str">
        <v>C7</v>
      </c>
      <c r="AG9" s="27" t="str">
        <v>C7</v>
      </c>
      <c r="AH9" s="27" t="str">
        <v>C8</v>
      </c>
      <c r="AJ9" s="27" t="str">
        <v>C9</v>
      </c>
      <c r="AK9" s="27" t="str">
        <v>C10</v>
      </c>
      <c r="AM9" s="32" t="str">
        <v/>
      </c>
      <c r="AN9" s="11" t="str">
        <v/>
      </c>
    </row>
    <row r="10" ht="14" customHeight="1">
      <c r="A10" s="11" t="str">
        <v/>
      </c>
      <c r="B10" s="26" t="str">
        <v>e</v>
      </c>
      <c r="C10" s="27" t="str">
        <v>C67</v>
      </c>
      <c r="D10" s="27" t="str">
        <v>C68</v>
      </c>
      <c r="F10" s="27" t="str">
        <v>C69</v>
      </c>
      <c r="G10" s="27" t="str">
        <v>C70</v>
      </c>
      <c r="H10" s="27" t="str">
        <v>C70</v>
      </c>
      <c r="I10" s="27" t="str">
        <v>C71</v>
      </c>
      <c r="J10" s="30" t="str">
        <v/>
      </c>
      <c r="K10" s="30" t="str">
        <v/>
      </c>
      <c r="L10" s="30" t="str">
        <v/>
      </c>
      <c r="M10" s="27" t="str">
        <v>C72</v>
      </c>
      <c r="N10" s="27" t="str">
        <v>C73</v>
      </c>
      <c r="O10" s="27" t="str">
        <v>C73</v>
      </c>
      <c r="P10" s="27" t="str">
        <v>C73</v>
      </c>
      <c r="Q10" s="27" t="str">
        <v>C73</v>
      </c>
      <c r="R10" s="27" t="str">
        <v>C73</v>
      </c>
      <c r="S10" s="27" t="str">
        <v>C73</v>
      </c>
      <c r="T10" s="27" t="str">
        <v>C73</v>
      </c>
      <c r="U10" s="27" t="str">
        <v>C73</v>
      </c>
      <c r="V10" s="27" t="str">
        <v>C73</v>
      </c>
      <c r="W10" s="27" t="str">
        <v>C73</v>
      </c>
      <c r="X10" s="27" t="str">
        <v>C73</v>
      </c>
      <c r="Y10" s="27" t="str">
        <v>C73</v>
      </c>
      <c r="Z10" s="27" t="str">
        <v>C73</v>
      </c>
      <c r="AA10" s="27" t="str">
        <v>C73</v>
      </c>
      <c r="AB10" s="27" t="str">
        <v>C73</v>
      </c>
      <c r="AC10" s="27" t="str">
        <v>C73</v>
      </c>
      <c r="AD10" s="27" t="str">
        <v>C73</v>
      </c>
      <c r="AE10" s="27" t="str">
        <v>C73</v>
      </c>
      <c r="AF10" s="27" t="str">
        <v>C73</v>
      </c>
      <c r="AG10" s="27" t="str">
        <v>C73</v>
      </c>
      <c r="AH10" s="27" t="str">
        <v>C74</v>
      </c>
      <c r="AJ10" s="27" t="str">
        <v>C75</v>
      </c>
      <c r="AK10" s="27" t="str">
        <v>C76</v>
      </c>
      <c r="AM10" s="32" t="str">
        <v/>
      </c>
      <c r="AN10" s="11" t="str">
        <v/>
      </c>
    </row>
    <row r="11" ht="4" customHeight="1"/>
    <row r="12" ht="14" customHeight="1">
      <c r="A12" s="25" t="str">
        <v>13º</v>
      </c>
      <c r="B12" s="26" t="str">
        <v>a</v>
      </c>
      <c r="C12" s="27" t="str">
        <v>C1</v>
      </c>
      <c r="D12" s="27" t="str">
        <v>C2</v>
      </c>
      <c r="F12" s="28" t="str">
        <v/>
      </c>
      <c r="G12" s="28" t="str">
        <v/>
      </c>
      <c r="H12" s="28" t="str">
        <v/>
      </c>
      <c r="I12" s="28" t="str">
        <v/>
      </c>
      <c r="J12" s="30" t="str">
        <v/>
      </c>
      <c r="K12" s="30" t="str">
        <v/>
      </c>
      <c r="L12" s="30" t="str">
        <v/>
      </c>
      <c r="M12" s="28" t="str">
        <v/>
      </c>
      <c r="N12" s="28" t="str">
        <v/>
      </c>
      <c r="O12" s="28" t="str">
        <v/>
      </c>
      <c r="P12" s="28" t="str">
        <v/>
      </c>
      <c r="Q12" s="28" t="str">
        <v/>
      </c>
      <c r="R12" s="28" t="str">
        <v/>
      </c>
      <c r="S12" s="28" t="str">
        <v/>
      </c>
      <c r="T12" s="28" t="str">
        <v/>
      </c>
      <c r="U12" s="28" t="str">
        <v/>
      </c>
      <c r="V12" s="28" t="str">
        <v/>
      </c>
      <c r="W12" s="28" t="str">
        <v/>
      </c>
      <c r="X12" s="28" t="str">
        <v/>
      </c>
      <c r="Y12" s="28" t="str">
        <v/>
      </c>
      <c r="Z12" s="28" t="str">
        <v/>
      </c>
      <c r="AA12" s="28" t="str">
        <v/>
      </c>
      <c r="AB12" s="28" t="str">
        <v/>
      </c>
      <c r="AC12" s="28" t="str">
        <v/>
      </c>
      <c r="AD12" s="28" t="str">
        <v/>
      </c>
      <c r="AE12" s="28" t="str">
        <v/>
      </c>
      <c r="AF12" s="28" t="str">
        <v/>
      </c>
      <c r="AG12" s="28" t="str">
        <v/>
      </c>
      <c r="AH12" s="28" t="str">
        <v/>
      </c>
      <c r="AJ12" s="27" t="str">
        <v>C9</v>
      </c>
      <c r="AK12" s="27" t="str">
        <v>C10</v>
      </c>
      <c r="AM12" s="31">
        <f>SUMPRODUCT(('AUX-POS'!C12:AK16&gt;0)*('AUX-POS'!C12:AK16&lt;=SUMIF('ODC-300'!$A$5:$A$80,C12:AK16,'ODC-300'!$H$5:$H$80)-SUMIF('ODC-300'!$A$5:$A$80,C12:AK16,'ODC-300'!$I$5:$I$80))*SUMIF('ODC-300'!$A$5:$A$80,C12:AK16,'ODC-300'!$L$5:$L$80))/SUMPRODUCT(('AUX-POS'!C12:AK16&gt;0)*SUMIF('ODC-300'!$A$5:$A$80,C12:AK16,'ODC-300'!$L$5:$L$80))</f>
        <v>0.0754898669268009</v>
      </c>
      <c r="AN12" s="9" t="str">
        <f>IF(AM12&gt;=0.9999,"Completo",IF(AM12&gt;0,"Parcial","A entregar"))</f>
        <v>Parcial</v>
      </c>
    </row>
    <row r="13" ht="17" customHeight="1">
      <c r="A13" s="11" t="str">
        <v/>
      </c>
      <c r="B13" s="26" t="str">
        <v>b</v>
      </c>
      <c r="C13" s="27" t="str">
        <v>C1</v>
      </c>
      <c r="D13" s="27" t="str">
        <v>C2</v>
      </c>
      <c r="F13" s="27" t="str">
        <v>C11</v>
      </c>
      <c r="G13" s="27" t="str">
        <v>C12</v>
      </c>
      <c r="H13" s="27" t="str">
        <v>C12</v>
      </c>
      <c r="I13" s="27" t="str">
        <v>C13</v>
      </c>
      <c r="J13" s="30" t="str">
        <v/>
      </c>
      <c r="K13" s="30" t="str">
        <v/>
      </c>
      <c r="L13" s="30" t="str">
        <v/>
      </c>
      <c r="M13" s="27" t="str">
        <v>C14</v>
      </c>
      <c r="N13" s="27" t="str">
        <v>C15</v>
      </c>
      <c r="O13" s="27" t="str">
        <v>C15</v>
      </c>
      <c r="P13" s="27" t="str">
        <v>C15</v>
      </c>
      <c r="Q13" s="27" t="str">
        <v>C15</v>
      </c>
      <c r="R13" s="27" t="str">
        <v>C15</v>
      </c>
      <c r="S13" s="27" t="str">
        <v>C15</v>
      </c>
      <c r="T13" s="27" t="str">
        <v>C15</v>
      </c>
      <c r="U13" s="27" t="str">
        <v>C15</v>
      </c>
      <c r="V13" s="27" t="str">
        <v>C15</v>
      </c>
      <c r="W13" s="27" t="str">
        <v>C15</v>
      </c>
      <c r="X13" s="27" t="str">
        <v>C15</v>
      </c>
      <c r="Y13" s="27" t="str">
        <v>C15</v>
      </c>
      <c r="Z13" s="27" t="str">
        <v>C15</v>
      </c>
      <c r="AA13" s="27" t="str">
        <v>C15</v>
      </c>
      <c r="AB13" s="27" t="str">
        <v>C15</v>
      </c>
      <c r="AC13" s="27" t="str">
        <v>C15</v>
      </c>
      <c r="AD13" s="27" t="str">
        <v>C15</v>
      </c>
      <c r="AE13" s="27" t="str">
        <v>C15</v>
      </c>
      <c r="AF13" s="27" t="str">
        <v>C15</v>
      </c>
      <c r="AG13" s="27" t="str">
        <v>C15</v>
      </c>
      <c r="AH13" s="27" t="str">
        <v>C16</v>
      </c>
      <c r="AJ13" s="27" t="str">
        <v>C9</v>
      </c>
      <c r="AK13" s="27" t="str">
        <v>C10</v>
      </c>
      <c r="AM13" s="32" t="str">
        <v/>
      </c>
      <c r="AN13" s="11" t="str">
        <v/>
      </c>
    </row>
    <row r="14" ht="14" customHeight="1">
      <c r="A14" s="11" t="str">
        <v/>
      </c>
      <c r="B14" s="26" t="str">
        <v>c</v>
      </c>
      <c r="C14" s="27" t="str">
        <v>C1</v>
      </c>
      <c r="D14" s="27" t="str">
        <v>C2</v>
      </c>
      <c r="F14" s="27" t="str">
        <v>C3</v>
      </c>
      <c r="G14" s="27" t="str">
        <v>C4</v>
      </c>
      <c r="H14" s="27" t="str">
        <v>C4</v>
      </c>
      <c r="I14" s="27" t="str">
        <v>C5</v>
      </c>
      <c r="J14" s="30" t="str">
        <v/>
      </c>
      <c r="K14" s="30" t="str">
        <v/>
      </c>
      <c r="L14" s="30" t="str">
        <v/>
      </c>
      <c r="M14" s="27" t="str">
        <v>C6</v>
      </c>
      <c r="N14" s="27" t="str">
        <v>C7</v>
      </c>
      <c r="O14" s="27" t="str">
        <v>C7</v>
      </c>
      <c r="P14" s="27" t="str">
        <v>C7</v>
      </c>
      <c r="Q14" s="27" t="str">
        <v>C7</v>
      </c>
      <c r="R14" s="27" t="str">
        <v>C7</v>
      </c>
      <c r="S14" s="27" t="str">
        <v>C7</v>
      </c>
      <c r="T14" s="27" t="str">
        <v>C7</v>
      </c>
      <c r="U14" s="27" t="str">
        <v>C7</v>
      </c>
      <c r="V14" s="27" t="str">
        <v>C7</v>
      </c>
      <c r="W14" s="27" t="str">
        <v>C7</v>
      </c>
      <c r="X14" s="27" t="str">
        <v>C7</v>
      </c>
      <c r="Y14" s="27" t="str">
        <v>C7</v>
      </c>
      <c r="Z14" s="27" t="str">
        <v>C7</v>
      </c>
      <c r="AA14" s="27" t="str">
        <v>C7</v>
      </c>
      <c r="AB14" s="27" t="str">
        <v>C7</v>
      </c>
      <c r="AC14" s="27" t="str">
        <v>C7</v>
      </c>
      <c r="AD14" s="27" t="str">
        <v>C7</v>
      </c>
      <c r="AE14" s="27" t="str">
        <v>C7</v>
      </c>
      <c r="AF14" s="27" t="str">
        <v>C7</v>
      </c>
      <c r="AG14" s="27" t="str">
        <v>C7</v>
      </c>
      <c r="AH14" s="27" t="str">
        <v>C8</v>
      </c>
      <c r="AJ14" s="27" t="str">
        <v>C9</v>
      </c>
      <c r="AK14" s="27" t="str">
        <v>C10</v>
      </c>
      <c r="AM14" s="32" t="str">
        <v/>
      </c>
      <c r="AN14" s="11" t="str">
        <v/>
      </c>
    </row>
    <row r="15" ht="14" customHeight="1">
      <c r="A15" s="11" t="str">
        <v/>
      </c>
      <c r="B15" s="26" t="str">
        <v>d</v>
      </c>
      <c r="C15" s="27" t="str">
        <v>C1</v>
      </c>
      <c r="D15" s="27" t="str">
        <v>C2</v>
      </c>
      <c r="F15" s="27" t="str">
        <v>C3</v>
      </c>
      <c r="G15" s="27" t="str">
        <v>C4</v>
      </c>
      <c r="H15" s="27" t="str">
        <v>C4</v>
      </c>
      <c r="I15" s="27" t="str">
        <v>C5</v>
      </c>
      <c r="J15" s="30" t="str">
        <v/>
      </c>
      <c r="K15" s="30" t="str">
        <v/>
      </c>
      <c r="L15" s="30" t="str">
        <v/>
      </c>
      <c r="M15" s="27" t="str">
        <v>C6</v>
      </c>
      <c r="N15" s="27" t="str">
        <v>C7</v>
      </c>
      <c r="O15" s="27" t="str">
        <v>C7</v>
      </c>
      <c r="P15" s="27" t="str">
        <v>C7</v>
      </c>
      <c r="Q15" s="27" t="str">
        <v>C7</v>
      </c>
      <c r="R15" s="27" t="str">
        <v>C7</v>
      </c>
      <c r="S15" s="27" t="str">
        <v>C7</v>
      </c>
      <c r="T15" s="27" t="str">
        <v>C7</v>
      </c>
      <c r="U15" s="27" t="str">
        <v>C7</v>
      </c>
      <c r="V15" s="27" t="str">
        <v>C7</v>
      </c>
      <c r="W15" s="27" t="str">
        <v>C7</v>
      </c>
      <c r="X15" s="27" t="str">
        <v>C7</v>
      </c>
      <c r="Y15" s="27" t="str">
        <v>C7</v>
      </c>
      <c r="Z15" s="27" t="str">
        <v>C7</v>
      </c>
      <c r="AA15" s="27" t="str">
        <v>C7</v>
      </c>
      <c r="AB15" s="27" t="str">
        <v>C7</v>
      </c>
      <c r="AC15" s="27" t="str">
        <v>C7</v>
      </c>
      <c r="AD15" s="27" t="str">
        <v>C7</v>
      </c>
      <c r="AE15" s="27" t="str">
        <v>C7</v>
      </c>
      <c r="AF15" s="27" t="str">
        <v>C7</v>
      </c>
      <c r="AG15" s="27" t="str">
        <v>C7</v>
      </c>
      <c r="AH15" s="27" t="str">
        <v>C8</v>
      </c>
      <c r="AJ15" s="27" t="str">
        <v>C9</v>
      </c>
      <c r="AK15" s="27" t="str">
        <v>C10</v>
      </c>
      <c r="AM15" s="32" t="str">
        <v/>
      </c>
      <c r="AN15" s="11" t="str">
        <v/>
      </c>
    </row>
    <row r="16" ht="14" customHeight="1">
      <c r="A16" s="11" t="str">
        <v/>
      </c>
      <c r="B16" s="26" t="str">
        <v>e</v>
      </c>
      <c r="C16" s="27" t="str">
        <v>C27</v>
      </c>
      <c r="D16" s="27" t="str">
        <v>C28</v>
      </c>
      <c r="F16" s="27" t="str">
        <v>C29</v>
      </c>
      <c r="G16" s="27" t="str">
        <v>C30</v>
      </c>
      <c r="H16" s="27" t="str">
        <v>C30</v>
      </c>
      <c r="I16" s="27" t="str">
        <v>C31</v>
      </c>
      <c r="J16" s="30" t="str">
        <v/>
      </c>
      <c r="K16" s="30" t="str">
        <v/>
      </c>
      <c r="L16" s="30" t="str">
        <v/>
      </c>
      <c r="M16" s="27" t="str">
        <v>C32</v>
      </c>
      <c r="N16" s="27" t="str">
        <v>C33</v>
      </c>
      <c r="O16" s="27" t="str">
        <v>C33</v>
      </c>
      <c r="P16" s="27" t="str">
        <v>C33</v>
      </c>
      <c r="Q16" s="27" t="str">
        <v>C33</v>
      </c>
      <c r="R16" s="27" t="str">
        <v>C33</v>
      </c>
      <c r="S16" s="27" t="str">
        <v>C33</v>
      </c>
      <c r="T16" s="27" t="str">
        <v>C33</v>
      </c>
      <c r="U16" s="27" t="str">
        <v>C33</v>
      </c>
      <c r="V16" s="27" t="str">
        <v>C33</v>
      </c>
      <c r="W16" s="27" t="str">
        <v>C33</v>
      </c>
      <c r="X16" s="27" t="str">
        <v>C33</v>
      </c>
      <c r="Y16" s="27" t="str">
        <v>C33</v>
      </c>
      <c r="Z16" s="27" t="str">
        <v>C33</v>
      </c>
      <c r="AA16" s="27" t="str">
        <v>C33</v>
      </c>
      <c r="AB16" s="27" t="str">
        <v>C33</v>
      </c>
      <c r="AC16" s="27" t="str">
        <v>C33</v>
      </c>
      <c r="AD16" s="27" t="str">
        <v>C33</v>
      </c>
      <c r="AE16" s="27" t="str">
        <v>C33</v>
      </c>
      <c r="AF16" s="27" t="str">
        <v>C33</v>
      </c>
      <c r="AG16" s="27" t="str">
        <v>C33</v>
      </c>
      <c r="AH16" s="27" t="str">
        <v>C34</v>
      </c>
      <c r="AJ16" s="27" t="str">
        <v>C35</v>
      </c>
      <c r="AK16" s="27" t="str">
        <v>C36</v>
      </c>
      <c r="AM16" s="32" t="str">
        <v/>
      </c>
      <c r="AN16" s="11" t="str">
        <v/>
      </c>
    </row>
    <row r="17" ht="4" customHeight="1"/>
    <row r="18" ht="14" customHeight="1">
      <c r="A18" s="25" t="str">
        <v>12º</v>
      </c>
      <c r="B18" s="26" t="str">
        <v>a</v>
      </c>
      <c r="C18" s="27" t="str">
        <v>C1</v>
      </c>
      <c r="D18" s="27" t="str">
        <v>C2</v>
      </c>
      <c r="F18" s="28" t="str">
        <v/>
      </c>
      <c r="G18" s="28" t="str">
        <v/>
      </c>
      <c r="H18" s="28" t="str">
        <v/>
      </c>
      <c r="I18" s="28" t="str">
        <v/>
      </c>
      <c r="J18" s="30" t="str">
        <v/>
      </c>
      <c r="K18" s="30" t="str">
        <v/>
      </c>
      <c r="L18" s="30" t="str">
        <v/>
      </c>
      <c r="M18" s="28" t="str">
        <v/>
      </c>
      <c r="N18" s="28" t="str">
        <v/>
      </c>
      <c r="O18" s="28" t="str">
        <v/>
      </c>
      <c r="P18" s="28" t="str">
        <v/>
      </c>
      <c r="Q18" s="28" t="str">
        <v/>
      </c>
      <c r="R18" s="28" t="str">
        <v/>
      </c>
      <c r="S18" s="28" t="str">
        <v/>
      </c>
      <c r="T18" s="28" t="str">
        <v/>
      </c>
      <c r="U18" s="28" t="str">
        <v/>
      </c>
      <c r="V18" s="28" t="str">
        <v/>
      </c>
      <c r="W18" s="28" t="str">
        <v/>
      </c>
      <c r="X18" s="28" t="str">
        <v/>
      </c>
      <c r="Y18" s="28" t="str">
        <v/>
      </c>
      <c r="Z18" s="28" t="str">
        <v/>
      </c>
      <c r="AA18" s="28" t="str">
        <v/>
      </c>
      <c r="AB18" s="28" t="str">
        <v/>
      </c>
      <c r="AC18" s="28" t="str">
        <v/>
      </c>
      <c r="AD18" s="28" t="str">
        <v/>
      </c>
      <c r="AE18" s="28" t="str">
        <v/>
      </c>
      <c r="AF18" s="28" t="str">
        <v/>
      </c>
      <c r="AG18" s="28" t="str">
        <v/>
      </c>
      <c r="AH18" s="28" t="str">
        <v/>
      </c>
      <c r="AJ18" s="27" t="str">
        <v>C9</v>
      </c>
      <c r="AK18" s="27" t="str">
        <v>C10</v>
      </c>
      <c r="AM18" s="31">
        <f>SUMPRODUCT(('AUX-POS'!C18:AK22&gt;0)*('AUX-POS'!C18:AK22&lt;=SUMIF('ODC-300'!$A$5:$A$80,C18:AK22,'ODC-300'!$H$5:$H$80)-SUMIF('ODC-300'!$A$5:$A$80,C18:AK22,'ODC-300'!$I$5:$I$80))*SUMIF('ODC-300'!$A$5:$A$80,C18:AK22,'ODC-300'!$L$5:$L$80))/SUMPRODUCT(('AUX-POS'!C18:AK22&gt;0)*SUMIF('ODC-300'!$A$5:$A$80,C18:AK22,'ODC-300'!$L$5:$L$80))</f>
        <v>0.05461199780705242</v>
      </c>
      <c r="AN18" s="9" t="str">
        <f>IF(AM18&gt;=0.9999,"Completo",IF(AM18&gt;0,"Parcial","A entregar"))</f>
        <v>Parcial</v>
      </c>
    </row>
    <row r="19" ht="17" customHeight="1">
      <c r="A19" s="11" t="str">
        <v/>
      </c>
      <c r="B19" s="26" t="str">
        <v>b</v>
      </c>
      <c r="C19" s="27" t="str">
        <v>C1</v>
      </c>
      <c r="D19" s="27" t="str">
        <v>C2</v>
      </c>
      <c r="F19" s="27" t="str">
        <v>C11</v>
      </c>
      <c r="G19" s="27" t="str">
        <v>C12</v>
      </c>
      <c r="H19" s="27" t="str">
        <v>C12</v>
      </c>
      <c r="I19" s="27" t="str">
        <v>C13</v>
      </c>
      <c r="J19" s="30" t="str">
        <v/>
      </c>
      <c r="K19" s="30" t="str">
        <v/>
      </c>
      <c r="L19" s="30" t="str">
        <v/>
      </c>
      <c r="M19" s="27" t="str">
        <v>C14</v>
      </c>
      <c r="N19" s="27" t="str">
        <v>C15</v>
      </c>
      <c r="O19" s="27" t="str">
        <v>C15</v>
      </c>
      <c r="P19" s="27" t="str">
        <v>C15</v>
      </c>
      <c r="Q19" s="27" t="str">
        <v>C15</v>
      </c>
      <c r="R19" s="27" t="str">
        <v>C15</v>
      </c>
      <c r="S19" s="27" t="str">
        <v>C15</v>
      </c>
      <c r="T19" s="27" t="str">
        <v>C15</v>
      </c>
      <c r="U19" s="27" t="str">
        <v>C15</v>
      </c>
      <c r="V19" s="27" t="str">
        <v>C15</v>
      </c>
      <c r="W19" s="27" t="str">
        <v>C15</v>
      </c>
      <c r="X19" s="27" t="str">
        <v>C15</v>
      </c>
      <c r="Y19" s="27" t="str">
        <v>C15</v>
      </c>
      <c r="Z19" s="27" t="str">
        <v>C15</v>
      </c>
      <c r="AA19" s="27" t="str">
        <v>C15</v>
      </c>
      <c r="AB19" s="27" t="str">
        <v>C15</v>
      </c>
      <c r="AC19" s="27" t="str">
        <v>C15</v>
      </c>
      <c r="AD19" s="27" t="str">
        <v>C15</v>
      </c>
      <c r="AE19" s="27" t="str">
        <v>C15</v>
      </c>
      <c r="AF19" s="27" t="str">
        <v>C15</v>
      </c>
      <c r="AG19" s="27" t="str">
        <v>C15</v>
      </c>
      <c r="AH19" s="27" t="str">
        <v>C16</v>
      </c>
      <c r="AJ19" s="27" t="str">
        <v>C9</v>
      </c>
      <c r="AK19" s="27" t="str">
        <v>C10</v>
      </c>
      <c r="AM19" s="32" t="str">
        <v/>
      </c>
      <c r="AN19" s="11" t="str">
        <v/>
      </c>
    </row>
    <row r="20" ht="14" customHeight="1">
      <c r="A20" s="11" t="str">
        <v/>
      </c>
      <c r="B20" s="26" t="str">
        <v>c</v>
      </c>
      <c r="C20" s="27" t="str">
        <v>C1</v>
      </c>
      <c r="D20" s="27" t="str">
        <v>C2</v>
      </c>
      <c r="F20" s="27" t="str">
        <v>C3</v>
      </c>
      <c r="G20" s="27" t="str">
        <v>C4</v>
      </c>
      <c r="H20" s="27" t="str">
        <v>C4</v>
      </c>
      <c r="I20" s="27" t="str">
        <v>C5</v>
      </c>
      <c r="J20" s="30" t="str">
        <v/>
      </c>
      <c r="K20" s="30" t="str">
        <v/>
      </c>
      <c r="L20" s="30" t="str">
        <v/>
      </c>
      <c r="M20" s="27" t="str">
        <v>C6</v>
      </c>
      <c r="N20" s="27" t="str">
        <v>C7</v>
      </c>
      <c r="O20" s="27" t="str">
        <v>C7</v>
      </c>
      <c r="P20" s="27" t="str">
        <v>C7</v>
      </c>
      <c r="Q20" s="27" t="str">
        <v>C7</v>
      </c>
      <c r="R20" s="27" t="str">
        <v>C7</v>
      </c>
      <c r="S20" s="27" t="str">
        <v>C7</v>
      </c>
      <c r="T20" s="27" t="str">
        <v>C7</v>
      </c>
      <c r="U20" s="27" t="str">
        <v>C7</v>
      </c>
      <c r="V20" s="27" t="str">
        <v>C7</v>
      </c>
      <c r="W20" s="27" t="str">
        <v>C7</v>
      </c>
      <c r="X20" s="27" t="str">
        <v>C7</v>
      </c>
      <c r="Y20" s="27" t="str">
        <v>C7</v>
      </c>
      <c r="Z20" s="27" t="str">
        <v>C7</v>
      </c>
      <c r="AA20" s="27" t="str">
        <v>C7</v>
      </c>
      <c r="AB20" s="27" t="str">
        <v>C7</v>
      </c>
      <c r="AC20" s="27" t="str">
        <v>C7</v>
      </c>
      <c r="AD20" s="27" t="str">
        <v>C7</v>
      </c>
      <c r="AE20" s="27" t="str">
        <v>C7</v>
      </c>
      <c r="AF20" s="27" t="str">
        <v>C7</v>
      </c>
      <c r="AG20" s="27" t="str">
        <v>C7</v>
      </c>
      <c r="AH20" s="27" t="str">
        <v>C8</v>
      </c>
      <c r="AJ20" s="27" t="str">
        <v>C9</v>
      </c>
      <c r="AK20" s="27" t="str">
        <v>C10</v>
      </c>
      <c r="AM20" s="32" t="str">
        <v/>
      </c>
      <c r="AN20" s="11" t="str">
        <v/>
      </c>
    </row>
    <row r="21" ht="14" customHeight="1">
      <c r="A21" s="11" t="str">
        <v/>
      </c>
      <c r="B21" s="26" t="str">
        <v>d</v>
      </c>
      <c r="C21" s="27" t="str">
        <v>C1</v>
      </c>
      <c r="D21" s="27" t="str">
        <v>C2</v>
      </c>
      <c r="F21" s="27" t="str">
        <v>C3</v>
      </c>
      <c r="G21" s="27" t="str">
        <v>C4</v>
      </c>
      <c r="H21" s="27" t="str">
        <v>C4</v>
      </c>
      <c r="I21" s="27" t="str">
        <v>C5</v>
      </c>
      <c r="J21" s="30" t="str">
        <v/>
      </c>
      <c r="K21" s="30" t="str">
        <v/>
      </c>
      <c r="L21" s="30" t="str">
        <v/>
      </c>
      <c r="M21" s="27" t="str">
        <v>C6</v>
      </c>
      <c r="N21" s="27" t="str">
        <v>C7</v>
      </c>
      <c r="O21" s="27" t="str">
        <v>C7</v>
      </c>
      <c r="P21" s="27" t="str">
        <v>C7</v>
      </c>
      <c r="Q21" s="27" t="str">
        <v>C7</v>
      </c>
      <c r="R21" s="27" t="str">
        <v>C7</v>
      </c>
      <c r="S21" s="27" t="str">
        <v>C7</v>
      </c>
      <c r="T21" s="27" t="str">
        <v>C7</v>
      </c>
      <c r="U21" s="27" t="str">
        <v>C7</v>
      </c>
      <c r="V21" s="27" t="str">
        <v>C7</v>
      </c>
      <c r="W21" s="27" t="str">
        <v>C7</v>
      </c>
      <c r="X21" s="27" t="str">
        <v>C7</v>
      </c>
      <c r="Y21" s="27" t="str">
        <v>C7</v>
      </c>
      <c r="Z21" s="27" t="str">
        <v>C7</v>
      </c>
      <c r="AA21" s="27" t="str">
        <v>C7</v>
      </c>
      <c r="AB21" s="27" t="str">
        <v>C7</v>
      </c>
      <c r="AC21" s="27" t="str">
        <v>C7</v>
      </c>
      <c r="AD21" s="27" t="str">
        <v>C7</v>
      </c>
      <c r="AE21" s="27" t="str">
        <v>C7</v>
      </c>
      <c r="AF21" s="27" t="str">
        <v>C7</v>
      </c>
      <c r="AG21" s="27" t="str">
        <v>C7</v>
      </c>
      <c r="AH21" s="27" t="str">
        <v>C8</v>
      </c>
      <c r="AJ21" s="27" t="str">
        <v>C9</v>
      </c>
      <c r="AK21" s="27" t="str">
        <v>C10</v>
      </c>
      <c r="AM21" s="32" t="str">
        <v/>
      </c>
      <c r="AN21" s="11" t="str">
        <v/>
      </c>
    </row>
    <row r="22" ht="14" customHeight="1">
      <c r="A22" s="11" t="str">
        <v/>
      </c>
      <c r="B22" s="26" t="str">
        <v>e</v>
      </c>
      <c r="C22" s="27" t="str">
        <v>C57</v>
      </c>
      <c r="D22" s="27" t="str">
        <v>C58</v>
      </c>
      <c r="F22" s="27" t="str">
        <v>C59</v>
      </c>
      <c r="G22" s="27" t="str">
        <v>C60</v>
      </c>
      <c r="H22" s="27" t="str">
        <v>C60</v>
      </c>
      <c r="I22" s="27" t="str">
        <v>C61</v>
      </c>
      <c r="J22" s="30" t="str">
        <v/>
      </c>
      <c r="K22" s="30" t="str">
        <v/>
      </c>
      <c r="L22" s="30" t="str">
        <v/>
      </c>
      <c r="M22" s="27" t="str">
        <v>C62</v>
      </c>
      <c r="N22" s="27" t="str">
        <v>C63</v>
      </c>
      <c r="O22" s="27" t="str">
        <v>C63</v>
      </c>
      <c r="P22" s="27" t="str">
        <v>C63</v>
      </c>
      <c r="Q22" s="27" t="str">
        <v>C63</v>
      </c>
      <c r="R22" s="27" t="str">
        <v>C63</v>
      </c>
      <c r="S22" s="27" t="str">
        <v>C63</v>
      </c>
      <c r="T22" s="27" t="str">
        <v>C63</v>
      </c>
      <c r="U22" s="27" t="str">
        <v>C63</v>
      </c>
      <c r="V22" s="27" t="str">
        <v>C63</v>
      </c>
      <c r="W22" s="27" t="str">
        <v>C63</v>
      </c>
      <c r="X22" s="27" t="str">
        <v>C63</v>
      </c>
      <c r="Y22" s="27" t="str">
        <v>C63</v>
      </c>
      <c r="Z22" s="27" t="str">
        <v>C63</v>
      </c>
      <c r="AA22" s="27" t="str">
        <v>C63</v>
      </c>
      <c r="AB22" s="27" t="str">
        <v>C63</v>
      </c>
      <c r="AC22" s="27" t="str">
        <v>C63</v>
      </c>
      <c r="AD22" s="27" t="str">
        <v>C63</v>
      </c>
      <c r="AE22" s="27" t="str">
        <v>C63</v>
      </c>
      <c r="AF22" s="27" t="str">
        <v>C63</v>
      </c>
      <c r="AG22" s="27" t="str">
        <v>C63</v>
      </c>
      <c r="AH22" s="27" t="str">
        <v>C64</v>
      </c>
      <c r="AJ22" s="27" t="str">
        <v>C65</v>
      </c>
      <c r="AK22" s="27" t="str">
        <v>C66</v>
      </c>
      <c r="AM22" s="32" t="str">
        <v/>
      </c>
      <c r="AN22" s="11" t="str">
        <v/>
      </c>
    </row>
    <row r="23" ht="4" customHeight="1"/>
    <row r="24" ht="14" customHeight="1">
      <c r="A24" s="25" t="str">
        <v>11º</v>
      </c>
      <c r="B24" s="26" t="str">
        <v>a</v>
      </c>
      <c r="C24" s="27" t="str">
        <v>C1</v>
      </c>
      <c r="D24" s="27" t="str">
        <v>C2</v>
      </c>
      <c r="F24" s="28" t="str">
        <v/>
      </c>
      <c r="G24" s="28" t="str">
        <v/>
      </c>
      <c r="H24" s="28" t="str">
        <v/>
      </c>
      <c r="I24" s="28" t="str">
        <v/>
      </c>
      <c r="J24" s="30" t="str">
        <v/>
      </c>
      <c r="K24" s="30" t="str">
        <v/>
      </c>
      <c r="L24" s="30" t="str">
        <v/>
      </c>
      <c r="M24" s="28" t="str">
        <v/>
      </c>
      <c r="N24" s="28" t="str">
        <v/>
      </c>
      <c r="O24" s="28" t="str">
        <v/>
      </c>
      <c r="P24" s="28" t="str">
        <v/>
      </c>
      <c r="Q24" s="28" t="str">
        <v/>
      </c>
      <c r="R24" s="28" t="str">
        <v/>
      </c>
      <c r="S24" s="28" t="str">
        <v/>
      </c>
      <c r="T24" s="28" t="str">
        <v/>
      </c>
      <c r="U24" s="28" t="str">
        <v/>
      </c>
      <c r="V24" s="28" t="str">
        <v/>
      </c>
      <c r="W24" s="28" t="str">
        <v/>
      </c>
      <c r="X24" s="28" t="str">
        <v/>
      </c>
      <c r="Y24" s="28" t="str">
        <v/>
      </c>
      <c r="Z24" s="28" t="str">
        <v/>
      </c>
      <c r="AA24" s="28" t="str">
        <v/>
      </c>
      <c r="AB24" s="28" t="str">
        <v/>
      </c>
      <c r="AC24" s="28" t="str">
        <v/>
      </c>
      <c r="AD24" s="28" t="str">
        <v/>
      </c>
      <c r="AE24" s="28" t="str">
        <v/>
      </c>
      <c r="AF24" s="28" t="str">
        <v/>
      </c>
      <c r="AG24" s="28" t="str">
        <v/>
      </c>
      <c r="AH24" s="28" t="str">
        <v/>
      </c>
      <c r="AJ24" s="27" t="str">
        <v>C9</v>
      </c>
      <c r="AK24" s="27" t="str">
        <v>C10</v>
      </c>
      <c r="AM24" s="31">
        <f>SUMPRODUCT(('AUX-POS'!C24:AK28&gt;0)*('AUX-POS'!C24:AK28&lt;=SUMIF('ODC-300'!$A$5:$A$80,C24:AK28,'ODC-300'!$H$5:$H$80)-SUMIF('ODC-300'!$A$5:$A$80,C24:AK28,'ODC-300'!$I$5:$I$80))*SUMIF('ODC-300'!$A$5:$A$80,C24:AK28,'ODC-300'!$L$5:$L$80))/SUMPRODUCT(('AUX-POS'!C24:AK28&gt;0)*SUMIF('ODC-300'!$A$5:$A$80,C24:AK28,'ODC-300'!$L$5:$L$80))</f>
        <v>0.05461199780705242</v>
      </c>
      <c r="AN24" s="9" t="str">
        <f>IF(AM24&gt;=0.9999,"Completo",IF(AM24&gt;0,"Parcial","A entregar"))</f>
        <v>Parcial</v>
      </c>
    </row>
    <row r="25" ht="17" customHeight="1">
      <c r="A25" s="11" t="str">
        <v/>
      </c>
      <c r="B25" s="26" t="str">
        <v>b</v>
      </c>
      <c r="C25" s="27" t="str">
        <v>C1</v>
      </c>
      <c r="D25" s="27" t="str">
        <v>C2</v>
      </c>
      <c r="F25" s="27" t="str">
        <v>C11</v>
      </c>
      <c r="G25" s="27" t="str">
        <v>C12</v>
      </c>
      <c r="H25" s="27" t="str">
        <v>C12</v>
      </c>
      <c r="I25" s="27" t="str">
        <v>C13</v>
      </c>
      <c r="J25" s="30" t="str">
        <v/>
      </c>
      <c r="K25" s="30" t="str">
        <v/>
      </c>
      <c r="L25" s="30" t="str">
        <v/>
      </c>
      <c r="M25" s="27" t="str">
        <v>C14</v>
      </c>
      <c r="N25" s="27" t="str">
        <v>C15</v>
      </c>
      <c r="O25" s="27" t="str">
        <v>C15</v>
      </c>
      <c r="P25" s="27" t="str">
        <v>C15</v>
      </c>
      <c r="Q25" s="27" t="str">
        <v>C15</v>
      </c>
      <c r="R25" s="27" t="str">
        <v>C15</v>
      </c>
      <c r="S25" s="27" t="str">
        <v>C15</v>
      </c>
      <c r="T25" s="27" t="str">
        <v>C15</v>
      </c>
      <c r="U25" s="27" t="str">
        <v>C15</v>
      </c>
      <c r="V25" s="27" t="str">
        <v>C15</v>
      </c>
      <c r="W25" s="27" t="str">
        <v>C15</v>
      </c>
      <c r="X25" s="27" t="str">
        <v>C15</v>
      </c>
      <c r="Y25" s="27" t="str">
        <v>C15</v>
      </c>
      <c r="Z25" s="27" t="str">
        <v>C15</v>
      </c>
      <c r="AA25" s="27" t="str">
        <v>C15</v>
      </c>
      <c r="AB25" s="27" t="str">
        <v>C15</v>
      </c>
      <c r="AC25" s="27" t="str">
        <v>C15</v>
      </c>
      <c r="AD25" s="27" t="str">
        <v>C15</v>
      </c>
      <c r="AE25" s="27" t="str">
        <v>C15</v>
      </c>
      <c r="AF25" s="27" t="str">
        <v>C15</v>
      </c>
      <c r="AG25" s="27" t="str">
        <v>C15</v>
      </c>
      <c r="AH25" s="27" t="str">
        <v>C16</v>
      </c>
      <c r="AJ25" s="27" t="str">
        <v>C9</v>
      </c>
      <c r="AK25" s="27" t="str">
        <v>C10</v>
      </c>
      <c r="AM25" s="32" t="str">
        <v/>
      </c>
      <c r="AN25" s="11" t="str">
        <v/>
      </c>
    </row>
    <row r="26" ht="14" customHeight="1">
      <c r="A26" s="11" t="str">
        <v/>
      </c>
      <c r="B26" s="26" t="str">
        <v>c</v>
      </c>
      <c r="C26" s="27" t="str">
        <v>C1</v>
      </c>
      <c r="D26" s="27" t="str">
        <v>C2</v>
      </c>
      <c r="F26" s="27" t="str">
        <v>C3</v>
      </c>
      <c r="G26" s="27" t="str">
        <v>C4</v>
      </c>
      <c r="H26" s="27" t="str">
        <v>C4</v>
      </c>
      <c r="I26" s="27" t="str">
        <v>C5</v>
      </c>
      <c r="J26" s="30" t="str">
        <v/>
      </c>
      <c r="K26" s="30" t="str">
        <v/>
      </c>
      <c r="L26" s="30" t="str">
        <v/>
      </c>
      <c r="M26" s="27" t="str">
        <v>C6</v>
      </c>
      <c r="N26" s="27" t="str">
        <v>C7</v>
      </c>
      <c r="O26" s="27" t="str">
        <v>C7</v>
      </c>
      <c r="P26" s="27" t="str">
        <v>C7</v>
      </c>
      <c r="Q26" s="27" t="str">
        <v>C7</v>
      </c>
      <c r="R26" s="27" t="str">
        <v>C7</v>
      </c>
      <c r="S26" s="27" t="str">
        <v>C7</v>
      </c>
      <c r="T26" s="27" t="str">
        <v>C7</v>
      </c>
      <c r="U26" s="27" t="str">
        <v>C7</v>
      </c>
      <c r="V26" s="27" t="str">
        <v>C7</v>
      </c>
      <c r="W26" s="27" t="str">
        <v>C7</v>
      </c>
      <c r="X26" s="27" t="str">
        <v>C7</v>
      </c>
      <c r="Y26" s="27" t="str">
        <v>C7</v>
      </c>
      <c r="Z26" s="27" t="str">
        <v>C7</v>
      </c>
      <c r="AA26" s="27" t="str">
        <v>C7</v>
      </c>
      <c r="AB26" s="27" t="str">
        <v>C7</v>
      </c>
      <c r="AC26" s="27" t="str">
        <v>C7</v>
      </c>
      <c r="AD26" s="27" t="str">
        <v>C7</v>
      </c>
      <c r="AE26" s="27" t="str">
        <v>C7</v>
      </c>
      <c r="AF26" s="27" t="str">
        <v>C7</v>
      </c>
      <c r="AG26" s="27" t="str">
        <v>C7</v>
      </c>
      <c r="AH26" s="27" t="str">
        <v>C8</v>
      </c>
      <c r="AJ26" s="27" t="str">
        <v>C9</v>
      </c>
      <c r="AK26" s="27" t="str">
        <v>C10</v>
      </c>
      <c r="AM26" s="32" t="str">
        <v/>
      </c>
      <c r="AN26" s="11" t="str">
        <v/>
      </c>
    </row>
    <row r="27" ht="14" customHeight="1">
      <c r="A27" s="11" t="str">
        <v/>
      </c>
      <c r="B27" s="26" t="str">
        <v>d</v>
      </c>
      <c r="C27" s="27" t="str">
        <v>C1</v>
      </c>
      <c r="D27" s="27" t="str">
        <v>C2</v>
      </c>
      <c r="F27" s="27" t="str">
        <v>C3</v>
      </c>
      <c r="G27" s="27" t="str">
        <v>C4</v>
      </c>
      <c r="H27" s="27" t="str">
        <v>C4</v>
      </c>
      <c r="I27" s="27" t="str">
        <v>C5</v>
      </c>
      <c r="J27" s="30" t="str">
        <v/>
      </c>
      <c r="K27" s="30" t="str">
        <v/>
      </c>
      <c r="L27" s="30" t="str">
        <v/>
      </c>
      <c r="M27" s="27" t="str">
        <v>C6</v>
      </c>
      <c r="N27" s="27" t="str">
        <v>C7</v>
      </c>
      <c r="O27" s="27" t="str">
        <v>C7</v>
      </c>
      <c r="P27" s="27" t="str">
        <v>C7</v>
      </c>
      <c r="Q27" s="27" t="str">
        <v>C7</v>
      </c>
      <c r="R27" s="27" t="str">
        <v>C7</v>
      </c>
      <c r="S27" s="27" t="str">
        <v>C7</v>
      </c>
      <c r="T27" s="27" t="str">
        <v>C7</v>
      </c>
      <c r="U27" s="27" t="str">
        <v>C7</v>
      </c>
      <c r="V27" s="27" t="str">
        <v>C7</v>
      </c>
      <c r="W27" s="27" t="str">
        <v>C7</v>
      </c>
      <c r="X27" s="27" t="str">
        <v>C7</v>
      </c>
      <c r="Y27" s="27" t="str">
        <v>C7</v>
      </c>
      <c r="Z27" s="27" t="str">
        <v>C7</v>
      </c>
      <c r="AA27" s="27" t="str">
        <v>C7</v>
      </c>
      <c r="AB27" s="27" t="str">
        <v>C7</v>
      </c>
      <c r="AC27" s="27" t="str">
        <v>C7</v>
      </c>
      <c r="AD27" s="27" t="str">
        <v>C7</v>
      </c>
      <c r="AE27" s="27" t="str">
        <v>C7</v>
      </c>
      <c r="AF27" s="27" t="str">
        <v>C7</v>
      </c>
      <c r="AG27" s="27" t="str">
        <v>C7</v>
      </c>
      <c r="AH27" s="27" t="str">
        <v>C8</v>
      </c>
      <c r="AJ27" s="27" t="str">
        <v>C9</v>
      </c>
      <c r="AK27" s="27" t="str">
        <v>C10</v>
      </c>
      <c r="AM27" s="32" t="str">
        <v/>
      </c>
      <c r="AN27" s="11" t="str">
        <v/>
      </c>
    </row>
    <row r="28" ht="14" customHeight="1">
      <c r="A28" s="11" t="str">
        <v/>
      </c>
      <c r="B28" s="26" t="str">
        <v>e</v>
      </c>
      <c r="C28" s="27" t="str">
        <v>C57</v>
      </c>
      <c r="D28" s="27" t="str">
        <v>C58</v>
      </c>
      <c r="F28" s="27" t="str">
        <v>C59</v>
      </c>
      <c r="G28" s="27" t="str">
        <v>C60</v>
      </c>
      <c r="H28" s="27" t="str">
        <v>C60</v>
      </c>
      <c r="I28" s="27" t="str">
        <v>C61</v>
      </c>
      <c r="J28" s="30" t="str">
        <v/>
      </c>
      <c r="K28" s="30" t="str">
        <v/>
      </c>
      <c r="L28" s="30" t="str">
        <v/>
      </c>
      <c r="M28" s="27" t="str">
        <v>C62</v>
      </c>
      <c r="N28" s="27" t="str">
        <v>C63</v>
      </c>
      <c r="O28" s="27" t="str">
        <v>C63</v>
      </c>
      <c r="P28" s="27" t="str">
        <v>C63</v>
      </c>
      <c r="Q28" s="27" t="str">
        <v>C63</v>
      </c>
      <c r="R28" s="27" t="str">
        <v>C63</v>
      </c>
      <c r="S28" s="27" t="str">
        <v>C63</v>
      </c>
      <c r="T28" s="27" t="str">
        <v>C63</v>
      </c>
      <c r="U28" s="27" t="str">
        <v>C63</v>
      </c>
      <c r="V28" s="27" t="str">
        <v>C63</v>
      </c>
      <c r="W28" s="27" t="str">
        <v>C63</v>
      </c>
      <c r="X28" s="27" t="str">
        <v>C63</v>
      </c>
      <c r="Y28" s="27" t="str">
        <v>C63</v>
      </c>
      <c r="Z28" s="27" t="str">
        <v>C63</v>
      </c>
      <c r="AA28" s="27" t="str">
        <v>C63</v>
      </c>
      <c r="AB28" s="27" t="str">
        <v>C63</v>
      </c>
      <c r="AC28" s="27" t="str">
        <v>C63</v>
      </c>
      <c r="AD28" s="27" t="str">
        <v>C63</v>
      </c>
      <c r="AE28" s="27" t="str">
        <v>C63</v>
      </c>
      <c r="AF28" s="27" t="str">
        <v>C63</v>
      </c>
      <c r="AG28" s="27" t="str">
        <v>C63</v>
      </c>
      <c r="AH28" s="27" t="str">
        <v>C64</v>
      </c>
      <c r="AJ28" s="27" t="str">
        <v>C65</v>
      </c>
      <c r="AK28" s="27" t="str">
        <v>C66</v>
      </c>
      <c r="AM28" s="32" t="str">
        <v/>
      </c>
      <c r="AN28" s="11" t="str">
        <v/>
      </c>
    </row>
    <row r="29" ht="4" customHeight="1"/>
    <row r="30" ht="14" customHeight="1">
      <c r="A30" s="25" t="str">
        <v>10º</v>
      </c>
      <c r="B30" s="26" t="str">
        <v>a</v>
      </c>
      <c r="C30" s="27" t="str">
        <v>C1</v>
      </c>
      <c r="D30" s="27" t="str">
        <v>C2</v>
      </c>
      <c r="F30" s="28" t="str">
        <v/>
      </c>
      <c r="G30" s="28" t="str">
        <v/>
      </c>
      <c r="H30" s="28" t="str">
        <v/>
      </c>
      <c r="I30" s="28" t="str">
        <v/>
      </c>
      <c r="J30" s="30" t="str">
        <v/>
      </c>
      <c r="K30" s="30" t="str">
        <v/>
      </c>
      <c r="L30" s="30" t="str">
        <v/>
      </c>
      <c r="M30" s="28" t="str">
        <v/>
      </c>
      <c r="N30" s="28" t="str">
        <v/>
      </c>
      <c r="O30" s="28" t="str">
        <v/>
      </c>
      <c r="P30" s="28" t="str">
        <v/>
      </c>
      <c r="Q30" s="28" t="str">
        <v/>
      </c>
      <c r="R30" s="28" t="str">
        <v/>
      </c>
      <c r="S30" s="28" t="str">
        <v/>
      </c>
      <c r="T30" s="28" t="str">
        <v/>
      </c>
      <c r="U30" s="28" t="str">
        <v/>
      </c>
      <c r="V30" s="28" t="str">
        <v/>
      </c>
      <c r="W30" s="28" t="str">
        <v/>
      </c>
      <c r="X30" s="28" t="str">
        <v/>
      </c>
      <c r="Y30" s="28" t="str">
        <v/>
      </c>
      <c r="Z30" s="28" t="str">
        <v/>
      </c>
      <c r="AA30" s="28" t="str">
        <v/>
      </c>
      <c r="AB30" s="28" t="str">
        <v/>
      </c>
      <c r="AC30" s="28" t="str">
        <v/>
      </c>
      <c r="AD30" s="28" t="str">
        <v/>
      </c>
      <c r="AE30" s="28" t="str">
        <v/>
      </c>
      <c r="AF30" s="28" t="str">
        <v/>
      </c>
      <c r="AG30" s="28" t="str">
        <v/>
      </c>
      <c r="AH30" s="28" t="str">
        <v/>
      </c>
      <c r="AJ30" s="27" t="str">
        <v>C9</v>
      </c>
      <c r="AK30" s="27" t="str">
        <v>C10</v>
      </c>
      <c r="AM30" s="31">
        <f>SUMPRODUCT(('AUX-POS'!C30:AK34&gt;0)*('AUX-POS'!C30:AK34&lt;=SUMIF('ODC-300'!$A$5:$A$80,C30:AK34,'ODC-300'!$H$5:$H$80)-SUMIF('ODC-300'!$A$5:$A$80,C30:AK34,'ODC-300'!$I$5:$I$80))*SUMIF('ODC-300'!$A$5:$A$80,C30:AK34,'ODC-300'!$L$5:$L$80))/SUMPRODUCT(('AUX-POS'!C30:AK34&gt;0)*SUMIF('ODC-300'!$A$5:$A$80,C30:AK34,'ODC-300'!$L$5:$L$80))</f>
        <v>0.0551282818646064</v>
      </c>
      <c r="AN30" s="9" t="str">
        <f>IF(AM30&gt;=0.9999,"Completo",IF(AM30&gt;0,"Parcial","A entregar"))</f>
        <v>Parcial</v>
      </c>
    </row>
    <row r="31" ht="17" customHeight="1">
      <c r="A31" s="11" t="str">
        <v/>
      </c>
      <c r="B31" s="26" t="str">
        <v>b</v>
      </c>
      <c r="C31" s="27" t="str">
        <v>C1</v>
      </c>
      <c r="D31" s="27" t="str">
        <v>C2</v>
      </c>
      <c r="F31" s="27" t="str">
        <v>C11</v>
      </c>
      <c r="G31" s="27" t="str">
        <v>C12</v>
      </c>
      <c r="H31" s="27" t="str">
        <v>C12</v>
      </c>
      <c r="I31" s="27" t="str">
        <v>C13</v>
      </c>
      <c r="J31" s="30" t="str">
        <v/>
      </c>
      <c r="K31" s="30" t="str">
        <v/>
      </c>
      <c r="L31" s="30" t="str">
        <v/>
      </c>
      <c r="M31" s="27" t="str">
        <v>C14</v>
      </c>
      <c r="N31" s="27" t="str">
        <v>C15</v>
      </c>
      <c r="O31" s="27" t="str">
        <v>C15</v>
      </c>
      <c r="P31" s="27" t="str">
        <v>C15</v>
      </c>
      <c r="Q31" s="27" t="str">
        <v>C15</v>
      </c>
      <c r="R31" s="27" t="str">
        <v>C15</v>
      </c>
      <c r="S31" s="27" t="str">
        <v>C15</v>
      </c>
      <c r="T31" s="27" t="str">
        <v>C15</v>
      </c>
      <c r="U31" s="27" t="str">
        <v>C15</v>
      </c>
      <c r="V31" s="27" t="str">
        <v>C15</v>
      </c>
      <c r="W31" s="27" t="str">
        <v>C15</v>
      </c>
      <c r="X31" s="27" t="str">
        <v>C15</v>
      </c>
      <c r="Y31" s="27" t="str">
        <v>C15</v>
      </c>
      <c r="Z31" s="27" t="str">
        <v>C15</v>
      </c>
      <c r="AA31" s="27" t="str">
        <v>C15</v>
      </c>
      <c r="AB31" s="27" t="str">
        <v>C15</v>
      </c>
      <c r="AC31" s="27" t="str">
        <v>C15</v>
      </c>
      <c r="AD31" s="27" t="str">
        <v>C15</v>
      </c>
      <c r="AE31" s="27" t="str">
        <v>C15</v>
      </c>
      <c r="AF31" s="27" t="str">
        <v>C15</v>
      </c>
      <c r="AG31" s="27" t="str">
        <v>C15</v>
      </c>
      <c r="AH31" s="27" t="str">
        <v>C16</v>
      </c>
      <c r="AJ31" s="27" t="str">
        <v>C9</v>
      </c>
      <c r="AK31" s="27" t="str">
        <v>C10</v>
      </c>
      <c r="AM31" s="32" t="str">
        <v/>
      </c>
      <c r="AN31" s="11" t="str">
        <v/>
      </c>
    </row>
    <row r="32" ht="14" customHeight="1">
      <c r="A32" s="11" t="str">
        <v/>
      </c>
      <c r="B32" s="26" t="str">
        <v>c</v>
      </c>
      <c r="C32" s="27" t="str">
        <v>C1</v>
      </c>
      <c r="D32" s="27" t="str">
        <v>C2</v>
      </c>
      <c r="F32" s="27" t="str">
        <v>C3</v>
      </c>
      <c r="G32" s="27" t="str">
        <v>C4</v>
      </c>
      <c r="H32" s="27" t="str">
        <v>C4</v>
      </c>
      <c r="I32" s="27" t="str">
        <v>C5</v>
      </c>
      <c r="J32" s="30" t="str">
        <v/>
      </c>
      <c r="K32" s="30" t="str">
        <v/>
      </c>
      <c r="L32" s="30" t="str">
        <v/>
      </c>
      <c r="M32" s="27" t="str">
        <v>C6</v>
      </c>
      <c r="N32" s="27" t="str">
        <v>C7</v>
      </c>
      <c r="O32" s="27" t="str">
        <v>C7</v>
      </c>
      <c r="P32" s="27" t="str">
        <v>C7</v>
      </c>
      <c r="Q32" s="27" t="str">
        <v>C7</v>
      </c>
      <c r="R32" s="27" t="str">
        <v>C7</v>
      </c>
      <c r="S32" s="27" t="str">
        <v>C7</v>
      </c>
      <c r="T32" s="27" t="str">
        <v>C7</v>
      </c>
      <c r="U32" s="27" t="str">
        <v>C7</v>
      </c>
      <c r="V32" s="27" t="str">
        <v>C7</v>
      </c>
      <c r="W32" s="27" t="str">
        <v>C7</v>
      </c>
      <c r="X32" s="27" t="str">
        <v>C7</v>
      </c>
      <c r="Y32" s="27" t="str">
        <v>C7</v>
      </c>
      <c r="Z32" s="27" t="str">
        <v>C7</v>
      </c>
      <c r="AA32" s="27" t="str">
        <v>C7</v>
      </c>
      <c r="AB32" s="27" t="str">
        <v>C7</v>
      </c>
      <c r="AC32" s="27" t="str">
        <v>C7</v>
      </c>
      <c r="AD32" s="27" t="str">
        <v>C7</v>
      </c>
      <c r="AE32" s="27" t="str">
        <v>C7</v>
      </c>
      <c r="AF32" s="27" t="str">
        <v>C7</v>
      </c>
      <c r="AG32" s="27" t="str">
        <v>C7</v>
      </c>
      <c r="AH32" s="27" t="str">
        <v>C8</v>
      </c>
      <c r="AJ32" s="27" t="str">
        <v>C9</v>
      </c>
      <c r="AK32" s="27" t="str">
        <v>C10</v>
      </c>
      <c r="AM32" s="32" t="str">
        <v/>
      </c>
      <c r="AN32" s="11" t="str">
        <v/>
      </c>
    </row>
    <row r="33" ht="14" customHeight="1">
      <c r="A33" s="11" t="str">
        <v/>
      </c>
      <c r="B33" s="26" t="str">
        <v>d</v>
      </c>
      <c r="C33" s="27" t="str">
        <v>C1</v>
      </c>
      <c r="D33" s="27" t="str">
        <v>C2</v>
      </c>
      <c r="F33" s="27" t="str">
        <v>C3</v>
      </c>
      <c r="G33" s="27" t="str">
        <v>C4</v>
      </c>
      <c r="H33" s="27" t="str">
        <v>C4</v>
      </c>
      <c r="I33" s="27" t="str">
        <v>C5</v>
      </c>
      <c r="J33" s="30" t="str">
        <v/>
      </c>
      <c r="K33" s="30" t="str">
        <v/>
      </c>
      <c r="L33" s="30" t="str">
        <v/>
      </c>
      <c r="M33" s="27" t="str">
        <v>C6</v>
      </c>
      <c r="N33" s="27" t="str">
        <v>C7</v>
      </c>
      <c r="O33" s="27" t="str">
        <v>C7</v>
      </c>
      <c r="P33" s="27" t="str">
        <v>C7</v>
      </c>
      <c r="Q33" s="27" t="str">
        <v>C7</v>
      </c>
      <c r="R33" s="27" t="str">
        <v>C7</v>
      </c>
      <c r="S33" s="27" t="str">
        <v>C7</v>
      </c>
      <c r="T33" s="27" t="str">
        <v>C7</v>
      </c>
      <c r="U33" s="27" t="str">
        <v>C7</v>
      </c>
      <c r="V33" s="27" t="str">
        <v>C7</v>
      </c>
      <c r="W33" s="27" t="str">
        <v>C7</v>
      </c>
      <c r="X33" s="27" t="str">
        <v>C7</v>
      </c>
      <c r="Y33" s="27" t="str">
        <v>C7</v>
      </c>
      <c r="Z33" s="27" t="str">
        <v>C7</v>
      </c>
      <c r="AA33" s="27" t="str">
        <v>C7</v>
      </c>
      <c r="AB33" s="27" t="str">
        <v>C7</v>
      </c>
      <c r="AC33" s="27" t="str">
        <v>C7</v>
      </c>
      <c r="AD33" s="27" t="str">
        <v>C7</v>
      </c>
      <c r="AE33" s="27" t="str">
        <v>C7</v>
      </c>
      <c r="AF33" s="27" t="str">
        <v>C7</v>
      </c>
      <c r="AG33" s="27" t="str">
        <v>C7</v>
      </c>
      <c r="AH33" s="27" t="str">
        <v>C8</v>
      </c>
      <c r="AJ33" s="27" t="str">
        <v>C9</v>
      </c>
      <c r="AK33" s="27" t="str">
        <v>C10</v>
      </c>
      <c r="AM33" s="32" t="str">
        <v/>
      </c>
      <c r="AN33" s="11" t="str">
        <v/>
      </c>
    </row>
    <row r="34" ht="14" customHeight="1">
      <c r="A34" s="11" t="str">
        <v/>
      </c>
      <c r="B34" s="26" t="str">
        <v>e</v>
      </c>
      <c r="C34" s="27" t="str">
        <v>C47</v>
      </c>
      <c r="D34" s="27" t="str">
        <v>C48</v>
      </c>
      <c r="F34" s="27" t="str">
        <v>C49</v>
      </c>
      <c r="G34" s="27" t="str">
        <v>C50</v>
      </c>
      <c r="H34" s="27" t="str">
        <v>C50</v>
      </c>
      <c r="I34" s="27" t="str">
        <v>C51</v>
      </c>
      <c r="J34" s="30" t="str">
        <v/>
      </c>
      <c r="K34" s="30" t="str">
        <v/>
      </c>
      <c r="L34" s="30" t="str">
        <v/>
      </c>
      <c r="M34" s="27" t="str">
        <v>C52</v>
      </c>
      <c r="N34" s="27" t="str">
        <v>C53</v>
      </c>
      <c r="O34" s="27" t="str">
        <v>C53</v>
      </c>
      <c r="P34" s="27" t="str">
        <v>C53</v>
      </c>
      <c r="Q34" s="27" t="str">
        <v>C53</v>
      </c>
      <c r="R34" s="27" t="str">
        <v>C53</v>
      </c>
      <c r="S34" s="27" t="str">
        <v>C53</v>
      </c>
      <c r="T34" s="27" t="str">
        <v>C53</v>
      </c>
      <c r="U34" s="27" t="str">
        <v>C53</v>
      </c>
      <c r="V34" s="27" t="str">
        <v>C53</v>
      </c>
      <c r="W34" s="27" t="str">
        <v>C53</v>
      </c>
      <c r="X34" s="27" t="str">
        <v>C53</v>
      </c>
      <c r="Y34" s="27" t="str">
        <v>C53</v>
      </c>
      <c r="Z34" s="27" t="str">
        <v>C53</v>
      </c>
      <c r="AA34" s="27" t="str">
        <v>C53</v>
      </c>
      <c r="AB34" s="27" t="str">
        <v>C53</v>
      </c>
      <c r="AC34" s="27" t="str">
        <v>C53</v>
      </c>
      <c r="AD34" s="27" t="str">
        <v>C53</v>
      </c>
      <c r="AE34" s="27" t="str">
        <v>C53</v>
      </c>
      <c r="AF34" s="27" t="str">
        <v>C53</v>
      </c>
      <c r="AG34" s="27" t="str">
        <v>C53</v>
      </c>
      <c r="AH34" s="27" t="str">
        <v>C54</v>
      </c>
      <c r="AJ34" s="27" t="str">
        <v>C55</v>
      </c>
      <c r="AK34" s="27" t="str">
        <v>C56</v>
      </c>
      <c r="AM34" s="32" t="str">
        <v/>
      </c>
      <c r="AN34" s="11" t="str">
        <v/>
      </c>
    </row>
    <row r="35" ht="4" customHeight="1"/>
    <row r="36" ht="14" customHeight="1">
      <c r="A36" s="25" t="str">
        <v>9º</v>
      </c>
      <c r="B36" s="26" t="str">
        <v>a</v>
      </c>
      <c r="C36" s="27" t="str">
        <v>C1</v>
      </c>
      <c r="D36" s="27" t="str">
        <v>C2</v>
      </c>
      <c r="F36" s="28" t="str">
        <v/>
      </c>
      <c r="G36" s="28" t="str">
        <v/>
      </c>
      <c r="H36" s="28" t="str">
        <v/>
      </c>
      <c r="I36" s="28" t="str">
        <v/>
      </c>
      <c r="J36" s="30" t="str">
        <v/>
      </c>
      <c r="K36" s="30" t="str">
        <v/>
      </c>
      <c r="L36" s="30" t="str">
        <v/>
      </c>
      <c r="M36" s="28" t="str">
        <v/>
      </c>
      <c r="N36" s="28" t="str">
        <v/>
      </c>
      <c r="O36" s="28" t="str">
        <v/>
      </c>
      <c r="P36" s="28" t="str">
        <v/>
      </c>
      <c r="Q36" s="28" t="str">
        <v/>
      </c>
      <c r="R36" s="28" t="str">
        <v/>
      </c>
      <c r="S36" s="28" t="str">
        <v/>
      </c>
      <c r="T36" s="28" t="str">
        <v/>
      </c>
      <c r="U36" s="28" t="str">
        <v/>
      </c>
      <c r="V36" s="28" t="str">
        <v/>
      </c>
      <c r="W36" s="28" t="str">
        <v/>
      </c>
      <c r="X36" s="28" t="str">
        <v/>
      </c>
      <c r="Y36" s="28" t="str">
        <v/>
      </c>
      <c r="Z36" s="28" t="str">
        <v/>
      </c>
      <c r="AA36" s="28" t="str">
        <v/>
      </c>
      <c r="AB36" s="28" t="str">
        <v/>
      </c>
      <c r="AC36" s="28" t="str">
        <v/>
      </c>
      <c r="AD36" s="28" t="str">
        <v/>
      </c>
      <c r="AE36" s="28" t="str">
        <v/>
      </c>
      <c r="AF36" s="28" t="str">
        <v/>
      </c>
      <c r="AG36" s="28" t="str">
        <v/>
      </c>
      <c r="AH36" s="28" t="str">
        <v/>
      </c>
      <c r="AJ36" s="27" t="str">
        <v>C9</v>
      </c>
      <c r="AK36" s="27" t="str">
        <v>C10</v>
      </c>
      <c r="AM36" s="31">
        <f>SUMPRODUCT(('AUX-POS'!C36:AK40&gt;0)*('AUX-POS'!C36:AK40&lt;=SUMIF('ODC-300'!$A$5:$A$80,C36:AK40,'ODC-300'!$H$5:$H$80)-SUMIF('ODC-300'!$A$5:$A$80,C36:AK40,'ODC-300'!$I$5:$I$80))*SUMIF('ODC-300'!$A$5:$A$80,C36:AK40,'ODC-300'!$L$5:$L$80))/SUMPRODUCT(('AUX-POS'!C36:AK40&gt;0)*SUMIF('ODC-300'!$A$5:$A$80,C36:AK40,'ODC-300'!$L$5:$L$80))</f>
        <v>0.08242069838161885</v>
      </c>
      <c r="AN36" s="9" t="str">
        <f>IF(AM36&gt;=0.9999,"Completo",IF(AM36&gt;0,"Parcial","A entregar"))</f>
        <v>Parcial</v>
      </c>
    </row>
    <row r="37" ht="17" customHeight="1">
      <c r="A37" s="11" t="str">
        <v/>
      </c>
      <c r="B37" s="26" t="str">
        <v>b</v>
      </c>
      <c r="C37" s="27" t="str">
        <v>C1</v>
      </c>
      <c r="D37" s="27" t="str">
        <v>C2</v>
      </c>
      <c r="F37" s="27" t="str">
        <v>C11</v>
      </c>
      <c r="G37" s="27" t="str">
        <v>C12</v>
      </c>
      <c r="H37" s="27" t="str">
        <v>C12</v>
      </c>
      <c r="I37" s="27" t="str">
        <v>C13</v>
      </c>
      <c r="J37" s="30" t="str">
        <v/>
      </c>
      <c r="K37" s="30" t="str">
        <v/>
      </c>
      <c r="L37" s="30" t="str">
        <v/>
      </c>
      <c r="M37" s="27" t="str">
        <v>C14</v>
      </c>
      <c r="N37" s="27" t="str">
        <v>C15</v>
      </c>
      <c r="O37" s="27" t="str">
        <v>C15</v>
      </c>
      <c r="P37" s="27" t="str">
        <v>C15</v>
      </c>
      <c r="Q37" s="27" t="str">
        <v>C15</v>
      </c>
      <c r="R37" s="27" t="str">
        <v>C15</v>
      </c>
      <c r="S37" s="27" t="str">
        <v>C15</v>
      </c>
      <c r="T37" s="27" t="str">
        <v>C15</v>
      </c>
      <c r="U37" s="27" t="str">
        <v>C15</v>
      </c>
      <c r="V37" s="27" t="str">
        <v>C15</v>
      </c>
      <c r="W37" s="27" t="str">
        <v>C15</v>
      </c>
      <c r="X37" s="27" t="str">
        <v>C15</v>
      </c>
      <c r="Y37" s="27" t="str">
        <v>C15</v>
      </c>
      <c r="Z37" s="27" t="str">
        <v>C15</v>
      </c>
      <c r="AA37" s="27" t="str">
        <v>C15</v>
      </c>
      <c r="AB37" s="27" t="str">
        <v>C15</v>
      </c>
      <c r="AC37" s="27" t="str">
        <v>C15</v>
      </c>
      <c r="AD37" s="27" t="str">
        <v>C15</v>
      </c>
      <c r="AE37" s="27" t="str">
        <v>C15</v>
      </c>
      <c r="AF37" s="27" t="str">
        <v>C15</v>
      </c>
      <c r="AG37" s="27" t="str">
        <v>C15</v>
      </c>
      <c r="AH37" s="27" t="str">
        <v>C16</v>
      </c>
      <c r="AJ37" s="27" t="str">
        <v>C9</v>
      </c>
      <c r="AK37" s="27" t="str">
        <v>C10</v>
      </c>
      <c r="AM37" s="32" t="str">
        <v/>
      </c>
      <c r="AN37" s="11" t="str">
        <v/>
      </c>
    </row>
    <row r="38" ht="14" customHeight="1">
      <c r="A38" s="11" t="str">
        <v/>
      </c>
      <c r="B38" s="26" t="str">
        <v>c</v>
      </c>
      <c r="C38" s="27" t="str">
        <v>C1</v>
      </c>
      <c r="D38" s="27" t="str">
        <v>C2</v>
      </c>
      <c r="F38" s="27" t="str">
        <v>C3</v>
      </c>
      <c r="G38" s="27" t="str">
        <v>C4</v>
      </c>
      <c r="H38" s="27" t="str">
        <v>C4</v>
      </c>
      <c r="I38" s="27" t="str">
        <v>C5</v>
      </c>
      <c r="J38" s="30" t="str">
        <v/>
      </c>
      <c r="K38" s="30" t="str">
        <v/>
      </c>
      <c r="L38" s="30" t="str">
        <v/>
      </c>
      <c r="M38" s="27" t="str">
        <v>C6</v>
      </c>
      <c r="N38" s="27" t="str">
        <v>C7</v>
      </c>
      <c r="O38" s="27" t="str">
        <v>C7</v>
      </c>
      <c r="P38" s="27" t="str">
        <v>C7</v>
      </c>
      <c r="Q38" s="27" t="str">
        <v>C7</v>
      </c>
      <c r="R38" s="27" t="str">
        <v>C7</v>
      </c>
      <c r="S38" s="27" t="str">
        <v>C7</v>
      </c>
      <c r="T38" s="27" t="str">
        <v>C7</v>
      </c>
      <c r="U38" s="27" t="str">
        <v>C7</v>
      </c>
      <c r="V38" s="27" t="str">
        <v>C7</v>
      </c>
      <c r="W38" s="27" t="str">
        <v>C7</v>
      </c>
      <c r="X38" s="27" t="str">
        <v>C7</v>
      </c>
      <c r="Y38" s="27" t="str">
        <v>C7</v>
      </c>
      <c r="Z38" s="27" t="str">
        <v>C7</v>
      </c>
      <c r="AA38" s="27" t="str">
        <v>C7</v>
      </c>
      <c r="AB38" s="27" t="str">
        <v>C7</v>
      </c>
      <c r="AC38" s="27" t="str">
        <v>C7</v>
      </c>
      <c r="AD38" s="27" t="str">
        <v>C7</v>
      </c>
      <c r="AE38" s="27" t="str">
        <v>C7</v>
      </c>
      <c r="AF38" s="27" t="str">
        <v>C7</v>
      </c>
      <c r="AG38" s="27" t="str">
        <v>C7</v>
      </c>
      <c r="AH38" s="27" t="str">
        <v>C8</v>
      </c>
      <c r="AJ38" s="27" t="str">
        <v>C9</v>
      </c>
      <c r="AK38" s="27" t="str">
        <v>C10</v>
      </c>
      <c r="AM38" s="32" t="str">
        <v/>
      </c>
      <c r="AN38" s="11" t="str">
        <v/>
      </c>
    </row>
    <row r="39" ht="14" customHeight="1">
      <c r="A39" s="11" t="str">
        <v/>
      </c>
      <c r="B39" s="26" t="str">
        <v>d</v>
      </c>
      <c r="C39" s="27" t="str">
        <v>C1</v>
      </c>
      <c r="D39" s="27" t="str">
        <v>C2</v>
      </c>
      <c r="F39" s="27" t="str">
        <v>C3</v>
      </c>
      <c r="G39" s="27" t="str">
        <v>C4</v>
      </c>
      <c r="H39" s="27" t="str">
        <v>C4</v>
      </c>
      <c r="I39" s="27" t="str">
        <v>C5</v>
      </c>
      <c r="J39" s="30" t="str">
        <v/>
      </c>
      <c r="K39" s="30" t="str">
        <v/>
      </c>
      <c r="L39" s="30" t="str">
        <v/>
      </c>
      <c r="M39" s="27" t="str">
        <v>C6</v>
      </c>
      <c r="N39" s="27" t="str">
        <v>C7</v>
      </c>
      <c r="O39" s="27" t="str">
        <v>C7</v>
      </c>
      <c r="P39" s="27" t="str">
        <v>C7</v>
      </c>
      <c r="Q39" s="27" t="str">
        <v>C7</v>
      </c>
      <c r="R39" s="27" t="str">
        <v>C7</v>
      </c>
      <c r="S39" s="27" t="str">
        <v>C7</v>
      </c>
      <c r="T39" s="27" t="str">
        <v>C7</v>
      </c>
      <c r="U39" s="27" t="str">
        <v>C7</v>
      </c>
      <c r="V39" s="27" t="str">
        <v>C7</v>
      </c>
      <c r="W39" s="27" t="str">
        <v>C7</v>
      </c>
      <c r="X39" s="27" t="str">
        <v>C7</v>
      </c>
      <c r="Y39" s="27" t="str">
        <v>C7</v>
      </c>
      <c r="Z39" s="27" t="str">
        <v>C7</v>
      </c>
      <c r="AA39" s="27" t="str">
        <v>C7</v>
      </c>
      <c r="AB39" s="27" t="str">
        <v>C7</v>
      </c>
      <c r="AC39" s="27" t="str">
        <v>C7</v>
      </c>
      <c r="AD39" s="27" t="str">
        <v>C7</v>
      </c>
      <c r="AE39" s="27" t="str">
        <v>C7</v>
      </c>
      <c r="AF39" s="27" t="str">
        <v>C7</v>
      </c>
      <c r="AG39" s="27" t="str">
        <v>C7</v>
      </c>
      <c r="AH39" s="27" t="str">
        <v>C8</v>
      </c>
      <c r="AJ39" s="27" t="str">
        <v>C9</v>
      </c>
      <c r="AK39" s="27" t="str">
        <v>C10</v>
      </c>
      <c r="AM39" s="32" t="str">
        <v/>
      </c>
      <c r="AN39" s="11" t="str">
        <v/>
      </c>
    </row>
    <row r="40" ht="14" customHeight="1">
      <c r="A40" s="11" t="str">
        <v/>
      </c>
      <c r="B40" s="26" t="str">
        <v>e</v>
      </c>
      <c r="C40" s="27" t="str">
        <v>C27</v>
      </c>
      <c r="D40" s="27" t="str">
        <v>C28</v>
      </c>
      <c r="F40" s="27" t="str">
        <v>C29</v>
      </c>
      <c r="G40" s="27" t="str">
        <v>C30</v>
      </c>
      <c r="H40" s="27" t="str">
        <v>C30</v>
      </c>
      <c r="I40" s="27" t="str">
        <v>C31</v>
      </c>
      <c r="J40" s="30" t="str">
        <v/>
      </c>
      <c r="K40" s="30" t="str">
        <v/>
      </c>
      <c r="L40" s="30" t="str">
        <v/>
      </c>
      <c r="M40" s="27" t="str">
        <v>C32</v>
      </c>
      <c r="N40" s="27" t="str">
        <v>C33</v>
      </c>
      <c r="O40" s="27" t="str">
        <v>C33</v>
      </c>
      <c r="P40" s="27" t="str">
        <v>C33</v>
      </c>
      <c r="Q40" s="27" t="str">
        <v>C33</v>
      </c>
      <c r="R40" s="27" t="str">
        <v>C33</v>
      </c>
      <c r="S40" s="27" t="str">
        <v>C33</v>
      </c>
      <c r="T40" s="27" t="str">
        <v>C33</v>
      </c>
      <c r="U40" s="27" t="str">
        <v>C33</v>
      </c>
      <c r="V40" s="27" t="str">
        <v>C33</v>
      </c>
      <c r="W40" s="27" t="str">
        <v>C33</v>
      </c>
      <c r="X40" s="27" t="str">
        <v>C33</v>
      </c>
      <c r="Y40" s="27" t="str">
        <v>C33</v>
      </c>
      <c r="Z40" s="27" t="str">
        <v>C33</v>
      </c>
      <c r="AA40" s="27" t="str">
        <v>C33</v>
      </c>
      <c r="AB40" s="27" t="str">
        <v>C33</v>
      </c>
      <c r="AC40" s="27" t="str">
        <v>C33</v>
      </c>
      <c r="AD40" s="27" t="str">
        <v>C33</v>
      </c>
      <c r="AE40" s="27" t="str">
        <v>C33</v>
      </c>
      <c r="AF40" s="27" t="str">
        <v>C33</v>
      </c>
      <c r="AG40" s="27" t="str">
        <v>C33</v>
      </c>
      <c r="AH40" s="27" t="str">
        <v>C34</v>
      </c>
      <c r="AJ40" s="27" t="str">
        <v>C35</v>
      </c>
      <c r="AK40" s="27" t="str">
        <v>C36</v>
      </c>
      <c r="AM40" s="32" t="str">
        <v/>
      </c>
      <c r="AN40" s="11" t="str">
        <v/>
      </c>
    </row>
    <row r="41" ht="4" customHeight="1"/>
    <row r="42" ht="14" customHeight="1">
      <c r="A42" s="25" t="str">
        <v>8º</v>
      </c>
      <c r="B42" s="26" t="str">
        <v>a</v>
      </c>
      <c r="C42" s="27" t="str">
        <v>C1</v>
      </c>
      <c r="D42" s="27" t="str">
        <v>C2</v>
      </c>
      <c r="F42" s="28" t="str">
        <v/>
      </c>
      <c r="G42" s="28" t="str">
        <v/>
      </c>
      <c r="H42" s="28" t="str">
        <v/>
      </c>
      <c r="I42" s="28" t="str">
        <v/>
      </c>
      <c r="J42" s="30" t="str">
        <v/>
      </c>
      <c r="K42" s="30" t="str">
        <v/>
      </c>
      <c r="L42" s="30" t="str">
        <v/>
      </c>
      <c r="M42" s="28" t="str">
        <v/>
      </c>
      <c r="N42" s="28" t="str">
        <v/>
      </c>
      <c r="O42" s="28" t="str">
        <v/>
      </c>
      <c r="P42" s="28" t="str">
        <v/>
      </c>
      <c r="Q42" s="28" t="str">
        <v/>
      </c>
      <c r="R42" s="28" t="str">
        <v/>
      </c>
      <c r="S42" s="28" t="str">
        <v/>
      </c>
      <c r="T42" s="28" t="str">
        <v/>
      </c>
      <c r="U42" s="28" t="str">
        <v/>
      </c>
      <c r="V42" s="28" t="str">
        <v/>
      </c>
      <c r="W42" s="28" t="str">
        <v/>
      </c>
      <c r="X42" s="28" t="str">
        <v/>
      </c>
      <c r="Y42" s="28" t="str">
        <v/>
      </c>
      <c r="Z42" s="28" t="str">
        <v/>
      </c>
      <c r="AA42" s="28" t="str">
        <v/>
      </c>
      <c r="AB42" s="28" t="str">
        <v/>
      </c>
      <c r="AC42" s="28" t="str">
        <v/>
      </c>
      <c r="AD42" s="28" t="str">
        <v/>
      </c>
      <c r="AE42" s="28" t="str">
        <v/>
      </c>
      <c r="AF42" s="28" t="str">
        <v/>
      </c>
      <c r="AG42" s="28" t="str">
        <v/>
      </c>
      <c r="AH42" s="28" t="str">
        <v/>
      </c>
      <c r="AJ42" s="27" t="str">
        <v>C9</v>
      </c>
      <c r="AK42" s="27" t="str">
        <v>C10</v>
      </c>
      <c r="AM42" s="31">
        <f>SUMPRODUCT(('AUX-POS'!C42:AK46&gt;0)*('AUX-POS'!C42:AK46&lt;=SUMIF('ODC-300'!$A$5:$A$80,C42:AK46,'ODC-300'!$H$5:$H$80)-SUMIF('ODC-300'!$A$5:$A$80,C42:AK46,'ODC-300'!$I$5:$I$80))*SUMIF('ODC-300'!$A$5:$A$80,C42:AK46,'ODC-300'!$L$5:$L$80))/SUMPRODUCT(('AUX-POS'!C42:AK46&gt;0)*SUMIF('ODC-300'!$A$5:$A$80,C42:AK46,'ODC-300'!$L$5:$L$80))</f>
        <v>0.21197796708091515</v>
      </c>
      <c r="AN42" s="9" t="str">
        <f>IF(AM42&gt;=0.9999,"Completo",IF(AM42&gt;0,"Parcial","A entregar"))</f>
        <v>Parcial</v>
      </c>
    </row>
    <row r="43" ht="17" customHeight="1">
      <c r="A43" s="11" t="str">
        <v/>
      </c>
      <c r="B43" s="26" t="str">
        <v>b</v>
      </c>
      <c r="C43" s="27" t="str">
        <v>C1</v>
      </c>
      <c r="D43" s="27" t="str">
        <v>C2</v>
      </c>
      <c r="F43" s="27" t="str">
        <v>C11</v>
      </c>
      <c r="G43" s="27" t="str">
        <v>C12</v>
      </c>
      <c r="H43" s="27" t="str">
        <v>C12</v>
      </c>
      <c r="I43" s="27" t="str">
        <v>C13</v>
      </c>
      <c r="J43" s="30" t="str">
        <v/>
      </c>
      <c r="K43" s="30" t="str">
        <v/>
      </c>
      <c r="L43" s="30" t="str">
        <v/>
      </c>
      <c r="M43" s="27" t="str">
        <v>C14</v>
      </c>
      <c r="N43" s="27" t="str">
        <v>C15</v>
      </c>
      <c r="O43" s="27" t="str">
        <v>C15</v>
      </c>
      <c r="P43" s="27" t="str">
        <v>C15</v>
      </c>
      <c r="Q43" s="27" t="str">
        <v>C15</v>
      </c>
      <c r="R43" s="27" t="str">
        <v>C15</v>
      </c>
      <c r="S43" s="27" t="str">
        <v>C15</v>
      </c>
      <c r="T43" s="27" t="str">
        <v>C15</v>
      </c>
      <c r="U43" s="27" t="str">
        <v>C15</v>
      </c>
      <c r="V43" s="27" t="str">
        <v>C15</v>
      </c>
      <c r="W43" s="27" t="str">
        <v>C15</v>
      </c>
      <c r="X43" s="27" t="str">
        <v>C15</v>
      </c>
      <c r="Y43" s="27" t="str">
        <v>C15</v>
      </c>
      <c r="Z43" s="27" t="str">
        <v>C15</v>
      </c>
      <c r="AA43" s="27" t="str">
        <v>C15</v>
      </c>
      <c r="AB43" s="27" t="str">
        <v>C15</v>
      </c>
      <c r="AC43" s="27" t="str">
        <v>C15</v>
      </c>
      <c r="AD43" s="27" t="str">
        <v>C15</v>
      </c>
      <c r="AE43" s="27" t="str">
        <v>C15</v>
      </c>
      <c r="AF43" s="27" t="str">
        <v>C15</v>
      </c>
      <c r="AG43" s="27" t="str">
        <v>C15</v>
      </c>
      <c r="AH43" s="27" t="str">
        <v>C16</v>
      </c>
      <c r="AJ43" s="27" t="str">
        <v>C9</v>
      </c>
      <c r="AK43" s="27" t="str">
        <v>C10</v>
      </c>
      <c r="AM43" s="32" t="str">
        <v/>
      </c>
      <c r="AN43" s="11" t="str">
        <v/>
      </c>
    </row>
    <row r="44" ht="14" customHeight="1">
      <c r="A44" s="11" t="str">
        <v/>
      </c>
      <c r="B44" s="26" t="str">
        <v>c</v>
      </c>
      <c r="C44" s="27" t="str">
        <v>C1</v>
      </c>
      <c r="D44" s="27" t="str">
        <v>C2</v>
      </c>
      <c r="F44" s="27" t="str">
        <v>C3</v>
      </c>
      <c r="G44" s="27" t="str">
        <v>C4</v>
      </c>
      <c r="H44" s="27" t="str">
        <v>C4</v>
      </c>
      <c r="I44" s="27" t="str">
        <v>C5</v>
      </c>
      <c r="J44" s="30" t="str">
        <v/>
      </c>
      <c r="K44" s="30" t="str">
        <v/>
      </c>
      <c r="L44" s="30" t="str">
        <v/>
      </c>
      <c r="M44" s="27" t="str">
        <v>C6</v>
      </c>
      <c r="N44" s="27" t="str">
        <v>C7</v>
      </c>
      <c r="O44" s="27" t="str">
        <v>C7</v>
      </c>
      <c r="P44" s="27" t="str">
        <v>C7</v>
      </c>
      <c r="Q44" s="27" t="str">
        <v>C7</v>
      </c>
      <c r="R44" s="27" t="str">
        <v>C7</v>
      </c>
      <c r="S44" s="27" t="str">
        <v>C7</v>
      </c>
      <c r="T44" s="27" t="str">
        <v>C7</v>
      </c>
      <c r="U44" s="27" t="str">
        <v>C7</v>
      </c>
      <c r="V44" s="27" t="str">
        <v>C7</v>
      </c>
      <c r="W44" s="27" t="str">
        <v>C7</v>
      </c>
      <c r="X44" s="27" t="str">
        <v>C7</v>
      </c>
      <c r="Y44" s="27" t="str">
        <v>C7</v>
      </c>
      <c r="Z44" s="27" t="str">
        <v>C7</v>
      </c>
      <c r="AA44" s="27" t="str">
        <v>C7</v>
      </c>
      <c r="AB44" s="27" t="str">
        <v>C7</v>
      </c>
      <c r="AC44" s="27" t="str">
        <v>C7</v>
      </c>
      <c r="AD44" s="27" t="str">
        <v>C7</v>
      </c>
      <c r="AE44" s="27" t="str">
        <v>C7</v>
      </c>
      <c r="AF44" s="27" t="str">
        <v>C7</v>
      </c>
      <c r="AG44" s="27" t="str">
        <v>C7</v>
      </c>
      <c r="AH44" s="27" t="str">
        <v>C8</v>
      </c>
      <c r="AJ44" s="27" t="str">
        <v>C9</v>
      </c>
      <c r="AK44" s="27" t="str">
        <v>C10</v>
      </c>
      <c r="AM44" s="32" t="str">
        <v/>
      </c>
      <c r="AN44" s="11" t="str">
        <v/>
      </c>
    </row>
    <row r="45" ht="14" customHeight="1">
      <c r="A45" s="11" t="str">
        <v/>
      </c>
      <c r="B45" s="26" t="str">
        <v>d</v>
      </c>
      <c r="C45" s="27" t="str">
        <v>C1</v>
      </c>
      <c r="D45" s="27" t="str">
        <v>C2</v>
      </c>
      <c r="F45" s="27" t="str">
        <v>C3</v>
      </c>
      <c r="G45" s="27" t="str">
        <v>C4</v>
      </c>
      <c r="H45" s="27" t="str">
        <v>C4</v>
      </c>
      <c r="I45" s="27" t="str">
        <v>C5</v>
      </c>
      <c r="J45" s="30" t="str">
        <v/>
      </c>
      <c r="K45" s="30" t="str">
        <v/>
      </c>
      <c r="L45" s="30" t="str">
        <v/>
      </c>
      <c r="M45" s="27" t="str">
        <v>C6</v>
      </c>
      <c r="N45" s="27" t="str">
        <v>C7</v>
      </c>
      <c r="O45" s="27" t="str">
        <v>C7</v>
      </c>
      <c r="P45" s="27" t="str">
        <v>C7</v>
      </c>
      <c r="Q45" s="27" t="str">
        <v>C7</v>
      </c>
      <c r="R45" s="27" t="str">
        <v>C7</v>
      </c>
      <c r="S45" s="27" t="str">
        <v>C7</v>
      </c>
      <c r="T45" s="27" t="str">
        <v>C7</v>
      </c>
      <c r="U45" s="27" t="str">
        <v>C7</v>
      </c>
      <c r="V45" s="27" t="str">
        <v>C7</v>
      </c>
      <c r="W45" s="27" t="str">
        <v>C7</v>
      </c>
      <c r="X45" s="27" t="str">
        <v>C7</v>
      </c>
      <c r="Y45" s="27" t="str">
        <v>C7</v>
      </c>
      <c r="Z45" s="27" t="str">
        <v>C7</v>
      </c>
      <c r="AA45" s="27" t="str">
        <v>C7</v>
      </c>
      <c r="AB45" s="27" t="str">
        <v>C7</v>
      </c>
      <c r="AC45" s="27" t="str">
        <v>C7</v>
      </c>
      <c r="AD45" s="27" t="str">
        <v>C7</v>
      </c>
      <c r="AE45" s="27" t="str">
        <v>C7</v>
      </c>
      <c r="AF45" s="27" t="str">
        <v>C7</v>
      </c>
      <c r="AG45" s="27" t="str">
        <v>C7</v>
      </c>
      <c r="AH45" s="27" t="str">
        <v>C8</v>
      </c>
      <c r="AJ45" s="27" t="str">
        <v>C9</v>
      </c>
      <c r="AK45" s="27" t="str">
        <v>C10</v>
      </c>
      <c r="AM45" s="32" t="str">
        <v/>
      </c>
      <c r="AN45" s="11" t="str">
        <v/>
      </c>
    </row>
    <row r="46" ht="14" customHeight="1">
      <c r="A46" s="11" t="str">
        <v/>
      </c>
      <c r="B46" s="26" t="str">
        <v>e</v>
      </c>
      <c r="C46" s="27" t="str">
        <v>C37</v>
      </c>
      <c r="D46" s="27" t="str">
        <v>C38</v>
      </c>
      <c r="F46" s="27" t="str">
        <v>C39</v>
      </c>
      <c r="G46" s="27" t="str">
        <v>C40</v>
      </c>
      <c r="H46" s="27" t="str">
        <v>C40</v>
      </c>
      <c r="I46" s="27" t="str">
        <v>C41</v>
      </c>
      <c r="J46" s="30" t="str">
        <v/>
      </c>
      <c r="K46" s="30" t="str">
        <v/>
      </c>
      <c r="L46" s="30" t="str">
        <v/>
      </c>
      <c r="M46" s="27" t="str">
        <v>C42</v>
      </c>
      <c r="N46" s="27" t="str">
        <v>C43</v>
      </c>
      <c r="O46" s="27" t="str">
        <v>C43</v>
      </c>
      <c r="P46" s="27" t="str">
        <v>C43</v>
      </c>
      <c r="Q46" s="27" t="str">
        <v>C43</v>
      </c>
      <c r="R46" s="27" t="str">
        <v>C43</v>
      </c>
      <c r="S46" s="27" t="str">
        <v>C43</v>
      </c>
      <c r="T46" s="27" t="str">
        <v>C43</v>
      </c>
      <c r="U46" s="27" t="str">
        <v>C43</v>
      </c>
      <c r="V46" s="27" t="str">
        <v>C43</v>
      </c>
      <c r="W46" s="27" t="str">
        <v>C43</v>
      </c>
      <c r="X46" s="27" t="str">
        <v>C43</v>
      </c>
      <c r="Y46" s="27" t="str">
        <v>C43</v>
      </c>
      <c r="Z46" s="27" t="str">
        <v>C43</v>
      </c>
      <c r="AA46" s="27" t="str">
        <v>C43</v>
      </c>
      <c r="AB46" s="27" t="str">
        <v>C43</v>
      </c>
      <c r="AC46" s="27" t="str">
        <v>C43</v>
      </c>
      <c r="AD46" s="27" t="str">
        <v>C43</v>
      </c>
      <c r="AE46" s="27" t="str">
        <v>C43</v>
      </c>
      <c r="AF46" s="27" t="str">
        <v>C43</v>
      </c>
      <c r="AG46" s="27" t="str">
        <v>C43</v>
      </c>
      <c r="AH46" s="27" t="str">
        <v>C44</v>
      </c>
      <c r="AJ46" s="27" t="str">
        <v>C45</v>
      </c>
      <c r="AK46" s="27" t="str">
        <v>C46</v>
      </c>
      <c r="AM46" s="32" t="str">
        <v/>
      </c>
      <c r="AN46" s="11" t="str">
        <v/>
      </c>
    </row>
    <row r="47" ht="4" customHeight="1"/>
    <row r="48" ht="14" customHeight="1">
      <c r="A48" s="25" t="str">
        <v>7º</v>
      </c>
      <c r="B48" s="26" t="str">
        <v>a</v>
      </c>
      <c r="C48" s="27" t="str">
        <v>C1</v>
      </c>
      <c r="D48" s="27" t="str">
        <v>C2</v>
      </c>
      <c r="F48" s="28" t="str">
        <v/>
      </c>
      <c r="G48" s="28" t="str">
        <v/>
      </c>
      <c r="H48" s="28" t="str">
        <v/>
      </c>
      <c r="I48" s="28" t="str">
        <v/>
      </c>
      <c r="J48" s="30" t="str">
        <v/>
      </c>
      <c r="K48" s="30" t="str">
        <v/>
      </c>
      <c r="L48" s="30" t="str">
        <v/>
      </c>
      <c r="M48" s="28" t="str">
        <v/>
      </c>
      <c r="N48" s="28" t="str">
        <v/>
      </c>
      <c r="O48" s="28" t="str">
        <v/>
      </c>
      <c r="P48" s="28" t="str">
        <v/>
      </c>
      <c r="Q48" s="28" t="str">
        <v/>
      </c>
      <c r="R48" s="28" t="str">
        <v/>
      </c>
      <c r="S48" s="28" t="str">
        <v/>
      </c>
      <c r="T48" s="28" t="str">
        <v/>
      </c>
      <c r="U48" s="28" t="str">
        <v/>
      </c>
      <c r="V48" s="28" t="str">
        <v/>
      </c>
      <c r="W48" s="28" t="str">
        <v/>
      </c>
      <c r="X48" s="28" t="str">
        <v/>
      </c>
      <c r="Y48" s="28" t="str">
        <v/>
      </c>
      <c r="Z48" s="28" t="str">
        <v/>
      </c>
      <c r="AA48" s="28" t="str">
        <v/>
      </c>
      <c r="AB48" s="28" t="str">
        <v/>
      </c>
      <c r="AC48" s="28" t="str">
        <v/>
      </c>
      <c r="AD48" s="28" t="str">
        <v/>
      </c>
      <c r="AE48" s="28" t="str">
        <v/>
      </c>
      <c r="AF48" s="28" t="str">
        <v/>
      </c>
      <c r="AG48" s="28" t="str">
        <v/>
      </c>
      <c r="AH48" s="28" t="str">
        <v/>
      </c>
      <c r="AJ48" s="27" t="str">
        <v>C9</v>
      </c>
      <c r="AK48" s="27" t="str">
        <v>C10</v>
      </c>
      <c r="AM48" s="31">
        <f>SUMPRODUCT(('AUX-POS'!C48:AK52&gt;0)*('AUX-POS'!C48:AK52&lt;=SUMIF('ODC-300'!$A$5:$A$80,C48:AK52,'ODC-300'!$H$5:$H$80)-SUMIF('ODC-300'!$A$5:$A$80,C48:AK52,'ODC-300'!$I$5:$I$80))*SUMIF('ODC-300'!$A$5:$A$80,C48:AK52,'ODC-300'!$L$5:$L$80))/SUMPRODUCT(('AUX-POS'!C48:AK52&gt;0)*SUMIF('ODC-300'!$A$5:$A$80,C48:AK52,'ODC-300'!$L$5:$L$80))</f>
        <v>0.27966263047741197</v>
      </c>
      <c r="AN48" s="9" t="str">
        <f>IF(AM48&gt;=0.9999,"Completo",IF(AM48&gt;0,"Parcial","A entregar"))</f>
        <v>Parcial</v>
      </c>
    </row>
    <row r="49" ht="17" customHeight="1">
      <c r="A49" s="11" t="str">
        <v/>
      </c>
      <c r="B49" s="26" t="str">
        <v>b</v>
      </c>
      <c r="C49" s="27" t="str">
        <v>C1</v>
      </c>
      <c r="D49" s="27" t="str">
        <v>C2</v>
      </c>
      <c r="F49" s="27" t="str">
        <v>C11</v>
      </c>
      <c r="G49" s="27" t="str">
        <v>C12</v>
      </c>
      <c r="H49" s="27" t="str">
        <v>C12</v>
      </c>
      <c r="I49" s="27" t="str">
        <v>C13</v>
      </c>
      <c r="J49" s="30" t="str">
        <v/>
      </c>
      <c r="K49" s="30" t="str">
        <v/>
      </c>
      <c r="L49" s="30" t="str">
        <v/>
      </c>
      <c r="M49" s="27" t="str">
        <v>C14</v>
      </c>
      <c r="N49" s="27" t="str">
        <v>C15</v>
      </c>
      <c r="O49" s="27" t="str">
        <v>C15</v>
      </c>
      <c r="P49" s="27" t="str">
        <v>C15</v>
      </c>
      <c r="Q49" s="27" t="str">
        <v>C15</v>
      </c>
      <c r="R49" s="27" t="str">
        <v>C15</v>
      </c>
      <c r="S49" s="27" t="str">
        <v>C15</v>
      </c>
      <c r="T49" s="27" t="str">
        <v>C15</v>
      </c>
      <c r="U49" s="27" t="str">
        <v>C15</v>
      </c>
      <c r="V49" s="27" t="str">
        <v>C15</v>
      </c>
      <c r="W49" s="27" t="str">
        <v>C15</v>
      </c>
      <c r="X49" s="27" t="str">
        <v>C15</v>
      </c>
      <c r="Y49" s="27" t="str">
        <v>C15</v>
      </c>
      <c r="Z49" s="27" t="str">
        <v>C15</v>
      </c>
      <c r="AA49" s="27" t="str">
        <v>C15</v>
      </c>
      <c r="AB49" s="27" t="str">
        <v>C15</v>
      </c>
      <c r="AC49" s="27" t="str">
        <v>C15</v>
      </c>
      <c r="AD49" s="27" t="str">
        <v>C15</v>
      </c>
      <c r="AE49" s="27" t="str">
        <v>C15</v>
      </c>
      <c r="AF49" s="27" t="str">
        <v>C15</v>
      </c>
      <c r="AG49" s="27" t="str">
        <v>C15</v>
      </c>
      <c r="AH49" s="27" t="str">
        <v>C16</v>
      </c>
      <c r="AJ49" s="27" t="str">
        <v>C9</v>
      </c>
      <c r="AK49" s="27" t="str">
        <v>C10</v>
      </c>
      <c r="AM49" s="32" t="str">
        <v/>
      </c>
      <c r="AN49" s="11" t="str">
        <v/>
      </c>
    </row>
    <row r="50" ht="14" customHeight="1">
      <c r="A50" s="11" t="str">
        <v/>
      </c>
      <c r="B50" s="26" t="str">
        <v>c</v>
      </c>
      <c r="C50" s="27" t="str">
        <v>C1</v>
      </c>
      <c r="D50" s="27" t="str">
        <v>C2</v>
      </c>
      <c r="F50" s="27" t="str">
        <v>C3</v>
      </c>
      <c r="G50" s="27" t="str">
        <v>C4</v>
      </c>
      <c r="H50" s="27" t="str">
        <v>C4</v>
      </c>
      <c r="I50" s="27" t="str">
        <v>C5</v>
      </c>
      <c r="J50" s="30" t="str">
        <v/>
      </c>
      <c r="K50" s="30" t="str">
        <v/>
      </c>
      <c r="L50" s="30" t="str">
        <v/>
      </c>
      <c r="M50" s="27" t="str">
        <v>C6</v>
      </c>
      <c r="N50" s="27" t="str">
        <v>C7</v>
      </c>
      <c r="O50" s="27" t="str">
        <v>C7</v>
      </c>
      <c r="P50" s="27" t="str">
        <v>C7</v>
      </c>
      <c r="Q50" s="27" t="str">
        <v>C7</v>
      </c>
      <c r="R50" s="27" t="str">
        <v>C7</v>
      </c>
      <c r="S50" s="27" t="str">
        <v>C7</v>
      </c>
      <c r="T50" s="27" t="str">
        <v>C7</v>
      </c>
      <c r="U50" s="27" t="str">
        <v>C7</v>
      </c>
      <c r="V50" s="27" t="str">
        <v>C7</v>
      </c>
      <c r="W50" s="27" t="str">
        <v>C7</v>
      </c>
      <c r="X50" s="27" t="str">
        <v>C7</v>
      </c>
      <c r="Y50" s="27" t="str">
        <v>C7</v>
      </c>
      <c r="Z50" s="27" t="str">
        <v>C7</v>
      </c>
      <c r="AA50" s="27" t="str">
        <v>C7</v>
      </c>
      <c r="AB50" s="27" t="str">
        <v>C7</v>
      </c>
      <c r="AC50" s="27" t="str">
        <v>C7</v>
      </c>
      <c r="AD50" s="27" t="str">
        <v>C7</v>
      </c>
      <c r="AE50" s="27" t="str">
        <v>C7</v>
      </c>
      <c r="AF50" s="27" t="str">
        <v>C7</v>
      </c>
      <c r="AG50" s="27" t="str">
        <v>C7</v>
      </c>
      <c r="AH50" s="27" t="str">
        <v>C8</v>
      </c>
      <c r="AJ50" s="27" t="str">
        <v>C9</v>
      </c>
      <c r="AK50" s="27" t="str">
        <v>C10</v>
      </c>
      <c r="AM50" s="32" t="str">
        <v/>
      </c>
      <c r="AN50" s="11" t="str">
        <v/>
      </c>
    </row>
    <row r="51" ht="14" customHeight="1">
      <c r="A51" s="11" t="str">
        <v/>
      </c>
      <c r="B51" s="26" t="str">
        <v>d</v>
      </c>
      <c r="C51" s="27" t="str">
        <v>C1</v>
      </c>
      <c r="D51" s="27" t="str">
        <v>C2</v>
      </c>
      <c r="F51" s="27" t="str">
        <v>C3</v>
      </c>
      <c r="G51" s="27" t="str">
        <v>C4</v>
      </c>
      <c r="H51" s="27" t="str">
        <v>C4</v>
      </c>
      <c r="I51" s="27" t="str">
        <v>C5</v>
      </c>
      <c r="J51" s="30" t="str">
        <v/>
      </c>
      <c r="K51" s="30" t="str">
        <v/>
      </c>
      <c r="L51" s="30" t="str">
        <v/>
      </c>
      <c r="M51" s="27" t="str">
        <v>C6</v>
      </c>
      <c r="N51" s="27" t="str">
        <v>C7</v>
      </c>
      <c r="O51" s="27" t="str">
        <v>C7</v>
      </c>
      <c r="P51" s="27" t="str">
        <v>C7</v>
      </c>
      <c r="Q51" s="27" t="str">
        <v>C7</v>
      </c>
      <c r="R51" s="27" t="str">
        <v>C7</v>
      </c>
      <c r="S51" s="27" t="str">
        <v>C7</v>
      </c>
      <c r="T51" s="27" t="str">
        <v>C7</v>
      </c>
      <c r="U51" s="27" t="str">
        <v>C7</v>
      </c>
      <c r="V51" s="27" t="str">
        <v>C7</v>
      </c>
      <c r="W51" s="27" t="str">
        <v>C7</v>
      </c>
      <c r="X51" s="27" t="str">
        <v>C7</v>
      </c>
      <c r="Y51" s="27" t="str">
        <v>C7</v>
      </c>
      <c r="Z51" s="27" t="str">
        <v>C7</v>
      </c>
      <c r="AA51" s="27" t="str">
        <v>C7</v>
      </c>
      <c r="AB51" s="27" t="str">
        <v>C7</v>
      </c>
      <c r="AC51" s="27" t="str">
        <v>C7</v>
      </c>
      <c r="AD51" s="27" t="str">
        <v>C7</v>
      </c>
      <c r="AE51" s="27" t="str">
        <v>C7</v>
      </c>
      <c r="AF51" s="27" t="str">
        <v>C7</v>
      </c>
      <c r="AG51" s="27" t="str">
        <v>C7</v>
      </c>
      <c r="AH51" s="27" t="str">
        <v>C8</v>
      </c>
      <c r="AJ51" s="27" t="str">
        <v>C9</v>
      </c>
      <c r="AK51" s="27" t="str">
        <v>C10</v>
      </c>
      <c r="AM51" s="32" t="str">
        <v/>
      </c>
      <c r="AN51" s="11" t="str">
        <v/>
      </c>
    </row>
    <row r="52" ht="14" customHeight="1">
      <c r="A52" s="11" t="str">
        <v/>
      </c>
      <c r="B52" s="26" t="str">
        <v>e</v>
      </c>
      <c r="C52" s="27" t="str">
        <v>C17</v>
      </c>
      <c r="D52" s="27" t="str">
        <v>C18</v>
      </c>
      <c r="F52" s="27" t="str">
        <v>C19</v>
      </c>
      <c r="G52" s="27" t="str">
        <v>C20</v>
      </c>
      <c r="H52" s="27" t="str">
        <v>C20</v>
      </c>
      <c r="I52" s="27" t="str">
        <v>C21</v>
      </c>
      <c r="J52" s="30" t="str">
        <v/>
      </c>
      <c r="K52" s="30" t="str">
        <v/>
      </c>
      <c r="L52" s="30" t="str">
        <v/>
      </c>
      <c r="M52" s="27" t="str">
        <v>C22</v>
      </c>
      <c r="N52" s="27" t="str">
        <v>C23</v>
      </c>
      <c r="O52" s="27" t="str">
        <v>C23</v>
      </c>
      <c r="P52" s="27" t="str">
        <v>C23</v>
      </c>
      <c r="Q52" s="27" t="str">
        <v>C23</v>
      </c>
      <c r="R52" s="27" t="str">
        <v>C23</v>
      </c>
      <c r="S52" s="27" t="str">
        <v>C23</v>
      </c>
      <c r="T52" s="27" t="str">
        <v>C23</v>
      </c>
      <c r="U52" s="27" t="str">
        <v>C23</v>
      </c>
      <c r="V52" s="27" t="str">
        <v>C23</v>
      </c>
      <c r="W52" s="27" t="str">
        <v>C23</v>
      </c>
      <c r="X52" s="27" t="str">
        <v>C23</v>
      </c>
      <c r="Y52" s="27" t="str">
        <v>C23</v>
      </c>
      <c r="Z52" s="27" t="str">
        <v>C23</v>
      </c>
      <c r="AA52" s="27" t="str">
        <v>C23</v>
      </c>
      <c r="AB52" s="27" t="str">
        <v>C23</v>
      </c>
      <c r="AC52" s="27" t="str">
        <v>C23</v>
      </c>
      <c r="AD52" s="27" t="str">
        <v>C23</v>
      </c>
      <c r="AE52" s="27" t="str">
        <v>C23</v>
      </c>
      <c r="AF52" s="27" t="str">
        <v>C23</v>
      </c>
      <c r="AG52" s="27" t="str">
        <v>C23</v>
      </c>
      <c r="AH52" s="27" t="str">
        <v>C24</v>
      </c>
      <c r="AJ52" s="27" t="str">
        <v>C25</v>
      </c>
      <c r="AK52" s="27" t="str">
        <v>C26</v>
      </c>
      <c r="AM52" s="32" t="str">
        <v/>
      </c>
      <c r="AN52" s="11" t="str">
        <v/>
      </c>
    </row>
    <row r="53" ht="4" customHeight="1"/>
    <row r="54" ht="14" customHeight="1">
      <c r="A54" s="25" t="str">
        <v>6º</v>
      </c>
      <c r="B54" s="26" t="str">
        <v>a</v>
      </c>
      <c r="C54" s="27" t="str">
        <v>C1</v>
      </c>
      <c r="D54" s="27" t="str">
        <v>C2</v>
      </c>
      <c r="F54" s="28" t="str">
        <v/>
      </c>
      <c r="G54" s="28" t="str">
        <v/>
      </c>
      <c r="H54" s="28" t="str">
        <v/>
      </c>
      <c r="I54" s="28" t="str">
        <v/>
      </c>
      <c r="J54" s="30" t="str">
        <v/>
      </c>
      <c r="K54" s="30" t="str">
        <v/>
      </c>
      <c r="L54" s="30" t="str">
        <v/>
      </c>
      <c r="M54" s="28" t="str">
        <v/>
      </c>
      <c r="N54" s="28" t="str">
        <v/>
      </c>
      <c r="O54" s="28" t="str">
        <v/>
      </c>
      <c r="P54" s="28" t="str">
        <v/>
      </c>
      <c r="Q54" s="28" t="str">
        <v/>
      </c>
      <c r="R54" s="28" t="str">
        <v/>
      </c>
      <c r="S54" s="28" t="str">
        <v/>
      </c>
      <c r="T54" s="28" t="str">
        <v/>
      </c>
      <c r="U54" s="28" t="str">
        <v/>
      </c>
      <c r="V54" s="28" t="str">
        <v/>
      </c>
      <c r="W54" s="28" t="str">
        <v/>
      </c>
      <c r="X54" s="28" t="str">
        <v/>
      </c>
      <c r="Y54" s="28" t="str">
        <v/>
      </c>
      <c r="Z54" s="28" t="str">
        <v/>
      </c>
      <c r="AA54" s="28" t="str">
        <v/>
      </c>
      <c r="AB54" s="28" t="str">
        <v/>
      </c>
      <c r="AC54" s="28" t="str">
        <v/>
      </c>
      <c r="AD54" s="28" t="str">
        <v/>
      </c>
      <c r="AE54" s="28" t="str">
        <v/>
      </c>
      <c r="AF54" s="28" t="str">
        <v/>
      </c>
      <c r="AG54" s="28" t="str">
        <v/>
      </c>
      <c r="AH54" s="28" t="str">
        <v/>
      </c>
      <c r="AJ54" s="27" t="str">
        <v>C9</v>
      </c>
      <c r="AK54" s="27" t="str">
        <v>C10</v>
      </c>
      <c r="AM54" s="31">
        <f>SUMPRODUCT(('AUX-POS'!C54:AK58&gt;0)*('AUX-POS'!C54:AK58&lt;=SUMIF('ODC-300'!$A$5:$A$80,C54:AK58,'ODC-300'!$H$5:$H$80)-SUMIF('ODC-300'!$A$5:$A$80,C54:AK58,'ODC-300'!$I$5:$I$80))*SUMIF('ODC-300'!$A$5:$A$80,C54:AK58,'ODC-300'!$L$5:$L$80))/SUMPRODUCT(('AUX-POS'!C54:AK58&gt;0)*SUMIF('ODC-300'!$A$5:$A$80,C54:AK58,'ODC-300'!$L$5:$L$80))</f>
        <v>0.2932855331707285</v>
      </c>
      <c r="AN54" s="9" t="str">
        <f>IF(AM54&gt;=0.9999,"Completo",IF(AM54&gt;0,"Parcial","A entregar"))</f>
        <v>Parcial</v>
      </c>
    </row>
    <row r="55" ht="17" customHeight="1">
      <c r="A55" s="11" t="str">
        <v/>
      </c>
      <c r="B55" s="26" t="str">
        <v>b</v>
      </c>
      <c r="C55" s="27" t="str">
        <v>C1</v>
      </c>
      <c r="D55" s="27" t="str">
        <v>C2</v>
      </c>
      <c r="F55" s="27" t="str">
        <v>C11</v>
      </c>
      <c r="G55" s="27" t="str">
        <v>C12</v>
      </c>
      <c r="H55" s="27" t="str">
        <v>C12</v>
      </c>
      <c r="I55" s="27" t="str">
        <v>C13</v>
      </c>
      <c r="J55" s="30" t="str">
        <v/>
      </c>
      <c r="K55" s="30" t="str">
        <v/>
      </c>
      <c r="L55" s="30" t="str">
        <v/>
      </c>
      <c r="M55" s="27" t="str">
        <v>C14</v>
      </c>
      <c r="N55" s="27" t="str">
        <v>C15</v>
      </c>
      <c r="O55" s="27" t="str">
        <v>C15</v>
      </c>
      <c r="P55" s="27" t="str">
        <v>C15</v>
      </c>
      <c r="Q55" s="27" t="str">
        <v>C15</v>
      </c>
      <c r="R55" s="27" t="str">
        <v>C15</v>
      </c>
      <c r="S55" s="27" t="str">
        <v>C15</v>
      </c>
      <c r="T55" s="27" t="str">
        <v>C15</v>
      </c>
      <c r="U55" s="27" t="str">
        <v>C15</v>
      </c>
      <c r="V55" s="27" t="str">
        <v>C15</v>
      </c>
      <c r="W55" s="27" t="str">
        <v>C15</v>
      </c>
      <c r="X55" s="27" t="str">
        <v>C15</v>
      </c>
      <c r="Y55" s="27" t="str">
        <v>C15</v>
      </c>
      <c r="Z55" s="27" t="str">
        <v>C15</v>
      </c>
      <c r="AA55" s="27" t="str">
        <v>C15</v>
      </c>
      <c r="AB55" s="27" t="str">
        <v>C15</v>
      </c>
      <c r="AC55" s="27" t="str">
        <v>C15</v>
      </c>
      <c r="AD55" s="27" t="str">
        <v>C15</v>
      </c>
      <c r="AE55" s="27" t="str">
        <v>C15</v>
      </c>
      <c r="AF55" s="27" t="str">
        <v>C15</v>
      </c>
      <c r="AG55" s="27" t="str">
        <v>C15</v>
      </c>
      <c r="AH55" s="27" t="str">
        <v>C16</v>
      </c>
      <c r="AJ55" s="27" t="str">
        <v>C9</v>
      </c>
      <c r="AK55" s="27" t="str">
        <v>C10</v>
      </c>
      <c r="AM55" s="32" t="str">
        <v/>
      </c>
      <c r="AN55" s="11" t="str">
        <v/>
      </c>
    </row>
    <row r="56" ht="14" customHeight="1">
      <c r="A56" s="11" t="str">
        <v/>
      </c>
      <c r="B56" s="26" t="str">
        <v>c</v>
      </c>
      <c r="C56" s="27" t="str">
        <v>C1</v>
      </c>
      <c r="D56" s="27" t="str">
        <v>C2</v>
      </c>
      <c r="F56" s="27" t="str">
        <v>C3</v>
      </c>
      <c r="G56" s="27" t="str">
        <v>C4</v>
      </c>
      <c r="H56" s="27" t="str">
        <v>C4</v>
      </c>
      <c r="I56" s="27" t="str">
        <v>C5</v>
      </c>
      <c r="J56" s="30" t="str">
        <v/>
      </c>
      <c r="K56" s="30" t="str">
        <v/>
      </c>
      <c r="L56" s="30" t="str">
        <v/>
      </c>
      <c r="M56" s="27" t="str">
        <v>C6</v>
      </c>
      <c r="N56" s="27" t="str">
        <v>C7</v>
      </c>
      <c r="O56" s="27" t="str">
        <v>C7</v>
      </c>
      <c r="P56" s="27" t="str">
        <v>C7</v>
      </c>
      <c r="Q56" s="27" t="str">
        <v>C7</v>
      </c>
      <c r="R56" s="27" t="str">
        <v>C7</v>
      </c>
      <c r="S56" s="27" t="str">
        <v>C7</v>
      </c>
      <c r="T56" s="27" t="str">
        <v>C7</v>
      </c>
      <c r="U56" s="27" t="str">
        <v>C7</v>
      </c>
      <c r="V56" s="27" t="str">
        <v>C7</v>
      </c>
      <c r="W56" s="27" t="str">
        <v>C7</v>
      </c>
      <c r="X56" s="27" t="str">
        <v>C7</v>
      </c>
      <c r="Y56" s="27" t="str">
        <v>C7</v>
      </c>
      <c r="Z56" s="27" t="str">
        <v>C7</v>
      </c>
      <c r="AA56" s="27" t="str">
        <v>C7</v>
      </c>
      <c r="AB56" s="27" t="str">
        <v>C7</v>
      </c>
      <c r="AC56" s="27" t="str">
        <v>C7</v>
      </c>
      <c r="AD56" s="27" t="str">
        <v>C7</v>
      </c>
      <c r="AE56" s="27" t="str">
        <v>C7</v>
      </c>
      <c r="AF56" s="27" t="str">
        <v>C7</v>
      </c>
      <c r="AG56" s="27" t="str">
        <v>C7</v>
      </c>
      <c r="AH56" s="27" t="str">
        <v>C8</v>
      </c>
      <c r="AJ56" s="27" t="str">
        <v>C9</v>
      </c>
      <c r="AK56" s="27" t="str">
        <v>C10</v>
      </c>
      <c r="AM56" s="32" t="str">
        <v/>
      </c>
      <c r="AN56" s="11" t="str">
        <v/>
      </c>
    </row>
    <row r="57" ht="14" customHeight="1">
      <c r="A57" s="11" t="str">
        <v/>
      </c>
      <c r="B57" s="26" t="str">
        <v>d</v>
      </c>
      <c r="C57" s="27" t="str">
        <v>C1</v>
      </c>
      <c r="D57" s="27" t="str">
        <v>C2</v>
      </c>
      <c r="F57" s="27" t="str">
        <v>C3</v>
      </c>
      <c r="G57" s="27" t="str">
        <v>C4</v>
      </c>
      <c r="H57" s="27" t="str">
        <v>C4</v>
      </c>
      <c r="I57" s="27" t="str">
        <v>C5</v>
      </c>
      <c r="J57" s="30" t="str">
        <v/>
      </c>
      <c r="K57" s="30" t="str">
        <v/>
      </c>
      <c r="L57" s="30" t="str">
        <v/>
      </c>
      <c r="M57" s="27" t="str">
        <v>C6</v>
      </c>
      <c r="N57" s="27" t="str">
        <v>C7</v>
      </c>
      <c r="O57" s="27" t="str">
        <v>C7</v>
      </c>
      <c r="P57" s="27" t="str">
        <v>C7</v>
      </c>
      <c r="Q57" s="27" t="str">
        <v>C7</v>
      </c>
      <c r="R57" s="27" t="str">
        <v>C7</v>
      </c>
      <c r="S57" s="27" t="str">
        <v>C7</v>
      </c>
      <c r="T57" s="27" t="str">
        <v>C7</v>
      </c>
      <c r="U57" s="27" t="str">
        <v>C7</v>
      </c>
      <c r="V57" s="27" t="str">
        <v>C7</v>
      </c>
      <c r="W57" s="27" t="str">
        <v>C7</v>
      </c>
      <c r="X57" s="27" t="str">
        <v>C7</v>
      </c>
      <c r="Y57" s="27" t="str">
        <v>C7</v>
      </c>
      <c r="Z57" s="27" t="str">
        <v>C7</v>
      </c>
      <c r="AA57" s="27" t="str">
        <v>C7</v>
      </c>
      <c r="AB57" s="27" t="str">
        <v>C7</v>
      </c>
      <c r="AC57" s="27" t="str">
        <v>C7</v>
      </c>
      <c r="AD57" s="27" t="str">
        <v>C7</v>
      </c>
      <c r="AE57" s="27" t="str">
        <v>C7</v>
      </c>
      <c r="AF57" s="27" t="str">
        <v>C7</v>
      </c>
      <c r="AG57" s="27" t="str">
        <v>C7</v>
      </c>
      <c r="AH57" s="27" t="str">
        <v>C8</v>
      </c>
      <c r="AJ57" s="27" t="str">
        <v>C9</v>
      </c>
      <c r="AK57" s="27" t="str">
        <v>C10</v>
      </c>
      <c r="AM57" s="32" t="str">
        <v/>
      </c>
      <c r="AN57" s="11" t="str">
        <v/>
      </c>
    </row>
    <row r="58" ht="14" customHeight="1">
      <c r="A58" s="11" t="str">
        <v/>
      </c>
      <c r="B58" s="26" t="str">
        <v>e</v>
      </c>
      <c r="C58" s="27" t="str">
        <v>C27</v>
      </c>
      <c r="D58" s="27" t="str">
        <v>C28</v>
      </c>
      <c r="F58" s="27" t="str">
        <v>C29</v>
      </c>
      <c r="G58" s="27" t="str">
        <v>C30</v>
      </c>
      <c r="H58" s="27" t="str">
        <v>C30</v>
      </c>
      <c r="I58" s="27" t="str">
        <v>C31</v>
      </c>
      <c r="J58" s="30" t="str">
        <v/>
      </c>
      <c r="K58" s="30" t="str">
        <v/>
      </c>
      <c r="L58" s="30" t="str">
        <v/>
      </c>
      <c r="M58" s="27" t="str">
        <v>C32</v>
      </c>
      <c r="N58" s="27" t="str">
        <v>C33</v>
      </c>
      <c r="O58" s="27" t="str">
        <v>C33</v>
      </c>
      <c r="P58" s="27" t="str">
        <v>C33</v>
      </c>
      <c r="Q58" s="27" t="str">
        <v>C33</v>
      </c>
      <c r="R58" s="27" t="str">
        <v>C33</v>
      </c>
      <c r="S58" s="27" t="str">
        <v>C33</v>
      </c>
      <c r="T58" s="27" t="str">
        <v>C33</v>
      </c>
      <c r="U58" s="27" t="str">
        <v>C33</v>
      </c>
      <c r="V58" s="27" t="str">
        <v>C33</v>
      </c>
      <c r="W58" s="27" t="str">
        <v>C33</v>
      </c>
      <c r="X58" s="27" t="str">
        <v>C33</v>
      </c>
      <c r="Y58" s="27" t="str">
        <v>C33</v>
      </c>
      <c r="Z58" s="27" t="str">
        <v>C33</v>
      </c>
      <c r="AA58" s="27" t="str">
        <v>C33</v>
      </c>
      <c r="AB58" s="27" t="str">
        <v>C33</v>
      </c>
      <c r="AC58" s="27" t="str">
        <v>C33</v>
      </c>
      <c r="AD58" s="27" t="str">
        <v>C33</v>
      </c>
      <c r="AE58" s="27" t="str">
        <v>C33</v>
      </c>
      <c r="AF58" s="27" t="str">
        <v>C33</v>
      </c>
      <c r="AG58" s="27" t="str">
        <v>C33</v>
      </c>
      <c r="AH58" s="27" t="str">
        <v>C34</v>
      </c>
      <c r="AJ58" s="27" t="str">
        <v>C35</v>
      </c>
      <c r="AK58" s="27" t="str">
        <v>C36</v>
      </c>
      <c r="AM58" s="32" t="str">
        <v/>
      </c>
      <c r="AN58" s="11" t="str">
        <v/>
      </c>
    </row>
    <row r="59" ht="4" customHeight="1"/>
    <row r="60" ht="14" customHeight="1">
      <c r="A60" s="25" t="str">
        <v>5º</v>
      </c>
      <c r="B60" s="26" t="str">
        <v>a</v>
      </c>
      <c r="C60" s="27" t="str">
        <v>C1</v>
      </c>
      <c r="D60" s="27" t="str">
        <v>C2</v>
      </c>
      <c r="F60" s="28" t="str">
        <v/>
      </c>
      <c r="G60" s="28" t="str">
        <v/>
      </c>
      <c r="H60" s="28" t="str">
        <v/>
      </c>
      <c r="I60" s="28" t="str">
        <v/>
      </c>
      <c r="J60" s="30" t="str">
        <v/>
      </c>
      <c r="K60" s="30" t="str">
        <v/>
      </c>
      <c r="L60" s="30" t="str">
        <v/>
      </c>
      <c r="M60" s="28" t="str">
        <v/>
      </c>
      <c r="N60" s="28" t="str">
        <v/>
      </c>
      <c r="O60" s="28" t="str">
        <v/>
      </c>
      <c r="P60" s="28" t="str">
        <v/>
      </c>
      <c r="Q60" s="28" t="str">
        <v/>
      </c>
      <c r="R60" s="28" t="str">
        <v/>
      </c>
      <c r="S60" s="28" t="str">
        <v/>
      </c>
      <c r="T60" s="28" t="str">
        <v/>
      </c>
      <c r="U60" s="28" t="str">
        <v/>
      </c>
      <c r="V60" s="28" t="str">
        <v/>
      </c>
      <c r="W60" s="28" t="str">
        <v/>
      </c>
      <c r="X60" s="28" t="str">
        <v/>
      </c>
      <c r="Y60" s="28" t="str">
        <v/>
      </c>
      <c r="Z60" s="28" t="str">
        <v/>
      </c>
      <c r="AA60" s="28" t="str">
        <v/>
      </c>
      <c r="AB60" s="28" t="str">
        <v/>
      </c>
      <c r="AC60" s="28" t="str">
        <v/>
      </c>
      <c r="AD60" s="28" t="str">
        <v/>
      </c>
      <c r="AE60" s="28" t="str">
        <v/>
      </c>
      <c r="AF60" s="28" t="str">
        <v/>
      </c>
      <c r="AG60" s="28" t="str">
        <v/>
      </c>
      <c r="AH60" s="28" t="str">
        <v/>
      </c>
      <c r="AJ60" s="27" t="str">
        <v>C9</v>
      </c>
      <c r="AK60" s="27" t="str">
        <v>C10</v>
      </c>
      <c r="AM60" s="31">
        <f>SUMPRODUCT(('AUX-POS'!C60:AK64&gt;0)*('AUX-POS'!C60:AK64&lt;=SUMIF('ODC-300'!$A$5:$A$80,C60:AK64,'ODC-300'!$H$5:$H$80)-SUMIF('ODC-300'!$A$5:$A$80,C60:AK64,'ODC-300'!$I$5:$I$80))*SUMIF('ODC-300'!$A$5:$A$80,C60:AK64,'ODC-300'!$L$5:$L$80))/SUMPRODUCT(('AUX-POS'!C60:AK64&gt;0)*SUMIF('ODC-300'!$A$5:$A$80,C60:AK64,'ODC-300'!$L$5:$L$80))</f>
        <v>0.2877317961981961</v>
      </c>
      <c r="AN60" s="9" t="str">
        <f>IF(AM60&gt;=0.9999,"Completo",IF(AM60&gt;0,"Parcial","A entregar"))</f>
        <v>Parcial</v>
      </c>
    </row>
    <row r="61" ht="17" customHeight="1">
      <c r="A61" s="11" t="str">
        <v/>
      </c>
      <c r="B61" s="26" t="str">
        <v>b</v>
      </c>
      <c r="C61" s="27" t="str">
        <v>C1</v>
      </c>
      <c r="D61" s="27" t="str">
        <v>C2</v>
      </c>
      <c r="F61" s="27" t="str">
        <v>C11</v>
      </c>
      <c r="G61" s="27" t="str">
        <v>C12</v>
      </c>
      <c r="H61" s="27" t="str">
        <v>C12</v>
      </c>
      <c r="I61" s="27" t="str">
        <v>C13</v>
      </c>
      <c r="J61" s="30" t="str">
        <v/>
      </c>
      <c r="K61" s="30" t="str">
        <v/>
      </c>
      <c r="L61" s="30" t="str">
        <v/>
      </c>
      <c r="M61" s="27" t="str">
        <v>C14</v>
      </c>
      <c r="N61" s="27" t="str">
        <v>C15</v>
      </c>
      <c r="O61" s="27" t="str">
        <v>C15</v>
      </c>
      <c r="P61" s="27" t="str">
        <v>C15</v>
      </c>
      <c r="Q61" s="27" t="str">
        <v>C15</v>
      </c>
      <c r="R61" s="27" t="str">
        <v>C15</v>
      </c>
      <c r="S61" s="27" t="str">
        <v>C15</v>
      </c>
      <c r="T61" s="27" t="str">
        <v>C15</v>
      </c>
      <c r="U61" s="27" t="str">
        <v>C15</v>
      </c>
      <c r="V61" s="27" t="str">
        <v>C15</v>
      </c>
      <c r="W61" s="27" t="str">
        <v>C15</v>
      </c>
      <c r="X61" s="27" t="str">
        <v>C15</v>
      </c>
      <c r="Y61" s="27" t="str">
        <v>C15</v>
      </c>
      <c r="Z61" s="27" t="str">
        <v>C15</v>
      </c>
      <c r="AA61" s="27" t="str">
        <v>C15</v>
      </c>
      <c r="AB61" s="27" t="str">
        <v>C15</v>
      </c>
      <c r="AC61" s="27" t="str">
        <v>C15</v>
      </c>
      <c r="AD61" s="27" t="str">
        <v>C15</v>
      </c>
      <c r="AE61" s="27" t="str">
        <v>C15</v>
      </c>
      <c r="AF61" s="27" t="str">
        <v>C15</v>
      </c>
      <c r="AG61" s="27" t="str">
        <v>C15</v>
      </c>
      <c r="AH61" s="27" t="str">
        <v>C16</v>
      </c>
      <c r="AJ61" s="27" t="str">
        <v>C9</v>
      </c>
      <c r="AK61" s="27" t="str">
        <v>C10</v>
      </c>
      <c r="AM61" s="32" t="str">
        <v/>
      </c>
      <c r="AN61" s="11" t="str">
        <v/>
      </c>
    </row>
    <row r="62" ht="14" customHeight="1">
      <c r="A62" s="11" t="str">
        <v/>
      </c>
      <c r="B62" s="26" t="str">
        <v>c</v>
      </c>
      <c r="C62" s="27" t="str">
        <v>C1</v>
      </c>
      <c r="D62" s="27" t="str">
        <v>C2</v>
      </c>
      <c r="F62" s="27" t="str">
        <v>C3</v>
      </c>
      <c r="G62" s="27" t="str">
        <v>C4</v>
      </c>
      <c r="H62" s="27" t="str">
        <v>C4</v>
      </c>
      <c r="I62" s="27" t="str">
        <v>C5</v>
      </c>
      <c r="J62" s="30" t="str">
        <v/>
      </c>
      <c r="K62" s="30" t="str">
        <v/>
      </c>
      <c r="L62" s="30" t="str">
        <v/>
      </c>
      <c r="M62" s="27" t="str">
        <v>C6</v>
      </c>
      <c r="N62" s="27" t="str">
        <v>C7</v>
      </c>
      <c r="O62" s="27" t="str">
        <v>C7</v>
      </c>
      <c r="P62" s="27" t="str">
        <v>C7</v>
      </c>
      <c r="Q62" s="27" t="str">
        <v>C7</v>
      </c>
      <c r="R62" s="27" t="str">
        <v>C7</v>
      </c>
      <c r="S62" s="27" t="str">
        <v>C7</v>
      </c>
      <c r="T62" s="27" t="str">
        <v>C7</v>
      </c>
      <c r="U62" s="27" t="str">
        <v>C7</v>
      </c>
      <c r="V62" s="27" t="str">
        <v>C7</v>
      </c>
      <c r="W62" s="27" t="str">
        <v>C7</v>
      </c>
      <c r="X62" s="27" t="str">
        <v>C7</v>
      </c>
      <c r="Y62" s="27" t="str">
        <v>C7</v>
      </c>
      <c r="Z62" s="27" t="str">
        <v>C7</v>
      </c>
      <c r="AA62" s="27" t="str">
        <v>C7</v>
      </c>
      <c r="AB62" s="27" t="str">
        <v>C7</v>
      </c>
      <c r="AC62" s="27" t="str">
        <v>C7</v>
      </c>
      <c r="AD62" s="27" t="str">
        <v>C7</v>
      </c>
      <c r="AE62" s="27" t="str">
        <v>C7</v>
      </c>
      <c r="AF62" s="27" t="str">
        <v>C7</v>
      </c>
      <c r="AG62" s="27" t="str">
        <v>C7</v>
      </c>
      <c r="AH62" s="27" t="str">
        <v>C8</v>
      </c>
      <c r="AJ62" s="27" t="str">
        <v>C9</v>
      </c>
      <c r="AK62" s="27" t="str">
        <v>C10</v>
      </c>
      <c r="AM62" s="32" t="str">
        <v/>
      </c>
      <c r="AN62" s="11" t="str">
        <v/>
      </c>
    </row>
    <row r="63" ht="14" customHeight="1">
      <c r="A63" s="11" t="str">
        <v/>
      </c>
      <c r="B63" s="26" t="str">
        <v>d</v>
      </c>
      <c r="C63" s="27" t="str">
        <v>C1</v>
      </c>
      <c r="D63" s="27" t="str">
        <v>C2</v>
      </c>
      <c r="F63" s="27" t="str">
        <v>C3</v>
      </c>
      <c r="G63" s="27" t="str">
        <v>C4</v>
      </c>
      <c r="H63" s="27" t="str">
        <v>C4</v>
      </c>
      <c r="I63" s="27" t="str">
        <v>C5</v>
      </c>
      <c r="J63" s="30" t="str">
        <v/>
      </c>
      <c r="K63" s="30" t="str">
        <v/>
      </c>
      <c r="L63" s="30" t="str">
        <v/>
      </c>
      <c r="M63" s="27" t="str">
        <v>C6</v>
      </c>
      <c r="N63" s="27" t="str">
        <v>C7</v>
      </c>
      <c r="O63" s="27" t="str">
        <v>C7</v>
      </c>
      <c r="P63" s="27" t="str">
        <v>C7</v>
      </c>
      <c r="Q63" s="27" t="str">
        <v>C7</v>
      </c>
      <c r="R63" s="27" t="str">
        <v>C7</v>
      </c>
      <c r="S63" s="27" t="str">
        <v>C7</v>
      </c>
      <c r="T63" s="27" t="str">
        <v>C7</v>
      </c>
      <c r="U63" s="27" t="str">
        <v>C7</v>
      </c>
      <c r="V63" s="27" t="str">
        <v>C7</v>
      </c>
      <c r="W63" s="27" t="str">
        <v>C7</v>
      </c>
      <c r="X63" s="27" t="str">
        <v>C7</v>
      </c>
      <c r="Y63" s="27" t="str">
        <v>C7</v>
      </c>
      <c r="Z63" s="27" t="str">
        <v>C7</v>
      </c>
      <c r="AA63" s="27" t="str">
        <v>C7</v>
      </c>
      <c r="AB63" s="27" t="str">
        <v>C7</v>
      </c>
      <c r="AC63" s="27" t="str">
        <v>C7</v>
      </c>
      <c r="AD63" s="27" t="str">
        <v>C7</v>
      </c>
      <c r="AE63" s="27" t="str">
        <v>C7</v>
      </c>
      <c r="AF63" s="27" t="str">
        <v>C7</v>
      </c>
      <c r="AG63" s="27" t="str">
        <v>C7</v>
      </c>
      <c r="AH63" s="27" t="str">
        <v>C8</v>
      </c>
      <c r="AJ63" s="27" t="str">
        <v>C9</v>
      </c>
      <c r="AK63" s="27" t="str">
        <v>C10</v>
      </c>
      <c r="AM63" s="32" t="str">
        <v/>
      </c>
      <c r="AN63" s="11" t="str">
        <v/>
      </c>
    </row>
    <row r="64" ht="14" customHeight="1">
      <c r="A64" s="11" t="str">
        <v/>
      </c>
      <c r="B64" s="26" t="str">
        <v>e</v>
      </c>
      <c r="C64" s="27" t="str">
        <v>C17</v>
      </c>
      <c r="D64" s="27" t="str">
        <v>C18</v>
      </c>
      <c r="F64" s="27" t="str">
        <v>C19</v>
      </c>
      <c r="G64" s="27" t="str">
        <v>C20</v>
      </c>
      <c r="H64" s="27" t="str">
        <v>C20</v>
      </c>
      <c r="I64" s="27" t="str">
        <v>C21</v>
      </c>
      <c r="J64" s="30" t="str">
        <v/>
      </c>
      <c r="K64" s="30" t="str">
        <v/>
      </c>
      <c r="L64" s="30" t="str">
        <v/>
      </c>
      <c r="M64" s="27" t="str">
        <v>C22</v>
      </c>
      <c r="N64" s="27" t="str">
        <v>C23</v>
      </c>
      <c r="O64" s="27" t="str">
        <v>C23</v>
      </c>
      <c r="P64" s="27" t="str">
        <v>C23</v>
      </c>
      <c r="Q64" s="27" t="str">
        <v>C23</v>
      </c>
      <c r="R64" s="27" t="str">
        <v>C23</v>
      </c>
      <c r="S64" s="27" t="str">
        <v>C23</v>
      </c>
      <c r="T64" s="27" t="str">
        <v>C23</v>
      </c>
      <c r="U64" s="27" t="str">
        <v>C23</v>
      </c>
      <c r="V64" s="27" t="str">
        <v>C23</v>
      </c>
      <c r="W64" s="27" t="str">
        <v>C23</v>
      </c>
      <c r="X64" s="27" t="str">
        <v>C23</v>
      </c>
      <c r="Y64" s="27" t="str">
        <v>C23</v>
      </c>
      <c r="Z64" s="27" t="str">
        <v>C23</v>
      </c>
      <c r="AA64" s="27" t="str">
        <v>C23</v>
      </c>
      <c r="AB64" s="27" t="str">
        <v>C23</v>
      </c>
      <c r="AC64" s="27" t="str">
        <v>C23</v>
      </c>
      <c r="AD64" s="27" t="str">
        <v>C23</v>
      </c>
      <c r="AE64" s="27" t="str">
        <v>C23</v>
      </c>
      <c r="AF64" s="27" t="str">
        <v>C23</v>
      </c>
      <c r="AG64" s="27" t="str">
        <v>C23</v>
      </c>
      <c r="AH64" s="27" t="str">
        <v>C24</v>
      </c>
      <c r="AJ64" s="27" t="str">
        <v>C25</v>
      </c>
      <c r="AK64" s="27" t="str">
        <v>C26</v>
      </c>
      <c r="AM64" s="32" t="str">
        <v/>
      </c>
      <c r="AN64" s="11" t="str">
        <v/>
      </c>
    </row>
    <row r="65" ht="4" customHeight="1"/>
    <row r="66" ht="14" customHeight="1">
      <c r="A66" s="25" t="str">
        <v>4º</v>
      </c>
      <c r="B66" s="26" t="str">
        <v>a</v>
      </c>
      <c r="C66" s="27" t="str">
        <v>C1</v>
      </c>
      <c r="D66" s="27" t="str">
        <v>C2</v>
      </c>
      <c r="F66" s="28" t="str">
        <v/>
      </c>
      <c r="G66" s="28" t="str">
        <v/>
      </c>
      <c r="H66" s="28" t="str">
        <v/>
      </c>
      <c r="I66" s="28" t="str">
        <v/>
      </c>
      <c r="J66" s="30" t="str">
        <v/>
      </c>
      <c r="K66" s="30" t="str">
        <v/>
      </c>
      <c r="L66" s="30" t="str">
        <v/>
      </c>
      <c r="M66" s="28" t="str">
        <v/>
      </c>
      <c r="N66" s="28" t="str">
        <v/>
      </c>
      <c r="O66" s="28" t="str">
        <v/>
      </c>
      <c r="P66" s="28" t="str">
        <v/>
      </c>
      <c r="Q66" s="28" t="str">
        <v/>
      </c>
      <c r="R66" s="28" t="str">
        <v/>
      </c>
      <c r="S66" s="28" t="str">
        <v/>
      </c>
      <c r="T66" s="28" t="str">
        <v/>
      </c>
      <c r="U66" s="28" t="str">
        <v/>
      </c>
      <c r="V66" s="28" t="str">
        <v/>
      </c>
      <c r="W66" s="28" t="str">
        <v/>
      </c>
      <c r="X66" s="28" t="str">
        <v/>
      </c>
      <c r="Y66" s="28" t="str">
        <v/>
      </c>
      <c r="Z66" s="28" t="str">
        <v/>
      </c>
      <c r="AA66" s="28" t="str">
        <v/>
      </c>
      <c r="AB66" s="28" t="str">
        <v/>
      </c>
      <c r="AC66" s="28" t="str">
        <v/>
      </c>
      <c r="AD66" s="28" t="str">
        <v/>
      </c>
      <c r="AE66" s="28" t="str">
        <v/>
      </c>
      <c r="AF66" s="28" t="str">
        <v/>
      </c>
      <c r="AG66" s="28" t="str">
        <v/>
      </c>
      <c r="AH66" s="28" t="str">
        <v/>
      </c>
      <c r="AJ66" s="27" t="str">
        <v>C9</v>
      </c>
      <c r="AK66" s="27" t="str">
        <v>C10</v>
      </c>
      <c r="AM66" s="31">
        <f>SUMPRODUCT(('AUX-POS'!C66:AK69&gt;0)*('AUX-POS'!C66:AK69&lt;=SUMIF('ODC-300'!$A$5:$A$80,C66:AK69,'ODC-300'!$H$5:$H$80)-SUMIF('ODC-300'!$A$5:$A$80,C66:AK69,'ODC-300'!$I$5:$I$80))*SUMIF('ODC-300'!$A$5:$A$80,C66:AK69,'ODC-300'!$L$5:$L$80))/SUMPRODUCT(('AUX-POS'!C66:AK69&gt;0)*SUMIF('ODC-300'!$A$5:$A$80,C66:AK69,'ODC-300'!$L$5:$L$80))</f>
        <v>0.36544182846516216</v>
      </c>
      <c r="AN66" s="9" t="str">
        <f>IF(AM66&gt;=0.9999,"Completo",IF(AM66&gt;0,"Parcial","A entregar"))</f>
        <v>Parcial</v>
      </c>
    </row>
    <row r="67" ht="17" customHeight="1">
      <c r="A67" s="11" t="str">
        <v/>
      </c>
      <c r="B67" s="26" t="str">
        <v>b</v>
      </c>
      <c r="C67" s="27" t="str">
        <v>C1</v>
      </c>
      <c r="D67" s="27" t="str">
        <v>C2</v>
      </c>
      <c r="F67" s="27" t="str">
        <v>C11</v>
      </c>
      <c r="G67" s="27" t="str">
        <v>C12</v>
      </c>
      <c r="H67" s="27" t="str">
        <v>C12</v>
      </c>
      <c r="I67" s="27" t="str">
        <v>C13</v>
      </c>
      <c r="J67" s="30" t="str">
        <v/>
      </c>
      <c r="K67" s="30" t="str">
        <v/>
      </c>
      <c r="L67" s="30" t="str">
        <v/>
      </c>
      <c r="M67" s="27" t="str">
        <v>C14</v>
      </c>
      <c r="N67" s="27" t="str">
        <v>C15</v>
      </c>
      <c r="O67" s="27" t="str">
        <v>C15</v>
      </c>
      <c r="P67" s="27" t="str">
        <v>C15</v>
      </c>
      <c r="Q67" s="27" t="str">
        <v>C15</v>
      </c>
      <c r="R67" s="27" t="str">
        <v>C15</v>
      </c>
      <c r="S67" s="27" t="str">
        <v>C15</v>
      </c>
      <c r="T67" s="27" t="str">
        <v>C15</v>
      </c>
      <c r="U67" s="27" t="str">
        <v>C15</v>
      </c>
      <c r="V67" s="27" t="str">
        <v>C15</v>
      </c>
      <c r="W67" s="27" t="str">
        <v>C15</v>
      </c>
      <c r="X67" s="27" t="str">
        <v>C15</v>
      </c>
      <c r="Y67" s="27" t="str">
        <v>C15</v>
      </c>
      <c r="Z67" s="27" t="str">
        <v>C15</v>
      </c>
      <c r="AA67" s="27" t="str">
        <v>C15</v>
      </c>
      <c r="AB67" s="27" t="str">
        <v>C15</v>
      </c>
      <c r="AC67" s="27" t="str">
        <v>C15</v>
      </c>
      <c r="AD67" s="27" t="str">
        <v>C15</v>
      </c>
      <c r="AE67" s="27" t="str">
        <v>C15</v>
      </c>
      <c r="AF67" s="27" t="str">
        <v>C15</v>
      </c>
      <c r="AG67" s="27" t="str">
        <v>C15</v>
      </c>
      <c r="AH67" s="27" t="str">
        <v>C16</v>
      </c>
      <c r="AJ67" s="27" t="str">
        <v>C9</v>
      </c>
      <c r="AK67" s="27" t="str">
        <v>C10</v>
      </c>
      <c r="AM67" s="32" t="str">
        <v/>
      </c>
      <c r="AN67" s="11" t="str">
        <v/>
      </c>
    </row>
    <row r="68" ht="14" customHeight="1">
      <c r="A68" s="11" t="str">
        <v/>
      </c>
      <c r="B68" s="26" t="str">
        <v>c</v>
      </c>
      <c r="C68" s="27" t="str">
        <v>C1</v>
      </c>
      <c r="D68" s="27" t="str">
        <v>C2</v>
      </c>
      <c r="F68" s="27" t="str">
        <v>C3</v>
      </c>
      <c r="G68" s="27" t="str">
        <v>C4</v>
      </c>
      <c r="H68" s="27" t="str">
        <v>C4</v>
      </c>
      <c r="I68" s="27" t="str">
        <v>C5</v>
      </c>
      <c r="J68" s="30" t="str">
        <v/>
      </c>
      <c r="K68" s="30" t="str">
        <v/>
      </c>
      <c r="L68" s="30" t="str">
        <v/>
      </c>
      <c r="M68" s="27" t="str">
        <v>C6</v>
      </c>
      <c r="N68" s="27" t="str">
        <v>C7</v>
      </c>
      <c r="O68" s="27" t="str">
        <v>C7</v>
      </c>
      <c r="P68" s="27" t="str">
        <v>C7</v>
      </c>
      <c r="Q68" s="27" t="str">
        <v>C7</v>
      </c>
      <c r="R68" s="27" t="str">
        <v>C7</v>
      </c>
      <c r="S68" s="27" t="str">
        <v>C7</v>
      </c>
      <c r="T68" s="27" t="str">
        <v>C7</v>
      </c>
      <c r="U68" s="27" t="str">
        <v>C7</v>
      </c>
      <c r="V68" s="27" t="str">
        <v>C7</v>
      </c>
      <c r="W68" s="27" t="str">
        <v>C7</v>
      </c>
      <c r="X68" s="27" t="str">
        <v>C7</v>
      </c>
      <c r="Y68" s="27" t="str">
        <v>C7</v>
      </c>
      <c r="Z68" s="27" t="str">
        <v>C7</v>
      </c>
      <c r="AA68" s="27" t="str">
        <v>C7</v>
      </c>
      <c r="AB68" s="27" t="str">
        <v>C7</v>
      </c>
      <c r="AC68" s="27" t="str">
        <v>C7</v>
      </c>
      <c r="AD68" s="27" t="str">
        <v>C7</v>
      </c>
      <c r="AE68" s="27" t="str">
        <v>C7</v>
      </c>
      <c r="AF68" s="27" t="str">
        <v>C7</v>
      </c>
      <c r="AG68" s="27" t="str">
        <v>C7</v>
      </c>
      <c r="AH68" s="27" t="str">
        <v>C8</v>
      </c>
      <c r="AJ68" s="27" t="str">
        <v>C9</v>
      </c>
      <c r="AK68" s="27" t="str">
        <v>C10</v>
      </c>
      <c r="AM68" s="32" t="str">
        <v/>
      </c>
      <c r="AN68" s="11" t="str">
        <v/>
      </c>
    </row>
    <row r="69" ht="14" customHeight="1">
      <c r="A69" s="11" t="str">
        <v/>
      </c>
      <c r="B69" s="26" t="str">
        <v>d</v>
      </c>
      <c r="C69" s="27" t="str">
        <v>C1</v>
      </c>
      <c r="D69" s="27" t="str">
        <v>C2</v>
      </c>
      <c r="F69" s="27" t="str">
        <v>C3</v>
      </c>
      <c r="G69" s="27" t="str">
        <v>C4</v>
      </c>
      <c r="H69" s="27" t="str">
        <v>C4</v>
      </c>
      <c r="I69" s="27" t="str">
        <v>C5</v>
      </c>
      <c r="J69" s="30" t="str">
        <v/>
      </c>
      <c r="K69" s="30" t="str">
        <v/>
      </c>
      <c r="L69" s="30" t="str">
        <v/>
      </c>
      <c r="M69" s="27" t="str">
        <v>C6</v>
      </c>
      <c r="N69" s="27" t="str">
        <v>C7</v>
      </c>
      <c r="O69" s="27" t="str">
        <v>C7</v>
      </c>
      <c r="P69" s="27" t="str">
        <v>C7</v>
      </c>
      <c r="Q69" s="27" t="str">
        <v>C7</v>
      </c>
      <c r="R69" s="27" t="str">
        <v>C7</v>
      </c>
      <c r="S69" s="27" t="str">
        <v>C7</v>
      </c>
      <c r="T69" s="27" t="str">
        <v>C7</v>
      </c>
      <c r="U69" s="27" t="str">
        <v>C7</v>
      </c>
      <c r="V69" s="27" t="str">
        <v>C7</v>
      </c>
      <c r="W69" s="27" t="str">
        <v>C7</v>
      </c>
      <c r="X69" s="27" t="str">
        <v>C7</v>
      </c>
      <c r="Y69" s="27" t="str">
        <v>C7</v>
      </c>
      <c r="Z69" s="27" t="str">
        <v>C7</v>
      </c>
      <c r="AA69" s="27" t="str">
        <v>C7</v>
      </c>
      <c r="AB69" s="27" t="str">
        <v>C7</v>
      </c>
      <c r="AC69" s="27" t="str">
        <v>C7</v>
      </c>
      <c r="AD69" s="27" t="str">
        <v>C7</v>
      </c>
      <c r="AE69" s="27" t="str">
        <v>C7</v>
      </c>
      <c r="AF69" s="27" t="str">
        <v>C7</v>
      </c>
      <c r="AG69" s="27" t="str">
        <v>C7</v>
      </c>
      <c r="AH69" s="27" t="str">
        <v>C8</v>
      </c>
      <c r="AJ69" s="27" t="str">
        <v>C9</v>
      </c>
      <c r="AK69" s="27" t="str">
        <v>C10</v>
      </c>
      <c r="AM69" s="32" t="str">
        <v/>
      </c>
      <c r="AN69" s="11" t="str">
        <v/>
      </c>
    </row>
    <row r="70" ht="4" customHeight="1"/>
    <row r="71">
      <c r="A71" s="33" t="str">
        <v>TOTAL</v>
      </c>
      <c r="B71" s="34" t="str">
        <v/>
      </c>
      <c r="C71" s="33" t="str">
        <f>"Posições com placa entregue: "&amp;TEXT(SUMPRODUCT(('AUX-POS'!C6:AK69&gt;0)*('AUX-POS'!C6:AK69&lt;=SUMIF('ODC-300'!$A$5:$A$80,C6:AK69,'ODC-300'!$H$5:$H$80)-SUMIF('ODC-300'!$A$5:$A$80,C6:AK69,'ODC-300'!$I$5:$I$80))),"0")&amp;" de 1334 · pavimentos completos: "&amp;COUNTIF(AN6:AN69,"Completo")&amp;" de 11"</f>
        <v>Posições com placa entregue: 210 de 1334 · pavimentos completos: 0 de 11</v>
      </c>
      <c r="D71" s="34" t="str">
        <v/>
      </c>
      <c r="E71" s="34" t="str">
        <v/>
      </c>
      <c r="F71" s="34" t="str">
        <v/>
      </c>
      <c r="G71" s="34" t="str">
        <v/>
      </c>
      <c r="H71" s="34" t="str">
        <v/>
      </c>
      <c r="I71" s="34" t="str">
        <v/>
      </c>
      <c r="J71" s="34" t="str">
        <v/>
      </c>
      <c r="K71" s="34" t="str">
        <v/>
      </c>
      <c r="L71" s="34" t="str">
        <v/>
      </c>
      <c r="M71" s="34" t="str">
        <v/>
      </c>
      <c r="N71" s="34" t="str">
        <v/>
      </c>
      <c r="O71" s="34" t="str">
        <v/>
      </c>
      <c r="P71" s="34" t="str">
        <v/>
      </c>
      <c r="Q71" s="34" t="str">
        <v/>
      </c>
      <c r="R71" s="34" t="str">
        <v/>
      </c>
      <c r="S71" s="34" t="str">
        <v/>
      </c>
      <c r="T71" s="34" t="str">
        <v/>
      </c>
      <c r="U71" s="34" t="str">
        <v/>
      </c>
      <c r="V71" s="34" t="str">
        <v/>
      </c>
      <c r="W71" s="34" t="str">
        <v/>
      </c>
      <c r="X71" s="34" t="str">
        <v/>
      </c>
      <c r="Y71" s="34" t="str">
        <v/>
      </c>
      <c r="Z71" s="34" t="str">
        <v/>
      </c>
      <c r="AA71" s="34" t="str">
        <v/>
      </c>
      <c r="AB71" s="34" t="str">
        <v/>
      </c>
      <c r="AC71" s="34" t="str">
        <v/>
      </c>
      <c r="AD71" s="34" t="str">
        <v/>
      </c>
      <c r="AE71" s="34" t="str">
        <v/>
      </c>
      <c r="AF71" s="34" t="str">
        <v/>
      </c>
      <c r="AG71" s="34" t="str">
        <v/>
      </c>
      <c r="AH71" s="34" t="str">
        <v/>
      </c>
      <c r="AI71" s="34" t="str">
        <v/>
      </c>
      <c r="AJ71" s="34" t="str">
        <v/>
      </c>
      <c r="AK71" s="34" t="str">
        <v/>
      </c>
      <c r="AL71" s="34" t="str">
        <v/>
      </c>
      <c r="AM71" s="34" t="str">
        <v/>
      </c>
      <c r="AN71" s="34" t="str">
        <v/>
      </c>
    </row>
  </sheetData>
  <mergeCells count="43">
    <mergeCell ref="A1:AN1"/>
    <mergeCell ref="A2:AN2"/>
    <mergeCell ref="A3:AN3"/>
    <mergeCell ref="C5:D5"/>
    <mergeCell ref="F5:I5"/>
    <mergeCell ref="J5:L5"/>
    <mergeCell ref="M5:AH5"/>
    <mergeCell ref="AJ5:AK5"/>
    <mergeCell ref="A6:A10"/>
    <mergeCell ref="AM6:AM10"/>
    <mergeCell ref="AN6:AN10"/>
    <mergeCell ref="A12:A16"/>
    <mergeCell ref="AM12:AM16"/>
    <mergeCell ref="AN12:AN16"/>
    <mergeCell ref="A18:A22"/>
    <mergeCell ref="AM18:AM22"/>
    <mergeCell ref="AN18:AN22"/>
    <mergeCell ref="A24:A28"/>
    <mergeCell ref="AM24:AM28"/>
    <mergeCell ref="AN24:AN28"/>
    <mergeCell ref="A30:A34"/>
    <mergeCell ref="AM30:AM34"/>
    <mergeCell ref="AN30:AN34"/>
    <mergeCell ref="A36:A40"/>
    <mergeCell ref="AM36:AM40"/>
    <mergeCell ref="AN36:AN40"/>
    <mergeCell ref="A42:A46"/>
    <mergeCell ref="AM42:AM46"/>
    <mergeCell ref="AN42:AN46"/>
    <mergeCell ref="A48:A52"/>
    <mergeCell ref="AM48:AM52"/>
    <mergeCell ref="AN48:AN52"/>
    <mergeCell ref="A54:A58"/>
    <mergeCell ref="AM54:AM58"/>
    <mergeCell ref="AN54:AN58"/>
    <mergeCell ref="A60:A64"/>
    <mergeCell ref="AM60:AM64"/>
    <mergeCell ref="AN60:AN64"/>
    <mergeCell ref="A66:A69"/>
    <mergeCell ref="AM66:AM69"/>
    <mergeCell ref="AN66:AN69"/>
    <mergeCell ref="A71:B71"/>
    <mergeCell ref="C71:AK71"/>
  </mergeCells>
  <conditionalFormatting sqref="C6:AK69">
    <cfRule type="expression" dxfId="0" priority="1" stopIfTrue="1">
      <formula>AND(C6&lt;&gt;"",'AUX-POS'!C6&gt;0,'AUX-POS'!C6&lt;=SUMIF('ODC-300'!$A$5:$A$80,C6,'ODC-300'!$H$5:$H$80)-SUMIF('ODC-300'!$A$5:$A$80,C6,'ODC-300'!$I$5:$I$80))</formula>
    </cfRule>
    <cfRule type="expression" dxfId="1" priority="2">
      <formula>AND(C6&lt;&gt;"",'AUX-POS'!C6&gt;0,'AUX-POS'!C6&lt;=SUMIF('ODC-300'!$A$5:$A$80,C6,'ODC-300'!$H$5:$H$80))</formula>
    </cfRule>
  </conditionalFormatting>
  <conditionalFormatting sqref="AN6:AN69">
    <cfRule type="cellIs" dxfId="2" priority="3" operator="equal">
      <formula>"Completo"</formula>
    </cfRule>
  </conditionalFormatting>
  <pageMargins left="0.3" right="0.3" top="0.4" bottom="0.4" header="0.2" footer="0.2"/>
  <pageSetup paperSize="9" orientation="landscape" fitToWidth="1" fitToHeight="1"/>
  <ignoredErrors>
    <ignoredError numberStoredAsText="1" sqref="A1:AN7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G20"/>
  <sheetViews>
    <sheetView showGridLines="0" workbookViewId="0"/>
  </sheetViews>
  <cols>
    <col min="1" max="1" width="12.83203125" customWidth="1"/>
    <col min="2" max="2" width="18.83203125" customWidth="1"/>
    <col min="3" max="3" width="9.83203125" customWidth="1"/>
    <col min="4" max="4" width="11.83203125" customWidth="1"/>
    <col min="5" max="5" width="11.83203125" customWidth="1"/>
    <col min="6" max="6" width="11.83203125" customWidth="1"/>
    <col min="7" max="7" width="44.83203125" customWidth="1"/>
  </cols>
  <sheetData>
    <row r="1">
      <c r="A1" s="3" t="str">
        <v>RECEBIMENTOS DE GRANITO · ODC-300</v>
      </c>
      <c r="B1" s="4" t="str">
        <v/>
      </c>
      <c r="C1" s="4" t="str">
        <v/>
      </c>
      <c r="D1" s="4" t="str">
        <v/>
      </c>
      <c r="E1" s="4" t="str">
        <v/>
      </c>
      <c r="F1" s="4" t="str">
        <v/>
      </c>
      <c r="G1" s="4" t="str">
        <v/>
      </c>
    </row>
    <row r="2">
      <c r="A2" s="5" t="str">
        <v>ED. JARDIM · Fachada Posterior (4º ao 14º Pavimento)</v>
      </c>
      <c r="B2" s="6" t="str">
        <v/>
      </c>
      <c r="C2" s="6" t="str">
        <v/>
      </c>
      <c r="D2" s="6" t="str">
        <v/>
      </c>
      <c r="E2" s="6" t="str">
        <v/>
      </c>
      <c r="F2" s="6" t="str">
        <v/>
      </c>
      <c r="G2" s="6" t="str">
        <v/>
      </c>
    </row>
    <row r="4">
      <c r="A4" s="21" t="str">
        <v>DATA</v>
      </c>
      <c r="B4" s="21" t="str">
        <v>ROMANEIO / NF</v>
      </c>
      <c r="C4" s="21" t="str">
        <v>PLACA</v>
      </c>
      <c r="D4" s="21" t="str">
        <v>RECEBIDAS</v>
      </c>
      <c r="E4" s="21" t="str">
        <v>AVARIADAS</v>
      </c>
      <c r="F4" s="21" t="str">
        <v>ÁREA (m²)</v>
      </c>
      <c r="G4" s="21" t="str">
        <v>OBSERVAÇÕES</v>
      </c>
    </row>
    <row r="5">
      <c r="A5" s="35">
        <v>46290</v>
      </c>
      <c r="B5" s="36" t="str">
        <v>Romaneio Sabagram · emissão 15/09/2026</v>
      </c>
      <c r="C5" s="11" t="str">
        <v>C3</v>
      </c>
      <c r="D5" s="11">
        <v>22</v>
      </c>
      <c r="E5" s="11">
        <v>0</v>
      </c>
      <c r="F5" s="13">
        <f>D5*INDEX('ODC-300'!$L$5:$L$80,MATCH(C5,'ODC-300'!$A$5:$A$80,0))</f>
      </c>
      <c r="G5" s="36" t="str">
        <v>Carregamento 25/09/2026 · 8 paletes (P1–P8) · material descrito como "Cinza Mundo Novo Bruto" · C4: paletes P6=23 + P7=22 somam 45, romaneio informa 44</v>
      </c>
    </row>
    <row r="6">
      <c r="A6" s="35">
        <v>46290</v>
      </c>
      <c r="B6" s="36" t="str">
        <v>Romaneio Sabagram · emissão 15/09/2026</v>
      </c>
      <c r="C6" s="11" t="str">
        <v>C4</v>
      </c>
      <c r="D6" s="11">
        <v>44</v>
      </c>
      <c r="E6" s="11">
        <v>0</v>
      </c>
      <c r="F6" s="13">
        <f>D6*INDEX('ODC-300'!$L$5:$L$80,MATCH(C6,'ODC-300'!$A$5:$A$80,0))</f>
      </c>
      <c r="G6" s="36" t="str">
        <v>Carregamento 25/09/2026 · 8 paletes (P1–P8) · material descrito como "Cinza Mundo Novo Bruto" · C4: paletes P6=23 + P7=22 somam 45, romaneio informa 44</v>
      </c>
    </row>
    <row r="7">
      <c r="A7" s="35">
        <v>46290</v>
      </c>
      <c r="B7" s="36" t="str">
        <v>Romaneio Sabagram · emissão 15/09/2026</v>
      </c>
      <c r="C7" s="11" t="str">
        <v>C5</v>
      </c>
      <c r="D7" s="11">
        <v>22</v>
      </c>
      <c r="E7" s="11">
        <v>0</v>
      </c>
      <c r="F7" s="13">
        <f>D7*INDEX('ODC-300'!$L$5:$L$80,MATCH(C7,'ODC-300'!$A$5:$A$80,0))</f>
      </c>
      <c r="G7" s="36" t="str">
        <v>Carregamento 25/09/2026 · 8 paletes (P1–P8) · material descrito como "Cinza Mundo Novo Bruto" · C4: paletes P6=23 + P7=22 somam 45, romaneio informa 44</v>
      </c>
    </row>
    <row r="8">
      <c r="A8" s="35">
        <v>46290</v>
      </c>
      <c r="B8" s="36" t="str">
        <v>Romaneio Sabagram · emissão 15/09/2026</v>
      </c>
      <c r="C8" s="11" t="str">
        <v>C7</v>
      </c>
      <c r="D8" s="11">
        <v>4</v>
      </c>
      <c r="E8" s="11">
        <v>0</v>
      </c>
      <c r="F8" s="13">
        <f>D8*INDEX('ODC-300'!$L$5:$L$80,MATCH(C8,'ODC-300'!$A$5:$A$80,0))</f>
      </c>
      <c r="G8" s="36" t="str">
        <v>Carregamento 25/09/2026 · 8 paletes (P1–P8) · material descrito como "Cinza Mundo Novo Bruto" · C4: paletes P6=23 + P7=22 somam 45, romaneio informa 44</v>
      </c>
    </row>
    <row r="9">
      <c r="A9" s="35">
        <v>46290</v>
      </c>
      <c r="B9" s="36" t="str">
        <v>Romaneio Sabagram · emissão 15/09/2026</v>
      </c>
      <c r="C9" s="11" t="str">
        <v>C15</v>
      </c>
      <c r="D9" s="11">
        <v>96</v>
      </c>
      <c r="E9" s="11">
        <v>0</v>
      </c>
      <c r="F9" s="13">
        <f>D9*INDEX('ODC-300'!$L$5:$L$80,MATCH(C9,'ODC-300'!$A$5:$A$80,0))</f>
      </c>
      <c r="G9" s="36" t="str">
        <v>Carregamento 25/09/2026 · 8 paletes (P1–P8) · material descrito como "Cinza Mundo Novo Bruto" · C4: paletes P6=23 + P7=22 somam 45, romaneio informa 44</v>
      </c>
    </row>
    <row r="10">
      <c r="A10" s="35">
        <v>46290</v>
      </c>
      <c r="B10" s="36" t="str">
        <v>Romaneio Sabagram · emissão 15/09/2026</v>
      </c>
      <c r="C10" s="11" t="str">
        <v>C17</v>
      </c>
      <c r="D10" s="11">
        <v>2</v>
      </c>
      <c r="E10" s="11">
        <v>0</v>
      </c>
      <c r="F10" s="13">
        <f>D10*INDEX('ODC-300'!$L$5:$L$80,MATCH(C10,'ODC-300'!$A$5:$A$80,0))</f>
      </c>
      <c r="G10" s="36" t="str">
        <v>Carregamento 25/09/2026 · 8 paletes (P1–P8) · material descrito como "Cinza Mundo Novo Bruto" · C4: paletes P6=23 + P7=22 somam 45, romaneio informa 44</v>
      </c>
    </row>
    <row r="11">
      <c r="A11" s="35">
        <v>46290</v>
      </c>
      <c r="B11" s="36" t="str">
        <v>Romaneio Sabagram · emissão 15/09/2026</v>
      </c>
      <c r="C11" s="11" t="str">
        <v>C18</v>
      </c>
      <c r="D11" s="11">
        <v>2</v>
      </c>
      <c r="E11" s="11">
        <v>0</v>
      </c>
      <c r="F11" s="13">
        <f>D11*INDEX('ODC-300'!$L$5:$L$80,MATCH(C11,'ODC-300'!$A$5:$A$80,0))</f>
      </c>
      <c r="G11" s="36" t="str">
        <v>Carregamento 25/09/2026 · 8 paletes (P1–P8) · material descrito como "Cinza Mundo Novo Bruto" · C4: paletes P6=23 + P7=22 somam 45, romaneio informa 44</v>
      </c>
    </row>
    <row r="12">
      <c r="A12" s="35">
        <v>46290</v>
      </c>
      <c r="B12" s="36" t="str">
        <v>Romaneio Sabagram · emissão 15/09/2026</v>
      </c>
      <c r="C12" s="11" t="str">
        <v>C19</v>
      </c>
      <c r="D12" s="11">
        <v>2</v>
      </c>
      <c r="E12" s="11">
        <v>0</v>
      </c>
      <c r="F12" s="13">
        <f>D12*INDEX('ODC-300'!$L$5:$L$80,MATCH(C12,'ODC-300'!$A$5:$A$80,0))</f>
      </c>
      <c r="G12" s="36" t="str">
        <v>Carregamento 25/09/2026 · 8 paletes (P1–P8) · material descrito como "Cinza Mundo Novo Bruto" · C4: paletes P6=23 + P7=22 somam 45, romaneio informa 44</v>
      </c>
    </row>
    <row r="13">
      <c r="A13" s="35">
        <v>46290</v>
      </c>
      <c r="B13" s="36" t="str">
        <v>Romaneio Sabagram · emissão 15/09/2026</v>
      </c>
      <c r="C13" s="11" t="str">
        <v>C21</v>
      </c>
      <c r="D13" s="11">
        <v>2</v>
      </c>
      <c r="E13" s="11">
        <v>0</v>
      </c>
      <c r="F13" s="13">
        <f>D13*INDEX('ODC-300'!$L$5:$L$80,MATCH(C13,'ODC-300'!$A$5:$A$80,0))</f>
      </c>
      <c r="G13" s="36" t="str">
        <v>Carregamento 25/09/2026 · 8 paletes (P1–P8) · material descrito como "Cinza Mundo Novo Bruto" · C4: paletes P6=23 + P7=22 somam 45, romaneio informa 44</v>
      </c>
    </row>
    <row r="14">
      <c r="A14" s="35">
        <v>46290</v>
      </c>
      <c r="B14" s="36" t="str">
        <v>Romaneio Sabagram · emissão 15/09/2026</v>
      </c>
      <c r="C14" s="11" t="str">
        <v>C25</v>
      </c>
      <c r="D14" s="11">
        <v>1</v>
      </c>
      <c r="E14" s="11">
        <v>0</v>
      </c>
      <c r="F14" s="13">
        <f>D14*INDEX('ODC-300'!$L$5:$L$80,MATCH(C14,'ODC-300'!$A$5:$A$80,0))</f>
      </c>
      <c r="G14" s="36" t="str">
        <v>Carregamento 25/09/2026 · 8 paletes (P1–P8) · material descrito como "Cinza Mundo Novo Bruto" · C4: paletes P6=23 + P7=22 somam 45, romaneio informa 44</v>
      </c>
    </row>
    <row r="15">
      <c r="A15" s="35">
        <v>46290</v>
      </c>
      <c r="B15" s="36" t="str">
        <v>Romaneio Sabagram · emissão 15/09/2026</v>
      </c>
      <c r="C15" s="11" t="str">
        <v>C27</v>
      </c>
      <c r="D15" s="11">
        <v>1</v>
      </c>
      <c r="E15" s="11">
        <v>0</v>
      </c>
      <c r="F15" s="13">
        <f>D15*INDEX('ODC-300'!$L$5:$L$80,MATCH(C15,'ODC-300'!$A$5:$A$80,0))</f>
      </c>
      <c r="G15" s="36" t="str">
        <v>Carregamento 25/09/2026 · 8 paletes (P1–P8) · material descrito como "Cinza Mundo Novo Bruto" · C4: paletes P6=23 + P7=22 somam 45, romaneio informa 44</v>
      </c>
    </row>
    <row r="16">
      <c r="A16" s="35">
        <v>46290</v>
      </c>
      <c r="B16" s="36" t="str">
        <v>Romaneio Sabagram · emissão 15/09/2026</v>
      </c>
      <c r="C16" s="11" t="str">
        <v>C28</v>
      </c>
      <c r="D16" s="11">
        <v>1</v>
      </c>
      <c r="E16" s="11">
        <v>0</v>
      </c>
      <c r="F16" s="13">
        <f>D16*INDEX('ODC-300'!$L$5:$L$80,MATCH(C16,'ODC-300'!$A$5:$A$80,0))</f>
      </c>
      <c r="G16" s="36" t="str">
        <v>Carregamento 25/09/2026 · 8 paletes (P1–P8) · material descrito como "Cinza Mundo Novo Bruto" · C4: paletes P6=23 + P7=22 somam 45, romaneio informa 44</v>
      </c>
    </row>
    <row r="17">
      <c r="A17" s="35">
        <v>46290</v>
      </c>
      <c r="B17" s="36" t="str">
        <v>Romaneio Sabagram · emissão 15/09/2026</v>
      </c>
      <c r="C17" s="11" t="str">
        <v>C29</v>
      </c>
      <c r="D17" s="11">
        <v>2</v>
      </c>
      <c r="E17" s="11">
        <v>0</v>
      </c>
      <c r="F17" s="13">
        <f>D17*INDEX('ODC-300'!$L$5:$L$80,MATCH(C17,'ODC-300'!$A$5:$A$80,0))</f>
      </c>
      <c r="G17" s="36" t="str">
        <v>Carregamento 25/09/2026 · 8 paletes (P1–P8) · material descrito como "Cinza Mundo Novo Bruto" · C4: paletes P6=23 + P7=22 somam 45, romaneio informa 44</v>
      </c>
    </row>
    <row r="18">
      <c r="A18" s="35">
        <v>46290</v>
      </c>
      <c r="B18" s="36" t="str">
        <v>Romaneio Sabagram · emissão 15/09/2026</v>
      </c>
      <c r="C18" s="11" t="str">
        <v>C30</v>
      </c>
      <c r="D18" s="11">
        <v>6</v>
      </c>
      <c r="E18" s="11">
        <v>0</v>
      </c>
      <c r="F18" s="13">
        <f>D18*INDEX('ODC-300'!$L$5:$L$80,MATCH(C18,'ODC-300'!$A$5:$A$80,0))</f>
      </c>
      <c r="G18" s="36" t="str">
        <v>Carregamento 25/09/2026 · 8 paletes (P1–P8) · material descrito como "Cinza Mundo Novo Bruto" · C4: paletes P6=23 + P7=22 somam 45, romaneio informa 44</v>
      </c>
    </row>
    <row r="19">
      <c r="A19" s="35">
        <v>46290</v>
      </c>
      <c r="B19" s="36" t="str">
        <v>Romaneio Sabagram · emissão 15/09/2026</v>
      </c>
      <c r="C19" s="11" t="str">
        <v>C31</v>
      </c>
      <c r="D19" s="11">
        <v>3</v>
      </c>
      <c r="E19" s="11">
        <v>0</v>
      </c>
      <c r="F19" s="13">
        <f>D19*INDEX('ODC-300'!$L$5:$L$80,MATCH(C19,'ODC-300'!$A$5:$A$80,0))</f>
      </c>
      <c r="G19" s="36" t="str">
        <v>Carregamento 25/09/2026 · 8 paletes (P1–P8) · material descrito como "Cinza Mundo Novo Bruto" · C4: paletes P6=23 + P7=22 somam 45, romaneio informa 44</v>
      </c>
    </row>
  </sheetData>
  <mergeCells count="2">
    <mergeCell ref="A1:G1"/>
    <mergeCell ref="A2:G2"/>
  </mergeCells>
  <ignoredErrors>
    <ignoredError numberStoredAsText="1" sqref="A1:G20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N71"/>
  <sheetViews>
    <sheetView showGridLines="0" workbookViewId="0"/>
  </sheetViews>
  <sheetData>
    <row r="1">
      <c r="A1" s="37" t="str">
        <v>Auxiliar do PAINEL FACHADA: ordem de preenchimento de cada posição dentro do seu código (1 = primeira a receber placa). Não editar.</v>
      </c>
    </row>
    <row r="6">
      <c r="C6" s="11">
        <v>44</v>
      </c>
      <c r="D6" s="11">
        <v>44</v>
      </c>
      <c r="AJ6" s="11">
        <v>44</v>
      </c>
      <c r="AK6" s="11">
        <v>44</v>
      </c>
    </row>
    <row r="7">
      <c r="C7" s="11">
        <v>43</v>
      </c>
      <c r="D7" s="11">
        <v>43</v>
      </c>
      <c r="F7" s="11">
        <v>11</v>
      </c>
      <c r="G7" s="11">
        <v>21</v>
      </c>
      <c r="H7" s="11">
        <v>22</v>
      </c>
      <c r="I7" s="11">
        <v>11</v>
      </c>
      <c r="M7" s="11">
        <v>11</v>
      </c>
      <c r="N7" s="11">
        <v>201</v>
      </c>
      <c r="O7" s="11">
        <v>202</v>
      </c>
      <c r="P7" s="11">
        <v>203</v>
      </c>
      <c r="Q7" s="11">
        <v>204</v>
      </c>
      <c r="R7" s="11">
        <v>205</v>
      </c>
      <c r="S7" s="11">
        <v>206</v>
      </c>
      <c r="T7" s="11">
        <v>207</v>
      </c>
      <c r="U7" s="11">
        <v>208</v>
      </c>
      <c r="V7" s="11">
        <v>209</v>
      </c>
      <c r="W7" s="11">
        <v>210</v>
      </c>
      <c r="X7" s="11">
        <v>211</v>
      </c>
      <c r="Y7" s="11">
        <v>212</v>
      </c>
      <c r="Z7" s="11">
        <v>213</v>
      </c>
      <c r="AA7" s="11">
        <v>214</v>
      </c>
      <c r="AB7" s="11">
        <v>215</v>
      </c>
      <c r="AC7" s="11">
        <v>216</v>
      </c>
      <c r="AD7" s="11">
        <v>217</v>
      </c>
      <c r="AE7" s="11">
        <v>218</v>
      </c>
      <c r="AF7" s="11">
        <v>219</v>
      </c>
      <c r="AG7" s="11">
        <v>220</v>
      </c>
      <c r="AH7" s="11">
        <v>11</v>
      </c>
      <c r="AJ7" s="11">
        <v>43</v>
      </c>
      <c r="AK7" s="11">
        <v>43</v>
      </c>
    </row>
    <row r="8">
      <c r="C8" s="11">
        <v>42</v>
      </c>
      <c r="D8" s="11">
        <v>42</v>
      </c>
      <c r="F8" s="11">
        <v>22</v>
      </c>
      <c r="G8" s="11">
        <v>43</v>
      </c>
      <c r="H8" s="11">
        <v>44</v>
      </c>
      <c r="I8" s="11">
        <v>22</v>
      </c>
      <c r="M8" s="11">
        <v>22</v>
      </c>
      <c r="N8" s="11">
        <v>421</v>
      </c>
      <c r="O8" s="11">
        <v>422</v>
      </c>
      <c r="P8" s="11">
        <v>423</v>
      </c>
      <c r="Q8" s="11">
        <v>424</v>
      </c>
      <c r="R8" s="11">
        <v>425</v>
      </c>
      <c r="S8" s="11">
        <v>426</v>
      </c>
      <c r="T8" s="11">
        <v>427</v>
      </c>
      <c r="U8" s="11">
        <v>428</v>
      </c>
      <c r="V8" s="11">
        <v>429</v>
      </c>
      <c r="W8" s="11">
        <v>430</v>
      </c>
      <c r="X8" s="11">
        <v>431</v>
      </c>
      <c r="Y8" s="11">
        <v>432</v>
      </c>
      <c r="Z8" s="11">
        <v>433</v>
      </c>
      <c r="AA8" s="11">
        <v>434</v>
      </c>
      <c r="AB8" s="11">
        <v>435</v>
      </c>
      <c r="AC8" s="11">
        <v>436</v>
      </c>
      <c r="AD8" s="11">
        <v>437</v>
      </c>
      <c r="AE8" s="11">
        <v>438</v>
      </c>
      <c r="AF8" s="11">
        <v>439</v>
      </c>
      <c r="AG8" s="11">
        <v>440</v>
      </c>
      <c r="AH8" s="11">
        <v>22</v>
      </c>
      <c r="AJ8" s="11">
        <v>42</v>
      </c>
      <c r="AK8" s="11">
        <v>42</v>
      </c>
    </row>
    <row r="9">
      <c r="C9" s="11">
        <v>41</v>
      </c>
      <c r="D9" s="11">
        <v>41</v>
      </c>
      <c r="F9" s="11">
        <v>21</v>
      </c>
      <c r="G9" s="11">
        <v>41</v>
      </c>
      <c r="H9" s="11">
        <v>42</v>
      </c>
      <c r="I9" s="11">
        <v>21</v>
      </c>
      <c r="M9" s="11">
        <v>21</v>
      </c>
      <c r="N9" s="11">
        <v>401</v>
      </c>
      <c r="O9" s="11">
        <v>402</v>
      </c>
      <c r="P9" s="11">
        <v>403</v>
      </c>
      <c r="Q9" s="11">
        <v>404</v>
      </c>
      <c r="R9" s="11">
        <v>405</v>
      </c>
      <c r="S9" s="11">
        <v>406</v>
      </c>
      <c r="T9" s="11">
        <v>407</v>
      </c>
      <c r="U9" s="11">
        <v>408</v>
      </c>
      <c r="V9" s="11">
        <v>409</v>
      </c>
      <c r="W9" s="11">
        <v>410</v>
      </c>
      <c r="X9" s="11">
        <v>411</v>
      </c>
      <c r="Y9" s="11">
        <v>412</v>
      </c>
      <c r="Z9" s="11">
        <v>413</v>
      </c>
      <c r="AA9" s="11">
        <v>414</v>
      </c>
      <c r="AB9" s="11">
        <v>415</v>
      </c>
      <c r="AC9" s="11">
        <v>416</v>
      </c>
      <c r="AD9" s="11">
        <v>417</v>
      </c>
      <c r="AE9" s="11">
        <v>418</v>
      </c>
      <c r="AF9" s="11">
        <v>419</v>
      </c>
      <c r="AG9" s="11">
        <v>420</v>
      </c>
      <c r="AH9" s="11">
        <v>21</v>
      </c>
      <c r="AJ9" s="11">
        <v>41</v>
      </c>
      <c r="AK9" s="11">
        <v>41</v>
      </c>
    </row>
    <row r="10">
      <c r="C10" s="11">
        <v>1</v>
      </c>
      <c r="D10" s="11">
        <v>1</v>
      </c>
      <c r="F10" s="11">
        <v>1</v>
      </c>
      <c r="G10" s="11">
        <v>1</v>
      </c>
      <c r="H10" s="11">
        <v>2</v>
      </c>
      <c r="I10" s="11">
        <v>1</v>
      </c>
      <c r="M10" s="11">
        <v>1</v>
      </c>
      <c r="N10" s="11">
        <v>1</v>
      </c>
      <c r="O10" s="11">
        <v>2</v>
      </c>
      <c r="P10" s="11">
        <v>3</v>
      </c>
      <c r="Q10" s="11">
        <v>4</v>
      </c>
      <c r="R10" s="11">
        <v>5</v>
      </c>
      <c r="S10" s="11">
        <v>6</v>
      </c>
      <c r="T10" s="11">
        <v>7</v>
      </c>
      <c r="U10" s="11">
        <v>8</v>
      </c>
      <c r="V10" s="11">
        <v>9</v>
      </c>
      <c r="W10" s="11">
        <v>10</v>
      </c>
      <c r="X10" s="11">
        <v>11</v>
      </c>
      <c r="Y10" s="11">
        <v>12</v>
      </c>
      <c r="Z10" s="11">
        <v>13</v>
      </c>
      <c r="AA10" s="11">
        <v>14</v>
      </c>
      <c r="AB10" s="11">
        <v>15</v>
      </c>
      <c r="AC10" s="11">
        <v>16</v>
      </c>
      <c r="AD10" s="11">
        <v>17</v>
      </c>
      <c r="AE10" s="11">
        <v>18</v>
      </c>
      <c r="AF10" s="11">
        <v>19</v>
      </c>
      <c r="AG10" s="11">
        <v>20</v>
      </c>
      <c r="AH10" s="11">
        <v>1</v>
      </c>
      <c r="AJ10" s="11">
        <v>1</v>
      </c>
      <c r="AK10" s="11">
        <v>1</v>
      </c>
    </row>
    <row r="12">
      <c r="C12" s="11">
        <v>40</v>
      </c>
      <c r="D12" s="11">
        <v>40</v>
      </c>
      <c r="AJ12" s="11">
        <v>40</v>
      </c>
      <c r="AK12" s="11">
        <v>40</v>
      </c>
    </row>
    <row r="13">
      <c r="C13" s="11">
        <v>39</v>
      </c>
      <c r="D13" s="11">
        <v>39</v>
      </c>
      <c r="F13" s="11">
        <v>10</v>
      </c>
      <c r="G13" s="11">
        <v>19</v>
      </c>
      <c r="H13" s="11">
        <v>20</v>
      </c>
      <c r="I13" s="11">
        <v>10</v>
      </c>
      <c r="M13" s="11">
        <v>10</v>
      </c>
      <c r="N13" s="11">
        <v>181</v>
      </c>
      <c r="O13" s="11">
        <v>182</v>
      </c>
      <c r="P13" s="11">
        <v>183</v>
      </c>
      <c r="Q13" s="11">
        <v>184</v>
      </c>
      <c r="R13" s="11">
        <v>185</v>
      </c>
      <c r="S13" s="11">
        <v>186</v>
      </c>
      <c r="T13" s="11">
        <v>187</v>
      </c>
      <c r="U13" s="11">
        <v>188</v>
      </c>
      <c r="V13" s="11">
        <v>189</v>
      </c>
      <c r="W13" s="11">
        <v>190</v>
      </c>
      <c r="X13" s="11">
        <v>191</v>
      </c>
      <c r="Y13" s="11">
        <v>192</v>
      </c>
      <c r="Z13" s="11">
        <v>193</v>
      </c>
      <c r="AA13" s="11">
        <v>194</v>
      </c>
      <c r="AB13" s="11">
        <v>195</v>
      </c>
      <c r="AC13" s="11">
        <v>196</v>
      </c>
      <c r="AD13" s="11">
        <v>197</v>
      </c>
      <c r="AE13" s="11">
        <v>198</v>
      </c>
      <c r="AF13" s="11">
        <v>199</v>
      </c>
      <c r="AG13" s="11">
        <v>200</v>
      </c>
      <c r="AH13" s="11">
        <v>10</v>
      </c>
      <c r="AJ13" s="11">
        <v>39</v>
      </c>
      <c r="AK13" s="11">
        <v>39</v>
      </c>
    </row>
    <row r="14">
      <c r="C14" s="11">
        <v>38</v>
      </c>
      <c r="D14" s="11">
        <v>38</v>
      </c>
      <c r="F14" s="11">
        <v>20</v>
      </c>
      <c r="G14" s="11">
        <v>39</v>
      </c>
      <c r="H14" s="11">
        <v>40</v>
      </c>
      <c r="I14" s="11">
        <v>20</v>
      </c>
      <c r="M14" s="11">
        <v>20</v>
      </c>
      <c r="N14" s="11">
        <v>381</v>
      </c>
      <c r="O14" s="11">
        <v>382</v>
      </c>
      <c r="P14" s="11">
        <v>383</v>
      </c>
      <c r="Q14" s="11">
        <v>384</v>
      </c>
      <c r="R14" s="11">
        <v>385</v>
      </c>
      <c r="S14" s="11">
        <v>386</v>
      </c>
      <c r="T14" s="11">
        <v>387</v>
      </c>
      <c r="U14" s="11">
        <v>388</v>
      </c>
      <c r="V14" s="11">
        <v>389</v>
      </c>
      <c r="W14" s="11">
        <v>390</v>
      </c>
      <c r="X14" s="11">
        <v>391</v>
      </c>
      <c r="Y14" s="11">
        <v>392</v>
      </c>
      <c r="Z14" s="11">
        <v>393</v>
      </c>
      <c r="AA14" s="11">
        <v>394</v>
      </c>
      <c r="AB14" s="11">
        <v>395</v>
      </c>
      <c r="AC14" s="11">
        <v>396</v>
      </c>
      <c r="AD14" s="11">
        <v>397</v>
      </c>
      <c r="AE14" s="11">
        <v>398</v>
      </c>
      <c r="AF14" s="11">
        <v>399</v>
      </c>
      <c r="AG14" s="11">
        <v>400</v>
      </c>
      <c r="AH14" s="11">
        <v>20</v>
      </c>
      <c r="AJ14" s="11">
        <v>38</v>
      </c>
      <c r="AK14" s="11">
        <v>38</v>
      </c>
    </row>
    <row r="15">
      <c r="C15" s="11">
        <v>37</v>
      </c>
      <c r="D15" s="11">
        <v>37</v>
      </c>
      <c r="F15" s="11">
        <v>19</v>
      </c>
      <c r="G15" s="11">
        <v>37</v>
      </c>
      <c r="H15" s="11">
        <v>38</v>
      </c>
      <c r="I15" s="11">
        <v>19</v>
      </c>
      <c r="M15" s="11">
        <v>19</v>
      </c>
      <c r="N15" s="11">
        <v>361</v>
      </c>
      <c r="O15" s="11">
        <v>362</v>
      </c>
      <c r="P15" s="11">
        <v>363</v>
      </c>
      <c r="Q15" s="11">
        <v>364</v>
      </c>
      <c r="R15" s="11">
        <v>365</v>
      </c>
      <c r="S15" s="11">
        <v>366</v>
      </c>
      <c r="T15" s="11">
        <v>367</v>
      </c>
      <c r="U15" s="11">
        <v>368</v>
      </c>
      <c r="V15" s="11">
        <v>369</v>
      </c>
      <c r="W15" s="11">
        <v>370</v>
      </c>
      <c r="X15" s="11">
        <v>371</v>
      </c>
      <c r="Y15" s="11">
        <v>372</v>
      </c>
      <c r="Z15" s="11">
        <v>373</v>
      </c>
      <c r="AA15" s="11">
        <v>374</v>
      </c>
      <c r="AB15" s="11">
        <v>375</v>
      </c>
      <c r="AC15" s="11">
        <v>376</v>
      </c>
      <c r="AD15" s="11">
        <v>377</v>
      </c>
      <c r="AE15" s="11">
        <v>378</v>
      </c>
      <c r="AF15" s="11">
        <v>379</v>
      </c>
      <c r="AG15" s="11">
        <v>380</v>
      </c>
      <c r="AH15" s="11">
        <v>19</v>
      </c>
      <c r="AJ15" s="11">
        <v>37</v>
      </c>
      <c r="AK15" s="11">
        <v>37</v>
      </c>
    </row>
    <row r="16">
      <c r="C16" s="11">
        <v>3</v>
      </c>
      <c r="D16" s="11">
        <v>3</v>
      </c>
      <c r="F16" s="11">
        <v>3</v>
      </c>
      <c r="G16" s="11">
        <v>5</v>
      </c>
      <c r="H16" s="11">
        <v>6</v>
      </c>
      <c r="I16" s="11">
        <v>3</v>
      </c>
      <c r="M16" s="11">
        <v>3</v>
      </c>
      <c r="N16" s="11">
        <v>41</v>
      </c>
      <c r="O16" s="11">
        <v>42</v>
      </c>
      <c r="P16" s="11">
        <v>43</v>
      </c>
      <c r="Q16" s="11">
        <v>44</v>
      </c>
      <c r="R16" s="11">
        <v>45</v>
      </c>
      <c r="S16" s="11">
        <v>46</v>
      </c>
      <c r="T16" s="11">
        <v>47</v>
      </c>
      <c r="U16" s="11">
        <v>48</v>
      </c>
      <c r="V16" s="11">
        <v>49</v>
      </c>
      <c r="W16" s="11">
        <v>50</v>
      </c>
      <c r="X16" s="11">
        <v>51</v>
      </c>
      <c r="Y16" s="11">
        <v>52</v>
      </c>
      <c r="Z16" s="11">
        <v>53</v>
      </c>
      <c r="AA16" s="11">
        <v>54</v>
      </c>
      <c r="AB16" s="11">
        <v>55</v>
      </c>
      <c r="AC16" s="11">
        <v>56</v>
      </c>
      <c r="AD16" s="11">
        <v>57</v>
      </c>
      <c r="AE16" s="11">
        <v>58</v>
      </c>
      <c r="AF16" s="11">
        <v>59</v>
      </c>
      <c r="AG16" s="11">
        <v>60</v>
      </c>
      <c r="AH16" s="11">
        <v>3</v>
      </c>
      <c r="AJ16" s="11">
        <v>3</v>
      </c>
      <c r="AK16" s="11">
        <v>3</v>
      </c>
    </row>
    <row r="18">
      <c r="C18" s="11">
        <v>36</v>
      </c>
      <c r="D18" s="11">
        <v>36</v>
      </c>
      <c r="AJ18" s="11">
        <v>36</v>
      </c>
      <c r="AK18" s="11">
        <v>36</v>
      </c>
    </row>
    <row r="19">
      <c r="C19" s="11">
        <v>35</v>
      </c>
      <c r="D19" s="11">
        <v>35</v>
      </c>
      <c r="F19" s="11">
        <v>9</v>
      </c>
      <c r="G19" s="11">
        <v>17</v>
      </c>
      <c r="H19" s="11">
        <v>18</v>
      </c>
      <c r="I19" s="11">
        <v>9</v>
      </c>
      <c r="M19" s="11">
        <v>9</v>
      </c>
      <c r="N19" s="11">
        <v>161</v>
      </c>
      <c r="O19" s="11">
        <v>162</v>
      </c>
      <c r="P19" s="11">
        <v>163</v>
      </c>
      <c r="Q19" s="11">
        <v>164</v>
      </c>
      <c r="R19" s="11">
        <v>165</v>
      </c>
      <c r="S19" s="11">
        <v>166</v>
      </c>
      <c r="T19" s="11">
        <v>167</v>
      </c>
      <c r="U19" s="11">
        <v>168</v>
      </c>
      <c r="V19" s="11">
        <v>169</v>
      </c>
      <c r="W19" s="11">
        <v>170</v>
      </c>
      <c r="X19" s="11">
        <v>171</v>
      </c>
      <c r="Y19" s="11">
        <v>172</v>
      </c>
      <c r="Z19" s="11">
        <v>173</v>
      </c>
      <c r="AA19" s="11">
        <v>174</v>
      </c>
      <c r="AB19" s="11">
        <v>175</v>
      </c>
      <c r="AC19" s="11">
        <v>176</v>
      </c>
      <c r="AD19" s="11">
        <v>177</v>
      </c>
      <c r="AE19" s="11">
        <v>178</v>
      </c>
      <c r="AF19" s="11">
        <v>179</v>
      </c>
      <c r="AG19" s="11">
        <v>180</v>
      </c>
      <c r="AH19" s="11">
        <v>9</v>
      </c>
      <c r="AJ19" s="11">
        <v>35</v>
      </c>
      <c r="AK19" s="11">
        <v>35</v>
      </c>
    </row>
    <row r="20">
      <c r="C20" s="11">
        <v>34</v>
      </c>
      <c r="D20" s="11">
        <v>34</v>
      </c>
      <c r="F20" s="11">
        <v>18</v>
      </c>
      <c r="G20" s="11">
        <v>35</v>
      </c>
      <c r="H20" s="11">
        <v>36</v>
      </c>
      <c r="I20" s="11">
        <v>18</v>
      </c>
      <c r="M20" s="11">
        <v>18</v>
      </c>
      <c r="N20" s="11">
        <v>341</v>
      </c>
      <c r="O20" s="11">
        <v>342</v>
      </c>
      <c r="P20" s="11">
        <v>343</v>
      </c>
      <c r="Q20" s="11">
        <v>344</v>
      </c>
      <c r="R20" s="11">
        <v>345</v>
      </c>
      <c r="S20" s="11">
        <v>346</v>
      </c>
      <c r="T20" s="11">
        <v>347</v>
      </c>
      <c r="U20" s="11">
        <v>348</v>
      </c>
      <c r="V20" s="11">
        <v>349</v>
      </c>
      <c r="W20" s="11">
        <v>350</v>
      </c>
      <c r="X20" s="11">
        <v>351</v>
      </c>
      <c r="Y20" s="11">
        <v>352</v>
      </c>
      <c r="Z20" s="11">
        <v>353</v>
      </c>
      <c r="AA20" s="11">
        <v>354</v>
      </c>
      <c r="AB20" s="11">
        <v>355</v>
      </c>
      <c r="AC20" s="11">
        <v>356</v>
      </c>
      <c r="AD20" s="11">
        <v>357</v>
      </c>
      <c r="AE20" s="11">
        <v>358</v>
      </c>
      <c r="AF20" s="11">
        <v>359</v>
      </c>
      <c r="AG20" s="11">
        <v>360</v>
      </c>
      <c r="AH20" s="11">
        <v>18</v>
      </c>
      <c r="AJ20" s="11">
        <v>34</v>
      </c>
      <c r="AK20" s="11">
        <v>34</v>
      </c>
    </row>
    <row r="21">
      <c r="C21" s="11">
        <v>33</v>
      </c>
      <c r="D21" s="11">
        <v>33</v>
      </c>
      <c r="F21" s="11">
        <v>17</v>
      </c>
      <c r="G21" s="11">
        <v>33</v>
      </c>
      <c r="H21" s="11">
        <v>34</v>
      </c>
      <c r="I21" s="11">
        <v>17</v>
      </c>
      <c r="M21" s="11">
        <v>17</v>
      </c>
      <c r="N21" s="11">
        <v>321</v>
      </c>
      <c r="O21" s="11">
        <v>322</v>
      </c>
      <c r="P21" s="11">
        <v>323</v>
      </c>
      <c r="Q21" s="11">
        <v>324</v>
      </c>
      <c r="R21" s="11">
        <v>325</v>
      </c>
      <c r="S21" s="11">
        <v>326</v>
      </c>
      <c r="T21" s="11">
        <v>327</v>
      </c>
      <c r="U21" s="11">
        <v>328</v>
      </c>
      <c r="V21" s="11">
        <v>329</v>
      </c>
      <c r="W21" s="11">
        <v>330</v>
      </c>
      <c r="X21" s="11">
        <v>331</v>
      </c>
      <c r="Y21" s="11">
        <v>332</v>
      </c>
      <c r="Z21" s="11">
        <v>333</v>
      </c>
      <c r="AA21" s="11">
        <v>334</v>
      </c>
      <c r="AB21" s="11">
        <v>335</v>
      </c>
      <c r="AC21" s="11">
        <v>336</v>
      </c>
      <c r="AD21" s="11">
        <v>337</v>
      </c>
      <c r="AE21" s="11">
        <v>338</v>
      </c>
      <c r="AF21" s="11">
        <v>339</v>
      </c>
      <c r="AG21" s="11">
        <v>340</v>
      </c>
      <c r="AH21" s="11">
        <v>17</v>
      </c>
      <c r="AJ21" s="11">
        <v>33</v>
      </c>
      <c r="AK21" s="11">
        <v>33</v>
      </c>
    </row>
    <row r="22">
      <c r="C22" s="11">
        <v>2</v>
      </c>
      <c r="D22" s="11">
        <v>2</v>
      </c>
      <c r="F22" s="11">
        <v>2</v>
      </c>
      <c r="G22" s="11">
        <v>3</v>
      </c>
      <c r="H22" s="11">
        <v>4</v>
      </c>
      <c r="I22" s="11">
        <v>2</v>
      </c>
      <c r="M22" s="11">
        <v>2</v>
      </c>
      <c r="N22" s="11">
        <v>21</v>
      </c>
      <c r="O22" s="11">
        <v>22</v>
      </c>
      <c r="P22" s="11">
        <v>23</v>
      </c>
      <c r="Q22" s="11">
        <v>24</v>
      </c>
      <c r="R22" s="11">
        <v>25</v>
      </c>
      <c r="S22" s="11">
        <v>26</v>
      </c>
      <c r="T22" s="11">
        <v>27</v>
      </c>
      <c r="U22" s="11">
        <v>28</v>
      </c>
      <c r="V22" s="11">
        <v>29</v>
      </c>
      <c r="W22" s="11">
        <v>30</v>
      </c>
      <c r="X22" s="11">
        <v>31</v>
      </c>
      <c r="Y22" s="11">
        <v>32</v>
      </c>
      <c r="Z22" s="11">
        <v>33</v>
      </c>
      <c r="AA22" s="11">
        <v>34</v>
      </c>
      <c r="AB22" s="11">
        <v>35</v>
      </c>
      <c r="AC22" s="11">
        <v>36</v>
      </c>
      <c r="AD22" s="11">
        <v>37</v>
      </c>
      <c r="AE22" s="11">
        <v>38</v>
      </c>
      <c r="AF22" s="11">
        <v>39</v>
      </c>
      <c r="AG22" s="11">
        <v>40</v>
      </c>
      <c r="AH22" s="11">
        <v>2</v>
      </c>
      <c r="AJ22" s="11">
        <v>2</v>
      </c>
      <c r="AK22" s="11">
        <v>2</v>
      </c>
    </row>
    <row r="24">
      <c r="C24" s="11">
        <v>32</v>
      </c>
      <c r="D24" s="11">
        <v>32</v>
      </c>
      <c r="AJ24" s="11">
        <v>32</v>
      </c>
      <c r="AK24" s="11">
        <v>32</v>
      </c>
    </row>
    <row r="25">
      <c r="C25" s="11">
        <v>31</v>
      </c>
      <c r="D25" s="11">
        <v>31</v>
      </c>
      <c r="F25" s="11">
        <v>8</v>
      </c>
      <c r="G25" s="11">
        <v>15</v>
      </c>
      <c r="H25" s="11">
        <v>16</v>
      </c>
      <c r="I25" s="11">
        <v>8</v>
      </c>
      <c r="M25" s="11">
        <v>8</v>
      </c>
      <c r="N25" s="11">
        <v>141</v>
      </c>
      <c r="O25" s="11">
        <v>142</v>
      </c>
      <c r="P25" s="11">
        <v>143</v>
      </c>
      <c r="Q25" s="11">
        <v>144</v>
      </c>
      <c r="R25" s="11">
        <v>145</v>
      </c>
      <c r="S25" s="11">
        <v>146</v>
      </c>
      <c r="T25" s="11">
        <v>147</v>
      </c>
      <c r="U25" s="11">
        <v>148</v>
      </c>
      <c r="V25" s="11">
        <v>149</v>
      </c>
      <c r="W25" s="11">
        <v>150</v>
      </c>
      <c r="X25" s="11">
        <v>151</v>
      </c>
      <c r="Y25" s="11">
        <v>152</v>
      </c>
      <c r="Z25" s="11">
        <v>153</v>
      </c>
      <c r="AA25" s="11">
        <v>154</v>
      </c>
      <c r="AB25" s="11">
        <v>155</v>
      </c>
      <c r="AC25" s="11">
        <v>156</v>
      </c>
      <c r="AD25" s="11">
        <v>157</v>
      </c>
      <c r="AE25" s="11">
        <v>158</v>
      </c>
      <c r="AF25" s="11">
        <v>159</v>
      </c>
      <c r="AG25" s="11">
        <v>160</v>
      </c>
      <c r="AH25" s="11">
        <v>8</v>
      </c>
      <c r="AJ25" s="11">
        <v>31</v>
      </c>
      <c r="AK25" s="11">
        <v>31</v>
      </c>
    </row>
    <row r="26">
      <c r="C26" s="11">
        <v>30</v>
      </c>
      <c r="D26" s="11">
        <v>30</v>
      </c>
      <c r="F26" s="11">
        <v>16</v>
      </c>
      <c r="G26" s="11">
        <v>31</v>
      </c>
      <c r="H26" s="11">
        <v>32</v>
      </c>
      <c r="I26" s="11">
        <v>16</v>
      </c>
      <c r="M26" s="11">
        <v>16</v>
      </c>
      <c r="N26" s="11">
        <v>301</v>
      </c>
      <c r="O26" s="11">
        <v>302</v>
      </c>
      <c r="P26" s="11">
        <v>303</v>
      </c>
      <c r="Q26" s="11">
        <v>304</v>
      </c>
      <c r="R26" s="11">
        <v>305</v>
      </c>
      <c r="S26" s="11">
        <v>306</v>
      </c>
      <c r="T26" s="11">
        <v>307</v>
      </c>
      <c r="U26" s="11">
        <v>308</v>
      </c>
      <c r="V26" s="11">
        <v>309</v>
      </c>
      <c r="W26" s="11">
        <v>310</v>
      </c>
      <c r="X26" s="11">
        <v>311</v>
      </c>
      <c r="Y26" s="11">
        <v>312</v>
      </c>
      <c r="Z26" s="11">
        <v>313</v>
      </c>
      <c r="AA26" s="11">
        <v>314</v>
      </c>
      <c r="AB26" s="11">
        <v>315</v>
      </c>
      <c r="AC26" s="11">
        <v>316</v>
      </c>
      <c r="AD26" s="11">
        <v>317</v>
      </c>
      <c r="AE26" s="11">
        <v>318</v>
      </c>
      <c r="AF26" s="11">
        <v>319</v>
      </c>
      <c r="AG26" s="11">
        <v>320</v>
      </c>
      <c r="AH26" s="11">
        <v>16</v>
      </c>
      <c r="AJ26" s="11">
        <v>30</v>
      </c>
      <c r="AK26" s="11">
        <v>30</v>
      </c>
    </row>
    <row r="27">
      <c r="C27" s="11">
        <v>29</v>
      </c>
      <c r="D27" s="11">
        <v>29</v>
      </c>
      <c r="F27" s="11">
        <v>15</v>
      </c>
      <c r="G27" s="11">
        <v>29</v>
      </c>
      <c r="H27" s="11">
        <v>30</v>
      </c>
      <c r="I27" s="11">
        <v>15</v>
      </c>
      <c r="M27" s="11">
        <v>15</v>
      </c>
      <c r="N27" s="11">
        <v>281</v>
      </c>
      <c r="O27" s="11">
        <v>282</v>
      </c>
      <c r="P27" s="11">
        <v>283</v>
      </c>
      <c r="Q27" s="11">
        <v>284</v>
      </c>
      <c r="R27" s="11">
        <v>285</v>
      </c>
      <c r="S27" s="11">
        <v>286</v>
      </c>
      <c r="T27" s="11">
        <v>287</v>
      </c>
      <c r="U27" s="11">
        <v>288</v>
      </c>
      <c r="V27" s="11">
        <v>289</v>
      </c>
      <c r="W27" s="11">
        <v>290</v>
      </c>
      <c r="X27" s="11">
        <v>291</v>
      </c>
      <c r="Y27" s="11">
        <v>292</v>
      </c>
      <c r="Z27" s="11">
        <v>293</v>
      </c>
      <c r="AA27" s="11">
        <v>294</v>
      </c>
      <c r="AB27" s="11">
        <v>295</v>
      </c>
      <c r="AC27" s="11">
        <v>296</v>
      </c>
      <c r="AD27" s="11">
        <v>297</v>
      </c>
      <c r="AE27" s="11">
        <v>298</v>
      </c>
      <c r="AF27" s="11">
        <v>299</v>
      </c>
      <c r="AG27" s="11">
        <v>300</v>
      </c>
      <c r="AH27" s="11">
        <v>15</v>
      </c>
      <c r="AJ27" s="11">
        <v>29</v>
      </c>
      <c r="AK27" s="11">
        <v>29</v>
      </c>
    </row>
    <row r="28">
      <c r="C28" s="11">
        <v>1</v>
      </c>
      <c r="D28" s="11">
        <v>1</v>
      </c>
      <c r="F28" s="11">
        <v>1</v>
      </c>
      <c r="G28" s="11">
        <v>1</v>
      </c>
      <c r="H28" s="11">
        <v>2</v>
      </c>
      <c r="I28" s="11">
        <v>1</v>
      </c>
      <c r="M28" s="11">
        <v>1</v>
      </c>
      <c r="N28" s="11">
        <v>1</v>
      </c>
      <c r="O28" s="11">
        <v>2</v>
      </c>
      <c r="P28" s="11">
        <v>3</v>
      </c>
      <c r="Q28" s="11">
        <v>4</v>
      </c>
      <c r="R28" s="11">
        <v>5</v>
      </c>
      <c r="S28" s="11">
        <v>6</v>
      </c>
      <c r="T28" s="11">
        <v>7</v>
      </c>
      <c r="U28" s="11">
        <v>8</v>
      </c>
      <c r="V28" s="11">
        <v>9</v>
      </c>
      <c r="W28" s="11">
        <v>10</v>
      </c>
      <c r="X28" s="11">
        <v>11</v>
      </c>
      <c r="Y28" s="11">
        <v>12</v>
      </c>
      <c r="Z28" s="11">
        <v>13</v>
      </c>
      <c r="AA28" s="11">
        <v>14</v>
      </c>
      <c r="AB28" s="11">
        <v>15</v>
      </c>
      <c r="AC28" s="11">
        <v>16</v>
      </c>
      <c r="AD28" s="11">
        <v>17</v>
      </c>
      <c r="AE28" s="11">
        <v>18</v>
      </c>
      <c r="AF28" s="11">
        <v>19</v>
      </c>
      <c r="AG28" s="11">
        <v>20</v>
      </c>
      <c r="AH28" s="11">
        <v>1</v>
      </c>
      <c r="AJ28" s="11">
        <v>1</v>
      </c>
      <c r="AK28" s="11">
        <v>1</v>
      </c>
    </row>
    <row r="30">
      <c r="C30" s="11">
        <v>28</v>
      </c>
      <c r="D30" s="11">
        <v>28</v>
      </c>
      <c r="AJ30" s="11">
        <v>28</v>
      </c>
      <c r="AK30" s="11">
        <v>28</v>
      </c>
    </row>
    <row r="31">
      <c r="C31" s="11">
        <v>27</v>
      </c>
      <c r="D31" s="11">
        <v>27</v>
      </c>
      <c r="F31" s="11">
        <v>7</v>
      </c>
      <c r="G31" s="11">
        <v>13</v>
      </c>
      <c r="H31" s="11">
        <v>14</v>
      </c>
      <c r="I31" s="11">
        <v>7</v>
      </c>
      <c r="M31" s="11">
        <v>7</v>
      </c>
      <c r="N31" s="11">
        <v>121</v>
      </c>
      <c r="O31" s="11">
        <v>122</v>
      </c>
      <c r="P31" s="11">
        <v>123</v>
      </c>
      <c r="Q31" s="11">
        <v>124</v>
      </c>
      <c r="R31" s="11">
        <v>125</v>
      </c>
      <c r="S31" s="11">
        <v>126</v>
      </c>
      <c r="T31" s="11">
        <v>127</v>
      </c>
      <c r="U31" s="11">
        <v>128</v>
      </c>
      <c r="V31" s="11">
        <v>129</v>
      </c>
      <c r="W31" s="11">
        <v>130</v>
      </c>
      <c r="X31" s="11">
        <v>131</v>
      </c>
      <c r="Y31" s="11">
        <v>132</v>
      </c>
      <c r="Z31" s="11">
        <v>133</v>
      </c>
      <c r="AA31" s="11">
        <v>134</v>
      </c>
      <c r="AB31" s="11">
        <v>135</v>
      </c>
      <c r="AC31" s="11">
        <v>136</v>
      </c>
      <c r="AD31" s="11">
        <v>137</v>
      </c>
      <c r="AE31" s="11">
        <v>138</v>
      </c>
      <c r="AF31" s="11">
        <v>139</v>
      </c>
      <c r="AG31" s="11">
        <v>140</v>
      </c>
      <c r="AH31" s="11">
        <v>7</v>
      </c>
      <c r="AJ31" s="11">
        <v>27</v>
      </c>
      <c r="AK31" s="11">
        <v>27</v>
      </c>
    </row>
    <row r="32">
      <c r="C32" s="11">
        <v>26</v>
      </c>
      <c r="D32" s="11">
        <v>26</v>
      </c>
      <c r="F32" s="11">
        <v>14</v>
      </c>
      <c r="G32" s="11">
        <v>27</v>
      </c>
      <c r="H32" s="11">
        <v>28</v>
      </c>
      <c r="I32" s="11">
        <v>14</v>
      </c>
      <c r="M32" s="11">
        <v>14</v>
      </c>
      <c r="N32" s="11">
        <v>261</v>
      </c>
      <c r="O32" s="11">
        <v>262</v>
      </c>
      <c r="P32" s="11">
        <v>263</v>
      </c>
      <c r="Q32" s="11">
        <v>264</v>
      </c>
      <c r="R32" s="11">
        <v>265</v>
      </c>
      <c r="S32" s="11">
        <v>266</v>
      </c>
      <c r="T32" s="11">
        <v>267</v>
      </c>
      <c r="U32" s="11">
        <v>268</v>
      </c>
      <c r="V32" s="11">
        <v>269</v>
      </c>
      <c r="W32" s="11">
        <v>270</v>
      </c>
      <c r="X32" s="11">
        <v>271</v>
      </c>
      <c r="Y32" s="11">
        <v>272</v>
      </c>
      <c r="Z32" s="11">
        <v>273</v>
      </c>
      <c r="AA32" s="11">
        <v>274</v>
      </c>
      <c r="AB32" s="11">
        <v>275</v>
      </c>
      <c r="AC32" s="11">
        <v>276</v>
      </c>
      <c r="AD32" s="11">
        <v>277</v>
      </c>
      <c r="AE32" s="11">
        <v>278</v>
      </c>
      <c r="AF32" s="11">
        <v>279</v>
      </c>
      <c r="AG32" s="11">
        <v>280</v>
      </c>
      <c r="AH32" s="11">
        <v>14</v>
      </c>
      <c r="AJ32" s="11">
        <v>26</v>
      </c>
      <c r="AK32" s="11">
        <v>26</v>
      </c>
    </row>
    <row r="33">
      <c r="C33" s="11">
        <v>25</v>
      </c>
      <c r="D33" s="11">
        <v>25</v>
      </c>
      <c r="F33" s="11">
        <v>13</v>
      </c>
      <c r="G33" s="11">
        <v>25</v>
      </c>
      <c r="H33" s="11">
        <v>26</v>
      </c>
      <c r="I33" s="11">
        <v>13</v>
      </c>
      <c r="M33" s="11">
        <v>13</v>
      </c>
      <c r="N33" s="11">
        <v>241</v>
      </c>
      <c r="O33" s="11">
        <v>242</v>
      </c>
      <c r="P33" s="11">
        <v>243</v>
      </c>
      <c r="Q33" s="11">
        <v>244</v>
      </c>
      <c r="R33" s="11">
        <v>245</v>
      </c>
      <c r="S33" s="11">
        <v>246</v>
      </c>
      <c r="T33" s="11">
        <v>247</v>
      </c>
      <c r="U33" s="11">
        <v>248</v>
      </c>
      <c r="V33" s="11">
        <v>249</v>
      </c>
      <c r="W33" s="11">
        <v>250</v>
      </c>
      <c r="X33" s="11">
        <v>251</v>
      </c>
      <c r="Y33" s="11">
        <v>252</v>
      </c>
      <c r="Z33" s="11">
        <v>253</v>
      </c>
      <c r="AA33" s="11">
        <v>254</v>
      </c>
      <c r="AB33" s="11">
        <v>255</v>
      </c>
      <c r="AC33" s="11">
        <v>256</v>
      </c>
      <c r="AD33" s="11">
        <v>257</v>
      </c>
      <c r="AE33" s="11">
        <v>258</v>
      </c>
      <c r="AF33" s="11">
        <v>259</v>
      </c>
      <c r="AG33" s="11">
        <v>260</v>
      </c>
      <c r="AH33" s="11">
        <v>13</v>
      </c>
      <c r="AJ33" s="11">
        <v>25</v>
      </c>
      <c r="AK33" s="11">
        <v>25</v>
      </c>
    </row>
    <row r="34">
      <c r="C34" s="11">
        <v>1</v>
      </c>
      <c r="D34" s="11">
        <v>1</v>
      </c>
      <c r="F34" s="11">
        <v>1</v>
      </c>
      <c r="G34" s="11">
        <v>1</v>
      </c>
      <c r="H34" s="11">
        <v>2</v>
      </c>
      <c r="I34" s="11">
        <v>1</v>
      </c>
      <c r="M34" s="11">
        <v>1</v>
      </c>
      <c r="N34" s="11">
        <v>1</v>
      </c>
      <c r="O34" s="11">
        <v>2</v>
      </c>
      <c r="P34" s="11">
        <v>3</v>
      </c>
      <c r="Q34" s="11">
        <v>4</v>
      </c>
      <c r="R34" s="11">
        <v>5</v>
      </c>
      <c r="S34" s="11">
        <v>6</v>
      </c>
      <c r="T34" s="11">
        <v>7</v>
      </c>
      <c r="U34" s="11">
        <v>8</v>
      </c>
      <c r="V34" s="11">
        <v>9</v>
      </c>
      <c r="W34" s="11">
        <v>10</v>
      </c>
      <c r="X34" s="11">
        <v>11</v>
      </c>
      <c r="Y34" s="11">
        <v>12</v>
      </c>
      <c r="Z34" s="11">
        <v>13</v>
      </c>
      <c r="AA34" s="11">
        <v>14</v>
      </c>
      <c r="AB34" s="11">
        <v>15</v>
      </c>
      <c r="AC34" s="11">
        <v>16</v>
      </c>
      <c r="AD34" s="11">
        <v>17</v>
      </c>
      <c r="AE34" s="11">
        <v>18</v>
      </c>
      <c r="AF34" s="11">
        <v>19</v>
      </c>
      <c r="AG34" s="11">
        <v>20</v>
      </c>
      <c r="AH34" s="11">
        <v>1</v>
      </c>
      <c r="AJ34" s="11">
        <v>1</v>
      </c>
      <c r="AK34" s="11">
        <v>1</v>
      </c>
    </row>
    <row r="36">
      <c r="C36" s="11">
        <v>24</v>
      </c>
      <c r="D36" s="11">
        <v>24</v>
      </c>
      <c r="AJ36" s="11">
        <v>24</v>
      </c>
      <c r="AK36" s="11">
        <v>24</v>
      </c>
    </row>
    <row r="37">
      <c r="C37" s="11">
        <v>23</v>
      </c>
      <c r="D37" s="11">
        <v>23</v>
      </c>
      <c r="F37" s="11">
        <v>6</v>
      </c>
      <c r="G37" s="11">
        <v>11</v>
      </c>
      <c r="H37" s="11">
        <v>12</v>
      </c>
      <c r="I37" s="11">
        <v>6</v>
      </c>
      <c r="M37" s="11">
        <v>6</v>
      </c>
      <c r="N37" s="11">
        <v>101</v>
      </c>
      <c r="O37" s="11">
        <v>102</v>
      </c>
      <c r="P37" s="11">
        <v>103</v>
      </c>
      <c r="Q37" s="11">
        <v>104</v>
      </c>
      <c r="R37" s="11">
        <v>105</v>
      </c>
      <c r="S37" s="11">
        <v>106</v>
      </c>
      <c r="T37" s="11">
        <v>107</v>
      </c>
      <c r="U37" s="11">
        <v>108</v>
      </c>
      <c r="V37" s="11">
        <v>109</v>
      </c>
      <c r="W37" s="11">
        <v>110</v>
      </c>
      <c r="X37" s="11">
        <v>111</v>
      </c>
      <c r="Y37" s="11">
        <v>112</v>
      </c>
      <c r="Z37" s="11">
        <v>113</v>
      </c>
      <c r="AA37" s="11">
        <v>114</v>
      </c>
      <c r="AB37" s="11">
        <v>115</v>
      </c>
      <c r="AC37" s="11">
        <v>116</v>
      </c>
      <c r="AD37" s="11">
        <v>117</v>
      </c>
      <c r="AE37" s="11">
        <v>118</v>
      </c>
      <c r="AF37" s="11">
        <v>119</v>
      </c>
      <c r="AG37" s="11">
        <v>120</v>
      </c>
      <c r="AH37" s="11">
        <v>6</v>
      </c>
      <c r="AJ37" s="11">
        <v>23</v>
      </c>
      <c r="AK37" s="11">
        <v>23</v>
      </c>
    </row>
    <row r="38">
      <c r="C38" s="11">
        <v>22</v>
      </c>
      <c r="D38" s="11">
        <v>22</v>
      </c>
      <c r="F38" s="11">
        <v>12</v>
      </c>
      <c r="G38" s="11">
        <v>23</v>
      </c>
      <c r="H38" s="11">
        <v>24</v>
      </c>
      <c r="I38" s="11">
        <v>12</v>
      </c>
      <c r="M38" s="11">
        <v>12</v>
      </c>
      <c r="N38" s="11">
        <v>221</v>
      </c>
      <c r="O38" s="11">
        <v>222</v>
      </c>
      <c r="P38" s="11">
        <v>223</v>
      </c>
      <c r="Q38" s="11">
        <v>224</v>
      </c>
      <c r="R38" s="11">
        <v>225</v>
      </c>
      <c r="S38" s="11">
        <v>226</v>
      </c>
      <c r="T38" s="11">
        <v>227</v>
      </c>
      <c r="U38" s="11">
        <v>228</v>
      </c>
      <c r="V38" s="11">
        <v>229</v>
      </c>
      <c r="W38" s="11">
        <v>230</v>
      </c>
      <c r="X38" s="11">
        <v>231</v>
      </c>
      <c r="Y38" s="11">
        <v>232</v>
      </c>
      <c r="Z38" s="11">
        <v>233</v>
      </c>
      <c r="AA38" s="11">
        <v>234</v>
      </c>
      <c r="AB38" s="11">
        <v>235</v>
      </c>
      <c r="AC38" s="11">
        <v>236</v>
      </c>
      <c r="AD38" s="11">
        <v>237</v>
      </c>
      <c r="AE38" s="11">
        <v>238</v>
      </c>
      <c r="AF38" s="11">
        <v>239</v>
      </c>
      <c r="AG38" s="11">
        <v>240</v>
      </c>
      <c r="AH38" s="11">
        <v>12</v>
      </c>
      <c r="AJ38" s="11">
        <v>22</v>
      </c>
      <c r="AK38" s="11">
        <v>22</v>
      </c>
    </row>
    <row r="39">
      <c r="C39" s="11">
        <v>21</v>
      </c>
      <c r="D39" s="11">
        <v>21</v>
      </c>
      <c r="F39" s="11">
        <v>11</v>
      </c>
      <c r="G39" s="11">
        <v>21</v>
      </c>
      <c r="H39" s="11">
        <v>22</v>
      </c>
      <c r="I39" s="11">
        <v>11</v>
      </c>
      <c r="M39" s="11">
        <v>11</v>
      </c>
      <c r="N39" s="11">
        <v>201</v>
      </c>
      <c r="O39" s="11">
        <v>202</v>
      </c>
      <c r="P39" s="11">
        <v>203</v>
      </c>
      <c r="Q39" s="11">
        <v>204</v>
      </c>
      <c r="R39" s="11">
        <v>205</v>
      </c>
      <c r="S39" s="11">
        <v>206</v>
      </c>
      <c r="T39" s="11">
        <v>207</v>
      </c>
      <c r="U39" s="11">
        <v>208</v>
      </c>
      <c r="V39" s="11">
        <v>209</v>
      </c>
      <c r="W39" s="11">
        <v>210</v>
      </c>
      <c r="X39" s="11">
        <v>211</v>
      </c>
      <c r="Y39" s="11">
        <v>212</v>
      </c>
      <c r="Z39" s="11">
        <v>213</v>
      </c>
      <c r="AA39" s="11">
        <v>214</v>
      </c>
      <c r="AB39" s="11">
        <v>215</v>
      </c>
      <c r="AC39" s="11">
        <v>216</v>
      </c>
      <c r="AD39" s="11">
        <v>217</v>
      </c>
      <c r="AE39" s="11">
        <v>218</v>
      </c>
      <c r="AF39" s="11">
        <v>219</v>
      </c>
      <c r="AG39" s="11">
        <v>220</v>
      </c>
      <c r="AH39" s="11">
        <v>11</v>
      </c>
      <c r="AJ39" s="11">
        <v>21</v>
      </c>
      <c r="AK39" s="11">
        <v>21</v>
      </c>
    </row>
    <row r="40">
      <c r="C40" s="11">
        <v>2</v>
      </c>
      <c r="D40" s="11">
        <v>2</v>
      </c>
      <c r="F40" s="11">
        <v>2</v>
      </c>
      <c r="G40" s="11">
        <v>3</v>
      </c>
      <c r="H40" s="11">
        <v>4</v>
      </c>
      <c r="I40" s="11">
        <v>2</v>
      </c>
      <c r="M40" s="11">
        <v>2</v>
      </c>
      <c r="N40" s="11">
        <v>21</v>
      </c>
      <c r="O40" s="11">
        <v>22</v>
      </c>
      <c r="P40" s="11">
        <v>23</v>
      </c>
      <c r="Q40" s="11">
        <v>24</v>
      </c>
      <c r="R40" s="11">
        <v>25</v>
      </c>
      <c r="S40" s="11">
        <v>26</v>
      </c>
      <c r="T40" s="11">
        <v>27</v>
      </c>
      <c r="U40" s="11">
        <v>28</v>
      </c>
      <c r="V40" s="11">
        <v>29</v>
      </c>
      <c r="W40" s="11">
        <v>30</v>
      </c>
      <c r="X40" s="11">
        <v>31</v>
      </c>
      <c r="Y40" s="11">
        <v>32</v>
      </c>
      <c r="Z40" s="11">
        <v>33</v>
      </c>
      <c r="AA40" s="11">
        <v>34</v>
      </c>
      <c r="AB40" s="11">
        <v>35</v>
      </c>
      <c r="AC40" s="11">
        <v>36</v>
      </c>
      <c r="AD40" s="11">
        <v>37</v>
      </c>
      <c r="AE40" s="11">
        <v>38</v>
      </c>
      <c r="AF40" s="11">
        <v>39</v>
      </c>
      <c r="AG40" s="11">
        <v>40</v>
      </c>
      <c r="AH40" s="11">
        <v>2</v>
      </c>
      <c r="AJ40" s="11">
        <v>2</v>
      </c>
      <c r="AK40" s="11">
        <v>2</v>
      </c>
    </row>
    <row r="42">
      <c r="C42" s="11">
        <v>20</v>
      </c>
      <c r="D42" s="11">
        <v>20</v>
      </c>
      <c r="AJ42" s="11">
        <v>20</v>
      </c>
      <c r="AK42" s="11">
        <v>20</v>
      </c>
    </row>
    <row r="43">
      <c r="C43" s="11">
        <v>19</v>
      </c>
      <c r="D43" s="11">
        <v>19</v>
      </c>
      <c r="F43" s="11">
        <v>5</v>
      </c>
      <c r="G43" s="11">
        <v>9</v>
      </c>
      <c r="H43" s="11">
        <v>10</v>
      </c>
      <c r="I43" s="11">
        <v>5</v>
      </c>
      <c r="M43" s="11">
        <v>5</v>
      </c>
      <c r="N43" s="11">
        <v>81</v>
      </c>
      <c r="O43" s="11">
        <v>82</v>
      </c>
      <c r="P43" s="11">
        <v>83</v>
      </c>
      <c r="Q43" s="11">
        <v>84</v>
      </c>
      <c r="R43" s="11">
        <v>85</v>
      </c>
      <c r="S43" s="11">
        <v>86</v>
      </c>
      <c r="T43" s="11">
        <v>87</v>
      </c>
      <c r="U43" s="11">
        <v>88</v>
      </c>
      <c r="V43" s="11">
        <v>89</v>
      </c>
      <c r="W43" s="11">
        <v>90</v>
      </c>
      <c r="X43" s="11">
        <v>91</v>
      </c>
      <c r="Y43" s="11">
        <v>92</v>
      </c>
      <c r="Z43" s="11">
        <v>93</v>
      </c>
      <c r="AA43" s="11">
        <v>94</v>
      </c>
      <c r="AB43" s="11">
        <v>95</v>
      </c>
      <c r="AC43" s="11">
        <v>96</v>
      </c>
      <c r="AD43" s="11">
        <v>97</v>
      </c>
      <c r="AE43" s="11">
        <v>98</v>
      </c>
      <c r="AF43" s="11">
        <v>99</v>
      </c>
      <c r="AG43" s="11">
        <v>100</v>
      </c>
      <c r="AH43" s="11">
        <v>5</v>
      </c>
      <c r="AJ43" s="11">
        <v>19</v>
      </c>
      <c r="AK43" s="11">
        <v>19</v>
      </c>
    </row>
    <row r="44">
      <c r="C44" s="11">
        <v>18</v>
      </c>
      <c r="D44" s="11">
        <v>18</v>
      </c>
      <c r="F44" s="11">
        <v>10</v>
      </c>
      <c r="G44" s="11">
        <v>19</v>
      </c>
      <c r="H44" s="11">
        <v>20</v>
      </c>
      <c r="I44" s="11">
        <v>10</v>
      </c>
      <c r="M44" s="11">
        <v>10</v>
      </c>
      <c r="N44" s="11">
        <v>181</v>
      </c>
      <c r="O44" s="11">
        <v>182</v>
      </c>
      <c r="P44" s="11">
        <v>183</v>
      </c>
      <c r="Q44" s="11">
        <v>184</v>
      </c>
      <c r="R44" s="11">
        <v>185</v>
      </c>
      <c r="S44" s="11">
        <v>186</v>
      </c>
      <c r="T44" s="11">
        <v>187</v>
      </c>
      <c r="U44" s="11">
        <v>188</v>
      </c>
      <c r="V44" s="11">
        <v>189</v>
      </c>
      <c r="W44" s="11">
        <v>190</v>
      </c>
      <c r="X44" s="11">
        <v>191</v>
      </c>
      <c r="Y44" s="11">
        <v>192</v>
      </c>
      <c r="Z44" s="11">
        <v>193</v>
      </c>
      <c r="AA44" s="11">
        <v>194</v>
      </c>
      <c r="AB44" s="11">
        <v>195</v>
      </c>
      <c r="AC44" s="11">
        <v>196</v>
      </c>
      <c r="AD44" s="11">
        <v>197</v>
      </c>
      <c r="AE44" s="11">
        <v>198</v>
      </c>
      <c r="AF44" s="11">
        <v>199</v>
      </c>
      <c r="AG44" s="11">
        <v>200</v>
      </c>
      <c r="AH44" s="11">
        <v>10</v>
      </c>
      <c r="AJ44" s="11">
        <v>18</v>
      </c>
      <c r="AK44" s="11">
        <v>18</v>
      </c>
    </row>
    <row r="45">
      <c r="C45" s="11">
        <v>17</v>
      </c>
      <c r="D45" s="11">
        <v>17</v>
      </c>
      <c r="F45" s="11">
        <v>9</v>
      </c>
      <c r="G45" s="11">
        <v>17</v>
      </c>
      <c r="H45" s="11">
        <v>18</v>
      </c>
      <c r="I45" s="11">
        <v>9</v>
      </c>
      <c r="M45" s="11">
        <v>9</v>
      </c>
      <c r="N45" s="11">
        <v>161</v>
      </c>
      <c r="O45" s="11">
        <v>162</v>
      </c>
      <c r="P45" s="11">
        <v>163</v>
      </c>
      <c r="Q45" s="11">
        <v>164</v>
      </c>
      <c r="R45" s="11">
        <v>165</v>
      </c>
      <c r="S45" s="11">
        <v>166</v>
      </c>
      <c r="T45" s="11">
        <v>167</v>
      </c>
      <c r="U45" s="11">
        <v>168</v>
      </c>
      <c r="V45" s="11">
        <v>169</v>
      </c>
      <c r="W45" s="11">
        <v>170</v>
      </c>
      <c r="X45" s="11">
        <v>171</v>
      </c>
      <c r="Y45" s="11">
        <v>172</v>
      </c>
      <c r="Z45" s="11">
        <v>173</v>
      </c>
      <c r="AA45" s="11">
        <v>174</v>
      </c>
      <c r="AB45" s="11">
        <v>175</v>
      </c>
      <c r="AC45" s="11">
        <v>176</v>
      </c>
      <c r="AD45" s="11">
        <v>177</v>
      </c>
      <c r="AE45" s="11">
        <v>178</v>
      </c>
      <c r="AF45" s="11">
        <v>179</v>
      </c>
      <c r="AG45" s="11">
        <v>180</v>
      </c>
      <c r="AH45" s="11">
        <v>9</v>
      </c>
      <c r="AJ45" s="11">
        <v>17</v>
      </c>
      <c r="AK45" s="11">
        <v>17</v>
      </c>
    </row>
    <row r="46">
      <c r="C46" s="11">
        <v>1</v>
      </c>
      <c r="D46" s="11">
        <v>1</v>
      </c>
      <c r="F46" s="11">
        <v>1</v>
      </c>
      <c r="G46" s="11">
        <v>1</v>
      </c>
      <c r="H46" s="11">
        <v>2</v>
      </c>
      <c r="I46" s="11">
        <v>1</v>
      </c>
      <c r="M46" s="11">
        <v>1</v>
      </c>
      <c r="N46" s="11">
        <v>1</v>
      </c>
      <c r="O46" s="11">
        <v>2</v>
      </c>
      <c r="P46" s="11">
        <v>3</v>
      </c>
      <c r="Q46" s="11">
        <v>4</v>
      </c>
      <c r="R46" s="11">
        <v>5</v>
      </c>
      <c r="S46" s="11">
        <v>6</v>
      </c>
      <c r="T46" s="11">
        <v>7</v>
      </c>
      <c r="U46" s="11">
        <v>8</v>
      </c>
      <c r="V46" s="11">
        <v>9</v>
      </c>
      <c r="W46" s="11">
        <v>10</v>
      </c>
      <c r="X46" s="11">
        <v>11</v>
      </c>
      <c r="Y46" s="11">
        <v>12</v>
      </c>
      <c r="Z46" s="11">
        <v>13</v>
      </c>
      <c r="AA46" s="11">
        <v>14</v>
      </c>
      <c r="AB46" s="11">
        <v>15</v>
      </c>
      <c r="AC46" s="11">
        <v>16</v>
      </c>
      <c r="AD46" s="11">
        <v>17</v>
      </c>
      <c r="AE46" s="11">
        <v>18</v>
      </c>
      <c r="AF46" s="11">
        <v>19</v>
      </c>
      <c r="AG46" s="11">
        <v>20</v>
      </c>
      <c r="AH46" s="11">
        <v>1</v>
      </c>
      <c r="AJ46" s="11">
        <v>1</v>
      </c>
      <c r="AK46" s="11">
        <v>1</v>
      </c>
    </row>
    <row r="48">
      <c r="C48" s="11">
        <v>16</v>
      </c>
      <c r="D48" s="11">
        <v>16</v>
      </c>
      <c r="AJ48" s="11">
        <v>16</v>
      </c>
      <c r="AK48" s="11">
        <v>16</v>
      </c>
    </row>
    <row r="49">
      <c r="C49" s="11">
        <v>15</v>
      </c>
      <c r="D49" s="11">
        <v>15</v>
      </c>
      <c r="F49" s="11">
        <v>4</v>
      </c>
      <c r="G49" s="11">
        <v>7</v>
      </c>
      <c r="H49" s="11">
        <v>8</v>
      </c>
      <c r="I49" s="11">
        <v>4</v>
      </c>
      <c r="M49" s="11">
        <v>4</v>
      </c>
      <c r="N49" s="11">
        <v>61</v>
      </c>
      <c r="O49" s="11">
        <v>62</v>
      </c>
      <c r="P49" s="11">
        <v>63</v>
      </c>
      <c r="Q49" s="11">
        <v>64</v>
      </c>
      <c r="R49" s="11">
        <v>65</v>
      </c>
      <c r="S49" s="11">
        <v>66</v>
      </c>
      <c r="T49" s="11">
        <v>67</v>
      </c>
      <c r="U49" s="11">
        <v>68</v>
      </c>
      <c r="V49" s="11">
        <v>69</v>
      </c>
      <c r="W49" s="11">
        <v>70</v>
      </c>
      <c r="X49" s="11">
        <v>71</v>
      </c>
      <c r="Y49" s="11">
        <v>72</v>
      </c>
      <c r="Z49" s="11">
        <v>73</v>
      </c>
      <c r="AA49" s="11">
        <v>74</v>
      </c>
      <c r="AB49" s="11">
        <v>75</v>
      </c>
      <c r="AC49" s="11">
        <v>76</v>
      </c>
      <c r="AD49" s="11">
        <v>77</v>
      </c>
      <c r="AE49" s="11">
        <v>78</v>
      </c>
      <c r="AF49" s="11">
        <v>79</v>
      </c>
      <c r="AG49" s="11">
        <v>80</v>
      </c>
      <c r="AH49" s="11">
        <v>4</v>
      </c>
      <c r="AJ49" s="11">
        <v>15</v>
      </c>
      <c r="AK49" s="11">
        <v>15</v>
      </c>
    </row>
    <row r="50">
      <c r="C50" s="11">
        <v>14</v>
      </c>
      <c r="D50" s="11">
        <v>14</v>
      </c>
      <c r="F50" s="11">
        <v>8</v>
      </c>
      <c r="G50" s="11">
        <v>15</v>
      </c>
      <c r="H50" s="11">
        <v>16</v>
      </c>
      <c r="I50" s="11">
        <v>8</v>
      </c>
      <c r="M50" s="11">
        <v>8</v>
      </c>
      <c r="N50" s="11">
        <v>141</v>
      </c>
      <c r="O50" s="11">
        <v>142</v>
      </c>
      <c r="P50" s="11">
        <v>143</v>
      </c>
      <c r="Q50" s="11">
        <v>144</v>
      </c>
      <c r="R50" s="11">
        <v>145</v>
      </c>
      <c r="S50" s="11">
        <v>146</v>
      </c>
      <c r="T50" s="11">
        <v>147</v>
      </c>
      <c r="U50" s="11">
        <v>148</v>
      </c>
      <c r="V50" s="11">
        <v>149</v>
      </c>
      <c r="W50" s="11">
        <v>150</v>
      </c>
      <c r="X50" s="11">
        <v>151</v>
      </c>
      <c r="Y50" s="11">
        <v>152</v>
      </c>
      <c r="Z50" s="11">
        <v>153</v>
      </c>
      <c r="AA50" s="11">
        <v>154</v>
      </c>
      <c r="AB50" s="11">
        <v>155</v>
      </c>
      <c r="AC50" s="11">
        <v>156</v>
      </c>
      <c r="AD50" s="11">
        <v>157</v>
      </c>
      <c r="AE50" s="11">
        <v>158</v>
      </c>
      <c r="AF50" s="11">
        <v>159</v>
      </c>
      <c r="AG50" s="11">
        <v>160</v>
      </c>
      <c r="AH50" s="11">
        <v>8</v>
      </c>
      <c r="AJ50" s="11">
        <v>14</v>
      </c>
      <c r="AK50" s="11">
        <v>14</v>
      </c>
    </row>
    <row r="51">
      <c r="C51" s="11">
        <v>13</v>
      </c>
      <c r="D51" s="11">
        <v>13</v>
      </c>
      <c r="F51" s="11">
        <v>7</v>
      </c>
      <c r="G51" s="11">
        <v>13</v>
      </c>
      <c r="H51" s="11">
        <v>14</v>
      </c>
      <c r="I51" s="11">
        <v>7</v>
      </c>
      <c r="M51" s="11">
        <v>7</v>
      </c>
      <c r="N51" s="11">
        <v>121</v>
      </c>
      <c r="O51" s="11">
        <v>122</v>
      </c>
      <c r="P51" s="11">
        <v>123</v>
      </c>
      <c r="Q51" s="11">
        <v>124</v>
      </c>
      <c r="R51" s="11">
        <v>125</v>
      </c>
      <c r="S51" s="11">
        <v>126</v>
      </c>
      <c r="T51" s="11">
        <v>127</v>
      </c>
      <c r="U51" s="11">
        <v>128</v>
      </c>
      <c r="V51" s="11">
        <v>129</v>
      </c>
      <c r="W51" s="11">
        <v>130</v>
      </c>
      <c r="X51" s="11">
        <v>131</v>
      </c>
      <c r="Y51" s="11">
        <v>132</v>
      </c>
      <c r="Z51" s="11">
        <v>133</v>
      </c>
      <c r="AA51" s="11">
        <v>134</v>
      </c>
      <c r="AB51" s="11">
        <v>135</v>
      </c>
      <c r="AC51" s="11">
        <v>136</v>
      </c>
      <c r="AD51" s="11">
        <v>137</v>
      </c>
      <c r="AE51" s="11">
        <v>138</v>
      </c>
      <c r="AF51" s="11">
        <v>139</v>
      </c>
      <c r="AG51" s="11">
        <v>140</v>
      </c>
      <c r="AH51" s="11">
        <v>7</v>
      </c>
      <c r="AJ51" s="11">
        <v>13</v>
      </c>
      <c r="AK51" s="11">
        <v>13</v>
      </c>
    </row>
    <row r="52">
      <c r="C52" s="11">
        <v>2</v>
      </c>
      <c r="D52" s="11">
        <v>2</v>
      </c>
      <c r="F52" s="11">
        <v>2</v>
      </c>
      <c r="G52" s="11">
        <v>3</v>
      </c>
      <c r="H52" s="11">
        <v>4</v>
      </c>
      <c r="I52" s="11">
        <v>2</v>
      </c>
      <c r="M52" s="11">
        <v>2</v>
      </c>
      <c r="N52" s="11">
        <v>21</v>
      </c>
      <c r="O52" s="11">
        <v>22</v>
      </c>
      <c r="P52" s="11">
        <v>23</v>
      </c>
      <c r="Q52" s="11">
        <v>24</v>
      </c>
      <c r="R52" s="11">
        <v>25</v>
      </c>
      <c r="S52" s="11">
        <v>26</v>
      </c>
      <c r="T52" s="11">
        <v>27</v>
      </c>
      <c r="U52" s="11">
        <v>28</v>
      </c>
      <c r="V52" s="11">
        <v>29</v>
      </c>
      <c r="W52" s="11">
        <v>30</v>
      </c>
      <c r="X52" s="11">
        <v>31</v>
      </c>
      <c r="Y52" s="11">
        <v>32</v>
      </c>
      <c r="Z52" s="11">
        <v>33</v>
      </c>
      <c r="AA52" s="11">
        <v>34</v>
      </c>
      <c r="AB52" s="11">
        <v>35</v>
      </c>
      <c r="AC52" s="11">
        <v>36</v>
      </c>
      <c r="AD52" s="11">
        <v>37</v>
      </c>
      <c r="AE52" s="11">
        <v>38</v>
      </c>
      <c r="AF52" s="11">
        <v>39</v>
      </c>
      <c r="AG52" s="11">
        <v>40</v>
      </c>
      <c r="AH52" s="11">
        <v>2</v>
      </c>
      <c r="AJ52" s="11">
        <v>2</v>
      </c>
      <c r="AK52" s="11">
        <v>2</v>
      </c>
    </row>
    <row r="54">
      <c r="C54" s="11">
        <v>12</v>
      </c>
      <c r="D54" s="11">
        <v>12</v>
      </c>
      <c r="AJ54" s="11">
        <v>12</v>
      </c>
      <c r="AK54" s="11">
        <v>12</v>
      </c>
    </row>
    <row r="55">
      <c r="C55" s="11">
        <v>11</v>
      </c>
      <c r="D55" s="11">
        <v>11</v>
      </c>
      <c r="F55" s="11">
        <v>3</v>
      </c>
      <c r="G55" s="11">
        <v>5</v>
      </c>
      <c r="H55" s="11">
        <v>6</v>
      </c>
      <c r="I55" s="11">
        <v>3</v>
      </c>
      <c r="M55" s="11">
        <v>3</v>
      </c>
      <c r="N55" s="11">
        <v>41</v>
      </c>
      <c r="O55" s="11">
        <v>42</v>
      </c>
      <c r="P55" s="11">
        <v>43</v>
      </c>
      <c r="Q55" s="11">
        <v>44</v>
      </c>
      <c r="R55" s="11">
        <v>45</v>
      </c>
      <c r="S55" s="11">
        <v>46</v>
      </c>
      <c r="T55" s="11">
        <v>47</v>
      </c>
      <c r="U55" s="11">
        <v>48</v>
      </c>
      <c r="V55" s="11">
        <v>49</v>
      </c>
      <c r="W55" s="11">
        <v>50</v>
      </c>
      <c r="X55" s="11">
        <v>51</v>
      </c>
      <c r="Y55" s="11">
        <v>52</v>
      </c>
      <c r="Z55" s="11">
        <v>53</v>
      </c>
      <c r="AA55" s="11">
        <v>54</v>
      </c>
      <c r="AB55" s="11">
        <v>55</v>
      </c>
      <c r="AC55" s="11">
        <v>56</v>
      </c>
      <c r="AD55" s="11">
        <v>57</v>
      </c>
      <c r="AE55" s="11">
        <v>58</v>
      </c>
      <c r="AF55" s="11">
        <v>59</v>
      </c>
      <c r="AG55" s="11">
        <v>60</v>
      </c>
      <c r="AH55" s="11">
        <v>3</v>
      </c>
      <c r="AJ55" s="11">
        <v>11</v>
      </c>
      <c r="AK55" s="11">
        <v>11</v>
      </c>
    </row>
    <row r="56">
      <c r="C56" s="11">
        <v>10</v>
      </c>
      <c r="D56" s="11">
        <v>10</v>
      </c>
      <c r="F56" s="11">
        <v>6</v>
      </c>
      <c r="G56" s="11">
        <v>11</v>
      </c>
      <c r="H56" s="11">
        <v>12</v>
      </c>
      <c r="I56" s="11">
        <v>6</v>
      </c>
      <c r="M56" s="11">
        <v>6</v>
      </c>
      <c r="N56" s="11">
        <v>101</v>
      </c>
      <c r="O56" s="11">
        <v>102</v>
      </c>
      <c r="P56" s="11">
        <v>103</v>
      </c>
      <c r="Q56" s="11">
        <v>104</v>
      </c>
      <c r="R56" s="11">
        <v>105</v>
      </c>
      <c r="S56" s="11">
        <v>106</v>
      </c>
      <c r="T56" s="11">
        <v>107</v>
      </c>
      <c r="U56" s="11">
        <v>108</v>
      </c>
      <c r="V56" s="11">
        <v>109</v>
      </c>
      <c r="W56" s="11">
        <v>110</v>
      </c>
      <c r="X56" s="11">
        <v>111</v>
      </c>
      <c r="Y56" s="11">
        <v>112</v>
      </c>
      <c r="Z56" s="11">
        <v>113</v>
      </c>
      <c r="AA56" s="11">
        <v>114</v>
      </c>
      <c r="AB56" s="11">
        <v>115</v>
      </c>
      <c r="AC56" s="11">
        <v>116</v>
      </c>
      <c r="AD56" s="11">
        <v>117</v>
      </c>
      <c r="AE56" s="11">
        <v>118</v>
      </c>
      <c r="AF56" s="11">
        <v>119</v>
      </c>
      <c r="AG56" s="11">
        <v>120</v>
      </c>
      <c r="AH56" s="11">
        <v>6</v>
      </c>
      <c r="AJ56" s="11">
        <v>10</v>
      </c>
      <c r="AK56" s="11">
        <v>10</v>
      </c>
    </row>
    <row r="57">
      <c r="C57" s="11">
        <v>9</v>
      </c>
      <c r="D57" s="11">
        <v>9</v>
      </c>
      <c r="F57" s="11">
        <v>5</v>
      </c>
      <c r="G57" s="11">
        <v>9</v>
      </c>
      <c r="H57" s="11">
        <v>10</v>
      </c>
      <c r="I57" s="11">
        <v>5</v>
      </c>
      <c r="M57" s="11">
        <v>5</v>
      </c>
      <c r="N57" s="11">
        <v>81</v>
      </c>
      <c r="O57" s="11">
        <v>82</v>
      </c>
      <c r="P57" s="11">
        <v>83</v>
      </c>
      <c r="Q57" s="11">
        <v>84</v>
      </c>
      <c r="R57" s="11">
        <v>85</v>
      </c>
      <c r="S57" s="11">
        <v>86</v>
      </c>
      <c r="T57" s="11">
        <v>87</v>
      </c>
      <c r="U57" s="11">
        <v>88</v>
      </c>
      <c r="V57" s="11">
        <v>89</v>
      </c>
      <c r="W57" s="11">
        <v>90</v>
      </c>
      <c r="X57" s="11">
        <v>91</v>
      </c>
      <c r="Y57" s="11">
        <v>92</v>
      </c>
      <c r="Z57" s="11">
        <v>93</v>
      </c>
      <c r="AA57" s="11">
        <v>94</v>
      </c>
      <c r="AB57" s="11">
        <v>95</v>
      </c>
      <c r="AC57" s="11">
        <v>96</v>
      </c>
      <c r="AD57" s="11">
        <v>97</v>
      </c>
      <c r="AE57" s="11">
        <v>98</v>
      </c>
      <c r="AF57" s="11">
        <v>99</v>
      </c>
      <c r="AG57" s="11">
        <v>100</v>
      </c>
      <c r="AH57" s="11">
        <v>5</v>
      </c>
      <c r="AJ57" s="11">
        <v>9</v>
      </c>
      <c r="AK57" s="11">
        <v>9</v>
      </c>
    </row>
    <row r="58">
      <c r="C58" s="11">
        <v>1</v>
      </c>
      <c r="D58" s="11">
        <v>1</v>
      </c>
      <c r="F58" s="11">
        <v>1</v>
      </c>
      <c r="G58" s="11">
        <v>1</v>
      </c>
      <c r="H58" s="11">
        <v>2</v>
      </c>
      <c r="I58" s="11">
        <v>1</v>
      </c>
      <c r="M58" s="11">
        <v>1</v>
      </c>
      <c r="N58" s="11">
        <v>1</v>
      </c>
      <c r="O58" s="11">
        <v>2</v>
      </c>
      <c r="P58" s="11">
        <v>3</v>
      </c>
      <c r="Q58" s="11">
        <v>4</v>
      </c>
      <c r="R58" s="11">
        <v>5</v>
      </c>
      <c r="S58" s="11">
        <v>6</v>
      </c>
      <c r="T58" s="11">
        <v>7</v>
      </c>
      <c r="U58" s="11">
        <v>8</v>
      </c>
      <c r="V58" s="11">
        <v>9</v>
      </c>
      <c r="W58" s="11">
        <v>10</v>
      </c>
      <c r="X58" s="11">
        <v>11</v>
      </c>
      <c r="Y58" s="11">
        <v>12</v>
      </c>
      <c r="Z58" s="11">
        <v>13</v>
      </c>
      <c r="AA58" s="11">
        <v>14</v>
      </c>
      <c r="AB58" s="11">
        <v>15</v>
      </c>
      <c r="AC58" s="11">
        <v>16</v>
      </c>
      <c r="AD58" s="11">
        <v>17</v>
      </c>
      <c r="AE58" s="11">
        <v>18</v>
      </c>
      <c r="AF58" s="11">
        <v>19</v>
      </c>
      <c r="AG58" s="11">
        <v>20</v>
      </c>
      <c r="AH58" s="11">
        <v>1</v>
      </c>
      <c r="AJ58" s="11">
        <v>1</v>
      </c>
      <c r="AK58" s="11">
        <v>1</v>
      </c>
    </row>
    <row r="60">
      <c r="C60" s="11">
        <v>8</v>
      </c>
      <c r="D60" s="11">
        <v>8</v>
      </c>
      <c r="AJ60" s="11">
        <v>8</v>
      </c>
      <c r="AK60" s="11">
        <v>8</v>
      </c>
    </row>
    <row r="61">
      <c r="C61" s="11">
        <v>7</v>
      </c>
      <c r="D61" s="11">
        <v>7</v>
      </c>
      <c r="F61" s="11">
        <v>2</v>
      </c>
      <c r="G61" s="11">
        <v>3</v>
      </c>
      <c r="H61" s="11">
        <v>4</v>
      </c>
      <c r="I61" s="11">
        <v>2</v>
      </c>
      <c r="M61" s="11">
        <v>2</v>
      </c>
      <c r="N61" s="11">
        <v>21</v>
      </c>
      <c r="O61" s="11">
        <v>22</v>
      </c>
      <c r="P61" s="11">
        <v>23</v>
      </c>
      <c r="Q61" s="11">
        <v>24</v>
      </c>
      <c r="R61" s="11">
        <v>25</v>
      </c>
      <c r="S61" s="11">
        <v>26</v>
      </c>
      <c r="T61" s="11">
        <v>27</v>
      </c>
      <c r="U61" s="11">
        <v>28</v>
      </c>
      <c r="V61" s="11">
        <v>29</v>
      </c>
      <c r="W61" s="11">
        <v>30</v>
      </c>
      <c r="X61" s="11">
        <v>31</v>
      </c>
      <c r="Y61" s="11">
        <v>32</v>
      </c>
      <c r="Z61" s="11">
        <v>33</v>
      </c>
      <c r="AA61" s="11">
        <v>34</v>
      </c>
      <c r="AB61" s="11">
        <v>35</v>
      </c>
      <c r="AC61" s="11">
        <v>36</v>
      </c>
      <c r="AD61" s="11">
        <v>37</v>
      </c>
      <c r="AE61" s="11">
        <v>38</v>
      </c>
      <c r="AF61" s="11">
        <v>39</v>
      </c>
      <c r="AG61" s="11">
        <v>40</v>
      </c>
      <c r="AH61" s="11">
        <v>2</v>
      </c>
      <c r="AJ61" s="11">
        <v>7</v>
      </c>
      <c r="AK61" s="11">
        <v>7</v>
      </c>
    </row>
    <row r="62">
      <c r="C62" s="11">
        <v>6</v>
      </c>
      <c r="D62" s="11">
        <v>6</v>
      </c>
      <c r="F62" s="11">
        <v>4</v>
      </c>
      <c r="G62" s="11">
        <v>7</v>
      </c>
      <c r="H62" s="11">
        <v>8</v>
      </c>
      <c r="I62" s="11">
        <v>4</v>
      </c>
      <c r="M62" s="11">
        <v>4</v>
      </c>
      <c r="N62" s="11">
        <v>61</v>
      </c>
      <c r="O62" s="11">
        <v>62</v>
      </c>
      <c r="P62" s="11">
        <v>63</v>
      </c>
      <c r="Q62" s="11">
        <v>64</v>
      </c>
      <c r="R62" s="11">
        <v>65</v>
      </c>
      <c r="S62" s="11">
        <v>66</v>
      </c>
      <c r="T62" s="11">
        <v>67</v>
      </c>
      <c r="U62" s="11">
        <v>68</v>
      </c>
      <c r="V62" s="11">
        <v>69</v>
      </c>
      <c r="W62" s="11">
        <v>70</v>
      </c>
      <c r="X62" s="11">
        <v>71</v>
      </c>
      <c r="Y62" s="11">
        <v>72</v>
      </c>
      <c r="Z62" s="11">
        <v>73</v>
      </c>
      <c r="AA62" s="11">
        <v>74</v>
      </c>
      <c r="AB62" s="11">
        <v>75</v>
      </c>
      <c r="AC62" s="11">
        <v>76</v>
      </c>
      <c r="AD62" s="11">
        <v>77</v>
      </c>
      <c r="AE62" s="11">
        <v>78</v>
      </c>
      <c r="AF62" s="11">
        <v>79</v>
      </c>
      <c r="AG62" s="11">
        <v>80</v>
      </c>
      <c r="AH62" s="11">
        <v>4</v>
      </c>
      <c r="AJ62" s="11">
        <v>6</v>
      </c>
      <c r="AK62" s="11">
        <v>6</v>
      </c>
    </row>
    <row r="63">
      <c r="C63" s="11">
        <v>5</v>
      </c>
      <c r="D63" s="11">
        <v>5</v>
      </c>
      <c r="F63" s="11">
        <v>3</v>
      </c>
      <c r="G63" s="11">
        <v>5</v>
      </c>
      <c r="H63" s="11">
        <v>6</v>
      </c>
      <c r="I63" s="11">
        <v>3</v>
      </c>
      <c r="M63" s="11">
        <v>3</v>
      </c>
      <c r="N63" s="11">
        <v>41</v>
      </c>
      <c r="O63" s="11">
        <v>42</v>
      </c>
      <c r="P63" s="11">
        <v>43</v>
      </c>
      <c r="Q63" s="11">
        <v>44</v>
      </c>
      <c r="R63" s="11">
        <v>45</v>
      </c>
      <c r="S63" s="11">
        <v>46</v>
      </c>
      <c r="T63" s="11">
        <v>47</v>
      </c>
      <c r="U63" s="11">
        <v>48</v>
      </c>
      <c r="V63" s="11">
        <v>49</v>
      </c>
      <c r="W63" s="11">
        <v>50</v>
      </c>
      <c r="X63" s="11">
        <v>51</v>
      </c>
      <c r="Y63" s="11">
        <v>52</v>
      </c>
      <c r="Z63" s="11">
        <v>53</v>
      </c>
      <c r="AA63" s="11">
        <v>54</v>
      </c>
      <c r="AB63" s="11">
        <v>55</v>
      </c>
      <c r="AC63" s="11">
        <v>56</v>
      </c>
      <c r="AD63" s="11">
        <v>57</v>
      </c>
      <c r="AE63" s="11">
        <v>58</v>
      </c>
      <c r="AF63" s="11">
        <v>59</v>
      </c>
      <c r="AG63" s="11">
        <v>60</v>
      </c>
      <c r="AH63" s="11">
        <v>3</v>
      </c>
      <c r="AJ63" s="11">
        <v>5</v>
      </c>
      <c r="AK63" s="11">
        <v>5</v>
      </c>
    </row>
    <row r="64">
      <c r="C64" s="11">
        <v>1</v>
      </c>
      <c r="D64" s="11">
        <v>1</v>
      </c>
      <c r="F64" s="11">
        <v>1</v>
      </c>
      <c r="G64" s="11">
        <v>1</v>
      </c>
      <c r="H64" s="11">
        <v>2</v>
      </c>
      <c r="I64" s="11">
        <v>1</v>
      </c>
      <c r="M64" s="11">
        <v>1</v>
      </c>
      <c r="N64" s="11">
        <v>1</v>
      </c>
      <c r="O64" s="11">
        <v>2</v>
      </c>
      <c r="P64" s="11">
        <v>3</v>
      </c>
      <c r="Q64" s="11">
        <v>4</v>
      </c>
      <c r="R64" s="11">
        <v>5</v>
      </c>
      <c r="S64" s="11">
        <v>6</v>
      </c>
      <c r="T64" s="11">
        <v>7</v>
      </c>
      <c r="U64" s="11">
        <v>8</v>
      </c>
      <c r="V64" s="11">
        <v>9</v>
      </c>
      <c r="W64" s="11">
        <v>10</v>
      </c>
      <c r="X64" s="11">
        <v>11</v>
      </c>
      <c r="Y64" s="11">
        <v>12</v>
      </c>
      <c r="Z64" s="11">
        <v>13</v>
      </c>
      <c r="AA64" s="11">
        <v>14</v>
      </c>
      <c r="AB64" s="11">
        <v>15</v>
      </c>
      <c r="AC64" s="11">
        <v>16</v>
      </c>
      <c r="AD64" s="11">
        <v>17</v>
      </c>
      <c r="AE64" s="11">
        <v>18</v>
      </c>
      <c r="AF64" s="11">
        <v>19</v>
      </c>
      <c r="AG64" s="11">
        <v>20</v>
      </c>
      <c r="AH64" s="11">
        <v>1</v>
      </c>
      <c r="AJ64" s="11">
        <v>1</v>
      </c>
      <c r="AK64" s="11">
        <v>1</v>
      </c>
    </row>
    <row r="66">
      <c r="C66" s="11">
        <v>4</v>
      </c>
      <c r="D66" s="11">
        <v>4</v>
      </c>
      <c r="AJ66" s="11">
        <v>4</v>
      </c>
      <c r="AK66" s="11">
        <v>4</v>
      </c>
    </row>
    <row r="67">
      <c r="C67" s="11">
        <v>3</v>
      </c>
      <c r="D67" s="11">
        <v>3</v>
      </c>
      <c r="F67" s="11">
        <v>1</v>
      </c>
      <c r="G67" s="11">
        <v>1</v>
      </c>
      <c r="H67" s="11">
        <v>2</v>
      </c>
      <c r="I67" s="11">
        <v>1</v>
      </c>
      <c r="M67" s="11">
        <v>1</v>
      </c>
      <c r="N67" s="11">
        <v>1</v>
      </c>
      <c r="O67" s="11">
        <v>2</v>
      </c>
      <c r="P67" s="11">
        <v>3</v>
      </c>
      <c r="Q67" s="11">
        <v>4</v>
      </c>
      <c r="R67" s="11">
        <v>5</v>
      </c>
      <c r="S67" s="11">
        <v>6</v>
      </c>
      <c r="T67" s="11">
        <v>7</v>
      </c>
      <c r="U67" s="11">
        <v>8</v>
      </c>
      <c r="V67" s="11">
        <v>9</v>
      </c>
      <c r="W67" s="11">
        <v>10</v>
      </c>
      <c r="X67" s="11">
        <v>11</v>
      </c>
      <c r="Y67" s="11">
        <v>12</v>
      </c>
      <c r="Z67" s="11">
        <v>13</v>
      </c>
      <c r="AA67" s="11">
        <v>14</v>
      </c>
      <c r="AB67" s="11">
        <v>15</v>
      </c>
      <c r="AC67" s="11">
        <v>16</v>
      </c>
      <c r="AD67" s="11">
        <v>17</v>
      </c>
      <c r="AE67" s="11">
        <v>18</v>
      </c>
      <c r="AF67" s="11">
        <v>19</v>
      </c>
      <c r="AG67" s="11">
        <v>20</v>
      </c>
      <c r="AH67" s="11">
        <v>1</v>
      </c>
      <c r="AJ67" s="11">
        <v>3</v>
      </c>
      <c r="AK67" s="11">
        <v>3</v>
      </c>
    </row>
    <row r="68">
      <c r="C68" s="11">
        <v>2</v>
      </c>
      <c r="D68" s="11">
        <v>2</v>
      </c>
      <c r="F68" s="11">
        <v>2</v>
      </c>
      <c r="G68" s="11">
        <v>3</v>
      </c>
      <c r="H68" s="11">
        <v>4</v>
      </c>
      <c r="I68" s="11">
        <v>2</v>
      </c>
      <c r="M68" s="11">
        <v>2</v>
      </c>
      <c r="N68" s="11">
        <v>21</v>
      </c>
      <c r="O68" s="11">
        <v>22</v>
      </c>
      <c r="P68" s="11">
        <v>23</v>
      </c>
      <c r="Q68" s="11">
        <v>24</v>
      </c>
      <c r="R68" s="11">
        <v>25</v>
      </c>
      <c r="S68" s="11">
        <v>26</v>
      </c>
      <c r="T68" s="11">
        <v>27</v>
      </c>
      <c r="U68" s="11">
        <v>28</v>
      </c>
      <c r="V68" s="11">
        <v>29</v>
      </c>
      <c r="W68" s="11">
        <v>30</v>
      </c>
      <c r="X68" s="11">
        <v>31</v>
      </c>
      <c r="Y68" s="11">
        <v>32</v>
      </c>
      <c r="Z68" s="11">
        <v>33</v>
      </c>
      <c r="AA68" s="11">
        <v>34</v>
      </c>
      <c r="AB68" s="11">
        <v>35</v>
      </c>
      <c r="AC68" s="11">
        <v>36</v>
      </c>
      <c r="AD68" s="11">
        <v>37</v>
      </c>
      <c r="AE68" s="11">
        <v>38</v>
      </c>
      <c r="AF68" s="11">
        <v>39</v>
      </c>
      <c r="AG68" s="11">
        <v>40</v>
      </c>
      <c r="AH68" s="11">
        <v>2</v>
      </c>
      <c r="AJ68" s="11">
        <v>2</v>
      </c>
      <c r="AK68" s="11">
        <v>2</v>
      </c>
    </row>
    <row r="69">
      <c r="C69" s="11">
        <v>1</v>
      </c>
      <c r="D69" s="11">
        <v>1</v>
      </c>
      <c r="F69" s="11">
        <v>1</v>
      </c>
      <c r="G69" s="11">
        <v>1</v>
      </c>
      <c r="H69" s="11">
        <v>2</v>
      </c>
      <c r="I69" s="11">
        <v>1</v>
      </c>
      <c r="M69" s="11">
        <v>1</v>
      </c>
      <c r="N69" s="11">
        <v>1</v>
      </c>
      <c r="O69" s="11">
        <v>2</v>
      </c>
      <c r="P69" s="11">
        <v>3</v>
      </c>
      <c r="Q69" s="11">
        <v>4</v>
      </c>
      <c r="R69" s="11">
        <v>5</v>
      </c>
      <c r="S69" s="11">
        <v>6</v>
      </c>
      <c r="T69" s="11">
        <v>7</v>
      </c>
      <c r="U69" s="11">
        <v>8</v>
      </c>
      <c r="V69" s="11">
        <v>9</v>
      </c>
      <c r="W69" s="11">
        <v>10</v>
      </c>
      <c r="X69" s="11">
        <v>11</v>
      </c>
      <c r="Y69" s="11">
        <v>12</v>
      </c>
      <c r="Z69" s="11">
        <v>13</v>
      </c>
      <c r="AA69" s="11">
        <v>14</v>
      </c>
      <c r="AB69" s="11">
        <v>15</v>
      </c>
      <c r="AC69" s="11">
        <v>16</v>
      </c>
      <c r="AD69" s="11">
        <v>17</v>
      </c>
      <c r="AE69" s="11">
        <v>18</v>
      </c>
      <c r="AF69" s="11">
        <v>19</v>
      </c>
      <c r="AG69" s="11">
        <v>20</v>
      </c>
      <c r="AH69" s="11">
        <v>1</v>
      </c>
      <c r="AJ69" s="11">
        <v>1</v>
      </c>
      <c r="AK69" s="11">
        <v>1</v>
      </c>
    </row>
  </sheetData>
  <ignoredErrors>
    <ignoredError numberStoredAsText="1" sqref="A1:AN7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ODC-300</vt:lpstr>
      <vt:lpstr>PAINEL FACHADA</vt:lpstr>
      <vt:lpstr>RECEBIMENTOS</vt:lpstr>
      <vt:lpstr>AUX-POS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