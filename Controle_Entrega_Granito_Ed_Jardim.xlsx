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DC-300" sheetId="1" r:id="rId1"/>
    <sheet name="RECEBIMEN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0.0"/>
    <numFmt numFmtId="166" formatCode="0.0000"/>
    <numFmt numFmtId="167" formatCode="#,##0.0"/>
  </numFmts>
  <fonts count="21" x14ac:knownFonts="1">
    <font>
      <sz val="11"/>
      <name val="Calibri"/>
    </font>
    <font>
      <sz val="11"/>
      <name val="Calibri"/>
    </font>
    <font>
      <sz val="14"/>
      <name val="Aptos Narrow"/>
      <b/>
      <color rgb="FFFFFF"/>
    </font>
    <font>
      <sz val="10"/>
      <name val="Aptos Narrow"/>
    </font>
    <font>
      <sz val="11"/>
      <name val="Aptos Narrow"/>
      <b/>
      <color rgb="FFFFFF"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</font>
    <font>
      <sz val="10"/>
      <name val="Aptos Narrow"/>
    </font>
    <font>
      <sz val="10"/>
      <name val="Aptos Narrow"/>
      <b/>
    </font>
    <font>
      <sz val="10"/>
      <name val="Aptos Narrow"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32623"/>
        <bgColor/>
      </patternFill>
    </fill>
    <fill>
      <patternFill patternType="solid">
        <fgColor rgb="FF232623"/>
        <bgColor/>
      </patternFill>
    </fill>
    <fill>
      <patternFill patternType="solid">
        <fgColor rgb="FF595959"/>
        <bgColor/>
      </patternFill>
    </fill>
    <fill>
      <patternFill patternType="solid">
        <fgColor rgb="FF595959"/>
        <bgColor/>
      </patternFill>
    </fill>
    <fill>
      <patternFill patternType="solid">
        <fgColor rgb="FFA6A6A6"/>
        <bgColor/>
      </patternFill>
    </fill>
    <fill>
      <patternFill patternType="solid">
        <fgColor rgb="FFD6E4DD"/>
        <bgColor/>
      </patternFill>
    </fill>
    <fill>
      <patternFill patternType="solid">
        <fgColor rgb="FFD6E4DD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A6A6A6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0" borderId="4" xfId="0" applyFont="1" applyBorder="1" applyAlignment="1">
      <alignment horizontal="center" vertical="center"/>
    </xf>
    <xf numFmtId="165" fontId="9" fillId="0" borderId="5" xfId="0" applyFont="1" applyBorder="1" applyNumberForma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4" fontId="12" fillId="0" borderId="8" xfId="0" applyFont="1" applyBorder="1" applyNumberFormat="1" applyAlignment="1">
      <alignment horizontal="center" vertical="center"/>
    </xf>
    <xf numFmtId="166" fontId="13" fillId="0" borderId="9" xfId="0" applyFont="1" applyBorder="1" applyNumberFormat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4" fontId="15" fillId="10" borderId="11" xfId="0" applyFont="1" applyFill="1" applyBorder="1" applyNumberFormat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4" fontId="17" fillId="0" borderId="13" xfId="0" applyFont="1" applyBorder="1" applyNumberFormat="1" applyAlignment="1">
      <alignment horizontal="center" vertical="center"/>
    </xf>
    <xf numFmtId="167" fontId="18" fillId="0" borderId="14" xfId="0" applyFont="1" applyBorder="1" applyNumberFormat="1" applyAlignment="1">
      <alignment horizontal="center" vertical="center"/>
    </xf>
    <xf numFmtId="0" fontId="19" fillId="11" borderId="1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showGridLines="0" workbookViewId="0"/>
  </sheetViews>
  <cols>
    <col min="1" max="1" width="10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2.83203125" customWidth="1"/>
  </cols>
  <sheetData>
    <row r="1" ht="22" customHeight="1">
      <c r="A1" s="3" t="str">
        <v>CONTROLE DE ENTREGA · ODC-300 · SETOR C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18" customHeight="1">
      <c r="A2" s="5" t="str">
        <v>ED. JARDIM · Fachada Posterior (4º ao 14º Pavimento) · desenho GM-895-FAC-003-R00 · Granito Cinza Santa Rosa - 0,02 - Jateado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</row>
    <row r="3"/>
    <row r="4" ht="30" customHeight="1">
      <c r="A4" s="7" t="str">
        <v>PLACA</v>
      </c>
      <c r="B4" s="7" t="str">
        <v>CORTE B (cm)</v>
      </c>
      <c r="C4" s="7" t="str">
        <v>CORTE A (cm)</v>
      </c>
      <c r="D4" s="7" t="str">
        <v>EIXO B (cm)</v>
      </c>
      <c r="E4" s="7" t="str">
        <v>EIXO A (cm)</v>
      </c>
      <c r="F4" s="7" t="str">
        <v>PESO/PLACA (kg)</v>
      </c>
      <c r="G4" s="7" t="str">
        <v>PEDIDO</v>
      </c>
      <c r="H4" s="7" t="str">
        <v>RECEBIDO</v>
      </c>
      <c r="I4" s="7" t="str">
        <v>AVARIADAS</v>
      </c>
      <c r="J4" s="8" t="str">
        <v>SALDO</v>
      </c>
      <c r="K4" s="7" t="str">
        <v>m² PEDIDO</v>
      </c>
      <c r="L4" s="7" t="str">
        <v>m² POR PLACA</v>
      </c>
      <c r="M4" s="7" t="str">
        <v>SITUAÇÃO</v>
      </c>
    </row>
    <row r="5">
      <c r="A5" s="9" t="str">
        <v>C1</v>
      </c>
      <c r="B5" s="10">
        <v>101.8</v>
      </c>
      <c r="C5" s="10">
        <v>73</v>
      </c>
      <c r="D5" s="10">
        <v>102.3</v>
      </c>
      <c r="E5" s="10">
        <v>73.5</v>
      </c>
      <c r="F5" s="10">
        <v>45.114</v>
      </c>
      <c r="G5" s="11">
        <v>44</v>
      </c>
      <c r="H5" s="11">
        <f>SUMIF(RECEBIMENTOS!$C$5:$C$5000,A5,RECEBIMENTOS!$D$5:$D$5000)</f>
      </c>
      <c r="I5" s="11">
        <f>SUMIF(RECEBIMENTOS!$C$5:$C$5000,A5,RECEBIMENTOS!$E$5:$E$5000)</f>
      </c>
      <c r="J5" s="12">
        <f>MAX(0,G5-H5)</f>
      </c>
      <c r="K5" s="13">
        <f>G5*L5</f>
      </c>
      <c r="L5" s="14">
        <f>B5*C5/10000</f>
      </c>
      <c r="M5" s="11">
        <f>IF(H5&gt;=G5,"Completa",IF(H5&gt;0,"Parcial","Pendente"))</f>
      </c>
    </row>
    <row r="6">
      <c r="A6" s="9" t="str">
        <v>C2</v>
      </c>
      <c r="B6" s="10">
        <v>101.8</v>
      </c>
      <c r="C6" s="10">
        <v>73</v>
      </c>
      <c r="D6" s="10">
        <v>102.3</v>
      </c>
      <c r="E6" s="10">
        <v>73.5</v>
      </c>
      <c r="F6" s="10">
        <v>45.114</v>
      </c>
      <c r="G6" s="11">
        <v>44</v>
      </c>
      <c r="H6" s="11">
        <f>SUMIF(RECEBIMENTOS!$C$5:$C$5000,A6,RECEBIMENTOS!$D$5:$D$5000)</f>
      </c>
      <c r="I6" s="11">
        <f>SUMIF(RECEBIMENTOS!$C$5:$C$5000,A6,RECEBIMENTOS!$E$5:$E$5000)</f>
      </c>
      <c r="J6" s="12">
        <f>MAX(0,G6-H6)</f>
      </c>
      <c r="K6" s="13">
        <f>G6*L6</f>
      </c>
      <c r="L6" s="14">
        <f>B6*C6/10000</f>
      </c>
      <c r="M6" s="11">
        <f>IF(H6&gt;=G6,"Completa",IF(H6&gt;0,"Parcial","Pendente"))</f>
      </c>
    </row>
    <row r="7">
      <c r="A7" s="9" t="str">
        <v>C3</v>
      </c>
      <c r="B7" s="10">
        <v>91</v>
      </c>
      <c r="C7" s="10">
        <v>73</v>
      </c>
      <c r="D7" s="10">
        <v>91.5</v>
      </c>
      <c r="E7" s="10">
        <v>73.5</v>
      </c>
      <c r="F7" s="10">
        <v>40.351</v>
      </c>
      <c r="G7" s="11">
        <v>22</v>
      </c>
      <c r="H7" s="11">
        <f>SUMIF(RECEBIMENTOS!$C$5:$C$5000,A7,RECEBIMENTOS!$D$5:$D$5000)</f>
      </c>
      <c r="I7" s="11">
        <f>SUMIF(RECEBIMENTOS!$C$5:$C$5000,A7,RECEBIMENTOS!$E$5:$E$5000)</f>
      </c>
      <c r="J7" s="12">
        <f>MAX(0,G7-H7)</f>
      </c>
      <c r="K7" s="13">
        <f>G7*L7</f>
      </c>
      <c r="L7" s="14">
        <f>B7*C7/10000</f>
      </c>
      <c r="M7" s="11">
        <f>IF(H7&gt;=G7,"Completa",IF(H7&gt;0,"Parcial","Pendente"))</f>
      </c>
    </row>
    <row r="8">
      <c r="A8" s="9" t="str">
        <v>C4</v>
      </c>
      <c r="B8" s="10">
        <v>91</v>
      </c>
      <c r="C8" s="10">
        <v>73</v>
      </c>
      <c r="D8" s="10">
        <v>91.5</v>
      </c>
      <c r="E8" s="10">
        <v>73.5</v>
      </c>
      <c r="F8" s="10">
        <v>40.351</v>
      </c>
      <c r="G8" s="11">
        <v>44</v>
      </c>
      <c r="H8" s="11">
        <f>SUMIF(RECEBIMENTOS!$C$5:$C$5000,A8,RECEBIMENTOS!$D$5:$D$5000)</f>
      </c>
      <c r="I8" s="11">
        <f>SUMIF(RECEBIMENTOS!$C$5:$C$5000,A8,RECEBIMENTOS!$E$5:$E$5000)</f>
      </c>
      <c r="J8" s="12">
        <f>MAX(0,G8-H8)</f>
      </c>
      <c r="K8" s="13">
        <f>G8*L8</f>
      </c>
      <c r="L8" s="14">
        <f>B8*C8/10000</f>
      </c>
      <c r="M8" s="11">
        <f>IF(H8&gt;=G8,"Completa",IF(H8&gt;0,"Parcial","Pendente"))</f>
      </c>
    </row>
    <row r="9">
      <c r="A9" s="9" t="str">
        <v>C5</v>
      </c>
      <c r="B9" s="10">
        <v>91</v>
      </c>
      <c r="C9" s="10">
        <v>73</v>
      </c>
      <c r="D9" s="10">
        <v>91.5</v>
      </c>
      <c r="E9" s="10">
        <v>73.5</v>
      </c>
      <c r="F9" s="10">
        <v>40.351</v>
      </c>
      <c r="G9" s="11">
        <v>22</v>
      </c>
      <c r="H9" s="11">
        <f>SUMIF(RECEBIMENTOS!$C$5:$C$5000,A9,RECEBIMENTOS!$D$5:$D$5000)</f>
      </c>
      <c r="I9" s="11">
        <f>SUMIF(RECEBIMENTOS!$C$5:$C$5000,A9,RECEBIMENTOS!$E$5:$E$5000)</f>
      </c>
      <c r="J9" s="12">
        <f>MAX(0,G9-H9)</f>
      </c>
      <c r="K9" s="13">
        <f>G9*L9</f>
      </c>
      <c r="L9" s="14">
        <f>B9*C9/10000</f>
      </c>
      <c r="M9" s="11">
        <f>IF(H9&gt;=G9,"Completa",IF(H9&gt;0,"Parcial","Pendente"))</f>
      </c>
    </row>
    <row r="10">
      <c r="A10" s="9" t="str">
        <v>C6</v>
      </c>
      <c r="B10" s="10">
        <v>102.6</v>
      </c>
      <c r="C10" s="10">
        <v>73</v>
      </c>
      <c r="D10" s="10">
        <v>103.1</v>
      </c>
      <c r="E10" s="10">
        <v>73.5</v>
      </c>
      <c r="F10" s="10">
        <v>45.467</v>
      </c>
      <c r="G10" s="11">
        <v>22</v>
      </c>
      <c r="H10" s="11">
        <f>SUMIF(RECEBIMENTOS!$C$5:$C$5000,A10,RECEBIMENTOS!$D$5:$D$5000)</f>
      </c>
      <c r="I10" s="11">
        <f>SUMIF(RECEBIMENTOS!$C$5:$C$5000,A10,RECEBIMENTOS!$E$5:$E$5000)</f>
      </c>
      <c r="J10" s="12">
        <f>MAX(0,G10-H10)</f>
      </c>
      <c r="K10" s="13">
        <f>G10*L10</f>
      </c>
      <c r="L10" s="14">
        <f>B10*C10/10000</f>
      </c>
      <c r="M10" s="11">
        <f>IF(H10&gt;=G10,"Completa",IF(H10&gt;0,"Parcial","Pendente"))</f>
      </c>
    </row>
    <row r="11">
      <c r="A11" s="9" t="str">
        <v>C7</v>
      </c>
      <c r="B11" s="10">
        <v>102.6</v>
      </c>
      <c r="C11" s="10">
        <v>73</v>
      </c>
      <c r="D11" s="10">
        <v>103.1</v>
      </c>
      <c r="E11" s="10">
        <v>73.5</v>
      </c>
      <c r="F11" s="10">
        <v>45.467</v>
      </c>
      <c r="G11" s="11">
        <v>440</v>
      </c>
      <c r="H11" s="11">
        <f>SUMIF(RECEBIMENTOS!$C$5:$C$5000,A11,RECEBIMENTOS!$D$5:$D$5000)</f>
      </c>
      <c r="I11" s="11">
        <f>SUMIF(RECEBIMENTOS!$C$5:$C$5000,A11,RECEBIMENTOS!$E$5:$E$5000)</f>
      </c>
      <c r="J11" s="12">
        <f>MAX(0,G11-H11)</f>
      </c>
      <c r="K11" s="13">
        <f>G11*L11</f>
      </c>
      <c r="L11" s="14">
        <f>B11*C11/10000</f>
      </c>
      <c r="M11" s="11">
        <f>IF(H11&gt;=G11,"Completa",IF(H11&gt;0,"Parcial","Pendente"))</f>
      </c>
    </row>
    <row r="12">
      <c r="A12" s="9" t="str">
        <v>C8</v>
      </c>
      <c r="B12" s="10">
        <v>102.6</v>
      </c>
      <c r="C12" s="10">
        <v>73</v>
      </c>
      <c r="D12" s="10">
        <v>103.1</v>
      </c>
      <c r="E12" s="10">
        <v>73.5</v>
      </c>
      <c r="F12" s="10">
        <v>45.467</v>
      </c>
      <c r="G12" s="11">
        <v>22</v>
      </c>
      <c r="H12" s="11">
        <f>SUMIF(RECEBIMENTOS!$C$5:$C$5000,A12,RECEBIMENTOS!$D$5:$D$5000)</f>
      </c>
      <c r="I12" s="11">
        <f>SUMIF(RECEBIMENTOS!$C$5:$C$5000,A12,RECEBIMENTOS!$E$5:$E$5000)</f>
      </c>
      <c r="J12" s="12">
        <f>MAX(0,G12-H12)</f>
      </c>
      <c r="K12" s="13">
        <f>G12*L12</f>
      </c>
      <c r="L12" s="14">
        <f>B12*C12/10000</f>
      </c>
      <c r="M12" s="11">
        <f>IF(H12&gt;=G12,"Completa",IF(H12&gt;0,"Parcial","Pendente"))</f>
      </c>
    </row>
    <row r="13">
      <c r="A13" s="9" t="str">
        <v>C9</v>
      </c>
      <c r="B13" s="10">
        <v>106.5</v>
      </c>
      <c r="C13" s="10">
        <v>73</v>
      </c>
      <c r="D13" s="10">
        <v>107</v>
      </c>
      <c r="E13" s="10">
        <v>73.5</v>
      </c>
      <c r="F13" s="10">
        <v>47.187</v>
      </c>
      <c r="G13" s="11">
        <v>44</v>
      </c>
      <c r="H13" s="11">
        <f>SUMIF(RECEBIMENTOS!$C$5:$C$5000,A13,RECEBIMENTOS!$D$5:$D$5000)</f>
      </c>
      <c r="I13" s="11">
        <f>SUMIF(RECEBIMENTOS!$C$5:$C$5000,A13,RECEBIMENTOS!$E$5:$E$5000)</f>
      </c>
      <c r="J13" s="12">
        <f>MAX(0,G13-H13)</f>
      </c>
      <c r="K13" s="13">
        <f>G13*L13</f>
      </c>
      <c r="L13" s="14">
        <f>B13*C13/10000</f>
      </c>
      <c r="M13" s="11">
        <f>IF(H13&gt;=G13,"Completa",IF(H13&gt;0,"Parcial","Pendente"))</f>
      </c>
    </row>
    <row r="14">
      <c r="A14" s="9" t="str">
        <v>C10</v>
      </c>
      <c r="B14" s="10">
        <v>106.5</v>
      </c>
      <c r="C14" s="10">
        <v>73</v>
      </c>
      <c r="D14" s="10">
        <v>107</v>
      </c>
      <c r="E14" s="10">
        <v>73.5</v>
      </c>
      <c r="F14" s="10">
        <v>47.187</v>
      </c>
      <c r="G14" s="11">
        <v>44</v>
      </c>
      <c r="H14" s="11">
        <f>SUMIF(RECEBIMENTOS!$C$5:$C$5000,A14,RECEBIMENTOS!$D$5:$D$5000)</f>
      </c>
      <c r="I14" s="11">
        <f>SUMIF(RECEBIMENTOS!$C$5:$C$5000,A14,RECEBIMENTOS!$E$5:$E$5000)</f>
      </c>
      <c r="J14" s="12">
        <f>MAX(0,G14-H14)</f>
      </c>
      <c r="K14" s="13">
        <f>G14*L14</f>
      </c>
      <c r="L14" s="14">
        <f>B14*C14/10000</f>
      </c>
      <c r="M14" s="11">
        <f>IF(H14&gt;=G14,"Completa",IF(H14&gt;0,"Parcial","Pendente"))</f>
      </c>
    </row>
    <row r="15">
      <c r="A15" s="9" t="str">
        <v>C11</v>
      </c>
      <c r="B15" s="10">
        <v>91</v>
      </c>
      <c r="C15" s="10">
        <v>92.5</v>
      </c>
      <c r="D15" s="10">
        <v>91.5</v>
      </c>
      <c r="E15" s="10">
        <v>93</v>
      </c>
      <c r="F15" s="10">
        <v>51.057</v>
      </c>
      <c r="G15" s="11">
        <v>11</v>
      </c>
      <c r="H15" s="11">
        <f>SUMIF(RECEBIMENTOS!$C$5:$C$5000,A15,RECEBIMENTOS!$D$5:$D$5000)</f>
      </c>
      <c r="I15" s="11">
        <f>SUMIF(RECEBIMENTOS!$C$5:$C$5000,A15,RECEBIMENTOS!$E$5:$E$5000)</f>
      </c>
      <c r="J15" s="12">
        <f>MAX(0,G15-H15)</f>
      </c>
      <c r="K15" s="13">
        <f>G15*L15</f>
      </c>
      <c r="L15" s="14">
        <f>B15*C15/10000</f>
      </c>
      <c r="M15" s="11">
        <f>IF(H15&gt;=G15,"Completa",IF(H15&gt;0,"Parcial","Pendente"))</f>
      </c>
    </row>
    <row r="16">
      <c r="A16" s="9" t="str">
        <v>C12</v>
      </c>
      <c r="B16" s="10">
        <v>91</v>
      </c>
      <c r="C16" s="10">
        <v>92.5</v>
      </c>
      <c r="D16" s="10">
        <v>91.5</v>
      </c>
      <c r="E16" s="10">
        <v>93</v>
      </c>
      <c r="F16" s="10">
        <v>51.057</v>
      </c>
      <c r="G16" s="11">
        <v>22</v>
      </c>
      <c r="H16" s="11">
        <f>SUMIF(RECEBIMENTOS!$C$5:$C$5000,A16,RECEBIMENTOS!$D$5:$D$5000)</f>
      </c>
      <c r="I16" s="11">
        <f>SUMIF(RECEBIMENTOS!$C$5:$C$5000,A16,RECEBIMENTOS!$E$5:$E$5000)</f>
      </c>
      <c r="J16" s="12">
        <f>MAX(0,G16-H16)</f>
      </c>
      <c r="K16" s="13">
        <f>G16*L16</f>
      </c>
      <c r="L16" s="14">
        <f>B16*C16/10000</f>
      </c>
      <c r="M16" s="11">
        <f>IF(H16&gt;=G16,"Completa",IF(H16&gt;0,"Parcial","Pendente"))</f>
      </c>
    </row>
    <row r="17">
      <c r="A17" s="9" t="str">
        <v>C13</v>
      </c>
      <c r="B17" s="10">
        <v>91</v>
      </c>
      <c r="C17" s="10">
        <v>92.5</v>
      </c>
      <c r="D17" s="10">
        <v>91.5</v>
      </c>
      <c r="E17" s="10">
        <v>93</v>
      </c>
      <c r="F17" s="10">
        <v>51.057</v>
      </c>
      <c r="G17" s="11">
        <v>11</v>
      </c>
      <c r="H17" s="11">
        <f>SUMIF(RECEBIMENTOS!$C$5:$C$5000,A17,RECEBIMENTOS!$D$5:$D$5000)</f>
      </c>
      <c r="I17" s="11">
        <f>SUMIF(RECEBIMENTOS!$C$5:$C$5000,A17,RECEBIMENTOS!$E$5:$E$5000)</f>
      </c>
      <c r="J17" s="12">
        <f>MAX(0,G17-H17)</f>
      </c>
      <c r="K17" s="13">
        <f>G17*L17</f>
      </c>
      <c r="L17" s="14">
        <f>B17*C17/10000</f>
      </c>
      <c r="M17" s="11">
        <f>IF(H17&gt;=G17,"Completa",IF(H17&gt;0,"Parcial","Pendente"))</f>
      </c>
    </row>
    <row r="18">
      <c r="A18" s="9" t="str">
        <v>C14</v>
      </c>
      <c r="B18" s="10">
        <v>102.6</v>
      </c>
      <c r="C18" s="10">
        <v>92.5</v>
      </c>
      <c r="D18" s="10">
        <v>103.1</v>
      </c>
      <c r="E18" s="10">
        <v>93</v>
      </c>
      <c r="F18" s="10">
        <v>57.53</v>
      </c>
      <c r="G18" s="11">
        <v>11</v>
      </c>
      <c r="H18" s="11">
        <f>SUMIF(RECEBIMENTOS!$C$5:$C$5000,A18,RECEBIMENTOS!$D$5:$D$5000)</f>
      </c>
      <c r="I18" s="11">
        <f>SUMIF(RECEBIMENTOS!$C$5:$C$5000,A18,RECEBIMENTOS!$E$5:$E$5000)</f>
      </c>
      <c r="J18" s="12">
        <f>MAX(0,G18-H18)</f>
      </c>
      <c r="K18" s="13">
        <f>G18*L18</f>
      </c>
      <c r="L18" s="14">
        <f>B18*C18/10000</f>
      </c>
      <c r="M18" s="11">
        <f>IF(H18&gt;=G18,"Completa",IF(H18&gt;0,"Parcial","Pendente"))</f>
      </c>
    </row>
    <row r="19">
      <c r="A19" s="9" t="str">
        <v>C15</v>
      </c>
      <c r="B19" s="10">
        <v>102.6</v>
      </c>
      <c r="C19" s="10">
        <v>92.5</v>
      </c>
      <c r="D19" s="10">
        <v>103.1</v>
      </c>
      <c r="E19" s="10">
        <v>93</v>
      </c>
      <c r="F19" s="10">
        <v>57.53</v>
      </c>
      <c r="G19" s="11">
        <v>220</v>
      </c>
      <c r="H19" s="11">
        <f>SUMIF(RECEBIMENTOS!$C$5:$C$5000,A19,RECEBIMENTOS!$D$5:$D$5000)</f>
      </c>
      <c r="I19" s="11">
        <f>SUMIF(RECEBIMENTOS!$C$5:$C$5000,A19,RECEBIMENTOS!$E$5:$E$5000)</f>
      </c>
      <c r="J19" s="12">
        <f>MAX(0,G19-H19)</f>
      </c>
      <c r="K19" s="13">
        <f>G19*L19</f>
      </c>
      <c r="L19" s="14">
        <f>B19*C19/10000</f>
      </c>
      <c r="M19" s="11">
        <f>IF(H19&gt;=G19,"Completa",IF(H19&gt;0,"Parcial","Pendente"))</f>
      </c>
    </row>
    <row r="20">
      <c r="A20" s="9" t="str">
        <v>C16</v>
      </c>
      <c r="B20" s="10">
        <v>102.6</v>
      </c>
      <c r="C20" s="10">
        <v>92.5</v>
      </c>
      <c r="D20" s="10">
        <v>103.1</v>
      </c>
      <c r="E20" s="10">
        <v>93</v>
      </c>
      <c r="F20" s="10">
        <v>57.53</v>
      </c>
      <c r="G20" s="11">
        <v>11</v>
      </c>
      <c r="H20" s="11">
        <f>SUMIF(RECEBIMENTOS!$C$5:$C$5000,A20,RECEBIMENTOS!$D$5:$D$5000)</f>
      </c>
      <c r="I20" s="11">
        <f>SUMIF(RECEBIMENTOS!$C$5:$C$5000,A20,RECEBIMENTOS!$E$5:$E$5000)</f>
      </c>
      <c r="J20" s="12">
        <f>MAX(0,G20-H20)</f>
      </c>
      <c r="K20" s="13">
        <f>G20*L20</f>
      </c>
      <c r="L20" s="14">
        <f>B20*C20/10000</f>
      </c>
      <c r="M20" s="11">
        <f>IF(H20&gt;=G20,"Completa",IF(H20&gt;0,"Parcial","Pendente"))</f>
      </c>
    </row>
    <row r="21">
      <c r="A21" s="9" t="str">
        <v>C17</v>
      </c>
      <c r="B21" s="10">
        <v>101.8</v>
      </c>
      <c r="C21" s="10">
        <v>73.5</v>
      </c>
      <c r="D21" s="10">
        <v>102.3</v>
      </c>
      <c r="E21" s="10">
        <v>74</v>
      </c>
      <c r="F21" s="10">
        <v>45.421</v>
      </c>
      <c r="G21" s="11">
        <v>2</v>
      </c>
      <c r="H21" s="11">
        <f>SUMIF(RECEBIMENTOS!$C$5:$C$5000,A21,RECEBIMENTOS!$D$5:$D$5000)</f>
      </c>
      <c r="I21" s="11">
        <f>SUMIF(RECEBIMENTOS!$C$5:$C$5000,A21,RECEBIMENTOS!$E$5:$E$5000)</f>
      </c>
      <c r="J21" s="12">
        <f>MAX(0,G21-H21)</f>
      </c>
      <c r="K21" s="13">
        <f>G21*L21</f>
      </c>
      <c r="L21" s="14">
        <f>B21*C21/10000</f>
      </c>
      <c r="M21" s="11">
        <f>IF(H21&gt;=G21,"Completa",IF(H21&gt;0,"Parcial","Pendente"))</f>
      </c>
    </row>
    <row r="22">
      <c r="A22" s="9" t="str">
        <v>C18</v>
      </c>
      <c r="B22" s="10">
        <v>101.8</v>
      </c>
      <c r="C22" s="10">
        <v>73.5</v>
      </c>
      <c r="D22" s="10">
        <v>102.3</v>
      </c>
      <c r="E22" s="10">
        <v>74</v>
      </c>
      <c r="F22" s="10">
        <v>45.421</v>
      </c>
      <c r="G22" s="11">
        <v>2</v>
      </c>
      <c r="H22" s="11">
        <f>SUMIF(RECEBIMENTOS!$C$5:$C$5000,A22,RECEBIMENTOS!$D$5:$D$5000)</f>
      </c>
      <c r="I22" s="11">
        <f>SUMIF(RECEBIMENTOS!$C$5:$C$5000,A22,RECEBIMENTOS!$E$5:$E$5000)</f>
      </c>
      <c r="J22" s="12">
        <f>MAX(0,G22-H22)</f>
      </c>
      <c r="K22" s="13">
        <f>G22*L22</f>
      </c>
      <c r="L22" s="14">
        <f>B22*C22/10000</f>
      </c>
      <c r="M22" s="11">
        <f>IF(H22&gt;=G22,"Completa",IF(H22&gt;0,"Parcial","Pendente"))</f>
      </c>
    </row>
    <row r="23">
      <c r="A23" s="9" t="str">
        <v>C19</v>
      </c>
      <c r="B23" s="10">
        <v>91</v>
      </c>
      <c r="C23" s="10">
        <v>73.5</v>
      </c>
      <c r="D23" s="10">
        <v>91.5</v>
      </c>
      <c r="E23" s="10">
        <v>74</v>
      </c>
      <c r="F23" s="10">
        <v>40.626</v>
      </c>
      <c r="G23" s="11">
        <v>2</v>
      </c>
      <c r="H23" s="11">
        <f>SUMIF(RECEBIMENTOS!$C$5:$C$5000,A23,RECEBIMENTOS!$D$5:$D$5000)</f>
      </c>
      <c r="I23" s="11">
        <f>SUMIF(RECEBIMENTOS!$C$5:$C$5000,A23,RECEBIMENTOS!$E$5:$E$5000)</f>
      </c>
      <c r="J23" s="12">
        <f>MAX(0,G23-H23)</f>
      </c>
      <c r="K23" s="13">
        <f>G23*L23</f>
      </c>
      <c r="L23" s="14">
        <f>B23*C23/10000</f>
      </c>
      <c r="M23" s="11">
        <f>IF(H23&gt;=G23,"Completa",IF(H23&gt;0,"Parcial","Pendente"))</f>
      </c>
    </row>
    <row r="24">
      <c r="A24" s="9" t="str">
        <v>C20</v>
      </c>
      <c r="B24" s="10">
        <v>91</v>
      </c>
      <c r="C24" s="10">
        <v>73.5</v>
      </c>
      <c r="D24" s="10">
        <v>91.5</v>
      </c>
      <c r="E24" s="10">
        <v>74</v>
      </c>
      <c r="F24" s="10">
        <v>40.626</v>
      </c>
      <c r="G24" s="11">
        <v>4</v>
      </c>
      <c r="H24" s="11">
        <f>SUMIF(RECEBIMENTOS!$C$5:$C$5000,A24,RECEBIMENTOS!$D$5:$D$5000)</f>
      </c>
      <c r="I24" s="11">
        <f>SUMIF(RECEBIMENTOS!$C$5:$C$5000,A24,RECEBIMENTOS!$E$5:$E$5000)</f>
      </c>
      <c r="J24" s="12">
        <f>MAX(0,G24-H24)</f>
      </c>
      <c r="K24" s="13">
        <f>G24*L24</f>
      </c>
      <c r="L24" s="14">
        <f>B24*C24/10000</f>
      </c>
      <c r="M24" s="11">
        <f>IF(H24&gt;=G24,"Completa",IF(H24&gt;0,"Parcial","Pendente"))</f>
      </c>
    </row>
    <row r="25">
      <c r="A25" s="9" t="str">
        <v>C21</v>
      </c>
      <c r="B25" s="10">
        <v>91</v>
      </c>
      <c r="C25" s="10">
        <v>73.5</v>
      </c>
      <c r="D25" s="10">
        <v>91.5</v>
      </c>
      <c r="E25" s="10">
        <v>74</v>
      </c>
      <c r="F25" s="10">
        <v>40.626</v>
      </c>
      <c r="G25" s="11">
        <v>2</v>
      </c>
      <c r="H25" s="11">
        <f>SUMIF(RECEBIMENTOS!$C$5:$C$5000,A25,RECEBIMENTOS!$D$5:$D$5000)</f>
      </c>
      <c r="I25" s="11">
        <f>SUMIF(RECEBIMENTOS!$C$5:$C$5000,A25,RECEBIMENTOS!$E$5:$E$5000)</f>
      </c>
      <c r="J25" s="12">
        <f>MAX(0,G25-H25)</f>
      </c>
      <c r="K25" s="13">
        <f>G25*L25</f>
      </c>
      <c r="L25" s="14">
        <f>B25*C25/10000</f>
      </c>
      <c r="M25" s="11">
        <f>IF(H25&gt;=G25,"Completa",IF(H25&gt;0,"Parcial","Pendente"))</f>
      </c>
    </row>
    <row r="26">
      <c r="A26" s="9" t="str">
        <v>C22</v>
      </c>
      <c r="B26" s="10">
        <v>102.6</v>
      </c>
      <c r="C26" s="10">
        <v>73.5</v>
      </c>
      <c r="D26" s="10">
        <v>103.1</v>
      </c>
      <c r="E26" s="10">
        <v>74</v>
      </c>
      <c r="F26" s="10">
        <v>45.776</v>
      </c>
      <c r="G26" s="11">
        <v>2</v>
      </c>
      <c r="H26" s="11">
        <f>SUMIF(RECEBIMENTOS!$C$5:$C$5000,A26,RECEBIMENTOS!$D$5:$D$5000)</f>
      </c>
      <c r="I26" s="11">
        <f>SUMIF(RECEBIMENTOS!$C$5:$C$5000,A26,RECEBIMENTOS!$E$5:$E$5000)</f>
      </c>
      <c r="J26" s="12">
        <f>MAX(0,G26-H26)</f>
      </c>
      <c r="K26" s="13">
        <f>G26*L26</f>
      </c>
      <c r="L26" s="14">
        <f>B26*C26/10000</f>
      </c>
      <c r="M26" s="11">
        <f>IF(H26&gt;=G26,"Completa",IF(H26&gt;0,"Parcial","Pendente"))</f>
      </c>
    </row>
    <row r="27">
      <c r="A27" s="9" t="str">
        <v>C23</v>
      </c>
      <c r="B27" s="10">
        <v>102.6</v>
      </c>
      <c r="C27" s="10">
        <v>73.5</v>
      </c>
      <c r="D27" s="10">
        <v>103.1</v>
      </c>
      <c r="E27" s="10">
        <v>74</v>
      </c>
      <c r="F27" s="10">
        <v>45.776</v>
      </c>
      <c r="G27" s="11">
        <v>40</v>
      </c>
      <c r="H27" s="11">
        <f>SUMIF(RECEBIMENTOS!$C$5:$C$5000,A27,RECEBIMENTOS!$D$5:$D$5000)</f>
      </c>
      <c r="I27" s="11">
        <f>SUMIF(RECEBIMENTOS!$C$5:$C$5000,A27,RECEBIMENTOS!$E$5:$E$5000)</f>
      </c>
      <c r="J27" s="12">
        <f>MAX(0,G27-H27)</f>
      </c>
      <c r="K27" s="13">
        <f>G27*L27</f>
      </c>
      <c r="L27" s="14">
        <f>B27*C27/10000</f>
      </c>
      <c r="M27" s="11">
        <f>IF(H27&gt;=G27,"Completa",IF(H27&gt;0,"Parcial","Pendente"))</f>
      </c>
    </row>
    <row r="28">
      <c r="A28" s="9" t="str">
        <v>C24</v>
      </c>
      <c r="B28" s="10">
        <v>102.6</v>
      </c>
      <c r="C28" s="10">
        <v>73.5</v>
      </c>
      <c r="D28" s="10">
        <v>103.1</v>
      </c>
      <c r="E28" s="10">
        <v>74</v>
      </c>
      <c r="F28" s="10">
        <v>45.776</v>
      </c>
      <c r="G28" s="11">
        <v>2</v>
      </c>
      <c r="H28" s="11">
        <f>SUMIF(RECEBIMENTOS!$C$5:$C$5000,A28,RECEBIMENTOS!$D$5:$D$5000)</f>
      </c>
      <c r="I28" s="11">
        <f>SUMIF(RECEBIMENTOS!$C$5:$C$5000,A28,RECEBIMENTOS!$E$5:$E$5000)</f>
      </c>
      <c r="J28" s="12">
        <f>MAX(0,G28-H28)</f>
      </c>
      <c r="K28" s="13">
        <f>G28*L28</f>
      </c>
      <c r="L28" s="14">
        <f>B28*C28/10000</f>
      </c>
      <c r="M28" s="11">
        <f>IF(H28&gt;=G28,"Completa",IF(H28&gt;0,"Parcial","Pendente"))</f>
      </c>
    </row>
    <row r="29">
      <c r="A29" s="9" t="str">
        <v>C25</v>
      </c>
      <c r="B29" s="10">
        <v>106.5</v>
      </c>
      <c r="C29" s="10">
        <v>73.5</v>
      </c>
      <c r="D29" s="10">
        <v>107</v>
      </c>
      <c r="E29" s="10">
        <v>74</v>
      </c>
      <c r="F29" s="10">
        <v>47.508</v>
      </c>
      <c r="G29" s="11">
        <v>2</v>
      </c>
      <c r="H29" s="11">
        <f>SUMIF(RECEBIMENTOS!$C$5:$C$5000,A29,RECEBIMENTOS!$D$5:$D$5000)</f>
      </c>
      <c r="I29" s="11">
        <f>SUMIF(RECEBIMENTOS!$C$5:$C$5000,A29,RECEBIMENTOS!$E$5:$E$5000)</f>
      </c>
      <c r="J29" s="12">
        <f>MAX(0,G29-H29)</f>
      </c>
      <c r="K29" s="13">
        <f>G29*L29</f>
      </c>
      <c r="L29" s="14">
        <f>B29*C29/10000</f>
      </c>
      <c r="M29" s="11">
        <f>IF(H29&gt;=G29,"Completa",IF(H29&gt;0,"Parcial","Pendente"))</f>
      </c>
    </row>
    <row r="30">
      <c r="A30" s="9" t="str">
        <v>C26</v>
      </c>
      <c r="B30" s="10">
        <v>106.5</v>
      </c>
      <c r="C30" s="10">
        <v>73.5</v>
      </c>
      <c r="D30" s="10">
        <v>107</v>
      </c>
      <c r="E30" s="10">
        <v>74</v>
      </c>
      <c r="F30" s="10">
        <v>47.508</v>
      </c>
      <c r="G30" s="11">
        <v>2</v>
      </c>
      <c r="H30" s="11">
        <f>SUMIF(RECEBIMENTOS!$C$5:$C$5000,A30,RECEBIMENTOS!$D$5:$D$5000)</f>
      </c>
      <c r="I30" s="11">
        <f>SUMIF(RECEBIMENTOS!$C$5:$C$5000,A30,RECEBIMENTOS!$E$5:$E$5000)</f>
      </c>
      <c r="J30" s="12">
        <f>MAX(0,G30-H30)</f>
      </c>
      <c r="K30" s="13">
        <f>G30*L30</f>
      </c>
      <c r="L30" s="14">
        <f>B30*C30/10000</f>
      </c>
      <c r="M30" s="11">
        <f>IF(H30&gt;=G30,"Completa",IF(H30&gt;0,"Parcial","Pendente"))</f>
      </c>
    </row>
    <row r="31">
      <c r="A31" s="9" t="str">
        <v>C27</v>
      </c>
      <c r="B31" s="10">
        <v>101.8</v>
      </c>
      <c r="C31" s="10">
        <v>74</v>
      </c>
      <c r="D31" s="10">
        <v>102.3</v>
      </c>
      <c r="E31" s="10">
        <v>74.5</v>
      </c>
      <c r="F31" s="10">
        <v>45.728</v>
      </c>
      <c r="G31" s="11">
        <v>3</v>
      </c>
      <c r="H31" s="11">
        <f>SUMIF(RECEBIMENTOS!$C$5:$C$5000,A31,RECEBIMENTOS!$D$5:$D$5000)</f>
      </c>
      <c r="I31" s="11">
        <f>SUMIF(RECEBIMENTOS!$C$5:$C$5000,A31,RECEBIMENTOS!$E$5:$E$5000)</f>
      </c>
      <c r="J31" s="12">
        <f>MAX(0,G31-H31)</f>
      </c>
      <c r="K31" s="13">
        <f>G31*L31</f>
      </c>
      <c r="L31" s="14">
        <f>B31*C31/10000</f>
      </c>
      <c r="M31" s="11">
        <f>IF(H31&gt;=G31,"Completa",IF(H31&gt;0,"Parcial","Pendente"))</f>
      </c>
    </row>
    <row r="32">
      <c r="A32" s="9" t="str">
        <v>C28</v>
      </c>
      <c r="B32" s="10">
        <v>101.8</v>
      </c>
      <c r="C32" s="10">
        <v>74</v>
      </c>
      <c r="D32" s="10">
        <v>102.3</v>
      </c>
      <c r="E32" s="10">
        <v>74.5</v>
      </c>
      <c r="F32" s="10">
        <v>45.728</v>
      </c>
      <c r="G32" s="11">
        <v>3</v>
      </c>
      <c r="H32" s="11">
        <f>SUMIF(RECEBIMENTOS!$C$5:$C$5000,A32,RECEBIMENTOS!$D$5:$D$5000)</f>
      </c>
      <c r="I32" s="11">
        <f>SUMIF(RECEBIMENTOS!$C$5:$C$5000,A32,RECEBIMENTOS!$E$5:$E$5000)</f>
      </c>
      <c r="J32" s="12">
        <f>MAX(0,G32-H32)</f>
      </c>
      <c r="K32" s="13">
        <f>G32*L32</f>
      </c>
      <c r="L32" s="14">
        <f>B32*C32/10000</f>
      </c>
      <c r="M32" s="11">
        <f>IF(H32&gt;=G32,"Completa",IF(H32&gt;0,"Parcial","Pendente"))</f>
      </c>
    </row>
    <row r="33">
      <c r="A33" s="9" t="str">
        <v>C29</v>
      </c>
      <c r="B33" s="10">
        <v>91</v>
      </c>
      <c r="C33" s="10">
        <v>74</v>
      </c>
      <c r="D33" s="10">
        <v>91.5</v>
      </c>
      <c r="E33" s="10">
        <v>74.5</v>
      </c>
      <c r="F33" s="10">
        <v>40.901</v>
      </c>
      <c r="G33" s="11">
        <v>3</v>
      </c>
      <c r="H33" s="11">
        <f>SUMIF(RECEBIMENTOS!$C$5:$C$5000,A33,RECEBIMENTOS!$D$5:$D$5000)</f>
      </c>
      <c r="I33" s="11">
        <f>SUMIF(RECEBIMENTOS!$C$5:$C$5000,A33,RECEBIMENTOS!$E$5:$E$5000)</f>
      </c>
      <c r="J33" s="12">
        <f>MAX(0,G33-H33)</f>
      </c>
      <c r="K33" s="13">
        <f>G33*L33</f>
      </c>
      <c r="L33" s="14">
        <f>B33*C33/10000</f>
      </c>
      <c r="M33" s="11">
        <f>IF(H33&gt;=G33,"Completa",IF(H33&gt;0,"Parcial","Pendente"))</f>
      </c>
    </row>
    <row r="34">
      <c r="A34" s="9" t="str">
        <v>C30</v>
      </c>
      <c r="B34" s="10">
        <v>91</v>
      </c>
      <c r="C34" s="10">
        <v>74</v>
      </c>
      <c r="D34" s="10">
        <v>91.5</v>
      </c>
      <c r="E34" s="10">
        <v>74.5</v>
      </c>
      <c r="F34" s="10">
        <v>40.901</v>
      </c>
      <c r="G34" s="11">
        <v>6</v>
      </c>
      <c r="H34" s="11">
        <f>SUMIF(RECEBIMENTOS!$C$5:$C$5000,A34,RECEBIMENTOS!$D$5:$D$5000)</f>
      </c>
      <c r="I34" s="11">
        <f>SUMIF(RECEBIMENTOS!$C$5:$C$5000,A34,RECEBIMENTOS!$E$5:$E$5000)</f>
      </c>
      <c r="J34" s="12">
        <f>MAX(0,G34-H34)</f>
      </c>
      <c r="K34" s="13">
        <f>G34*L34</f>
      </c>
      <c r="L34" s="14">
        <f>B34*C34/10000</f>
      </c>
      <c r="M34" s="11">
        <f>IF(H34&gt;=G34,"Completa",IF(H34&gt;0,"Parcial","Pendente"))</f>
      </c>
    </row>
    <row r="35">
      <c r="A35" s="9" t="str">
        <v>C31</v>
      </c>
      <c r="B35" s="10">
        <v>91</v>
      </c>
      <c r="C35" s="10">
        <v>74</v>
      </c>
      <c r="D35" s="10">
        <v>91.5</v>
      </c>
      <c r="E35" s="10">
        <v>74.5</v>
      </c>
      <c r="F35" s="10">
        <v>40.901</v>
      </c>
      <c r="G35" s="11">
        <v>3</v>
      </c>
      <c r="H35" s="11">
        <f>SUMIF(RECEBIMENTOS!$C$5:$C$5000,A35,RECEBIMENTOS!$D$5:$D$5000)</f>
      </c>
      <c r="I35" s="11">
        <f>SUMIF(RECEBIMENTOS!$C$5:$C$5000,A35,RECEBIMENTOS!$E$5:$E$5000)</f>
      </c>
      <c r="J35" s="12">
        <f>MAX(0,G35-H35)</f>
      </c>
      <c r="K35" s="13">
        <f>G35*L35</f>
      </c>
      <c r="L35" s="14">
        <f>B35*C35/10000</f>
      </c>
      <c r="M35" s="11">
        <f>IF(H35&gt;=G35,"Completa",IF(H35&gt;0,"Parcial","Pendente"))</f>
      </c>
    </row>
    <row r="36">
      <c r="A36" s="9" t="str">
        <v>C32</v>
      </c>
      <c r="B36" s="10">
        <v>102.6</v>
      </c>
      <c r="C36" s="10">
        <v>74</v>
      </c>
      <c r="D36" s="10">
        <v>103.1</v>
      </c>
      <c r="E36" s="10">
        <v>74.5</v>
      </c>
      <c r="F36" s="10">
        <v>46.086</v>
      </c>
      <c r="G36" s="11">
        <v>3</v>
      </c>
      <c r="H36" s="11">
        <f>SUMIF(RECEBIMENTOS!$C$5:$C$5000,A36,RECEBIMENTOS!$D$5:$D$5000)</f>
      </c>
      <c r="I36" s="11">
        <f>SUMIF(RECEBIMENTOS!$C$5:$C$5000,A36,RECEBIMENTOS!$E$5:$E$5000)</f>
      </c>
      <c r="J36" s="12">
        <f>MAX(0,G36-H36)</f>
      </c>
      <c r="K36" s="13">
        <f>G36*L36</f>
      </c>
      <c r="L36" s="14">
        <f>B36*C36/10000</f>
      </c>
      <c r="M36" s="11">
        <f>IF(H36&gt;=G36,"Completa",IF(H36&gt;0,"Parcial","Pendente"))</f>
      </c>
    </row>
    <row r="37">
      <c r="A37" s="9" t="str">
        <v>C33</v>
      </c>
      <c r="B37" s="10">
        <v>102.6</v>
      </c>
      <c r="C37" s="10">
        <v>74</v>
      </c>
      <c r="D37" s="10">
        <v>103.1</v>
      </c>
      <c r="E37" s="10">
        <v>74.5</v>
      </c>
      <c r="F37" s="10">
        <v>46.086</v>
      </c>
      <c r="G37" s="11">
        <v>60</v>
      </c>
      <c r="H37" s="11">
        <f>SUMIF(RECEBIMENTOS!$C$5:$C$5000,A37,RECEBIMENTOS!$D$5:$D$5000)</f>
      </c>
      <c r="I37" s="11">
        <f>SUMIF(RECEBIMENTOS!$C$5:$C$5000,A37,RECEBIMENTOS!$E$5:$E$5000)</f>
      </c>
      <c r="J37" s="12">
        <f>MAX(0,G37-H37)</f>
      </c>
      <c r="K37" s="13">
        <f>G37*L37</f>
      </c>
      <c r="L37" s="14">
        <f>B37*C37/10000</f>
      </c>
      <c r="M37" s="11">
        <f>IF(H37&gt;=G37,"Completa",IF(H37&gt;0,"Parcial","Pendente"))</f>
      </c>
    </row>
    <row r="38">
      <c r="A38" s="9" t="str">
        <v>C34</v>
      </c>
      <c r="B38" s="10">
        <v>102.6</v>
      </c>
      <c r="C38" s="10">
        <v>74</v>
      </c>
      <c r="D38" s="10">
        <v>103.1</v>
      </c>
      <c r="E38" s="10">
        <v>74.5</v>
      </c>
      <c r="F38" s="10">
        <v>46.086</v>
      </c>
      <c r="G38" s="11">
        <v>3</v>
      </c>
      <c r="H38" s="11">
        <f>SUMIF(RECEBIMENTOS!$C$5:$C$5000,A38,RECEBIMENTOS!$D$5:$D$5000)</f>
      </c>
      <c r="I38" s="11">
        <f>SUMIF(RECEBIMENTOS!$C$5:$C$5000,A38,RECEBIMENTOS!$E$5:$E$5000)</f>
      </c>
      <c r="J38" s="12">
        <f>MAX(0,G38-H38)</f>
      </c>
      <c r="K38" s="13">
        <f>G38*L38</f>
      </c>
      <c r="L38" s="14">
        <f>B38*C38/10000</f>
      </c>
      <c r="M38" s="11">
        <f>IF(H38&gt;=G38,"Completa",IF(H38&gt;0,"Parcial","Pendente"))</f>
      </c>
    </row>
    <row r="39">
      <c r="A39" s="9" t="str">
        <v>C35</v>
      </c>
      <c r="B39" s="10">
        <v>106.5</v>
      </c>
      <c r="C39" s="10">
        <v>74</v>
      </c>
      <c r="D39" s="10">
        <v>107</v>
      </c>
      <c r="E39" s="10">
        <v>74.5</v>
      </c>
      <c r="F39" s="10">
        <v>47.829</v>
      </c>
      <c r="G39" s="11">
        <v>3</v>
      </c>
      <c r="H39" s="11">
        <f>SUMIF(RECEBIMENTOS!$C$5:$C$5000,A39,RECEBIMENTOS!$D$5:$D$5000)</f>
      </c>
      <c r="I39" s="11">
        <f>SUMIF(RECEBIMENTOS!$C$5:$C$5000,A39,RECEBIMENTOS!$E$5:$E$5000)</f>
      </c>
      <c r="J39" s="12">
        <f>MAX(0,G39-H39)</f>
      </c>
      <c r="K39" s="13">
        <f>G39*L39</f>
      </c>
      <c r="L39" s="14">
        <f>B39*C39/10000</f>
      </c>
      <c r="M39" s="11">
        <f>IF(H39&gt;=G39,"Completa",IF(H39&gt;0,"Parcial","Pendente"))</f>
      </c>
    </row>
    <row r="40">
      <c r="A40" s="9" t="str">
        <v>C36</v>
      </c>
      <c r="B40" s="10">
        <v>106.5</v>
      </c>
      <c r="C40" s="10">
        <v>74</v>
      </c>
      <c r="D40" s="10">
        <v>107</v>
      </c>
      <c r="E40" s="10">
        <v>74.5</v>
      </c>
      <c r="F40" s="10">
        <v>47.829</v>
      </c>
      <c r="G40" s="11">
        <v>3</v>
      </c>
      <c r="H40" s="11">
        <f>SUMIF(RECEBIMENTOS!$C$5:$C$5000,A40,RECEBIMENTOS!$D$5:$D$5000)</f>
      </c>
      <c r="I40" s="11">
        <f>SUMIF(RECEBIMENTOS!$C$5:$C$5000,A40,RECEBIMENTOS!$E$5:$E$5000)</f>
      </c>
      <c r="J40" s="12">
        <f>MAX(0,G40-H40)</f>
      </c>
      <c r="K40" s="13">
        <f>G40*L40</f>
      </c>
      <c r="L40" s="14">
        <f>B40*C40/10000</f>
      </c>
      <c r="M40" s="11">
        <f>IF(H40&gt;=G40,"Completa",IF(H40&gt;0,"Parcial","Pendente"))</f>
      </c>
    </row>
    <row r="41">
      <c r="A41" s="9" t="str">
        <v>C37</v>
      </c>
      <c r="B41" s="10">
        <v>101.8</v>
      </c>
      <c r="C41" s="10">
        <v>72.5</v>
      </c>
      <c r="D41" s="10">
        <v>102.3</v>
      </c>
      <c r="E41" s="10">
        <v>73</v>
      </c>
      <c r="F41" s="10">
        <v>44.807</v>
      </c>
      <c r="G41" s="11">
        <v>1</v>
      </c>
      <c r="H41" s="11">
        <f>SUMIF(RECEBIMENTOS!$C$5:$C$5000,A41,RECEBIMENTOS!$D$5:$D$5000)</f>
      </c>
      <c r="I41" s="11">
        <f>SUMIF(RECEBIMENTOS!$C$5:$C$5000,A41,RECEBIMENTOS!$E$5:$E$5000)</f>
      </c>
      <c r="J41" s="12">
        <f>MAX(0,G41-H41)</f>
      </c>
      <c r="K41" s="13">
        <f>G41*L41</f>
      </c>
      <c r="L41" s="14">
        <f>B41*C41/10000</f>
      </c>
      <c r="M41" s="11">
        <f>IF(H41&gt;=G41,"Completa",IF(H41&gt;0,"Parcial","Pendente"))</f>
      </c>
    </row>
    <row r="42">
      <c r="A42" s="9" t="str">
        <v>C38</v>
      </c>
      <c r="B42" s="10">
        <v>101.8</v>
      </c>
      <c r="C42" s="10">
        <v>72.5</v>
      </c>
      <c r="D42" s="10">
        <v>102.3</v>
      </c>
      <c r="E42" s="10">
        <v>73</v>
      </c>
      <c r="F42" s="10">
        <v>44.807</v>
      </c>
      <c r="G42" s="11">
        <v>1</v>
      </c>
      <c r="H42" s="11">
        <f>SUMIF(RECEBIMENTOS!$C$5:$C$5000,A42,RECEBIMENTOS!$D$5:$D$5000)</f>
      </c>
      <c r="I42" s="11">
        <f>SUMIF(RECEBIMENTOS!$C$5:$C$5000,A42,RECEBIMENTOS!$E$5:$E$5000)</f>
      </c>
      <c r="J42" s="12">
        <f>MAX(0,G42-H42)</f>
      </c>
      <c r="K42" s="13">
        <f>G42*L42</f>
      </c>
      <c r="L42" s="14">
        <f>B42*C42/10000</f>
      </c>
      <c r="M42" s="11">
        <f>IF(H42&gt;=G42,"Completa",IF(H42&gt;0,"Parcial","Pendente"))</f>
      </c>
    </row>
    <row r="43">
      <c r="A43" s="9" t="str">
        <v>C39</v>
      </c>
      <c r="B43" s="10">
        <v>91</v>
      </c>
      <c r="C43" s="10">
        <v>72.5</v>
      </c>
      <c r="D43" s="10">
        <v>91.5</v>
      </c>
      <c r="E43" s="10">
        <v>73</v>
      </c>
      <c r="F43" s="10">
        <v>40.077</v>
      </c>
      <c r="G43" s="11">
        <v>1</v>
      </c>
      <c r="H43" s="11">
        <f>SUMIF(RECEBIMENTOS!$C$5:$C$5000,A43,RECEBIMENTOS!$D$5:$D$5000)</f>
      </c>
      <c r="I43" s="11">
        <f>SUMIF(RECEBIMENTOS!$C$5:$C$5000,A43,RECEBIMENTOS!$E$5:$E$5000)</f>
      </c>
      <c r="J43" s="12">
        <f>MAX(0,G43-H43)</f>
      </c>
      <c r="K43" s="13">
        <f>G43*L43</f>
      </c>
      <c r="L43" s="14">
        <f>B43*C43/10000</f>
      </c>
      <c r="M43" s="11">
        <f>IF(H43&gt;=G43,"Completa",IF(H43&gt;0,"Parcial","Pendente"))</f>
      </c>
    </row>
    <row r="44">
      <c r="A44" s="9" t="str">
        <v>C40</v>
      </c>
      <c r="B44" s="10">
        <v>91</v>
      </c>
      <c r="C44" s="10">
        <v>72.5</v>
      </c>
      <c r="D44" s="10">
        <v>91.5</v>
      </c>
      <c r="E44" s="10">
        <v>73</v>
      </c>
      <c r="F44" s="10">
        <v>40.077</v>
      </c>
      <c r="G44" s="11">
        <v>2</v>
      </c>
      <c r="H44" s="11">
        <f>SUMIF(RECEBIMENTOS!$C$5:$C$5000,A44,RECEBIMENTOS!$D$5:$D$5000)</f>
      </c>
      <c r="I44" s="11">
        <f>SUMIF(RECEBIMENTOS!$C$5:$C$5000,A44,RECEBIMENTOS!$E$5:$E$5000)</f>
      </c>
      <c r="J44" s="12">
        <f>MAX(0,G44-H44)</f>
      </c>
      <c r="K44" s="13">
        <f>G44*L44</f>
      </c>
      <c r="L44" s="14">
        <f>B44*C44/10000</f>
      </c>
      <c r="M44" s="11">
        <f>IF(H44&gt;=G44,"Completa",IF(H44&gt;0,"Parcial","Pendente"))</f>
      </c>
    </row>
    <row r="45">
      <c r="A45" s="9" t="str">
        <v>C41</v>
      </c>
      <c r="B45" s="10">
        <v>91</v>
      </c>
      <c r="C45" s="10">
        <v>72.5</v>
      </c>
      <c r="D45" s="10">
        <v>91.5</v>
      </c>
      <c r="E45" s="10">
        <v>73</v>
      </c>
      <c r="F45" s="10">
        <v>40.077</v>
      </c>
      <c r="G45" s="11">
        <v>1</v>
      </c>
      <c r="H45" s="11">
        <f>SUMIF(RECEBIMENTOS!$C$5:$C$5000,A45,RECEBIMENTOS!$D$5:$D$5000)</f>
      </c>
      <c r="I45" s="11">
        <f>SUMIF(RECEBIMENTOS!$C$5:$C$5000,A45,RECEBIMENTOS!$E$5:$E$5000)</f>
      </c>
      <c r="J45" s="12">
        <f>MAX(0,G45-H45)</f>
      </c>
      <c r="K45" s="13">
        <f>G45*L45</f>
      </c>
      <c r="L45" s="14">
        <f>B45*C45/10000</f>
      </c>
      <c r="M45" s="11">
        <f>IF(H45&gt;=G45,"Completa",IF(H45&gt;0,"Parcial","Pendente"))</f>
      </c>
    </row>
    <row r="46">
      <c r="A46" s="9" t="str">
        <v>C42</v>
      </c>
      <c r="B46" s="10">
        <v>102.6</v>
      </c>
      <c r="C46" s="10">
        <v>72.5</v>
      </c>
      <c r="D46" s="10">
        <v>103.1</v>
      </c>
      <c r="E46" s="10">
        <v>73</v>
      </c>
      <c r="F46" s="10">
        <v>45.158</v>
      </c>
      <c r="G46" s="11">
        <v>1</v>
      </c>
      <c r="H46" s="11">
        <f>SUMIF(RECEBIMENTOS!$C$5:$C$5000,A46,RECEBIMENTOS!$D$5:$D$5000)</f>
      </c>
      <c r="I46" s="11">
        <f>SUMIF(RECEBIMENTOS!$C$5:$C$5000,A46,RECEBIMENTOS!$E$5:$E$5000)</f>
      </c>
      <c r="J46" s="12">
        <f>MAX(0,G46-H46)</f>
      </c>
      <c r="K46" s="13">
        <f>G46*L46</f>
      </c>
      <c r="L46" s="14">
        <f>B46*C46/10000</f>
      </c>
      <c r="M46" s="11">
        <f>IF(H46&gt;=G46,"Completa",IF(H46&gt;0,"Parcial","Pendente"))</f>
      </c>
    </row>
    <row r="47">
      <c r="A47" s="9" t="str">
        <v>C43</v>
      </c>
      <c r="B47" s="10">
        <v>102.6</v>
      </c>
      <c r="C47" s="10">
        <v>72.5</v>
      </c>
      <c r="D47" s="10">
        <v>103.1</v>
      </c>
      <c r="E47" s="10">
        <v>73</v>
      </c>
      <c r="F47" s="10">
        <v>45.158</v>
      </c>
      <c r="G47" s="11">
        <v>20</v>
      </c>
      <c r="H47" s="11">
        <f>SUMIF(RECEBIMENTOS!$C$5:$C$5000,A47,RECEBIMENTOS!$D$5:$D$5000)</f>
      </c>
      <c r="I47" s="11">
        <f>SUMIF(RECEBIMENTOS!$C$5:$C$5000,A47,RECEBIMENTOS!$E$5:$E$5000)</f>
      </c>
      <c r="J47" s="12">
        <f>MAX(0,G47-H47)</f>
      </c>
      <c r="K47" s="13">
        <f>G47*L47</f>
      </c>
      <c r="L47" s="14">
        <f>B47*C47/10000</f>
      </c>
      <c r="M47" s="11">
        <f>IF(H47&gt;=G47,"Completa",IF(H47&gt;0,"Parcial","Pendente"))</f>
      </c>
    </row>
    <row r="48">
      <c r="A48" s="9" t="str">
        <v>C44</v>
      </c>
      <c r="B48" s="10">
        <v>102.6</v>
      </c>
      <c r="C48" s="10">
        <v>72.5</v>
      </c>
      <c r="D48" s="10">
        <v>103.1</v>
      </c>
      <c r="E48" s="10">
        <v>73</v>
      </c>
      <c r="F48" s="10">
        <v>45.158</v>
      </c>
      <c r="G48" s="11">
        <v>1</v>
      </c>
      <c r="H48" s="11">
        <f>SUMIF(RECEBIMENTOS!$C$5:$C$5000,A48,RECEBIMENTOS!$D$5:$D$5000)</f>
      </c>
      <c r="I48" s="11">
        <f>SUMIF(RECEBIMENTOS!$C$5:$C$5000,A48,RECEBIMENTOS!$E$5:$E$5000)</f>
      </c>
      <c r="J48" s="12">
        <f>MAX(0,G48-H48)</f>
      </c>
      <c r="K48" s="13">
        <f>G48*L48</f>
      </c>
      <c r="L48" s="14">
        <f>B48*C48/10000</f>
      </c>
      <c r="M48" s="11">
        <f>IF(H48&gt;=G48,"Completa",IF(H48&gt;0,"Parcial","Pendente"))</f>
      </c>
    </row>
    <row r="49">
      <c r="A49" s="9" t="str">
        <v>C45</v>
      </c>
      <c r="B49" s="10">
        <v>106.5</v>
      </c>
      <c r="C49" s="10">
        <v>72.5</v>
      </c>
      <c r="D49" s="10">
        <v>107</v>
      </c>
      <c r="E49" s="10">
        <v>73</v>
      </c>
      <c r="F49" s="10">
        <v>46.866</v>
      </c>
      <c r="G49" s="11">
        <v>1</v>
      </c>
      <c r="H49" s="11">
        <f>SUMIF(RECEBIMENTOS!$C$5:$C$5000,A49,RECEBIMENTOS!$D$5:$D$5000)</f>
      </c>
      <c r="I49" s="11">
        <f>SUMIF(RECEBIMENTOS!$C$5:$C$5000,A49,RECEBIMENTOS!$E$5:$E$5000)</f>
      </c>
      <c r="J49" s="12">
        <f>MAX(0,G49-H49)</f>
      </c>
      <c r="K49" s="13">
        <f>G49*L49</f>
      </c>
      <c r="L49" s="14">
        <f>B49*C49/10000</f>
      </c>
      <c r="M49" s="11">
        <f>IF(H49&gt;=G49,"Completa",IF(H49&gt;0,"Parcial","Pendente"))</f>
      </c>
    </row>
    <row r="50">
      <c r="A50" s="9" t="str">
        <v>C46</v>
      </c>
      <c r="B50" s="10">
        <v>106.5</v>
      </c>
      <c r="C50" s="10">
        <v>72.5</v>
      </c>
      <c r="D50" s="10">
        <v>107</v>
      </c>
      <c r="E50" s="10">
        <v>73</v>
      </c>
      <c r="F50" s="10">
        <v>46.866</v>
      </c>
      <c r="G50" s="11">
        <v>1</v>
      </c>
      <c r="H50" s="11">
        <f>SUMIF(RECEBIMENTOS!$C$5:$C$5000,A50,RECEBIMENTOS!$D$5:$D$5000)</f>
      </c>
      <c r="I50" s="11">
        <f>SUMIF(RECEBIMENTOS!$C$5:$C$5000,A50,RECEBIMENTOS!$E$5:$E$5000)</f>
      </c>
      <c r="J50" s="12">
        <f>MAX(0,G50-H50)</f>
      </c>
      <c r="K50" s="13">
        <f>G50*L50</f>
      </c>
      <c r="L50" s="14">
        <f>B50*C50/10000</f>
      </c>
      <c r="M50" s="11">
        <f>IF(H50&gt;=G50,"Completa",IF(H50&gt;0,"Parcial","Pendente"))</f>
      </c>
    </row>
    <row r="51">
      <c r="A51" s="9" t="str">
        <v>C47</v>
      </c>
      <c r="B51" s="10">
        <v>101.8</v>
      </c>
      <c r="C51" s="10">
        <v>71.5</v>
      </c>
      <c r="D51" s="10">
        <v>102.3</v>
      </c>
      <c r="E51" s="10">
        <v>72</v>
      </c>
      <c r="F51" s="10">
        <v>44.194</v>
      </c>
      <c r="G51" s="11">
        <v>1</v>
      </c>
      <c r="H51" s="11">
        <f>SUMIF(RECEBIMENTOS!$C$5:$C$5000,A51,RECEBIMENTOS!$D$5:$D$5000)</f>
      </c>
      <c r="I51" s="11">
        <f>SUMIF(RECEBIMENTOS!$C$5:$C$5000,A51,RECEBIMENTOS!$E$5:$E$5000)</f>
      </c>
      <c r="J51" s="12">
        <f>MAX(0,G51-H51)</f>
      </c>
      <c r="K51" s="13">
        <f>G51*L51</f>
      </c>
      <c r="L51" s="14">
        <f>B51*C51/10000</f>
      </c>
      <c r="M51" s="11">
        <f>IF(H51&gt;=G51,"Completa",IF(H51&gt;0,"Parcial","Pendente"))</f>
      </c>
    </row>
    <row r="52">
      <c r="A52" s="9" t="str">
        <v>C48</v>
      </c>
      <c r="B52" s="10">
        <v>101.8</v>
      </c>
      <c r="C52" s="10">
        <v>71.5</v>
      </c>
      <c r="D52" s="10">
        <v>102.3</v>
      </c>
      <c r="E52" s="10">
        <v>72</v>
      </c>
      <c r="F52" s="10">
        <v>44.194</v>
      </c>
      <c r="G52" s="11">
        <v>1</v>
      </c>
      <c r="H52" s="11">
        <f>SUMIF(RECEBIMENTOS!$C$5:$C$5000,A52,RECEBIMENTOS!$D$5:$D$5000)</f>
      </c>
      <c r="I52" s="11">
        <f>SUMIF(RECEBIMENTOS!$C$5:$C$5000,A52,RECEBIMENTOS!$E$5:$E$5000)</f>
      </c>
      <c r="J52" s="12">
        <f>MAX(0,G52-H52)</f>
      </c>
      <c r="K52" s="13">
        <f>G52*L52</f>
      </c>
      <c r="L52" s="14">
        <f>B52*C52/10000</f>
      </c>
      <c r="M52" s="11">
        <f>IF(H52&gt;=G52,"Completa",IF(H52&gt;0,"Parcial","Pendente"))</f>
      </c>
    </row>
    <row r="53">
      <c r="A53" s="9" t="str">
        <v>C49</v>
      </c>
      <c r="B53" s="10">
        <v>91</v>
      </c>
      <c r="C53" s="10">
        <v>71.5</v>
      </c>
      <c r="D53" s="10">
        <v>91.5</v>
      </c>
      <c r="E53" s="10">
        <v>72</v>
      </c>
      <c r="F53" s="10">
        <v>39.528</v>
      </c>
      <c r="G53" s="11">
        <v>1</v>
      </c>
      <c r="H53" s="11">
        <f>SUMIF(RECEBIMENTOS!$C$5:$C$5000,A53,RECEBIMENTOS!$D$5:$D$5000)</f>
      </c>
      <c r="I53" s="11">
        <f>SUMIF(RECEBIMENTOS!$C$5:$C$5000,A53,RECEBIMENTOS!$E$5:$E$5000)</f>
      </c>
      <c r="J53" s="12">
        <f>MAX(0,G53-H53)</f>
      </c>
      <c r="K53" s="13">
        <f>G53*L53</f>
      </c>
      <c r="L53" s="14">
        <f>B53*C53/10000</f>
      </c>
      <c r="M53" s="11">
        <f>IF(H53&gt;=G53,"Completa",IF(H53&gt;0,"Parcial","Pendente"))</f>
      </c>
    </row>
    <row r="54">
      <c r="A54" s="9" t="str">
        <v>C50</v>
      </c>
      <c r="B54" s="10">
        <v>91</v>
      </c>
      <c r="C54" s="10">
        <v>71.5</v>
      </c>
      <c r="D54" s="10">
        <v>91.5</v>
      </c>
      <c r="E54" s="10">
        <v>72</v>
      </c>
      <c r="F54" s="10">
        <v>39.528</v>
      </c>
      <c r="G54" s="11">
        <v>2</v>
      </c>
      <c r="H54" s="11">
        <f>SUMIF(RECEBIMENTOS!$C$5:$C$5000,A54,RECEBIMENTOS!$D$5:$D$5000)</f>
      </c>
      <c r="I54" s="11">
        <f>SUMIF(RECEBIMENTOS!$C$5:$C$5000,A54,RECEBIMENTOS!$E$5:$E$5000)</f>
      </c>
      <c r="J54" s="12">
        <f>MAX(0,G54-H54)</f>
      </c>
      <c r="K54" s="13">
        <f>G54*L54</f>
      </c>
      <c r="L54" s="14">
        <f>B54*C54/10000</f>
      </c>
      <c r="M54" s="11">
        <f>IF(H54&gt;=G54,"Completa",IF(H54&gt;0,"Parcial","Pendente"))</f>
      </c>
    </row>
    <row r="55">
      <c r="A55" s="9" t="str">
        <v>C51</v>
      </c>
      <c r="B55" s="10">
        <v>91</v>
      </c>
      <c r="C55" s="10">
        <v>71.5</v>
      </c>
      <c r="D55" s="10">
        <v>91.5</v>
      </c>
      <c r="E55" s="10">
        <v>72</v>
      </c>
      <c r="F55" s="10">
        <v>39.528</v>
      </c>
      <c r="G55" s="11">
        <v>1</v>
      </c>
      <c r="H55" s="11">
        <f>SUMIF(RECEBIMENTOS!$C$5:$C$5000,A55,RECEBIMENTOS!$D$5:$D$5000)</f>
      </c>
      <c r="I55" s="11">
        <f>SUMIF(RECEBIMENTOS!$C$5:$C$5000,A55,RECEBIMENTOS!$E$5:$E$5000)</f>
      </c>
      <c r="J55" s="12">
        <f>MAX(0,G55-H55)</f>
      </c>
      <c r="K55" s="13">
        <f>G55*L55</f>
      </c>
      <c r="L55" s="14">
        <f>B55*C55/10000</f>
      </c>
      <c r="M55" s="11">
        <f>IF(H55&gt;=G55,"Completa",IF(H55&gt;0,"Parcial","Pendente"))</f>
      </c>
    </row>
    <row r="56">
      <c r="A56" s="9" t="str">
        <v>C52</v>
      </c>
      <c r="B56" s="10">
        <v>102.6</v>
      </c>
      <c r="C56" s="10">
        <v>71.5</v>
      </c>
      <c r="D56" s="10">
        <v>103.1</v>
      </c>
      <c r="E56" s="10">
        <v>72</v>
      </c>
      <c r="F56" s="10">
        <v>44.539</v>
      </c>
      <c r="G56" s="11">
        <v>1</v>
      </c>
      <c r="H56" s="11">
        <f>SUMIF(RECEBIMENTOS!$C$5:$C$5000,A56,RECEBIMENTOS!$D$5:$D$5000)</f>
      </c>
      <c r="I56" s="11">
        <f>SUMIF(RECEBIMENTOS!$C$5:$C$5000,A56,RECEBIMENTOS!$E$5:$E$5000)</f>
      </c>
      <c r="J56" s="12">
        <f>MAX(0,G56-H56)</f>
      </c>
      <c r="K56" s="13">
        <f>G56*L56</f>
      </c>
      <c r="L56" s="14">
        <f>B56*C56/10000</f>
      </c>
      <c r="M56" s="11">
        <f>IF(H56&gt;=G56,"Completa",IF(H56&gt;0,"Parcial","Pendente"))</f>
      </c>
    </row>
    <row r="57">
      <c r="A57" s="9" t="str">
        <v>C53</v>
      </c>
      <c r="B57" s="10">
        <v>102.6</v>
      </c>
      <c r="C57" s="10">
        <v>71.5</v>
      </c>
      <c r="D57" s="10">
        <v>103.1</v>
      </c>
      <c r="E57" s="10">
        <v>72</v>
      </c>
      <c r="F57" s="10">
        <v>44.539</v>
      </c>
      <c r="G57" s="11">
        <v>20</v>
      </c>
      <c r="H57" s="11">
        <f>SUMIF(RECEBIMENTOS!$C$5:$C$5000,A57,RECEBIMENTOS!$D$5:$D$5000)</f>
      </c>
      <c r="I57" s="11">
        <f>SUMIF(RECEBIMENTOS!$C$5:$C$5000,A57,RECEBIMENTOS!$E$5:$E$5000)</f>
      </c>
      <c r="J57" s="12">
        <f>MAX(0,G57-H57)</f>
      </c>
      <c r="K57" s="13">
        <f>G57*L57</f>
      </c>
      <c r="L57" s="14">
        <f>B57*C57/10000</f>
      </c>
      <c r="M57" s="11">
        <f>IF(H57&gt;=G57,"Completa",IF(H57&gt;0,"Parcial","Pendente"))</f>
      </c>
    </row>
    <row r="58">
      <c r="A58" s="9" t="str">
        <v>C54</v>
      </c>
      <c r="B58" s="10">
        <v>102.6</v>
      </c>
      <c r="C58" s="10">
        <v>71.5</v>
      </c>
      <c r="D58" s="10">
        <v>103.1</v>
      </c>
      <c r="E58" s="10">
        <v>72</v>
      </c>
      <c r="F58" s="10">
        <v>44.539</v>
      </c>
      <c r="G58" s="11">
        <v>1</v>
      </c>
      <c r="H58" s="11">
        <f>SUMIF(RECEBIMENTOS!$C$5:$C$5000,A58,RECEBIMENTOS!$D$5:$D$5000)</f>
      </c>
      <c r="I58" s="11">
        <f>SUMIF(RECEBIMENTOS!$C$5:$C$5000,A58,RECEBIMENTOS!$E$5:$E$5000)</f>
      </c>
      <c r="J58" s="12">
        <f>MAX(0,G58-H58)</f>
      </c>
      <c r="K58" s="13">
        <f>G58*L58</f>
      </c>
      <c r="L58" s="14">
        <f>B58*C58/10000</f>
      </c>
      <c r="M58" s="11">
        <f>IF(H58&gt;=G58,"Completa",IF(H58&gt;0,"Parcial","Pendente"))</f>
      </c>
    </row>
    <row r="59">
      <c r="A59" s="9" t="str">
        <v>C55</v>
      </c>
      <c r="B59" s="10">
        <v>106.5</v>
      </c>
      <c r="C59" s="10">
        <v>71.5</v>
      </c>
      <c r="D59" s="10">
        <v>107</v>
      </c>
      <c r="E59" s="10">
        <v>72</v>
      </c>
      <c r="F59" s="10">
        <v>46.224</v>
      </c>
      <c r="G59" s="11">
        <v>1</v>
      </c>
      <c r="H59" s="11">
        <f>SUMIF(RECEBIMENTOS!$C$5:$C$5000,A59,RECEBIMENTOS!$D$5:$D$5000)</f>
      </c>
      <c r="I59" s="11">
        <f>SUMIF(RECEBIMENTOS!$C$5:$C$5000,A59,RECEBIMENTOS!$E$5:$E$5000)</f>
      </c>
      <c r="J59" s="12">
        <f>MAX(0,G59-H59)</f>
      </c>
      <c r="K59" s="13">
        <f>G59*L59</f>
      </c>
      <c r="L59" s="14">
        <f>B59*C59/10000</f>
      </c>
      <c r="M59" s="11">
        <f>IF(H59&gt;=G59,"Completa",IF(H59&gt;0,"Parcial","Pendente"))</f>
      </c>
    </row>
    <row r="60">
      <c r="A60" s="9" t="str">
        <v>C56</v>
      </c>
      <c r="B60" s="10">
        <v>106.5</v>
      </c>
      <c r="C60" s="10">
        <v>71.5</v>
      </c>
      <c r="D60" s="10">
        <v>107</v>
      </c>
      <c r="E60" s="10">
        <v>72</v>
      </c>
      <c r="F60" s="10">
        <v>46.224</v>
      </c>
      <c r="G60" s="11">
        <v>1</v>
      </c>
      <c r="H60" s="11">
        <f>SUMIF(RECEBIMENTOS!$C$5:$C$5000,A60,RECEBIMENTOS!$D$5:$D$5000)</f>
      </c>
      <c r="I60" s="11">
        <f>SUMIF(RECEBIMENTOS!$C$5:$C$5000,A60,RECEBIMENTOS!$E$5:$E$5000)</f>
      </c>
      <c r="J60" s="12">
        <f>MAX(0,G60-H60)</f>
      </c>
      <c r="K60" s="13">
        <f>G60*L60</f>
      </c>
      <c r="L60" s="14">
        <f>B60*C60/10000</f>
      </c>
      <c r="M60" s="11">
        <f>IF(H60&gt;=G60,"Completa",IF(H60&gt;0,"Parcial","Pendente"))</f>
      </c>
    </row>
    <row r="61">
      <c r="A61" s="9" t="str">
        <v>C57</v>
      </c>
      <c r="B61" s="10">
        <v>101.8</v>
      </c>
      <c r="C61" s="10">
        <v>74.5</v>
      </c>
      <c r="D61" s="10">
        <v>102.3</v>
      </c>
      <c r="E61" s="10">
        <v>75</v>
      </c>
      <c r="F61" s="10">
        <v>46.035</v>
      </c>
      <c r="G61" s="11">
        <v>2</v>
      </c>
      <c r="H61" s="11">
        <f>SUMIF(RECEBIMENTOS!$C$5:$C$5000,A61,RECEBIMENTOS!$D$5:$D$5000)</f>
      </c>
      <c r="I61" s="11">
        <f>SUMIF(RECEBIMENTOS!$C$5:$C$5000,A61,RECEBIMENTOS!$E$5:$E$5000)</f>
      </c>
      <c r="J61" s="12">
        <f>MAX(0,G61-H61)</f>
      </c>
      <c r="K61" s="13">
        <f>G61*L61</f>
      </c>
      <c r="L61" s="14">
        <f>B61*C61/10000</f>
      </c>
      <c r="M61" s="11">
        <f>IF(H61&gt;=G61,"Completa",IF(H61&gt;0,"Parcial","Pendente"))</f>
      </c>
    </row>
    <row r="62">
      <c r="A62" s="9" t="str">
        <v>C58</v>
      </c>
      <c r="B62" s="10">
        <v>101.8</v>
      </c>
      <c r="C62" s="10">
        <v>74.5</v>
      </c>
      <c r="D62" s="10">
        <v>102.3</v>
      </c>
      <c r="E62" s="10">
        <v>75</v>
      </c>
      <c r="F62" s="10">
        <v>46.035</v>
      </c>
      <c r="G62" s="11">
        <v>2</v>
      </c>
      <c r="H62" s="11">
        <f>SUMIF(RECEBIMENTOS!$C$5:$C$5000,A62,RECEBIMENTOS!$D$5:$D$5000)</f>
      </c>
      <c r="I62" s="11">
        <f>SUMIF(RECEBIMENTOS!$C$5:$C$5000,A62,RECEBIMENTOS!$E$5:$E$5000)</f>
      </c>
      <c r="J62" s="12">
        <f>MAX(0,G62-H62)</f>
      </c>
      <c r="K62" s="13">
        <f>G62*L62</f>
      </c>
      <c r="L62" s="14">
        <f>B62*C62/10000</f>
      </c>
      <c r="M62" s="11">
        <f>IF(H62&gt;=G62,"Completa",IF(H62&gt;0,"Parcial","Pendente"))</f>
      </c>
    </row>
    <row r="63">
      <c r="A63" s="9" t="str">
        <v>C59</v>
      </c>
      <c r="B63" s="10">
        <v>91</v>
      </c>
      <c r="C63" s="10">
        <v>74.5</v>
      </c>
      <c r="D63" s="10">
        <v>91.5</v>
      </c>
      <c r="E63" s="10">
        <v>75</v>
      </c>
      <c r="F63" s="10">
        <v>41.175</v>
      </c>
      <c r="G63" s="11">
        <v>2</v>
      </c>
      <c r="H63" s="11">
        <f>SUMIF(RECEBIMENTOS!$C$5:$C$5000,A63,RECEBIMENTOS!$D$5:$D$5000)</f>
      </c>
      <c r="I63" s="11">
        <f>SUMIF(RECEBIMENTOS!$C$5:$C$5000,A63,RECEBIMENTOS!$E$5:$E$5000)</f>
      </c>
      <c r="J63" s="12">
        <f>MAX(0,G63-H63)</f>
      </c>
      <c r="K63" s="13">
        <f>G63*L63</f>
      </c>
      <c r="L63" s="14">
        <f>B63*C63/10000</f>
      </c>
      <c r="M63" s="11">
        <f>IF(H63&gt;=G63,"Completa",IF(H63&gt;0,"Parcial","Pendente"))</f>
      </c>
    </row>
    <row r="64">
      <c r="A64" s="9" t="str">
        <v>C60</v>
      </c>
      <c r="B64" s="10">
        <v>91</v>
      </c>
      <c r="C64" s="10">
        <v>74.5</v>
      </c>
      <c r="D64" s="10">
        <v>91.5</v>
      </c>
      <c r="E64" s="10">
        <v>75</v>
      </c>
      <c r="F64" s="10">
        <v>41.175</v>
      </c>
      <c r="G64" s="11">
        <v>4</v>
      </c>
      <c r="H64" s="11">
        <f>SUMIF(RECEBIMENTOS!$C$5:$C$5000,A64,RECEBIMENTOS!$D$5:$D$5000)</f>
      </c>
      <c r="I64" s="11">
        <f>SUMIF(RECEBIMENTOS!$C$5:$C$5000,A64,RECEBIMENTOS!$E$5:$E$5000)</f>
      </c>
      <c r="J64" s="12">
        <f>MAX(0,G64-H64)</f>
      </c>
      <c r="K64" s="13">
        <f>G64*L64</f>
      </c>
      <c r="L64" s="14">
        <f>B64*C64/10000</f>
      </c>
      <c r="M64" s="11">
        <f>IF(H64&gt;=G64,"Completa",IF(H64&gt;0,"Parcial","Pendente"))</f>
      </c>
    </row>
    <row r="65">
      <c r="A65" s="9" t="str">
        <v>C61</v>
      </c>
      <c r="B65" s="10">
        <v>91</v>
      </c>
      <c r="C65" s="10">
        <v>74.5</v>
      </c>
      <c r="D65" s="10">
        <v>91.5</v>
      </c>
      <c r="E65" s="10">
        <v>75</v>
      </c>
      <c r="F65" s="10">
        <v>41.175</v>
      </c>
      <c r="G65" s="11">
        <v>2</v>
      </c>
      <c r="H65" s="11">
        <f>SUMIF(RECEBIMENTOS!$C$5:$C$5000,A65,RECEBIMENTOS!$D$5:$D$5000)</f>
      </c>
      <c r="I65" s="11">
        <f>SUMIF(RECEBIMENTOS!$C$5:$C$5000,A65,RECEBIMENTOS!$E$5:$E$5000)</f>
      </c>
      <c r="J65" s="12">
        <f>MAX(0,G65-H65)</f>
      </c>
      <c r="K65" s="13">
        <f>G65*L65</f>
      </c>
      <c r="L65" s="14">
        <f>B65*C65/10000</f>
      </c>
      <c r="M65" s="11">
        <f>IF(H65&gt;=G65,"Completa",IF(H65&gt;0,"Parcial","Pendente"))</f>
      </c>
    </row>
    <row r="66">
      <c r="A66" s="9" t="str">
        <v>C62</v>
      </c>
      <c r="B66" s="10">
        <v>102.6</v>
      </c>
      <c r="C66" s="10">
        <v>74.5</v>
      </c>
      <c r="D66" s="10">
        <v>103.1</v>
      </c>
      <c r="E66" s="10">
        <v>75</v>
      </c>
      <c r="F66" s="10">
        <v>46.395</v>
      </c>
      <c r="G66" s="11">
        <v>2</v>
      </c>
      <c r="H66" s="11">
        <f>SUMIF(RECEBIMENTOS!$C$5:$C$5000,A66,RECEBIMENTOS!$D$5:$D$5000)</f>
      </c>
      <c r="I66" s="11">
        <f>SUMIF(RECEBIMENTOS!$C$5:$C$5000,A66,RECEBIMENTOS!$E$5:$E$5000)</f>
      </c>
      <c r="J66" s="12">
        <f>MAX(0,G66-H66)</f>
      </c>
      <c r="K66" s="13">
        <f>G66*L66</f>
      </c>
      <c r="L66" s="14">
        <f>B66*C66/10000</f>
      </c>
      <c r="M66" s="11">
        <f>IF(H66&gt;=G66,"Completa",IF(H66&gt;0,"Parcial","Pendente"))</f>
      </c>
    </row>
    <row r="67">
      <c r="A67" s="9" t="str">
        <v>C63</v>
      </c>
      <c r="B67" s="10">
        <v>102.6</v>
      </c>
      <c r="C67" s="10">
        <v>74.5</v>
      </c>
      <c r="D67" s="10">
        <v>103.1</v>
      </c>
      <c r="E67" s="10">
        <v>75</v>
      </c>
      <c r="F67" s="10">
        <v>46.395</v>
      </c>
      <c r="G67" s="11">
        <v>40</v>
      </c>
      <c r="H67" s="11">
        <f>SUMIF(RECEBIMENTOS!$C$5:$C$5000,A67,RECEBIMENTOS!$D$5:$D$5000)</f>
      </c>
      <c r="I67" s="11">
        <f>SUMIF(RECEBIMENTOS!$C$5:$C$5000,A67,RECEBIMENTOS!$E$5:$E$5000)</f>
      </c>
      <c r="J67" s="12">
        <f>MAX(0,G67-H67)</f>
      </c>
      <c r="K67" s="13">
        <f>G67*L67</f>
      </c>
      <c r="L67" s="14">
        <f>B67*C67/10000</f>
      </c>
      <c r="M67" s="11">
        <f>IF(H67&gt;=G67,"Completa",IF(H67&gt;0,"Parcial","Pendente"))</f>
      </c>
    </row>
    <row r="68">
      <c r="A68" s="9" t="str">
        <v>C64</v>
      </c>
      <c r="B68" s="10">
        <v>102.6</v>
      </c>
      <c r="C68" s="10">
        <v>74.5</v>
      </c>
      <c r="D68" s="10">
        <v>103.1</v>
      </c>
      <c r="E68" s="10">
        <v>75</v>
      </c>
      <c r="F68" s="10">
        <v>46.395</v>
      </c>
      <c r="G68" s="11">
        <v>2</v>
      </c>
      <c r="H68" s="11">
        <f>SUMIF(RECEBIMENTOS!$C$5:$C$5000,A68,RECEBIMENTOS!$D$5:$D$5000)</f>
      </c>
      <c r="I68" s="11">
        <f>SUMIF(RECEBIMENTOS!$C$5:$C$5000,A68,RECEBIMENTOS!$E$5:$E$5000)</f>
      </c>
      <c r="J68" s="12">
        <f>MAX(0,G68-H68)</f>
      </c>
      <c r="K68" s="13">
        <f>G68*L68</f>
      </c>
      <c r="L68" s="14">
        <f>B68*C68/10000</f>
      </c>
      <c r="M68" s="11">
        <f>IF(H68&gt;=G68,"Completa",IF(H68&gt;0,"Parcial","Pendente"))</f>
      </c>
    </row>
    <row r="69">
      <c r="A69" s="9" t="str">
        <v>C65</v>
      </c>
      <c r="B69" s="10">
        <v>106.5</v>
      </c>
      <c r="C69" s="10">
        <v>74.5</v>
      </c>
      <c r="D69" s="10">
        <v>107</v>
      </c>
      <c r="E69" s="10">
        <v>75</v>
      </c>
      <c r="F69" s="10">
        <v>48.15</v>
      </c>
      <c r="G69" s="11">
        <v>2</v>
      </c>
      <c r="H69" s="11">
        <f>SUMIF(RECEBIMENTOS!$C$5:$C$5000,A69,RECEBIMENTOS!$D$5:$D$5000)</f>
      </c>
      <c r="I69" s="11">
        <f>SUMIF(RECEBIMENTOS!$C$5:$C$5000,A69,RECEBIMENTOS!$E$5:$E$5000)</f>
      </c>
      <c r="J69" s="12">
        <f>MAX(0,G69-H69)</f>
      </c>
      <c r="K69" s="13">
        <f>G69*L69</f>
      </c>
      <c r="L69" s="14">
        <f>B69*C69/10000</f>
      </c>
      <c r="M69" s="11">
        <f>IF(H69&gt;=G69,"Completa",IF(H69&gt;0,"Parcial","Pendente"))</f>
      </c>
    </row>
    <row r="70">
      <c r="A70" s="9" t="str">
        <v>C66</v>
      </c>
      <c r="B70" s="10">
        <v>106.5</v>
      </c>
      <c r="C70" s="10">
        <v>74.5</v>
      </c>
      <c r="D70" s="10">
        <v>107</v>
      </c>
      <c r="E70" s="10">
        <v>75</v>
      </c>
      <c r="F70" s="10">
        <v>48.15</v>
      </c>
      <c r="G70" s="11">
        <v>2</v>
      </c>
      <c r="H70" s="11">
        <f>SUMIF(RECEBIMENTOS!$C$5:$C$5000,A70,RECEBIMENTOS!$D$5:$D$5000)</f>
      </c>
      <c r="I70" s="11">
        <f>SUMIF(RECEBIMENTOS!$C$5:$C$5000,A70,RECEBIMENTOS!$E$5:$E$5000)</f>
      </c>
      <c r="J70" s="12">
        <f>MAX(0,G70-H70)</f>
      </c>
      <c r="K70" s="13">
        <f>G70*L70</f>
      </c>
      <c r="L70" s="14">
        <f>B70*C70/10000</f>
      </c>
      <c r="M70" s="11">
        <f>IF(H70&gt;=G70,"Completa",IF(H70&gt;0,"Parcial","Pendente"))</f>
      </c>
    </row>
    <row r="71">
      <c r="A71" s="9" t="str">
        <v>C67</v>
      </c>
      <c r="B71" s="10">
        <v>101.8</v>
      </c>
      <c r="C71" s="10">
        <v>73.8</v>
      </c>
      <c r="D71" s="10">
        <v>102.3</v>
      </c>
      <c r="E71" s="10">
        <v>74.3</v>
      </c>
      <c r="F71" s="10">
        <v>45.605</v>
      </c>
      <c r="G71" s="11">
        <v>1</v>
      </c>
      <c r="H71" s="11">
        <f>SUMIF(RECEBIMENTOS!$C$5:$C$5000,A71,RECEBIMENTOS!$D$5:$D$5000)</f>
      </c>
      <c r="I71" s="11">
        <f>SUMIF(RECEBIMENTOS!$C$5:$C$5000,A71,RECEBIMENTOS!$E$5:$E$5000)</f>
      </c>
      <c r="J71" s="12">
        <f>MAX(0,G71-H71)</f>
      </c>
      <c r="K71" s="13">
        <f>G71*L71</f>
      </c>
      <c r="L71" s="14">
        <f>B71*C71/10000</f>
      </c>
      <c r="M71" s="11">
        <f>IF(H71&gt;=G71,"Completa",IF(H71&gt;0,"Parcial","Pendente"))</f>
      </c>
    </row>
    <row r="72">
      <c r="A72" s="9" t="str">
        <v>C68</v>
      </c>
      <c r="B72" s="10">
        <v>101.8</v>
      </c>
      <c r="C72" s="10">
        <v>73.8</v>
      </c>
      <c r="D72" s="10">
        <v>102.3</v>
      </c>
      <c r="E72" s="10">
        <v>74.3</v>
      </c>
      <c r="F72" s="10">
        <v>45.605</v>
      </c>
      <c r="G72" s="11">
        <v>1</v>
      </c>
      <c r="H72" s="11">
        <f>SUMIF(RECEBIMENTOS!$C$5:$C$5000,A72,RECEBIMENTOS!$D$5:$D$5000)</f>
      </c>
      <c r="I72" s="11">
        <f>SUMIF(RECEBIMENTOS!$C$5:$C$5000,A72,RECEBIMENTOS!$E$5:$E$5000)</f>
      </c>
      <c r="J72" s="12">
        <f>MAX(0,G72-H72)</f>
      </c>
      <c r="K72" s="13">
        <f>G72*L72</f>
      </c>
      <c r="L72" s="14">
        <f>B72*C72/10000</f>
      </c>
      <c r="M72" s="11">
        <f>IF(H72&gt;=G72,"Completa",IF(H72&gt;0,"Parcial","Pendente"))</f>
      </c>
    </row>
    <row r="73">
      <c r="A73" s="9" t="str">
        <v>C69</v>
      </c>
      <c r="B73" s="10">
        <v>91</v>
      </c>
      <c r="C73" s="10">
        <v>73.8</v>
      </c>
      <c r="D73" s="10">
        <v>91.5</v>
      </c>
      <c r="E73" s="10">
        <v>74.3</v>
      </c>
      <c r="F73" s="10">
        <v>40.791</v>
      </c>
      <c r="G73" s="11">
        <v>1</v>
      </c>
      <c r="H73" s="11">
        <f>SUMIF(RECEBIMENTOS!$C$5:$C$5000,A73,RECEBIMENTOS!$D$5:$D$5000)</f>
      </c>
      <c r="I73" s="11">
        <f>SUMIF(RECEBIMENTOS!$C$5:$C$5000,A73,RECEBIMENTOS!$E$5:$E$5000)</f>
      </c>
      <c r="J73" s="12">
        <f>MAX(0,G73-H73)</f>
      </c>
      <c r="K73" s="13">
        <f>G73*L73</f>
      </c>
      <c r="L73" s="14">
        <f>B73*C73/10000</f>
      </c>
      <c r="M73" s="11">
        <f>IF(H73&gt;=G73,"Completa",IF(H73&gt;0,"Parcial","Pendente"))</f>
      </c>
    </row>
    <row r="74">
      <c r="A74" s="9" t="str">
        <v>C70</v>
      </c>
      <c r="B74" s="10">
        <v>91</v>
      </c>
      <c r="C74" s="10">
        <v>73.8</v>
      </c>
      <c r="D74" s="10">
        <v>91.5</v>
      </c>
      <c r="E74" s="10">
        <v>74.3</v>
      </c>
      <c r="F74" s="10">
        <v>40.791</v>
      </c>
      <c r="G74" s="11">
        <v>2</v>
      </c>
      <c r="H74" s="11">
        <f>SUMIF(RECEBIMENTOS!$C$5:$C$5000,A74,RECEBIMENTOS!$D$5:$D$5000)</f>
      </c>
      <c r="I74" s="11">
        <f>SUMIF(RECEBIMENTOS!$C$5:$C$5000,A74,RECEBIMENTOS!$E$5:$E$5000)</f>
      </c>
      <c r="J74" s="12">
        <f>MAX(0,G74-H74)</f>
      </c>
      <c r="K74" s="13">
        <f>G74*L74</f>
      </c>
      <c r="L74" s="14">
        <f>B74*C74/10000</f>
      </c>
      <c r="M74" s="11">
        <f>IF(H74&gt;=G74,"Completa",IF(H74&gt;0,"Parcial","Pendente"))</f>
      </c>
    </row>
    <row r="75">
      <c r="A75" s="9" t="str">
        <v>C71</v>
      </c>
      <c r="B75" s="10">
        <v>91</v>
      </c>
      <c r="C75" s="10">
        <v>73.8</v>
      </c>
      <c r="D75" s="10">
        <v>91.5</v>
      </c>
      <c r="E75" s="10">
        <v>74.3</v>
      </c>
      <c r="F75" s="10">
        <v>40.791</v>
      </c>
      <c r="G75" s="11">
        <v>1</v>
      </c>
      <c r="H75" s="11">
        <f>SUMIF(RECEBIMENTOS!$C$5:$C$5000,A75,RECEBIMENTOS!$D$5:$D$5000)</f>
      </c>
      <c r="I75" s="11">
        <f>SUMIF(RECEBIMENTOS!$C$5:$C$5000,A75,RECEBIMENTOS!$E$5:$E$5000)</f>
      </c>
      <c r="J75" s="12">
        <f>MAX(0,G75-H75)</f>
      </c>
      <c r="K75" s="13">
        <f>G75*L75</f>
      </c>
      <c r="L75" s="14">
        <f>B75*C75/10000</f>
      </c>
      <c r="M75" s="11">
        <f>IF(H75&gt;=G75,"Completa",IF(H75&gt;0,"Parcial","Pendente"))</f>
      </c>
    </row>
    <row r="76">
      <c r="A76" s="9" t="str">
        <v>C72</v>
      </c>
      <c r="B76" s="10">
        <v>102.6</v>
      </c>
      <c r="C76" s="10">
        <v>73.8</v>
      </c>
      <c r="D76" s="10">
        <v>103.1</v>
      </c>
      <c r="E76" s="10">
        <v>74.3</v>
      </c>
      <c r="F76" s="10">
        <v>45.962</v>
      </c>
      <c r="G76" s="11">
        <v>1</v>
      </c>
      <c r="H76" s="11">
        <f>SUMIF(RECEBIMENTOS!$C$5:$C$5000,A76,RECEBIMENTOS!$D$5:$D$5000)</f>
      </c>
      <c r="I76" s="11">
        <f>SUMIF(RECEBIMENTOS!$C$5:$C$5000,A76,RECEBIMENTOS!$E$5:$E$5000)</f>
      </c>
      <c r="J76" s="12">
        <f>MAX(0,G76-H76)</f>
      </c>
      <c r="K76" s="13">
        <f>G76*L76</f>
      </c>
      <c r="L76" s="14">
        <f>B76*C76/10000</f>
      </c>
      <c r="M76" s="11">
        <f>IF(H76&gt;=G76,"Completa",IF(H76&gt;0,"Parcial","Pendente"))</f>
      </c>
    </row>
    <row r="77">
      <c r="A77" s="9" t="str">
        <v>C73</v>
      </c>
      <c r="B77" s="10">
        <v>102.6</v>
      </c>
      <c r="C77" s="10">
        <v>73.8</v>
      </c>
      <c r="D77" s="10">
        <v>103.1</v>
      </c>
      <c r="E77" s="10">
        <v>74.3</v>
      </c>
      <c r="F77" s="10">
        <v>45.962</v>
      </c>
      <c r="G77" s="11">
        <v>20</v>
      </c>
      <c r="H77" s="11">
        <f>SUMIF(RECEBIMENTOS!$C$5:$C$5000,A77,RECEBIMENTOS!$D$5:$D$5000)</f>
      </c>
      <c r="I77" s="11">
        <f>SUMIF(RECEBIMENTOS!$C$5:$C$5000,A77,RECEBIMENTOS!$E$5:$E$5000)</f>
      </c>
      <c r="J77" s="12">
        <f>MAX(0,G77-H77)</f>
      </c>
      <c r="K77" s="13">
        <f>G77*L77</f>
      </c>
      <c r="L77" s="14">
        <f>B77*C77/10000</f>
      </c>
      <c r="M77" s="11">
        <f>IF(H77&gt;=G77,"Completa",IF(H77&gt;0,"Parcial","Pendente"))</f>
      </c>
    </row>
    <row r="78">
      <c r="A78" s="9" t="str">
        <v>C74</v>
      </c>
      <c r="B78" s="10">
        <v>102.6</v>
      </c>
      <c r="C78" s="10">
        <v>73.8</v>
      </c>
      <c r="D78" s="10">
        <v>103.1</v>
      </c>
      <c r="E78" s="10">
        <v>74.3</v>
      </c>
      <c r="F78" s="10">
        <v>45.962</v>
      </c>
      <c r="G78" s="11">
        <v>1</v>
      </c>
      <c r="H78" s="11">
        <f>SUMIF(RECEBIMENTOS!$C$5:$C$5000,A78,RECEBIMENTOS!$D$5:$D$5000)</f>
      </c>
      <c r="I78" s="11">
        <f>SUMIF(RECEBIMENTOS!$C$5:$C$5000,A78,RECEBIMENTOS!$E$5:$E$5000)</f>
      </c>
      <c r="J78" s="12">
        <f>MAX(0,G78-H78)</f>
      </c>
      <c r="K78" s="13">
        <f>G78*L78</f>
      </c>
      <c r="L78" s="14">
        <f>B78*C78/10000</f>
      </c>
      <c r="M78" s="11">
        <f>IF(H78&gt;=G78,"Completa",IF(H78&gt;0,"Parcial","Pendente"))</f>
      </c>
    </row>
    <row r="79">
      <c r="A79" s="9" t="str">
        <v>C75</v>
      </c>
      <c r="B79" s="10">
        <v>106.5</v>
      </c>
      <c r="C79" s="10">
        <v>73.8</v>
      </c>
      <c r="D79" s="10">
        <v>107</v>
      </c>
      <c r="E79" s="10">
        <v>74.3</v>
      </c>
      <c r="F79" s="10">
        <v>47.701</v>
      </c>
      <c r="G79" s="11">
        <v>1</v>
      </c>
      <c r="H79" s="11">
        <f>SUMIF(RECEBIMENTOS!$C$5:$C$5000,A79,RECEBIMENTOS!$D$5:$D$5000)</f>
      </c>
      <c r="I79" s="11">
        <f>SUMIF(RECEBIMENTOS!$C$5:$C$5000,A79,RECEBIMENTOS!$E$5:$E$5000)</f>
      </c>
      <c r="J79" s="12">
        <f>MAX(0,G79-H79)</f>
      </c>
      <c r="K79" s="13">
        <f>G79*L79</f>
      </c>
      <c r="L79" s="14">
        <f>B79*C79/10000</f>
      </c>
      <c r="M79" s="11">
        <f>IF(H79&gt;=G79,"Completa",IF(H79&gt;0,"Parcial","Pendente"))</f>
      </c>
    </row>
    <row r="80">
      <c r="A80" s="9" t="str">
        <v>C76</v>
      </c>
      <c r="B80" s="10">
        <v>106.5</v>
      </c>
      <c r="C80" s="10">
        <v>73.8</v>
      </c>
      <c r="D80" s="10">
        <v>107</v>
      </c>
      <c r="E80" s="10">
        <v>74.3</v>
      </c>
      <c r="F80" s="10">
        <v>47.701</v>
      </c>
      <c r="G80" s="11">
        <v>1</v>
      </c>
      <c r="H80" s="11">
        <f>SUMIF(RECEBIMENTOS!$C$5:$C$5000,A80,RECEBIMENTOS!$D$5:$D$5000)</f>
      </c>
      <c r="I80" s="11">
        <f>SUMIF(RECEBIMENTOS!$C$5:$C$5000,A80,RECEBIMENTOS!$E$5:$E$5000)</f>
      </c>
      <c r="J80" s="12">
        <f>MAX(0,G80-H80)</f>
      </c>
      <c r="K80" s="13">
        <f>G80*L80</f>
      </c>
      <c r="L80" s="14">
        <f>B80*C80/10000</f>
      </c>
      <c r="M80" s="11">
        <f>IF(H80&gt;=G80,"Completa",IF(H80&gt;0,"Parcial","Pendente"))</f>
      </c>
    </row>
    <row r="81">
      <c r="A81" s="15" t="str">
        <v>TOTAL</v>
      </c>
      <c r="B81" s="15" t="str">
        <v/>
      </c>
      <c r="C81" s="15" t="str">
        <v/>
      </c>
      <c r="D81" s="15" t="str">
        <v/>
      </c>
      <c r="E81" s="15" t="str">
        <v/>
      </c>
      <c r="F81" s="15" t="str">
        <v/>
      </c>
      <c r="G81" s="15">
        <f>SUM(G5:G80)</f>
      </c>
      <c r="H81" s="15">
        <f>SUM(H5:H80)</f>
      </c>
      <c r="I81" s="15">
        <f>SUM(I5:I80)</f>
      </c>
      <c r="J81" s="15">
        <f>SUM(J5:J80)</f>
      </c>
      <c r="K81" s="16">
        <f>SUM(K5:K80)</f>
      </c>
      <c r="L81" s="15" t="str">
        <v/>
      </c>
      <c r="M81" s="15" t="str">
        <v/>
      </c>
    </row>
    <row r="82">
      <c r="A82" s="17" t="str">
        <v>Área do saldo (m²)</v>
      </c>
      <c r="J82" s="18">
        <f>SUMPRODUCT(J5:J80,L5:L80)</f>
      </c>
    </row>
    <row r="83">
      <c r="A83" s="17" t="str">
        <v>Peso recebido (t)</v>
      </c>
      <c r="J83" s="19">
        <f>SUMPRODUCT(H5:H80,F5:F80)/1000</f>
      </c>
    </row>
  </sheetData>
  <mergeCells count="2">
    <mergeCell ref="A1:M1"/>
    <mergeCell ref="A2:M2"/>
  </mergeCells>
  <ignoredErrors>
    <ignoredError numberStoredAsText="1" sqref="A1:M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/>
  </sheetViews>
  <cols>
    <col min="1" max="1" width="12.83203125" customWidth="1"/>
    <col min="2" max="2" width="18.83203125" customWidth="1"/>
    <col min="3" max="3" width="9.83203125" customWidth="1"/>
    <col min="4" max="4" width="11.83203125" customWidth="1"/>
    <col min="5" max="5" width="11.83203125" customWidth="1"/>
    <col min="6" max="6" width="11.83203125" customWidth="1"/>
    <col min="7" max="7" width="44.83203125" customWidth="1"/>
  </cols>
  <sheetData>
    <row r="1">
      <c r="A1" s="3" t="str">
        <v>RECEBIMENTOS DE GRANITO · ODC-300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>
      <c r="A2" s="5" t="str">
        <v>ED. JARDIM · Fachada Posterior (4º ao 14º Pavimento)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4">
      <c r="A4" s="20" t="str">
        <v>DATA</v>
      </c>
      <c r="B4" s="20" t="str">
        <v>ROMANEIO / NF</v>
      </c>
      <c r="C4" s="20" t="str">
        <v>PLACA</v>
      </c>
      <c r="D4" s="20" t="str">
        <v>RECEBIDAS</v>
      </c>
      <c r="E4" s="20" t="str">
        <v>AVARIADAS</v>
      </c>
      <c r="F4" s="20" t="str">
        <v>ÁREA (m²)</v>
      </c>
      <c r="G4" s="20" t="str">
        <v>OBSERVAÇÕES</v>
      </c>
    </row>
    <row r="5">
      <c r="A5" s="21" t="str">
        <v>(sem recebimentos registrados)</v>
      </c>
      <c r="B5" s="21" t="str">
        <v/>
      </c>
      <c r="C5" s="21" t="str">
        <v/>
      </c>
      <c r="D5" s="21" t="str">
        <v/>
      </c>
      <c r="E5" s="21" t="str">
        <v/>
      </c>
      <c r="F5" s="21" t="str">
        <v/>
      </c>
      <c r="G5" s="21" t="str">
        <v/>
      </c>
    </row>
  </sheetData>
  <mergeCells count="2">
    <mergeCell ref="A1:G1"/>
    <mergeCell ref="A2:G2"/>
  </mergeCells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ODC-300</vt:lpstr>
      <vt:lpstr>RECEBIMENTOS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