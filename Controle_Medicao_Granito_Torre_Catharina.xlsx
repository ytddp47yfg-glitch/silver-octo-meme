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ÇÃO GRANITO" sheetId="1" r:id="rId1"/>
  </sheets>
  <calcPr calcId="191029" fullCalcOnLoad="1"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0.0%"/>
  </numFmts>
  <fonts count="20" x14ac:knownFonts="1">
    <font>
      <sz val="11"/>
      <name val="Calibri"/>
    </font>
    <font>
      <sz val="11"/>
      <name val="Calibri"/>
    </font>
    <font>
      <sz val="14"/>
      <name val="Aptos Narrow"/>
      <b/>
      <color rgb="FFFFFF"/>
    </font>
    <font>
      <sz val="10"/>
      <name val="Aptos Narrow"/>
    </font>
    <font>
      <sz val="11"/>
      <name val="Aptos Narrow"/>
      <b/>
      <color rgb="FFFFFF"/>
    </font>
    <font>
      <sz val="10"/>
      <name val="Aptos Narrow"/>
    </font>
    <font>
      <sz val="10"/>
      <name val="Aptos Narrow"/>
      <b/>
    </font>
    <font>
      <sz val="10"/>
      <name val="Aptos Narrow"/>
      <b/>
    </font>
    <font>
      <sz val="10"/>
      <name val="Aptos Narrow"/>
      <b/>
    </font>
    <font>
      <sz val="10"/>
      <name val="Aptos Narrow"/>
    </font>
    <font>
      <sz val="10"/>
      <name val="Aptos Narrow"/>
    </font>
    <font>
      <sz val="10"/>
      <name val="Aptos Narrow"/>
    </font>
    <font>
      <sz val="10"/>
      <name val="Aptos Narrow"/>
    </font>
    <font>
      <sz val="10"/>
      <name val="Aptos Narrow"/>
      <b/>
    </font>
    <font>
      <sz val="10"/>
      <name val="Aptos Narrow"/>
      <b/>
    </font>
    <font>
      <sz val="10"/>
      <name val="Aptos Narrow"/>
    </font>
    <font>
      <sz val="10"/>
      <name val="Aptos Narrow"/>
      <b/>
    </font>
    <font>
      <sz val="10"/>
      <name val="Aptos Narrow"/>
      <b/>
    </font>
    <font>
      <sz val="10"/>
      <name val="Aptos Narrow"/>
      <b/>
    </font>
    <font>
      <sz val="10"/>
      <name val="Aptos Narrow"/>
      <b/>
    </font>
  </fonts>
  <fills count="1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32623"/>
        <bgColor/>
      </patternFill>
    </fill>
    <fill>
      <patternFill patternType="solid">
        <fgColor rgb="FF232623"/>
        <bgColor/>
      </patternFill>
    </fill>
    <fill>
      <patternFill patternType="solid">
        <fgColor rgb="FF595959"/>
        <bgColor/>
      </patternFill>
    </fill>
    <fill>
      <patternFill patternType="solid">
        <fgColor rgb="FF595959"/>
        <bgColor/>
      </patternFill>
    </fill>
    <fill>
      <patternFill patternType="solid">
        <fgColor rgb="FFA6A6A6"/>
        <bgColor/>
      </patternFill>
    </fill>
    <fill>
      <patternFill patternType="solid">
        <fgColor rgb="FFA6A6A6"/>
        <bgColor/>
      </patternFill>
    </fill>
    <fill>
      <patternFill patternType="solid">
        <fgColor rgb="FFD6E4DD"/>
        <bgColor/>
      </patternFill>
    </fill>
    <fill>
      <patternFill patternType="solid">
        <fgColor rgb="FFF2F2F2"/>
        <bgColor/>
      </patternFill>
    </fill>
    <fill>
      <patternFill patternType="solid">
        <fgColor rgb="FFE6E9E6"/>
        <bgColor/>
      </patternFill>
    </fill>
    <fill>
      <patternFill patternType="solid">
        <fgColor rgb="FFE6E9E6"/>
        <bgColor/>
      </patternFill>
    </fill>
    <fill>
      <patternFill patternType="solid">
        <fgColor rgb="FFE6E9E6"/>
        <bgColor/>
      </patternFill>
    </fill>
    <fill>
      <patternFill patternType="solid">
        <fgColor rgb="FFD6E4DD"/>
        <bgColor/>
      </patternFill>
    </fill>
    <fill>
      <patternFill patternType="solid">
        <fgColor rgb="FFD6E4DD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  <border>
      <left style="thin">
        <color rgb="D0D5D8"/>
      </left>
      <right style="thin">
        <color rgb="D0D5D8"/>
      </right>
      <top style="thin">
        <color rgb="D0D5D8"/>
      </top>
      <bottom style="thin">
        <color rgb="D0D5D8"/>
      </bottom>
      <diagonal/>
    </border>
  </borders>
  <cellStyleXfs>
    <xf numFmtId="0" fontId="0" fillId="0" borderId="0"/>
  </cellStyleXfs>
  <cellXfs count="2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true"/>
    </xf>
    <xf numFmtId="0" fontId="8" fillId="8" borderId="4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4" fontId="11" fillId="0" borderId="7" xfId="0" applyFont="1" applyBorder="1" applyNumberFormat="1" applyAlignment="1">
      <alignment horizontal="center" vertical="center"/>
    </xf>
    <xf numFmtId="0" fontId="12" fillId="9" borderId="8" xfId="0" applyFont="1" applyFill="1" applyBorder="1" applyAlignment="1">
      <alignment horizontal="center" vertical="center"/>
    </xf>
    <xf numFmtId="4" fontId="13" fillId="0" borderId="9" xfId="0" applyFont="1" applyBorder="1" applyNumberFormat="1" applyAlignment="1">
      <alignment horizontal="center" vertical="center"/>
    </xf>
    <xf numFmtId="0" fontId="14" fillId="10" borderId="10" xfId="0" applyFont="1" applyFill="1" applyBorder="1" applyAlignment="1">
      <alignment horizontal="center" vertical="center"/>
    </xf>
    <xf numFmtId="0" fontId="15" fillId="11" borderId="11" xfId="0" applyFont="1" applyFill="1" applyBorder="1" applyAlignment="1">
      <alignment horizontal="center" vertical="center"/>
    </xf>
    <xf numFmtId="4" fontId="16" fillId="12" borderId="12" xfId="0" applyFont="1" applyFill="1" applyBorder="1" applyNumberFormat="1" applyAlignment="1">
      <alignment horizontal="center" vertical="center"/>
    </xf>
    <xf numFmtId="0" fontId="17" fillId="0" borderId="13" xfId="0" applyFont="1" applyBorder="1" applyAlignment="1">
      <alignment horizontal="left" vertical="center"/>
    </xf>
    <xf numFmtId="4" fontId="18" fillId="13" borderId="14" xfId="0" applyFont="1" applyFill="1" applyBorder="1" applyNumberFormat="1" applyAlignment="1">
      <alignment horizontal="center" vertical="center"/>
    </xf>
    <xf numFmtId="165" fontId="19" fillId="14" borderId="15" xfId="0" applyFont="1" applyFill="1" applyBorder="1" applyNumberFormat="1" applyAlignment="1">
      <alignment horizontal="center" vertical="center"/>
    </xf>
  </cellXfs>
  <cellStyles>
    <cellStyle name="Normal" xfId="0" builtinId="0"/>
  </cellStyles>
  <dxfs count="2">
    <dxf>
      <font>
        <b/>
        <color rgb="FF000000"/>
      </font>
      <fill>
        <patternFill patternType="solid">
          <fgColor rgb="FF00B050"/>
          <bgColor rgb="FF00B050"/>
        </patternFill>
      </fill>
    </dxf>
    <dxf>
      <font>
        <b/>
        <color rgb="FF000000"/>
      </font>
      <fill>
        <patternFill patternType="solid">
          <fgColor rgb="FF00B0F0"/>
          <bgColor rgb="FF00B0F0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6"/>
  <sheetViews>
    <sheetView showGridLines="0" workbookViewId="0"/>
  </sheetViews>
  <cols>
    <col min="1" max="1" width="13.83203125" customWidth="1"/>
    <col min="2" max="2" width="30.83203125" customWidth="1"/>
    <col min="3" max="3" width="13.83203125" customWidth="1"/>
    <col min="4" max="4" width="9.83203125" customWidth="1"/>
    <col min="5" max="5" width="13.83203125" customWidth="1"/>
    <col min="6" max="6" width="9.83203125" customWidth="1"/>
    <col min="7" max="7" width="13.83203125" customWidth="1"/>
    <col min="8" max="8" width="9.83203125" customWidth="1"/>
    <col min="9" max="9" width="13.83203125" customWidth="1"/>
    <col min="10" max="10" width="9.83203125" customWidth="1"/>
    <col min="11" max="11" width="13.83203125" customWidth="1"/>
    <col min="12" max="12" width="9.83203125" customWidth="1"/>
    <col min="13" max="13" width="12.83203125" customWidth="1"/>
  </cols>
  <sheetData>
    <row r="1" ht="22" customHeight="1">
      <c r="A1" s="3" t="str">
        <v>CONTROLE DE MEDIÇÃO · GRANITO BRANCO SIENA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</row>
    <row r="2" ht="18" customHeight="1">
      <c r="A2" s="5" t="str">
        <v>TORRE CATHARINA · m² por pavimento e face (levantamento v03) · status: x = medido, a = em andamento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  <c r="I2" s="6" t="str">
        <v/>
      </c>
      <c r="J2" s="6" t="str">
        <v/>
      </c>
      <c r="K2" s="6" t="str">
        <v/>
      </c>
      <c r="L2" s="6" t="str">
        <v/>
      </c>
      <c r="M2" s="6" t="str">
        <v/>
      </c>
    </row>
    <row r="3"/>
    <row r="4" ht="30" customHeight="1">
      <c r="A4" s="7" t="str">
        <v>TRECHO</v>
      </c>
      <c r="B4" s="7" t="str">
        <v>PAVIMENTO</v>
      </c>
      <c r="C4" s="8" t="str">
        <v>FRONTAL · ALAMEDA (m²)</v>
      </c>
      <c r="D4" s="9" t="str">
        <v>STATUS</v>
      </c>
      <c r="E4" s="8" t="str">
        <v>LAT. ESQUERDA (m²)</v>
      </c>
      <c r="F4" s="9" t="str">
        <v>STATUS</v>
      </c>
      <c r="G4" s="8" t="str">
        <v>POSTERIOR · ACÁCIAS (m²)</v>
      </c>
      <c r="H4" s="9" t="str">
        <v>STATUS</v>
      </c>
      <c r="I4" s="8" t="str">
        <v>LAT. DIREITA (m²)</v>
      </c>
      <c r="J4" s="9" t="str">
        <v>STATUS</v>
      </c>
      <c r="K4" s="8" t="str">
        <v>ÁREA EXTERNA (m²)</v>
      </c>
      <c r="L4" s="9" t="str">
        <v>STATUS</v>
      </c>
      <c r="M4" s="7" t="str">
        <v>TOTAL m²</v>
      </c>
    </row>
    <row r="5">
      <c r="A5" s="10" t="str">
        <v>Torre</v>
      </c>
      <c r="B5" s="11" t="str">
        <v>30º · Técnico</v>
      </c>
      <c r="C5" s="12" t="str">
        <v/>
      </c>
      <c r="D5" s="13" t="str">
        <v/>
      </c>
      <c r="E5" s="12" t="str">
        <v/>
      </c>
      <c r="F5" s="13" t="str">
        <v/>
      </c>
      <c r="G5" s="12" t="str">
        <v/>
      </c>
      <c r="H5" s="13" t="str">
        <v/>
      </c>
      <c r="I5" s="12">
        <v>421.5</v>
      </c>
      <c r="J5" s="10" t="str">
        <v/>
      </c>
      <c r="K5" s="12" t="str">
        <v/>
      </c>
      <c r="L5" s="13" t="str">
        <v/>
      </c>
      <c r="M5" s="14">
        <f>C5+E5+G5+I5+K5</f>
      </c>
    </row>
    <row r="6">
      <c r="A6" s="10" t="str">
        <v>Torre</v>
      </c>
      <c r="B6" s="11" t="str">
        <v>29º · Cobertura 2</v>
      </c>
      <c r="C6" s="12">
        <v>19.64</v>
      </c>
      <c r="D6" s="10" t="str">
        <v/>
      </c>
      <c r="E6" s="12">
        <v>4.93</v>
      </c>
      <c r="F6" s="10" t="str">
        <v/>
      </c>
      <c r="G6" s="12">
        <v>14.01</v>
      </c>
      <c r="H6" s="10" t="str">
        <v/>
      </c>
      <c r="I6" s="12">
        <v>4.93</v>
      </c>
      <c r="J6" s="10" t="str">
        <v/>
      </c>
      <c r="K6" s="12" t="str">
        <v/>
      </c>
      <c r="L6" s="13" t="str">
        <v/>
      </c>
      <c r="M6" s="14">
        <f>C6+E6+G6+I6+K6</f>
      </c>
    </row>
    <row r="7">
      <c r="A7" s="10" t="str">
        <v>Torre</v>
      </c>
      <c r="B7" s="11" t="str">
        <v>28º · Cobertura 1</v>
      </c>
      <c r="C7" s="12">
        <v>19.64</v>
      </c>
      <c r="D7" s="10" t="str">
        <v/>
      </c>
      <c r="E7" s="12">
        <v>5.14</v>
      </c>
      <c r="F7" s="10" t="str">
        <v/>
      </c>
      <c r="G7" s="12">
        <v>26.68</v>
      </c>
      <c r="H7" s="10" t="str">
        <v/>
      </c>
      <c r="I7" s="12">
        <v>5.14</v>
      </c>
      <c r="J7" s="10" t="str">
        <v/>
      </c>
      <c r="K7" s="12" t="str">
        <v/>
      </c>
      <c r="L7" s="13" t="str">
        <v/>
      </c>
      <c r="M7" s="14">
        <f>C7+E7+G7+I7+K7</f>
      </c>
    </row>
    <row r="8">
      <c r="A8" s="10" t="str">
        <v>Torre</v>
      </c>
      <c r="B8" s="11" t="str">
        <v>27º · Tipo</v>
      </c>
      <c r="C8" s="12">
        <v>18.54</v>
      </c>
      <c r="D8" s="10" t="str">
        <v/>
      </c>
      <c r="E8" s="12">
        <v>4.85</v>
      </c>
      <c r="F8" s="10" t="str">
        <v/>
      </c>
      <c r="G8" s="12">
        <v>25.19</v>
      </c>
      <c r="H8" s="10" t="str">
        <v/>
      </c>
      <c r="I8" s="12">
        <v>4.85</v>
      </c>
      <c r="J8" s="10" t="str">
        <v/>
      </c>
      <c r="K8" s="12" t="str">
        <v/>
      </c>
      <c r="L8" s="13" t="str">
        <v/>
      </c>
      <c r="M8" s="14">
        <f>C8+E8+G8+I8+K8</f>
      </c>
    </row>
    <row r="9">
      <c r="A9" s="10" t="str">
        <v>Torre</v>
      </c>
      <c r="B9" s="11" t="str">
        <v>26º · Tipo</v>
      </c>
      <c r="C9" s="12">
        <v>18.54</v>
      </c>
      <c r="D9" s="10" t="str">
        <v/>
      </c>
      <c r="E9" s="12">
        <v>4.85</v>
      </c>
      <c r="F9" s="10" t="str">
        <v/>
      </c>
      <c r="G9" s="12">
        <v>25.19</v>
      </c>
      <c r="H9" s="10" t="str">
        <v/>
      </c>
      <c r="I9" s="12">
        <v>4.85</v>
      </c>
      <c r="J9" s="10" t="str">
        <v/>
      </c>
      <c r="K9" s="12" t="str">
        <v/>
      </c>
      <c r="L9" s="13" t="str">
        <v/>
      </c>
      <c r="M9" s="14">
        <f>C9+E9+G9+I9+K9</f>
      </c>
    </row>
    <row r="10">
      <c r="A10" s="10" t="str">
        <v>Torre</v>
      </c>
      <c r="B10" s="11" t="str">
        <v>25º · Tipo</v>
      </c>
      <c r="C10" s="12">
        <v>18.54</v>
      </c>
      <c r="D10" s="10" t="str">
        <v/>
      </c>
      <c r="E10" s="12">
        <v>4.85</v>
      </c>
      <c r="F10" s="10" t="str">
        <v/>
      </c>
      <c r="G10" s="12">
        <v>25.19</v>
      </c>
      <c r="H10" s="10" t="str">
        <v/>
      </c>
      <c r="I10" s="12">
        <v>4.85</v>
      </c>
      <c r="J10" s="10" t="str">
        <v/>
      </c>
      <c r="K10" s="12" t="str">
        <v/>
      </c>
      <c r="L10" s="13" t="str">
        <v/>
      </c>
      <c r="M10" s="14">
        <f>C10+E10+G10+I10+K10</f>
      </c>
    </row>
    <row r="11">
      <c r="A11" s="10" t="str">
        <v>Torre</v>
      </c>
      <c r="B11" s="11" t="str">
        <v>24º · Tipo</v>
      </c>
      <c r="C11" s="12">
        <v>18.54</v>
      </c>
      <c r="D11" s="10" t="str">
        <v/>
      </c>
      <c r="E11" s="12">
        <v>4.85</v>
      </c>
      <c r="F11" s="10" t="str">
        <v/>
      </c>
      <c r="G11" s="12">
        <v>25.19</v>
      </c>
      <c r="H11" s="10" t="str">
        <v/>
      </c>
      <c r="I11" s="12">
        <v>4.85</v>
      </c>
      <c r="J11" s="10" t="str">
        <v/>
      </c>
      <c r="K11" s="12" t="str">
        <v/>
      </c>
      <c r="L11" s="13" t="str">
        <v/>
      </c>
      <c r="M11" s="14">
        <f>C11+E11+G11+I11+K11</f>
      </c>
    </row>
    <row r="12">
      <c r="A12" s="10" t="str">
        <v>Torre</v>
      </c>
      <c r="B12" s="11" t="str">
        <v>23º · Tipo</v>
      </c>
      <c r="C12" s="12">
        <v>18.54</v>
      </c>
      <c r="D12" s="10" t="str">
        <v/>
      </c>
      <c r="E12" s="12">
        <v>4.85</v>
      </c>
      <c r="F12" s="10" t="str">
        <v/>
      </c>
      <c r="G12" s="12">
        <v>25.19</v>
      </c>
      <c r="H12" s="10" t="str">
        <v/>
      </c>
      <c r="I12" s="12">
        <v>4.85</v>
      </c>
      <c r="J12" s="10" t="str">
        <v/>
      </c>
      <c r="K12" s="12" t="str">
        <v/>
      </c>
      <c r="L12" s="13" t="str">
        <v/>
      </c>
      <c r="M12" s="14">
        <f>C12+E12+G12+I12+K12</f>
      </c>
    </row>
    <row r="13">
      <c r="A13" s="10" t="str">
        <v>Torre</v>
      </c>
      <c r="B13" s="11" t="str">
        <v>22º · Tipo</v>
      </c>
      <c r="C13" s="12">
        <v>18.54</v>
      </c>
      <c r="D13" s="10" t="str">
        <v/>
      </c>
      <c r="E13" s="12">
        <v>4.85</v>
      </c>
      <c r="F13" s="10" t="str">
        <v/>
      </c>
      <c r="G13" s="12">
        <v>25.19</v>
      </c>
      <c r="H13" s="10" t="str">
        <v/>
      </c>
      <c r="I13" s="12">
        <v>4.85</v>
      </c>
      <c r="J13" s="10" t="str">
        <v/>
      </c>
      <c r="K13" s="12" t="str">
        <v/>
      </c>
      <c r="L13" s="13" t="str">
        <v/>
      </c>
      <c r="M13" s="14">
        <f>C13+E13+G13+I13+K13</f>
      </c>
    </row>
    <row r="14">
      <c r="A14" s="10" t="str">
        <v>Torre</v>
      </c>
      <c r="B14" s="11" t="str">
        <v>21º · Tipo</v>
      </c>
      <c r="C14" s="12">
        <v>18.54</v>
      </c>
      <c r="D14" s="10" t="str">
        <v/>
      </c>
      <c r="E14" s="12">
        <v>4.85</v>
      </c>
      <c r="F14" s="10" t="str">
        <v/>
      </c>
      <c r="G14" s="12">
        <v>25.19</v>
      </c>
      <c r="H14" s="10" t="str">
        <v/>
      </c>
      <c r="I14" s="12">
        <v>4.85</v>
      </c>
      <c r="J14" s="10" t="str">
        <v/>
      </c>
      <c r="K14" s="12" t="str">
        <v/>
      </c>
      <c r="L14" s="13" t="str">
        <v/>
      </c>
      <c r="M14" s="14">
        <f>C14+E14+G14+I14+K14</f>
      </c>
    </row>
    <row r="15">
      <c r="A15" s="10" t="str">
        <v>Torre</v>
      </c>
      <c r="B15" s="11" t="str">
        <v>20º · Tipo</v>
      </c>
      <c r="C15" s="12">
        <v>18.54</v>
      </c>
      <c r="D15" s="10" t="str">
        <v/>
      </c>
      <c r="E15" s="12">
        <v>4.85</v>
      </c>
      <c r="F15" s="10" t="str">
        <v/>
      </c>
      <c r="G15" s="12">
        <v>25.19</v>
      </c>
      <c r="H15" s="10" t="str">
        <v/>
      </c>
      <c r="I15" s="12">
        <v>4.85</v>
      </c>
      <c r="J15" s="10" t="str">
        <v/>
      </c>
      <c r="K15" s="12" t="str">
        <v/>
      </c>
      <c r="L15" s="13" t="str">
        <v/>
      </c>
      <c r="M15" s="14">
        <f>C15+E15+G15+I15+K15</f>
      </c>
    </row>
    <row r="16">
      <c r="A16" s="10" t="str">
        <v>Torre</v>
      </c>
      <c r="B16" s="11" t="str">
        <v>19º · Tipo</v>
      </c>
      <c r="C16" s="12">
        <v>18.54</v>
      </c>
      <c r="D16" s="10" t="str">
        <v/>
      </c>
      <c r="E16" s="12">
        <v>4.85</v>
      </c>
      <c r="F16" s="10" t="str">
        <v/>
      </c>
      <c r="G16" s="12">
        <v>25.19</v>
      </c>
      <c r="H16" s="10" t="str">
        <v/>
      </c>
      <c r="I16" s="12">
        <v>4.85</v>
      </c>
      <c r="J16" s="10" t="str">
        <v/>
      </c>
      <c r="K16" s="12" t="str">
        <v/>
      </c>
      <c r="L16" s="13" t="str">
        <v/>
      </c>
      <c r="M16" s="14">
        <f>C16+E16+G16+I16+K16</f>
      </c>
    </row>
    <row r="17">
      <c r="A17" s="10" t="str">
        <v>Torre</v>
      </c>
      <c r="B17" s="11" t="str">
        <v>18º · Tipo</v>
      </c>
      <c r="C17" s="12">
        <v>18.54</v>
      </c>
      <c r="D17" s="10" t="str">
        <v/>
      </c>
      <c r="E17" s="12">
        <v>4.85</v>
      </c>
      <c r="F17" s="10" t="str">
        <v/>
      </c>
      <c r="G17" s="12">
        <v>25.19</v>
      </c>
      <c r="H17" s="10" t="str">
        <v/>
      </c>
      <c r="I17" s="12">
        <v>4.85</v>
      </c>
      <c r="J17" s="10" t="str">
        <v/>
      </c>
      <c r="K17" s="12" t="str">
        <v/>
      </c>
      <c r="L17" s="13" t="str">
        <v/>
      </c>
      <c r="M17" s="14">
        <f>C17+E17+G17+I17+K17</f>
      </c>
    </row>
    <row r="18">
      <c r="A18" s="10" t="str">
        <v>Torre</v>
      </c>
      <c r="B18" s="11" t="str">
        <v>17º · Tipo</v>
      </c>
      <c r="C18" s="12">
        <v>18.54</v>
      </c>
      <c r="D18" s="10" t="str">
        <v/>
      </c>
      <c r="E18" s="12">
        <v>4.85</v>
      </c>
      <c r="F18" s="10" t="str">
        <v/>
      </c>
      <c r="G18" s="12">
        <v>25.19</v>
      </c>
      <c r="H18" s="10" t="str">
        <v/>
      </c>
      <c r="I18" s="12">
        <v>4.85</v>
      </c>
      <c r="J18" s="10" t="str">
        <v/>
      </c>
      <c r="K18" s="12" t="str">
        <v/>
      </c>
      <c r="L18" s="13" t="str">
        <v/>
      </c>
      <c r="M18" s="14">
        <f>C18+E18+G18+I18+K18</f>
      </c>
    </row>
    <row r="19">
      <c r="A19" s="10" t="str">
        <v>Torre</v>
      </c>
      <c r="B19" s="11" t="str">
        <v>16º · Tipo</v>
      </c>
      <c r="C19" s="12">
        <v>18.54</v>
      </c>
      <c r="D19" s="10" t="str">
        <v/>
      </c>
      <c r="E19" s="12">
        <v>4.85</v>
      </c>
      <c r="F19" s="10" t="str">
        <v/>
      </c>
      <c r="G19" s="12">
        <v>25.19</v>
      </c>
      <c r="H19" s="10" t="str">
        <v/>
      </c>
      <c r="I19" s="12">
        <v>4.85</v>
      </c>
      <c r="J19" s="10" t="str">
        <v/>
      </c>
      <c r="K19" s="12" t="str">
        <v/>
      </c>
      <c r="L19" s="13" t="str">
        <v/>
      </c>
      <c r="M19" s="14">
        <f>C19+E19+G19+I19+K19</f>
      </c>
    </row>
    <row r="20">
      <c r="A20" s="10" t="str">
        <v>Torre</v>
      </c>
      <c r="B20" s="11" t="str">
        <v>15º · Tipo</v>
      </c>
      <c r="C20" s="12">
        <v>18.54</v>
      </c>
      <c r="D20" s="10" t="str">
        <v/>
      </c>
      <c r="E20" s="12">
        <v>4.85</v>
      </c>
      <c r="F20" s="10" t="str">
        <v/>
      </c>
      <c r="G20" s="12">
        <v>25.19</v>
      </c>
      <c r="H20" s="10" t="str">
        <v/>
      </c>
      <c r="I20" s="12">
        <v>4.85</v>
      </c>
      <c r="J20" s="10" t="str">
        <v/>
      </c>
      <c r="K20" s="12" t="str">
        <v/>
      </c>
      <c r="L20" s="13" t="str">
        <v/>
      </c>
      <c r="M20" s="14">
        <f>C20+E20+G20+I20+K20</f>
      </c>
    </row>
    <row r="21">
      <c r="A21" s="10" t="str">
        <v>Torre</v>
      </c>
      <c r="B21" s="11" t="str">
        <v>14º · Tipo</v>
      </c>
      <c r="C21" s="12">
        <v>18.54</v>
      </c>
      <c r="D21" s="10" t="str">
        <v/>
      </c>
      <c r="E21" s="12">
        <v>4.85</v>
      </c>
      <c r="F21" s="10" t="str">
        <v/>
      </c>
      <c r="G21" s="12">
        <v>25.19</v>
      </c>
      <c r="H21" s="10" t="str">
        <v/>
      </c>
      <c r="I21" s="12">
        <v>4.85</v>
      </c>
      <c r="J21" s="10" t="str">
        <v/>
      </c>
      <c r="K21" s="12" t="str">
        <v/>
      </c>
      <c r="L21" s="13" t="str">
        <v/>
      </c>
      <c r="M21" s="14">
        <f>C21+E21+G21+I21+K21</f>
      </c>
    </row>
    <row r="22">
      <c r="A22" s="10" t="str">
        <v>Torre</v>
      </c>
      <c r="B22" s="11" t="str">
        <v>13º · Tipo</v>
      </c>
      <c r="C22" s="12">
        <v>18.54</v>
      </c>
      <c r="D22" s="10" t="str">
        <v/>
      </c>
      <c r="E22" s="12">
        <v>4.85</v>
      </c>
      <c r="F22" s="10" t="str">
        <v/>
      </c>
      <c r="G22" s="12">
        <v>25.19</v>
      </c>
      <c r="H22" s="10" t="str">
        <v/>
      </c>
      <c r="I22" s="12">
        <v>4.85</v>
      </c>
      <c r="J22" s="10" t="str">
        <v/>
      </c>
      <c r="K22" s="12" t="str">
        <v/>
      </c>
      <c r="L22" s="13" t="str">
        <v/>
      </c>
      <c r="M22" s="14">
        <f>C22+E22+G22+I22+K22</f>
      </c>
    </row>
    <row r="23">
      <c r="A23" s="10" t="str">
        <v>Torre</v>
      </c>
      <c r="B23" s="11" t="str">
        <v>12º · Tipo</v>
      </c>
      <c r="C23" s="12">
        <v>18.54</v>
      </c>
      <c r="D23" s="10" t="str">
        <v/>
      </c>
      <c r="E23" s="12">
        <v>4.85</v>
      </c>
      <c r="F23" s="10" t="str">
        <v/>
      </c>
      <c r="G23" s="12">
        <v>25.19</v>
      </c>
      <c r="H23" s="10" t="str">
        <v/>
      </c>
      <c r="I23" s="12">
        <v>4.85</v>
      </c>
      <c r="J23" s="10" t="str">
        <v/>
      </c>
      <c r="K23" s="12" t="str">
        <v/>
      </c>
      <c r="L23" s="13" t="str">
        <v/>
      </c>
      <c r="M23" s="14">
        <f>C23+E23+G23+I23+K23</f>
      </c>
    </row>
    <row r="24">
      <c r="A24" s="10" t="str">
        <v>Torre</v>
      </c>
      <c r="B24" s="11" t="str">
        <v>11º · Tipo</v>
      </c>
      <c r="C24" s="12">
        <v>18.54</v>
      </c>
      <c r="D24" s="10" t="str">
        <v/>
      </c>
      <c r="E24" s="12">
        <v>4.85</v>
      </c>
      <c r="F24" s="10" t="str">
        <v/>
      </c>
      <c r="G24" s="12">
        <v>25.19</v>
      </c>
      <c r="H24" s="10" t="str">
        <v/>
      </c>
      <c r="I24" s="12">
        <v>4.85</v>
      </c>
      <c r="J24" s="10" t="str">
        <v/>
      </c>
      <c r="K24" s="12" t="str">
        <v/>
      </c>
      <c r="L24" s="13" t="str">
        <v/>
      </c>
      <c r="M24" s="14">
        <f>C24+E24+G24+I24+K24</f>
      </c>
    </row>
    <row r="25">
      <c r="A25" s="10" t="str">
        <v>Torre</v>
      </c>
      <c r="B25" s="11" t="str">
        <v>10º · Tipo</v>
      </c>
      <c r="C25" s="12">
        <v>18.54</v>
      </c>
      <c r="D25" s="10" t="str">
        <v/>
      </c>
      <c r="E25" s="12">
        <v>4.85</v>
      </c>
      <c r="F25" s="10" t="str">
        <v/>
      </c>
      <c r="G25" s="12">
        <v>25.19</v>
      </c>
      <c r="H25" s="10" t="str">
        <v/>
      </c>
      <c r="I25" s="12">
        <v>4.85</v>
      </c>
      <c r="J25" s="10" t="str">
        <v/>
      </c>
      <c r="K25" s="12" t="str">
        <v/>
      </c>
      <c r="L25" s="13" t="str">
        <v/>
      </c>
      <c r="M25" s="14">
        <f>C25+E25+G25+I25+K25</f>
      </c>
    </row>
    <row r="26">
      <c r="A26" s="10" t="str">
        <v>Torre</v>
      </c>
      <c r="B26" s="11" t="str">
        <v>9º · Tipo</v>
      </c>
      <c r="C26" s="12">
        <v>18.54</v>
      </c>
      <c r="D26" s="10" t="str">
        <v/>
      </c>
      <c r="E26" s="12">
        <v>4.85</v>
      </c>
      <c r="F26" s="10" t="str">
        <v/>
      </c>
      <c r="G26" s="12">
        <v>25.19</v>
      </c>
      <c r="H26" s="10" t="str">
        <v/>
      </c>
      <c r="I26" s="12">
        <v>4.85</v>
      </c>
      <c r="J26" s="10" t="str">
        <v/>
      </c>
      <c r="K26" s="12" t="str">
        <v/>
      </c>
      <c r="L26" s="13" t="str">
        <v/>
      </c>
      <c r="M26" s="14">
        <f>C26+E26+G26+I26+K26</f>
      </c>
    </row>
    <row r="27">
      <c r="A27" s="10" t="str">
        <v>Torre</v>
      </c>
      <c r="B27" s="11" t="str">
        <v>8º · Tipo</v>
      </c>
      <c r="C27" s="12">
        <v>18.54</v>
      </c>
      <c r="D27" s="10" t="str">
        <v/>
      </c>
      <c r="E27" s="12">
        <v>4.85</v>
      </c>
      <c r="F27" s="10" t="str">
        <v/>
      </c>
      <c r="G27" s="12">
        <v>25.19</v>
      </c>
      <c r="H27" s="10" t="str">
        <v/>
      </c>
      <c r="I27" s="12">
        <v>4.85</v>
      </c>
      <c r="J27" s="10" t="str">
        <v/>
      </c>
      <c r="K27" s="12" t="str">
        <v/>
      </c>
      <c r="L27" s="13" t="str">
        <v/>
      </c>
      <c r="M27" s="14">
        <f>C27+E27+G27+I27+K27</f>
      </c>
    </row>
    <row r="28">
      <c r="A28" s="10" t="str">
        <v>Torre</v>
      </c>
      <c r="B28" s="11" t="str">
        <v>7º · Tipo</v>
      </c>
      <c r="C28" s="12">
        <v>18.54</v>
      </c>
      <c r="D28" s="10" t="str">
        <v/>
      </c>
      <c r="E28" s="12">
        <v>4.85</v>
      </c>
      <c r="F28" s="10" t="str">
        <v/>
      </c>
      <c r="G28" s="12">
        <v>25.19</v>
      </c>
      <c r="H28" s="10" t="str">
        <v/>
      </c>
      <c r="I28" s="12">
        <v>4.85</v>
      </c>
      <c r="J28" s="10" t="str">
        <v/>
      </c>
      <c r="K28" s="12" t="str">
        <v/>
      </c>
      <c r="L28" s="13" t="str">
        <v/>
      </c>
      <c r="M28" s="14">
        <f>C28+E28+G28+I28+K28</f>
      </c>
    </row>
    <row r="29">
      <c r="A29" s="10" t="str">
        <v>Torre</v>
      </c>
      <c r="B29" s="11" t="str">
        <v>6º · Tipo</v>
      </c>
      <c r="C29" s="12">
        <v>18.54</v>
      </c>
      <c r="D29" s="10" t="str">
        <v/>
      </c>
      <c r="E29" s="12">
        <v>4.85</v>
      </c>
      <c r="F29" s="10" t="str">
        <v/>
      </c>
      <c r="G29" s="12">
        <v>25.19</v>
      </c>
      <c r="H29" s="10" t="str">
        <v/>
      </c>
      <c r="I29" s="12">
        <v>4.85</v>
      </c>
      <c r="J29" s="10" t="str">
        <v/>
      </c>
      <c r="K29" s="12" t="str">
        <v/>
      </c>
      <c r="L29" s="13" t="str">
        <v/>
      </c>
      <c r="M29" s="14">
        <f>C29+E29+G29+I29+K29</f>
      </c>
    </row>
    <row r="30">
      <c r="A30" s="10" t="str">
        <v>Torre</v>
      </c>
      <c r="B30" s="11" t="str">
        <v>5º · Tipo</v>
      </c>
      <c r="C30" s="12">
        <v>18.54</v>
      </c>
      <c r="D30" s="10" t="str">
        <v/>
      </c>
      <c r="E30" s="12">
        <v>4.85</v>
      </c>
      <c r="F30" s="10" t="str">
        <v/>
      </c>
      <c r="G30" s="12">
        <v>25.19</v>
      </c>
      <c r="H30" s="10" t="str">
        <v/>
      </c>
      <c r="I30" s="12">
        <v>4.85</v>
      </c>
      <c r="J30" s="10" t="str">
        <v/>
      </c>
      <c r="K30" s="12" t="str">
        <v/>
      </c>
      <c r="L30" s="13" t="str">
        <v/>
      </c>
      <c r="M30" s="14">
        <f>C30+E30+G30+I30+K30</f>
      </c>
    </row>
    <row r="31">
      <c r="A31" s="10" t="str">
        <v>Torre</v>
      </c>
      <c r="B31" s="11" t="str">
        <v>4º · Tipo (LPI pilotis)</v>
      </c>
      <c r="C31" s="12">
        <v>18.54</v>
      </c>
      <c r="D31" s="10" t="str">
        <v/>
      </c>
      <c r="E31" s="12">
        <v>4.85</v>
      </c>
      <c r="F31" s="10" t="str">
        <v/>
      </c>
      <c r="G31" s="12">
        <v>25.19</v>
      </c>
      <c r="H31" s="10" t="str">
        <v/>
      </c>
      <c r="I31" s="12">
        <v>4.85</v>
      </c>
      <c r="J31" s="10" t="str">
        <v/>
      </c>
      <c r="K31" s="12" t="str">
        <v/>
      </c>
      <c r="L31" s="13" t="str">
        <v/>
      </c>
      <c r="M31" s="14">
        <f>C31+E31+G31+I31+K31</f>
      </c>
    </row>
    <row r="32">
      <c r="A32" s="10" t="str">
        <v>Embasamento</v>
      </c>
      <c r="B32" s="11" t="str">
        <v>3º · Pilotis</v>
      </c>
      <c r="C32" s="12">
        <v>70.13</v>
      </c>
      <c r="D32" s="10" t="str">
        <v/>
      </c>
      <c r="E32" s="12" t="str">
        <v/>
      </c>
      <c r="F32" s="13" t="str">
        <v/>
      </c>
      <c r="G32" s="12">
        <v>50.22</v>
      </c>
      <c r="H32" s="10" t="str">
        <v/>
      </c>
      <c r="I32" s="12" t="str">
        <v/>
      </c>
      <c r="J32" s="13" t="str">
        <v/>
      </c>
      <c r="K32" s="12">
        <v>368.66</v>
      </c>
      <c r="L32" s="10" t="str">
        <v/>
      </c>
      <c r="M32" s="14">
        <f>C32+E32+G32+I32+K32</f>
      </c>
    </row>
    <row r="33">
      <c r="A33" s="10" t="str">
        <v>Embasamento</v>
      </c>
      <c r="B33" s="11" t="str">
        <v>2º · Lojas</v>
      </c>
      <c r="C33" s="12">
        <v>435.76</v>
      </c>
      <c r="D33" s="10" t="str">
        <v/>
      </c>
      <c r="E33" s="12">
        <v>178.06</v>
      </c>
      <c r="F33" s="10" t="str">
        <v/>
      </c>
      <c r="G33" s="12">
        <v>64.67</v>
      </c>
      <c r="H33" s="10" t="str">
        <v/>
      </c>
      <c r="I33" s="12">
        <v>71.69</v>
      </c>
      <c r="J33" s="10" t="str">
        <v/>
      </c>
      <c r="K33" s="12" t="str">
        <v/>
      </c>
      <c r="L33" s="13" t="str">
        <v/>
      </c>
      <c r="M33" s="14">
        <f>C33+E33+G33+I33+K33</f>
      </c>
    </row>
    <row r="34">
      <c r="A34" s="10" t="str">
        <v>Embasamento</v>
      </c>
      <c r="B34" s="11" t="str">
        <v>1º · Térreo Alameda · Lojas</v>
      </c>
      <c r="C34" s="12">
        <v>255.51</v>
      </c>
      <c r="D34" s="10" t="str">
        <v/>
      </c>
      <c r="E34" s="12">
        <v>172.01</v>
      </c>
      <c r="F34" s="10" t="str">
        <v/>
      </c>
      <c r="G34" s="12">
        <v>58.2</v>
      </c>
      <c r="H34" s="10" t="str">
        <v/>
      </c>
      <c r="I34" s="12">
        <v>42.6</v>
      </c>
      <c r="J34" s="10" t="str">
        <v/>
      </c>
      <c r="K34" s="12" t="str">
        <v/>
      </c>
      <c r="L34" s="13" t="str">
        <v/>
      </c>
      <c r="M34" s="14">
        <f>C34+E34+G34+I34+K34</f>
      </c>
    </row>
    <row r="35">
      <c r="A35" s="10" t="str">
        <v>Embasamento</v>
      </c>
      <c r="B35" s="11" t="str">
        <v>Mezanino</v>
      </c>
      <c r="C35" s="12" t="str">
        <v/>
      </c>
      <c r="D35" s="13" t="str">
        <v/>
      </c>
      <c r="E35" s="12">
        <v>83.07</v>
      </c>
      <c r="F35" s="10" t="str">
        <v/>
      </c>
      <c r="G35" s="12">
        <v>28.41</v>
      </c>
      <c r="H35" s="10" t="str">
        <v/>
      </c>
      <c r="I35" s="12" t="str">
        <v/>
      </c>
      <c r="J35" s="13" t="str">
        <v/>
      </c>
      <c r="K35" s="12" t="str">
        <v/>
      </c>
      <c r="L35" s="13" t="str">
        <v/>
      </c>
      <c r="M35" s="14">
        <f>C35+E35+G35+I35+K35</f>
      </c>
    </row>
    <row r="36">
      <c r="A36" s="10" t="str">
        <v>Embasamento</v>
      </c>
      <c r="B36" s="11" t="str">
        <v>1º subsolo</v>
      </c>
      <c r="C36" s="12" t="str">
        <v/>
      </c>
      <c r="D36" s="13" t="str">
        <v/>
      </c>
      <c r="E36" s="12">
        <v>19.98</v>
      </c>
      <c r="F36" s="10" t="str">
        <v/>
      </c>
      <c r="G36" s="12">
        <v>32.15</v>
      </c>
      <c r="H36" s="10" t="str">
        <v/>
      </c>
      <c r="I36" s="12" t="str">
        <v/>
      </c>
      <c r="J36" s="13" t="str">
        <v/>
      </c>
      <c r="K36" s="12" t="str">
        <v/>
      </c>
      <c r="L36" s="13" t="str">
        <v/>
      </c>
      <c r="M36" s="14">
        <f>C36+E36+G36+I36+K36</f>
      </c>
    </row>
    <row r="37">
      <c r="A37" s="10" t="str">
        <v>Embasamento</v>
      </c>
      <c r="B37" s="11" t="str">
        <v>2º subsolo</v>
      </c>
      <c r="C37" s="12" t="str">
        <v/>
      </c>
      <c r="D37" s="13" t="str">
        <v/>
      </c>
      <c r="E37" s="12" t="str">
        <v/>
      </c>
      <c r="F37" s="13" t="str">
        <v/>
      </c>
      <c r="G37" s="12">
        <v>36.17</v>
      </c>
      <c r="H37" s="10" t="str">
        <v/>
      </c>
      <c r="I37" s="12" t="str">
        <v/>
      </c>
      <c r="J37" s="13" t="str">
        <v/>
      </c>
      <c r="K37" s="12" t="str">
        <v/>
      </c>
      <c r="L37" s="13" t="str">
        <v/>
      </c>
      <c r="M37" s="14">
        <f>C37+E37+G37+I37+K37</f>
      </c>
    </row>
    <row r="38">
      <c r="A38" s="10" t="str">
        <v>Embasamento</v>
      </c>
      <c r="B38" s="11" t="str">
        <v>3º subsolo</v>
      </c>
      <c r="C38" s="12" t="str">
        <v/>
      </c>
      <c r="D38" s="13" t="str">
        <v/>
      </c>
      <c r="E38" s="12" t="str">
        <v/>
      </c>
      <c r="F38" s="13" t="str">
        <v/>
      </c>
      <c r="G38" s="12">
        <v>36.17</v>
      </c>
      <c r="H38" s="10" t="str">
        <v/>
      </c>
      <c r="I38" s="12" t="str">
        <v/>
      </c>
      <c r="J38" s="13" t="str">
        <v/>
      </c>
      <c r="K38" s="12" t="str">
        <v/>
      </c>
      <c r="L38" s="13" t="str">
        <v/>
      </c>
      <c r="M38" s="14">
        <f>C38+E38+G38+I38+K38</f>
      </c>
    </row>
    <row r="39">
      <c r="A39" s="10" t="str">
        <v>Embasamento</v>
      </c>
      <c r="B39" s="11" t="str">
        <v>4º subsolo</v>
      </c>
      <c r="C39" s="12" t="str">
        <v/>
      </c>
      <c r="D39" s="13" t="str">
        <v/>
      </c>
      <c r="E39" s="12" t="str">
        <v/>
      </c>
      <c r="F39" s="13" t="str">
        <v/>
      </c>
      <c r="G39" s="12">
        <v>36.17</v>
      </c>
      <c r="H39" s="10" t="str">
        <v/>
      </c>
      <c r="I39" s="12" t="str">
        <v/>
      </c>
      <c r="J39" s="13" t="str">
        <v/>
      </c>
      <c r="K39" s="12" t="str">
        <v/>
      </c>
      <c r="L39" s="13" t="str">
        <v/>
      </c>
      <c r="M39" s="14">
        <f>C39+E39+G39+I39+K39</f>
      </c>
    </row>
    <row r="40">
      <c r="A40" s="10" t="str">
        <v>Embasamento</v>
      </c>
      <c r="B40" s="11" t="str">
        <v>5º subsolo</v>
      </c>
      <c r="C40" s="12" t="str">
        <v/>
      </c>
      <c r="D40" s="13" t="str">
        <v/>
      </c>
      <c r="E40" s="12" t="str">
        <v/>
      </c>
      <c r="F40" s="13" t="str">
        <v/>
      </c>
      <c r="G40" s="12">
        <v>36.17</v>
      </c>
      <c r="H40" s="10" t="str">
        <v/>
      </c>
      <c r="I40" s="12" t="str">
        <v/>
      </c>
      <c r="J40" s="13" t="str">
        <v/>
      </c>
      <c r="K40" s="12" t="str">
        <v/>
      </c>
      <c r="L40" s="13" t="str">
        <v/>
      </c>
      <c r="M40" s="14">
        <f>C40+E40+G40+I40+K40</f>
      </c>
    </row>
    <row r="41">
      <c r="A41" s="10" t="str">
        <v>Embasamento</v>
      </c>
      <c r="B41" s="11" t="str">
        <v>6º subsolo · Lojas (Térreo Acácias)</v>
      </c>
      <c r="C41" s="12" t="str">
        <v/>
      </c>
      <c r="D41" s="13" t="str">
        <v/>
      </c>
      <c r="E41" s="12" t="str">
        <v/>
      </c>
      <c r="F41" s="13" t="str">
        <v/>
      </c>
      <c r="G41" s="12">
        <v>147.73</v>
      </c>
      <c r="H41" s="10" t="str">
        <v/>
      </c>
      <c r="I41" s="12" t="str">
        <v/>
      </c>
      <c r="J41" s="13" t="str">
        <v/>
      </c>
      <c r="K41" s="12" t="str">
        <v/>
      </c>
      <c r="L41" s="13" t="str">
        <v/>
      </c>
      <c r="M41" s="14">
        <f>C41+E41+G41+I41+K41</f>
      </c>
    </row>
    <row r="42">
      <c r="A42" s="15" t="str">
        <v>TOTAL</v>
      </c>
      <c r="B42" s="16" t="str">
        <v/>
      </c>
      <c r="C42" s="17">
        <f>SUM(C5:C41)</f>
      </c>
      <c r="D42" s="17">
        <f>SUMIF(D5:D41,"x",C5:C41)</f>
      </c>
      <c r="E42" s="17">
        <f>SUM(E5:E41)</f>
      </c>
      <c r="F42" s="17">
        <f>SUMIF(F5:F41,"x",E5:E41)</f>
      </c>
      <c r="G42" s="17">
        <f>SUM(G5:G41)</f>
      </c>
      <c r="H42" s="17">
        <f>SUMIF(H5:H41,"x",G5:G41)</f>
      </c>
      <c r="I42" s="17">
        <f>SUM(I5:I41)</f>
      </c>
      <c r="J42" s="17">
        <f>SUMIF(J5:J41,"x",I5:I41)</f>
      </c>
      <c r="K42" s="17">
        <f>SUM(K5:K41)</f>
      </c>
      <c r="L42" s="17">
        <f>SUMIF(L5:L41,"x",K5:K41)</f>
      </c>
      <c r="M42" s="17">
        <f>SUM(M5:M41)</f>
      </c>
    </row>
    <row r="44">
      <c r="B44" s="18" t="str">
        <v>m² medido</v>
      </c>
      <c r="C44" s="19">
        <f>D42+F42+H42+J42+L42</f>
      </c>
    </row>
    <row r="45">
      <c r="B45" s="18" t="str">
        <v>% medido</v>
      </c>
      <c r="C45" s="20">
        <f>C44/M42</f>
      </c>
    </row>
    <row r="46">
      <c r="B46" s="18" t="str">
        <v>Valor medido (R$)</v>
      </c>
      <c r="C46" s="19">
        <f>C44*558.9608</f>
      </c>
    </row>
  </sheetData>
  <mergeCells count="2">
    <mergeCell ref="A1:M1"/>
    <mergeCell ref="A2:M2"/>
  </mergeCells>
  <conditionalFormatting sqref="D5:L41">
    <cfRule type="cellIs" dxfId="0" priority="1" operator="equal">
      <formula>"x"</formula>
    </cfRule>
    <cfRule type="cellIs" dxfId="1" priority="2" operator="equal">
      <formula>"a"</formula>
    </cfRule>
  </conditionalFormatting>
  <ignoredErrors>
    <ignoredError numberStoredAsText="1" sqref="A1:M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MEDIÇÃO GRANITO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