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ORRE JARDIM" sheetId="1" r:id="rId1"/>
    <sheet name="Aux. Dados JARDIM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2">
    <numFmt numFmtId="165" formatCode="dd/mm/yyyy"/>
    <numFmt numFmtId="166" formatCode="dd/mm/yyyy"/>
  </numFmts>
  <fonts count="29" x14ac:knownFonts="1">
    <font>
      <sz val="11"/>
      <name val="Calibri"/>
    </font>
    <font>
      <sz val="11"/>
      <name val="Calibri"/>
    </font>
    <font>
      <sz val="14"/>
      <name val="Arial"/>
      <b/>
    </font>
    <font>
      <sz val="9"/>
      <name val="Arial"/>
      <b/>
    </font>
    <font>
      <sz val="9"/>
      <name val="Arial"/>
      <b/>
    </font>
    <font>
      <sz val="9"/>
      <name val="Arial"/>
    </font>
    <font>
      <sz val="9"/>
      <name val="Arial"/>
    </font>
    <font>
      <sz val="12"/>
      <name val="Arial"/>
      <b/>
    </font>
    <font>
      <sz val="9"/>
      <name val="Arial"/>
      <color rgb="555555"/>
    </font>
    <font>
      <sz val="9"/>
      <name val="Arial"/>
    </font>
    <font>
      <sz val="9"/>
      <name val="Arial"/>
      <b/>
      <color rgb="FFFFFF"/>
    </font>
    <font>
      <sz val="9"/>
      <name val="Arial"/>
      <b/>
    </font>
    <font>
      <sz val="9"/>
      <name val="Arial"/>
      <b/>
    </font>
    <font>
      <sz val="9"/>
      <name val="Arial"/>
      <b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  <b/>
    </font>
    <font>
      <sz val="9"/>
      <name val="Arial"/>
      <b/>
    </font>
    <font>
      <sz val="9"/>
      <name val="Arial"/>
      <b/>
    </font>
    <font>
      <sz val="9"/>
      <name val="Arial"/>
      <b/>
    </font>
    <font>
      <sz val="9"/>
      <name val="Arial"/>
      <b/>
      <color rgb="FFFFFF"/>
    </font>
    <font>
      <sz val="9"/>
      <name val="Arial"/>
      <b/>
    </font>
    <font>
      <sz val="9"/>
      <name val="Arial"/>
      <i/>
      <color rgb="555555"/>
    </font>
    <font>
      <sz val="9"/>
      <name val="Arial"/>
      <b/>
    </font>
    <font>
      <sz val="9"/>
      <name val="Arial"/>
    </font>
    <font>
      <sz val="9"/>
      <name val="Arial"/>
    </font>
    <font>
      <sz val="9"/>
      <name val="Arial"/>
    </font>
  </fonts>
  <fills count="11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3B4A52"/>
        <bgColor/>
      </patternFill>
    </fill>
    <fill>
      <patternFill patternType="solid">
        <fgColor rgb="FFE7EAEB"/>
        <bgColor/>
      </patternFill>
    </fill>
    <fill>
      <patternFill patternType="solid">
        <fgColor rgb="FFE7EAEB"/>
        <bgColor/>
      </patternFill>
    </fill>
    <fill>
      <patternFill patternType="solid">
        <fgColor rgb="FFF2F2F2"/>
        <bgColor/>
      </patternFill>
    </fill>
    <fill>
      <patternFill patternType="solid">
        <fgColor rgb="FFF2F2F2"/>
        <bgColor/>
      </patternFill>
    </fill>
    <fill>
      <patternFill patternType="solid">
        <fgColor rgb="FFF2F2F2"/>
        <bgColor/>
      </patternFill>
    </fill>
    <fill>
      <patternFill patternType="solid">
        <fgColor rgb="FFF2F2F2"/>
        <bgColor/>
      </patternFill>
    </fill>
    <fill>
      <patternFill patternType="solid">
        <fgColor rgb="FFE7EAEB"/>
        <bgColor/>
      </patternFill>
    </fill>
    <fill>
      <patternFill patternType="solid">
        <fgColor rgb="FF3B4A52"/>
        <bgColor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30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0" fontId="6" fillId="0" borderId="5" xfId="0" applyFont="1" applyBorder="1" applyNumberForma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2" borderId="6" xfId="0" applyFont="1" applyFill="1" applyBorder="1" applyAlignment="1">
      <alignment horizontal="center" vertical="center" wrapText="true"/>
    </xf>
    <xf numFmtId="0" fontId="11" fillId="3" borderId="7" xfId="0" applyFont="1" applyFill="1" applyBorder="1" applyAlignment="1">
      <alignment horizontal="left" vertical="center"/>
    </xf>
    <xf numFmtId="10" fontId="12" fillId="4" borderId="8" xfId="0" applyFont="1" applyFill="1" applyBorder="1" applyNumberFormat="1" applyAlignment="1">
      <alignment horizontal="center" vertical="center"/>
    </xf>
    <xf numFmtId="0" fontId="13" fillId="0" borderId="9" xfId="0" applyFont="1" applyBorder="1" applyAlignment="1">
      <alignment horizontal="center" vertical="center" wrapText="true"/>
    </xf>
    <xf numFmtId="0" fontId="14" fillId="0" borderId="10" xfId="0" applyFont="1" applyBorder="1" applyAlignment="1">
      <alignment horizontal="center" vertical="center"/>
    </xf>
    <xf numFmtId="165" fontId="15" fillId="0" borderId="11" xfId="0" applyFont="1" applyBorder="1" applyNumberFormat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9" fontId="17" fillId="0" borderId="13" xfId="0" applyFont="1" applyBorder="1" applyNumberFormat="1" applyAlignment="1">
      <alignment horizontal="center" vertical="center"/>
    </xf>
    <xf numFmtId="0" fontId="18" fillId="6" borderId="14" xfId="0" applyFont="1" applyFill="1" applyBorder="1" applyAlignment="1">
      <alignment horizontal="center" vertical="center"/>
    </xf>
    <xf numFmtId="10" fontId="19" fillId="7" borderId="15" xfId="0" applyFont="1" applyFill="1" applyBorder="1" applyNumberFormat="1" applyAlignment="1">
      <alignment horizontal="center" vertical="center"/>
    </xf>
    <xf numFmtId="9" fontId="20" fillId="8" borderId="16" xfId="0" applyFont="1" applyFill="1" applyBorder="1" applyNumberFormat="1" applyAlignment="1">
      <alignment horizontal="center" vertical="center"/>
    </xf>
    <xf numFmtId="9" fontId="21" fillId="9" borderId="17" xfId="0" applyFont="1" applyFill="1" applyBorder="1" applyNumberFormat="1" applyAlignment="1">
      <alignment horizontal="center" vertical="center"/>
    </xf>
    <xf numFmtId="0" fontId="22" fillId="10" borderId="18" xfId="0" applyFont="1" applyFill="1" applyBorder="1" applyAlignment="1">
      <alignment horizontal="left" vertical="center"/>
    </xf>
    <xf numFmtId="10" fontId="23" fillId="0" borderId="19" xfId="0" applyFont="1" applyBorder="1" applyNumberFormat="1" applyAlignment="1">
      <alignment horizontal="center" vertical="center"/>
    </xf>
    <xf numFmtId="0" fontId="24" fillId="0" borderId="0" xfId="0" applyFont="1" applyAlignment="1">
      <alignment horizontal="left" vertical="center" wrapText="true"/>
    </xf>
    <xf numFmtId="0" fontId="25" fillId="0" borderId="0" xfId="0" applyFont="1"/>
    <xf numFmtId="0" fontId="26" fillId="0" borderId="0" xfId="0" applyFont="1"/>
    <xf numFmtId="10" fontId="27" fillId="0" borderId="0" xfId="0" applyFont="1" applyNumberFormat="1"/>
    <xf numFmtId="166" fontId="28" fillId="0" borderId="0" xfId="0" applyFont="1" applyNumberFormat="1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174"/>
  <sheetViews>
    <sheetView workbookViewId="0"/>
  </sheetViews>
  <cols>
    <col min="1" max="1" width="22.83203125" customWidth="1"/>
    <col min="2" max="2" width="9.83203125" customWidth="1"/>
    <col min="3" max="3" width="9.83203125" customWidth="1"/>
    <col min="4" max="4" width="18.83203125" customWidth="1"/>
    <col min="5" max="5" width="12.83203125" customWidth="1"/>
    <col min="6" max="6" width="9.83203125" customWidth="1"/>
    <col min="7" max="7" width="9.83203125" customWidth="1"/>
    <col min="8" max="8" width="11.83203125" customWidth="1"/>
    <col min="9" max="9" width="4.43359375" customWidth="1"/>
    <col min="10" max="10" width="4.43359375" customWidth="1"/>
    <col min="11" max="11" width="4.43359375" customWidth="1"/>
    <col min="12" max="12" width="4.43359375" customWidth="1"/>
    <col min="13" max="13" width="4.43359375" customWidth="1"/>
    <col min="14" max="14" width="4.43359375" customWidth="1"/>
    <col min="15" max="15" width="4.43359375" customWidth="1"/>
    <col min="16" max="16" width="4.43359375" customWidth="1"/>
    <col min="17" max="17" width="4.43359375" customWidth="1"/>
    <col min="18" max="18" width="4.43359375" customWidth="1"/>
    <col min="19" max="19" width="4.43359375" customWidth="1"/>
    <col min="20" max="20" width="4.43359375" customWidth="1"/>
    <col min="21" max="21" width="4.43359375" customWidth="1"/>
    <col min="22" max="22" width="4.43359375" customWidth="1"/>
    <col min="23" max="23" width="4.43359375" customWidth="1"/>
    <col min="24" max="24" width="4.43359375" customWidth="1"/>
    <col min="25" max="25" width="4.43359375" customWidth="1"/>
    <col min="26" max="26" width="4.43359375" customWidth="1"/>
    <col min="27" max="27" width="4.43359375" customWidth="1"/>
    <col min="28" max="28" width="4.43359375" customWidth="1"/>
    <col min="29" max="29" width="4.43359375" customWidth="1"/>
    <col min="30" max="30" width="4.43359375" customWidth="1"/>
    <col min="31" max="31" width="4.43359375" customWidth="1"/>
    <col min="32" max="32" width="4.43359375" customWidth="1"/>
    <col min="33" max="33" width="4.43359375" customWidth="1"/>
    <col min="34" max="34" width="11.33203125" customWidth="1"/>
    <col min="35" max="35" width="11.33203125" customWidth="1"/>
    <col min="36" max="36" width="11.33203125" customWidth="1"/>
    <col min="37" max="37" width="11.33203125" customWidth="1"/>
    <col min="38" max="38" width="11.33203125" customWidth="1"/>
    <col min="39" max="39" width="11.33203125" customWidth="1"/>
    <col min="40" max="40" width="11.33203125" customWidth="1"/>
    <col min="41" max="41" width="11.33203125" customWidth="1"/>
    <col min="42" max="42" width="12.83203125" customWidth="1"/>
    <col min="43" max="43" width="2.83203125" customWidth="1"/>
    <col min="44" max="44" width="2.83203125" customWidth="1"/>
    <col min="45" max="45" width="2.83203125" customWidth="1"/>
    <col min="46" max="46" width="26.83203125" customWidth="1"/>
    <col min="47" max="47" width="8.83203125" customWidth="1"/>
  </cols>
  <sheetData>
    <row r="1" ht="20" customHeight="1">
      <c r="A1" s="3" t="str">
        <v>ACOMPANHAMENTO FACHADA</v>
      </c>
      <c r="AT1" s="4" t="str">
        <v>Pesos de referência</v>
      </c>
      <c r="AU1" s="5" t="str">
        <v>Peso</v>
      </c>
    </row>
    <row r="2">
      <c r="AT2" s="6" t="str">
        <v>Limpeza</v>
      </c>
      <c r="AU2" s="7">
        <v>0.05</v>
      </c>
    </row>
    <row r="3" ht="18" customHeight="1">
      <c r="A3" s="8" t="str">
        <v>ED. JARDIM</v>
      </c>
      <c r="AT3" s="6" t="str">
        <v>Pano (granito)</v>
      </c>
      <c r="AU3" s="7">
        <v>0.65</v>
      </c>
    </row>
    <row r="4">
      <c r="A4" s="9" t="str">
        <v>Data de referência: 28/09/2026 · gerado em 28/09/2026</v>
      </c>
      <c r="AT4" s="6" t="str">
        <v>Requadro (granito)</v>
      </c>
      <c r="AU4" s="7">
        <v>0.25</v>
      </c>
    </row>
    <row r="5">
      <c r="J5" s="10" t="str">
        <v>Andamento</v>
      </c>
      <c r="O5" s="10" t="str">
        <v>Concluído</v>
      </c>
      <c r="T5" s="10" t="str">
        <v>Atrasado</v>
      </c>
      <c r="Y5" s="10" t="str">
        <v>Não se aplica (par/ímpar)</v>
      </c>
      <c r="AT5" s="6" t="str">
        <v>Rejunte</v>
      </c>
      <c r="AU5" s="7">
        <v>0.05</v>
      </c>
    </row>
    <row r="6">
      <c r="AU6" s="7">
        <f>SUM(AU2:AU5)</f>
      </c>
    </row>
    <row r="7" ht="18" customHeight="1" xml:space="preserve">
      <c r="A7" s="11" t="str">
        <v>LOCAL</v>
      </c>
      <c r="B7" s="11" t="str">
        <v>PESO</v>
      </c>
      <c r="C7" s="11" t="str">
        <v>PESO BALANCIM</v>
      </c>
      <c r="D7" s="11" t="str">
        <v>BALANCIM</v>
      </c>
      <c r="E7" s="11" t="str">
        <v>SERVIÇOS</v>
      </c>
      <c r="F7" s="11" t="str" xml:space="preserve">
        <v xml:space="preserve">AVANÇO
PESO</v>
      </c>
      <c r="G7" s="11" t="str" xml:space="preserve">
        <v xml:space="preserve">AVANÇO
FÍSICO</v>
      </c>
      <c r="H7" s="11" t="str" xml:space="preserve">
        <v xml:space="preserve">PAVIMENTOS
EXECUTADOS</v>
      </c>
      <c r="I7" s="11" t="str">
        <v>PAVIMENTOS</v>
      </c>
      <c r="AH7" s="11" t="str">
        <v>1ª ETAPA - 4° ao 13° Pavimento</v>
      </c>
      <c r="AL7" s="11" t="str">
        <v>2ª ETAPA - 14° ao 28° Pavimento</v>
      </c>
      <c r="AP7" s="11" t="str">
        <v>SITUAÇÃO</v>
      </c>
    </row>
    <row r="8" ht="16" customHeight="1">
      <c r="AH8" s="11" t="str">
        <v>PREVISTO</v>
      </c>
      <c r="AJ8" s="11" t="str">
        <v>REALIZADO</v>
      </c>
      <c r="AL8" s="11" t="str">
        <v>PREVISTO</v>
      </c>
      <c r="AN8" s="11" t="str">
        <v>REALIZADO</v>
      </c>
    </row>
    <row r="9" ht="16" customHeight="1">
      <c r="I9" s="11">
        <v>4</v>
      </c>
      <c r="J9" s="11">
        <v>5</v>
      </c>
      <c r="K9" s="11">
        <v>6</v>
      </c>
      <c r="L9" s="11">
        <v>7</v>
      </c>
      <c r="M9" s="11">
        <v>8</v>
      </c>
      <c r="N9" s="11">
        <v>9</v>
      </c>
      <c r="O9" s="11">
        <v>10</v>
      </c>
      <c r="P9" s="11">
        <v>11</v>
      </c>
      <c r="Q9" s="11">
        <v>12</v>
      </c>
      <c r="R9" s="11">
        <v>13</v>
      </c>
      <c r="S9" s="11">
        <v>14</v>
      </c>
      <c r="T9" s="11">
        <v>15</v>
      </c>
      <c r="U9" s="11">
        <v>16</v>
      </c>
      <c r="V9" s="11">
        <v>17</v>
      </c>
      <c r="W9" s="11">
        <v>18</v>
      </c>
      <c r="X9" s="11">
        <v>19</v>
      </c>
      <c r="Y9" s="11">
        <v>20</v>
      </c>
      <c r="Z9" s="11">
        <v>21</v>
      </c>
      <c r="AA9" s="11">
        <v>22</v>
      </c>
      <c r="AB9" s="11">
        <v>23</v>
      </c>
      <c r="AC9" s="11">
        <v>24</v>
      </c>
      <c r="AD9" s="11">
        <v>25</v>
      </c>
      <c r="AE9" s="11">
        <v>26</v>
      </c>
      <c r="AF9" s="11">
        <v>27</v>
      </c>
      <c r="AG9" s="11">
        <v>28</v>
      </c>
      <c r="AH9" s="11" t="str">
        <v>INICIO</v>
      </c>
      <c r="AI9" s="11" t="str">
        <v>FIM</v>
      </c>
      <c r="AJ9" s="11" t="str">
        <v>INICIO</v>
      </c>
      <c r="AK9" s="11" t="str">
        <v>FIM</v>
      </c>
      <c r="AL9" s="11" t="str">
        <v>INICIO</v>
      </c>
      <c r="AM9" s="11" t="str">
        <v>FIM</v>
      </c>
      <c r="AN9" s="11" t="str">
        <v>INICIO</v>
      </c>
      <c r="AO9" s="11" t="str">
        <v>FIM</v>
      </c>
    </row>
    <row r="10">
      <c r="A10" s="12" t="str">
        <v>FACHADA POSTERIOR</v>
      </c>
      <c r="B10" s="13">
        <v>0.39218578340775806</v>
      </c>
    </row>
    <row r="11" xml:space="preserve">
      <c r="C11" s="7">
        <v>0.0967741935483871</v>
      </c>
      <c r="D11" s="14" t="str" xml:space="preserve">
        <v xml:space="preserve">BE 01
1ª eq. A / 2ª eq. C</v>
      </c>
      <c r="E11" s="15" t="str">
        <v>MONTAGEM</v>
      </c>
      <c r="AH11" s="16">
        <v>46296</v>
      </c>
      <c r="AI11" s="16">
        <v>46300</v>
      </c>
      <c r="AL11" s="16">
        <v>46766</v>
      </c>
      <c r="AM11" s="16">
        <v>46770</v>
      </c>
      <c r="AP11" s="17" t="str">
        <v>Não iniciado</v>
      </c>
    </row>
    <row r="12">
      <c r="B12" s="7">
        <f>$B$10*$AU$2</f>
      </c>
      <c r="E12" s="15" t="str">
        <v>LIMPEZA</v>
      </c>
      <c r="F12" s="7">
        <f>B12*$C$11*G12</f>
      </c>
      <c r="G12" s="18">
        <f>H12/25</f>
      </c>
      <c r="H12" s="15">
        <f>COUNTA(I12:AG12)</f>
      </c>
      <c r="AH12" s="16">
        <v>46300</v>
      </c>
      <c r="AI12" s="16">
        <v>46342</v>
      </c>
      <c r="AL12" s="16">
        <v>46770</v>
      </c>
      <c r="AM12" s="16">
        <v>46830</v>
      </c>
      <c r="AP12" s="17" t="str">
        <v>Não iniciado</v>
      </c>
    </row>
    <row r="13">
      <c r="B13" s="7">
        <f>$B$10*$AU$3</f>
      </c>
      <c r="E13" s="15" t="str">
        <v>PANO</v>
      </c>
      <c r="F13" s="7">
        <f>B13*$C$11*G13</f>
      </c>
      <c r="G13" s="18">
        <f>H13/25</f>
      </c>
      <c r="H13" s="15">
        <f>COUNTA(I13:AG13)</f>
      </c>
      <c r="AH13" s="16">
        <v>46300</v>
      </c>
      <c r="AI13" s="16">
        <v>46342</v>
      </c>
      <c r="AL13" s="16">
        <v>46770</v>
      </c>
      <c r="AM13" s="16">
        <v>46830</v>
      </c>
      <c r="AP13" s="17" t="str">
        <v>Não iniciado</v>
      </c>
    </row>
    <row r="14">
      <c r="B14" s="7">
        <f>$B$10*$AU$4</f>
      </c>
      <c r="E14" s="15" t="str">
        <v>REQUADRO</v>
      </c>
      <c r="F14" s="7">
        <f>B14*$C$11*G14</f>
      </c>
      <c r="G14" s="18">
        <f>H14/25</f>
      </c>
      <c r="H14" s="15">
        <f>COUNTA(I14:AG14)</f>
      </c>
      <c r="AH14" s="16">
        <v>46300</v>
      </c>
      <c r="AI14" s="16">
        <v>46342</v>
      </c>
      <c r="AL14" s="16">
        <v>46770</v>
      </c>
      <c r="AM14" s="16">
        <v>46830</v>
      </c>
      <c r="AP14" s="17" t="str">
        <v>Não iniciado</v>
      </c>
    </row>
    <row r="15">
      <c r="B15" s="7">
        <f>$B$10*$AU$5</f>
      </c>
      <c r="E15" s="15" t="str">
        <v>REJUNTE</v>
      </c>
      <c r="F15" s="7">
        <f>B15*$C$11*G15</f>
      </c>
      <c r="G15" s="18">
        <f>H15/25</f>
      </c>
      <c r="H15" s="15">
        <f>COUNTA(I15:AG15)</f>
      </c>
      <c r="AH15" s="16">
        <v>46300</v>
      </c>
      <c r="AI15" s="16">
        <v>46342</v>
      </c>
      <c r="AL15" s="16">
        <v>46770</v>
      </c>
      <c r="AM15" s="16">
        <v>46830</v>
      </c>
      <c r="AP15" s="17" t="str">
        <v>Não iniciado</v>
      </c>
    </row>
    <row r="16">
      <c r="E16" s="19" t="str">
        <v>ACUMULADO</v>
      </c>
      <c r="F16" s="20">
        <f>SUM(F12:F15)</f>
      </c>
      <c r="G16" s="21">
        <f>$AU$2*G12+$AU$3*G13+$AU$4*G14+$AU$5*G15</f>
      </c>
    </row>
    <row r="17" xml:space="preserve">
      <c r="C17" s="7">
        <v>0.2258064516129032</v>
      </c>
      <c r="D17" s="14" t="str" xml:space="preserve">
        <v xml:space="preserve">BE 02
1ª eq. B / 2ª eq. F</v>
      </c>
      <c r="E17" s="15" t="str">
        <v>MONTAGEM</v>
      </c>
      <c r="AH17" s="16">
        <v>46296</v>
      </c>
      <c r="AI17" s="16">
        <v>46300</v>
      </c>
      <c r="AL17" s="16">
        <v>46648</v>
      </c>
      <c r="AM17" s="16">
        <v>46652</v>
      </c>
      <c r="AP17" s="17" t="str">
        <v>Não iniciado</v>
      </c>
    </row>
    <row r="18">
      <c r="B18" s="7">
        <f>$B$10*$AU$2</f>
      </c>
      <c r="E18" s="15" t="str">
        <v>LIMPEZA</v>
      </c>
      <c r="F18" s="7">
        <f>B18*$C$17*G18</f>
      </c>
      <c r="G18" s="18">
        <f>H18/25</f>
      </c>
      <c r="H18" s="15">
        <f>COUNTA(I18:AG18)</f>
      </c>
      <c r="AH18" s="16">
        <v>46300</v>
      </c>
      <c r="AI18" s="16">
        <v>46410</v>
      </c>
      <c r="AL18" s="16">
        <v>46652</v>
      </c>
      <c r="AM18" s="16">
        <v>46808</v>
      </c>
      <c r="AP18" s="17" t="str">
        <v>Não iniciado</v>
      </c>
    </row>
    <row r="19">
      <c r="B19" s="7">
        <f>$B$10*$AU$3</f>
      </c>
      <c r="E19" s="15" t="str">
        <v>PANO</v>
      </c>
      <c r="F19" s="7">
        <f>B19*$C$17*G19</f>
      </c>
      <c r="G19" s="18">
        <f>H19/25</f>
      </c>
      <c r="H19" s="15">
        <f>COUNTA(I19:AG19)</f>
      </c>
      <c r="AH19" s="16">
        <v>46300</v>
      </c>
      <c r="AI19" s="16">
        <v>46410</v>
      </c>
      <c r="AL19" s="16">
        <v>46652</v>
      </c>
      <c r="AM19" s="16">
        <v>46808</v>
      </c>
      <c r="AP19" s="17" t="str">
        <v>Não iniciado</v>
      </c>
    </row>
    <row r="20">
      <c r="B20" s="7">
        <f>$B$10*$AU$4</f>
      </c>
      <c r="E20" s="15" t="str">
        <v>REQUADRO</v>
      </c>
      <c r="F20" s="7">
        <f>B20*$C$17*G20</f>
      </c>
      <c r="G20" s="18">
        <f>H20/25</f>
      </c>
      <c r="H20" s="15">
        <f>COUNTA(I20:AG20)</f>
      </c>
      <c r="AH20" s="16">
        <v>46300</v>
      </c>
      <c r="AI20" s="16">
        <v>46410</v>
      </c>
      <c r="AL20" s="16">
        <v>46652</v>
      </c>
      <c r="AM20" s="16">
        <v>46808</v>
      </c>
      <c r="AP20" s="17" t="str">
        <v>Não iniciado</v>
      </c>
    </row>
    <row r="21">
      <c r="B21" s="7">
        <f>$B$10*$AU$5</f>
      </c>
      <c r="E21" s="15" t="str">
        <v>REJUNTE</v>
      </c>
      <c r="F21" s="7">
        <f>B21*$C$17*G21</f>
      </c>
      <c r="G21" s="18">
        <f>H21/25</f>
      </c>
      <c r="H21" s="15">
        <f>COUNTA(I21:AG21)</f>
      </c>
      <c r="AH21" s="16">
        <v>46300</v>
      </c>
      <c r="AI21" s="16">
        <v>46410</v>
      </c>
      <c r="AL21" s="16">
        <v>46652</v>
      </c>
      <c r="AM21" s="16">
        <v>46808</v>
      </c>
      <c r="AP21" s="17" t="str">
        <v>Não iniciado</v>
      </c>
    </row>
    <row r="22">
      <c r="E22" s="19" t="str">
        <v>ACUMULADO</v>
      </c>
      <c r="F22" s="20">
        <f>SUM(F18:F21)</f>
      </c>
      <c r="G22" s="21">
        <f>$AU$2*G18+$AU$3*G19+$AU$4*G20+$AU$5*G21</f>
      </c>
    </row>
    <row r="23" xml:space="preserve">
      <c r="C23" s="7">
        <v>0.1935483870967742</v>
      </c>
      <c r="D23" s="14" t="str" xml:space="preserve">
        <v xml:space="preserve">BE 03
1ª eq. C / 2ª eq. E</v>
      </c>
      <c r="E23" s="15" t="str">
        <v>MONTAGEM</v>
      </c>
      <c r="AH23" s="16">
        <v>46310</v>
      </c>
      <c r="AI23" s="16">
        <v>46314</v>
      </c>
      <c r="AL23" s="16">
        <v>46660</v>
      </c>
      <c r="AM23" s="16">
        <v>46664</v>
      </c>
      <c r="AP23" s="17" t="str">
        <v>Não iniciado</v>
      </c>
    </row>
    <row r="24">
      <c r="B24" s="7">
        <f>$B$10*$AU$2</f>
      </c>
      <c r="E24" s="15" t="str">
        <v>LIMPEZA</v>
      </c>
      <c r="F24" s="7">
        <f>B24*$C$23*G24</f>
      </c>
      <c r="G24" s="18">
        <f>H24/25</f>
      </c>
      <c r="H24" s="15">
        <f>COUNTA(I24:AG24)</f>
      </c>
      <c r="AH24" s="16">
        <v>46314</v>
      </c>
      <c r="AI24" s="16">
        <v>46409</v>
      </c>
      <c r="AL24" s="16">
        <v>46664</v>
      </c>
      <c r="AM24" s="16">
        <v>46800</v>
      </c>
      <c r="AP24" s="17" t="str">
        <v>Não iniciado</v>
      </c>
    </row>
    <row r="25">
      <c r="B25" s="7">
        <f>$B$10*$AU$3</f>
      </c>
      <c r="E25" s="15" t="str">
        <v>PANO</v>
      </c>
      <c r="F25" s="7">
        <f>B25*$C$23*G25</f>
      </c>
      <c r="G25" s="18">
        <f>H25/25</f>
      </c>
      <c r="H25" s="15">
        <f>COUNTA(I25:AG25)</f>
      </c>
      <c r="AH25" s="16">
        <v>46314</v>
      </c>
      <c r="AI25" s="16">
        <v>46409</v>
      </c>
      <c r="AL25" s="16">
        <v>46664</v>
      </c>
      <c r="AM25" s="16">
        <v>46800</v>
      </c>
      <c r="AP25" s="17" t="str">
        <v>Não iniciado</v>
      </c>
    </row>
    <row r="26">
      <c r="B26" s="7">
        <f>$B$10*$AU$4</f>
      </c>
      <c r="E26" s="15" t="str">
        <v>REQUADRO</v>
      </c>
      <c r="F26" s="7">
        <f>B26*$C$23*G26</f>
      </c>
      <c r="G26" s="18">
        <f>H26/25</f>
      </c>
      <c r="H26" s="15">
        <f>COUNTA(I26:AG26)</f>
      </c>
      <c r="AH26" s="16">
        <v>46314</v>
      </c>
      <c r="AI26" s="16">
        <v>46409</v>
      </c>
      <c r="AL26" s="16">
        <v>46664</v>
      </c>
      <c r="AM26" s="16">
        <v>46800</v>
      </c>
      <c r="AP26" s="17" t="str">
        <v>Não iniciado</v>
      </c>
    </row>
    <row r="27">
      <c r="B27" s="7">
        <f>$B$10*$AU$5</f>
      </c>
      <c r="E27" s="15" t="str">
        <v>REJUNTE</v>
      </c>
      <c r="F27" s="7">
        <f>B27*$C$23*G27</f>
      </c>
      <c r="G27" s="18">
        <f>H27/25</f>
      </c>
      <c r="H27" s="15">
        <f>COUNTA(I27:AG27)</f>
      </c>
      <c r="AH27" s="16">
        <v>46314</v>
      </c>
      <c r="AI27" s="16">
        <v>46409</v>
      </c>
      <c r="AL27" s="16">
        <v>46664</v>
      </c>
      <c r="AM27" s="16">
        <v>46800</v>
      </c>
      <c r="AP27" s="17" t="str">
        <v>Não iniciado</v>
      </c>
    </row>
    <row r="28">
      <c r="E28" s="19" t="str">
        <v>ACUMULADO</v>
      </c>
      <c r="F28" s="20">
        <f>SUM(F24:F27)</f>
      </c>
      <c r="G28" s="21">
        <f>$AU$2*G24+$AU$3*G25+$AU$4*G26+$AU$5*G27</f>
      </c>
    </row>
    <row r="29" xml:space="preserve">
      <c r="C29" s="7">
        <v>0.1935483870967742</v>
      </c>
      <c r="D29" s="14" t="str" xml:space="preserve">
        <v xml:space="preserve">BE 04
1ª eq. D / 2ª eq. A</v>
      </c>
      <c r="E29" s="15" t="str">
        <v>MONTAGEM</v>
      </c>
      <c r="AH29" s="16">
        <v>46317</v>
      </c>
      <c r="AI29" s="16">
        <v>46321</v>
      </c>
      <c r="AL29" s="16">
        <v>46683</v>
      </c>
      <c r="AM29" s="16">
        <v>46687</v>
      </c>
      <c r="AP29" s="17" t="str">
        <v>Não iniciado</v>
      </c>
    </row>
    <row r="30">
      <c r="B30" s="7">
        <f>$B$10*$AU$2</f>
      </c>
      <c r="E30" s="15" t="str">
        <v>LIMPEZA</v>
      </c>
      <c r="F30" s="7">
        <f>B30*$C$29*G30</f>
      </c>
      <c r="G30" s="18">
        <f>H30/25</f>
      </c>
      <c r="H30" s="15">
        <f>COUNTA(I30:AG30)</f>
      </c>
      <c r="AH30" s="16">
        <v>46321</v>
      </c>
      <c r="AI30" s="16">
        <v>46416</v>
      </c>
      <c r="AL30" s="16">
        <v>46687</v>
      </c>
      <c r="AM30" s="16">
        <v>46825</v>
      </c>
      <c r="AP30" s="17" t="str">
        <v>Não iniciado</v>
      </c>
    </row>
    <row r="31">
      <c r="B31" s="7">
        <f>$B$10*$AU$3</f>
      </c>
      <c r="E31" s="15" t="str">
        <v>PANO</v>
      </c>
      <c r="F31" s="7">
        <f>B31*$C$29*G31</f>
      </c>
      <c r="G31" s="18">
        <f>H31/25</f>
      </c>
      <c r="H31" s="15">
        <f>COUNTA(I31:AG31)</f>
      </c>
      <c r="AH31" s="16">
        <v>46321</v>
      </c>
      <c r="AI31" s="16">
        <v>46416</v>
      </c>
      <c r="AL31" s="16">
        <v>46687</v>
      </c>
      <c r="AM31" s="16">
        <v>46825</v>
      </c>
      <c r="AP31" s="17" t="str">
        <v>Não iniciado</v>
      </c>
    </row>
    <row r="32">
      <c r="B32" s="7">
        <f>$B$10*$AU$4</f>
      </c>
      <c r="E32" s="15" t="str">
        <v>REQUADRO</v>
      </c>
      <c r="F32" s="7">
        <f>B32*$C$29*G32</f>
      </c>
      <c r="G32" s="18">
        <f>H32/25</f>
      </c>
      <c r="H32" s="15">
        <f>COUNTA(I32:AG32)</f>
      </c>
      <c r="AH32" s="16">
        <v>46321</v>
      </c>
      <c r="AI32" s="16">
        <v>46416</v>
      </c>
      <c r="AL32" s="16">
        <v>46687</v>
      </c>
      <c r="AM32" s="16">
        <v>46825</v>
      </c>
      <c r="AP32" s="17" t="str">
        <v>Não iniciado</v>
      </c>
    </row>
    <row r="33">
      <c r="B33" s="7">
        <f>$B$10*$AU$5</f>
      </c>
      <c r="E33" s="15" t="str">
        <v>REJUNTE</v>
      </c>
      <c r="F33" s="7">
        <f>B33*$C$29*G33</f>
      </c>
      <c r="G33" s="18">
        <f>H33/25</f>
      </c>
      <c r="H33" s="15">
        <f>COUNTA(I33:AG33)</f>
      </c>
      <c r="AH33" s="16">
        <v>46321</v>
      </c>
      <c r="AI33" s="16">
        <v>46416</v>
      </c>
      <c r="AL33" s="16">
        <v>46687</v>
      </c>
      <c r="AM33" s="16">
        <v>46825</v>
      </c>
      <c r="AP33" s="17" t="str">
        <v>Não iniciado</v>
      </c>
    </row>
    <row r="34">
      <c r="E34" s="19" t="str">
        <v>ACUMULADO</v>
      </c>
      <c r="F34" s="20">
        <f>SUM(F30:F33)</f>
      </c>
      <c r="G34" s="21">
        <f>$AU$2*G30+$AU$3*G31+$AU$4*G32+$AU$5*G33</f>
      </c>
    </row>
    <row r="35" xml:space="preserve">
      <c r="C35" s="7">
        <v>0.2258064516129032</v>
      </c>
      <c r="D35" s="14" t="str" xml:space="preserve">
        <v xml:space="preserve">BE 05
1ª eq. A / 2ª eq. B</v>
      </c>
      <c r="E35" s="15" t="str">
        <v>MONTAGEM</v>
      </c>
      <c r="AH35" s="16">
        <v>46342</v>
      </c>
      <c r="AI35" s="16">
        <v>46345</v>
      </c>
      <c r="AL35" s="16">
        <v>46647</v>
      </c>
      <c r="AM35" s="16">
        <v>46651</v>
      </c>
      <c r="AP35" s="17" t="str">
        <v>Não iniciado</v>
      </c>
    </row>
    <row r="36">
      <c r="B36" s="7">
        <f>$B$10*$AU$2</f>
      </c>
      <c r="E36" s="15" t="str">
        <v>LIMPEZA</v>
      </c>
      <c r="F36" s="7">
        <f>B36*$C$35*G36</f>
      </c>
      <c r="G36" s="18">
        <f>H36/25</f>
      </c>
      <c r="H36" s="15">
        <f>COUNTA(I36:AG36)</f>
      </c>
      <c r="AH36" s="16">
        <v>46345</v>
      </c>
      <c r="AI36" s="16">
        <v>46492</v>
      </c>
      <c r="AL36" s="16">
        <v>46651</v>
      </c>
      <c r="AM36" s="16">
        <v>46867</v>
      </c>
      <c r="AP36" s="17" t="str">
        <v>Não iniciado</v>
      </c>
    </row>
    <row r="37">
      <c r="B37" s="7">
        <f>$B$10*$AU$3</f>
      </c>
      <c r="E37" s="15" t="str">
        <v>PANO</v>
      </c>
      <c r="F37" s="7">
        <f>B37*$C$35*G37</f>
      </c>
      <c r="G37" s="18">
        <f>H37/25</f>
      </c>
      <c r="H37" s="15">
        <f>COUNTA(I37:AG37)</f>
      </c>
      <c r="AH37" s="16">
        <v>46345</v>
      </c>
      <c r="AI37" s="16">
        <v>46492</v>
      </c>
      <c r="AL37" s="16">
        <v>46651</v>
      </c>
      <c r="AM37" s="16">
        <v>46867</v>
      </c>
      <c r="AP37" s="17" t="str">
        <v>Não iniciado</v>
      </c>
    </row>
    <row r="38">
      <c r="B38" s="7">
        <f>$B$10*$AU$4</f>
      </c>
      <c r="E38" s="15" t="str">
        <v>REQUADRO</v>
      </c>
      <c r="F38" s="7">
        <f>B38*$C$35*G38</f>
      </c>
      <c r="G38" s="18">
        <f>H38/25</f>
      </c>
      <c r="H38" s="15">
        <f>COUNTA(I38:AG38)</f>
      </c>
      <c r="AH38" s="16">
        <v>46345</v>
      </c>
      <c r="AI38" s="16">
        <v>46492</v>
      </c>
      <c r="AL38" s="16">
        <v>46651</v>
      </c>
      <c r="AM38" s="16">
        <v>46867</v>
      </c>
      <c r="AP38" s="17" t="str">
        <v>Não iniciado</v>
      </c>
    </row>
    <row r="39">
      <c r="B39" s="7">
        <f>$B$10*$AU$5</f>
      </c>
      <c r="E39" s="15" t="str">
        <v>REJUNTE</v>
      </c>
      <c r="F39" s="7">
        <f>B39*$C$35*G39</f>
      </c>
      <c r="G39" s="18">
        <f>H39/25</f>
      </c>
      <c r="H39" s="15">
        <f>COUNTA(I39:AG39)</f>
      </c>
      <c r="AH39" s="16">
        <v>46345</v>
      </c>
      <c r="AI39" s="16">
        <v>46492</v>
      </c>
      <c r="AL39" s="16">
        <v>46651</v>
      </c>
      <c r="AM39" s="16">
        <v>46867</v>
      </c>
      <c r="AP39" s="17" t="str">
        <v>Não iniciado</v>
      </c>
    </row>
    <row r="40">
      <c r="E40" s="19" t="str">
        <v>ACUMULADO</v>
      </c>
      <c r="F40" s="20">
        <f>SUM(F36:F39)</f>
      </c>
      <c r="G40" s="21">
        <f>$AU$2*G36+$AU$3*G37+$AU$4*G38+$AU$5*G39</f>
      </c>
    </row>
    <row r="41" xml:space="preserve">
      <c r="C41" s="7">
        <v>0.06451612903225806</v>
      </c>
      <c r="D41" s="14" t="str" xml:space="preserve">
        <v xml:space="preserve">BE 06
1ª eq. E / 2ª eq. G</v>
      </c>
      <c r="E41" s="15" t="str">
        <v>MONTAGEM</v>
      </c>
      <c r="AH41" s="16">
        <v>46401</v>
      </c>
      <c r="AI41" s="16">
        <v>46405</v>
      </c>
      <c r="AL41" s="16">
        <v>46776</v>
      </c>
      <c r="AM41" s="16">
        <v>46779</v>
      </c>
      <c r="AP41" s="17" t="str">
        <v>Não iniciado</v>
      </c>
    </row>
    <row r="42">
      <c r="B42" s="7">
        <f>$B$10*$AU$2</f>
      </c>
      <c r="E42" s="15" t="str">
        <v>LIMPEZA</v>
      </c>
      <c r="F42" s="7">
        <f>B42*$C$41*G42</f>
      </c>
      <c r="G42" s="18">
        <f>H42/25</f>
      </c>
      <c r="H42" s="15">
        <f>COUNTA(I42:AG42)</f>
      </c>
      <c r="AH42" s="16">
        <v>46405</v>
      </c>
      <c r="AI42" s="16">
        <v>46443</v>
      </c>
      <c r="AL42" s="16">
        <v>46779</v>
      </c>
      <c r="AM42" s="16">
        <v>46835</v>
      </c>
      <c r="AP42" s="17" t="str">
        <v>Não iniciado</v>
      </c>
    </row>
    <row r="43">
      <c r="B43" s="7">
        <f>$B$10*$AU$3</f>
      </c>
      <c r="E43" s="15" t="str">
        <v>PANO</v>
      </c>
      <c r="F43" s="7">
        <f>B43*$C$41*G43</f>
      </c>
      <c r="G43" s="18">
        <f>H43/25</f>
      </c>
      <c r="H43" s="15">
        <f>COUNTA(I43:AG43)</f>
      </c>
      <c r="AH43" s="16">
        <v>46405</v>
      </c>
      <c r="AI43" s="16">
        <v>46443</v>
      </c>
      <c r="AL43" s="16">
        <v>46779</v>
      </c>
      <c r="AM43" s="16">
        <v>46835</v>
      </c>
      <c r="AP43" s="17" t="str">
        <v>Não iniciado</v>
      </c>
    </row>
    <row r="44">
      <c r="B44" s="7">
        <f>$B$10*$AU$4</f>
      </c>
      <c r="E44" s="15" t="str">
        <v>REQUADRO</v>
      </c>
      <c r="F44" s="7">
        <f>B44*$C$41*G44</f>
      </c>
      <c r="G44" s="18">
        <f>H44/25</f>
      </c>
      <c r="H44" s="15">
        <f>COUNTA(I44:AG44)</f>
      </c>
      <c r="AH44" s="16">
        <v>46405</v>
      </c>
      <c r="AI44" s="16">
        <v>46443</v>
      </c>
      <c r="AL44" s="16">
        <v>46779</v>
      </c>
      <c r="AM44" s="16">
        <v>46835</v>
      </c>
      <c r="AP44" s="17" t="str">
        <v>Não iniciado</v>
      </c>
    </row>
    <row r="45">
      <c r="B45" s="7">
        <f>$B$10*$AU$5</f>
      </c>
      <c r="E45" s="15" t="str">
        <v>REJUNTE</v>
      </c>
      <c r="F45" s="7">
        <f>B45*$C$41*G45</f>
      </c>
      <c r="G45" s="18">
        <f>H45/25</f>
      </c>
      <c r="H45" s="15">
        <f>COUNTA(I45:AG45)</f>
      </c>
      <c r="AH45" s="16">
        <v>46405</v>
      </c>
      <c r="AI45" s="16">
        <v>46443</v>
      </c>
      <c r="AL45" s="16">
        <v>46779</v>
      </c>
      <c r="AM45" s="16">
        <v>46835</v>
      </c>
      <c r="AP45" s="17" t="str">
        <v>Não iniciado</v>
      </c>
    </row>
    <row r="46">
      <c r="E46" s="19" t="str">
        <v>ACUMULADO</v>
      </c>
      <c r="F46" s="20">
        <f>SUM(F42:F45)</f>
      </c>
      <c r="G46" s="21">
        <f>$AU$2*G42+$AU$3*G43+$AU$4*G44+$AU$5*G45</f>
      </c>
    </row>
    <row r="47">
      <c r="B47" s="12" t="str">
        <v>ACUMULADO FACHADA POSTERIOR</v>
      </c>
      <c r="F47" s="13">
        <f>F16+F22+F28+F34+F40+F46</f>
      </c>
      <c r="G47" s="22">
        <f>C11*G16+C17*G22+C23*G28+C29*G34+C35*G40+C41*G46</f>
      </c>
    </row>
    <row r="49">
      <c r="A49" s="12" t="str">
        <v>FACHADA LATERAL DIREITA</v>
      </c>
      <c r="B49" s="13">
        <v>0.1573448291262336</v>
      </c>
    </row>
    <row r="50" xml:space="preserve">
      <c r="C50" s="7">
        <v>0.2857142857142857</v>
      </c>
      <c r="D50" s="14" t="str" xml:space="preserve">
        <v xml:space="preserve">BE 07
1ª eq. B / 2ª eq. E</v>
      </c>
      <c r="E50" s="15" t="str">
        <v>MONTAGEM</v>
      </c>
      <c r="AH50" s="16">
        <v>46512</v>
      </c>
      <c r="AI50" s="16">
        <v>46515</v>
      </c>
      <c r="AL50" s="16">
        <v>46800</v>
      </c>
      <c r="AM50" s="16">
        <v>46804</v>
      </c>
      <c r="AP50" s="17" t="str">
        <v>Não iniciado</v>
      </c>
    </row>
    <row r="51">
      <c r="B51" s="7">
        <f>$B$49*$AU$2</f>
      </c>
      <c r="E51" s="15" t="str">
        <v>LIMPEZA</v>
      </c>
      <c r="F51" s="7">
        <f>B51*$C$50*G51</f>
      </c>
      <c r="G51" s="18">
        <f>H51/25</f>
      </c>
      <c r="H51" s="15">
        <f>COUNTA(I51:AG51)</f>
      </c>
      <c r="AH51" s="16">
        <v>46515</v>
      </c>
      <c r="AI51" s="16">
        <v>46554</v>
      </c>
      <c r="AL51" s="16">
        <v>46804</v>
      </c>
      <c r="AM51" s="16">
        <v>46863</v>
      </c>
      <c r="AP51" s="17" t="str">
        <v>Não iniciado</v>
      </c>
    </row>
    <row r="52">
      <c r="B52" s="7">
        <f>$B$49*$AU$3</f>
      </c>
      <c r="E52" s="15" t="str">
        <v>PANO</v>
      </c>
      <c r="F52" s="7">
        <f>B52*$C$50*G52</f>
      </c>
      <c r="G52" s="18">
        <f>H52/25</f>
      </c>
      <c r="H52" s="15">
        <f>COUNTA(I52:AG52)</f>
      </c>
      <c r="AH52" s="16">
        <v>46515</v>
      </c>
      <c r="AI52" s="16">
        <v>46554</v>
      </c>
      <c r="AL52" s="16">
        <v>46804</v>
      </c>
      <c r="AM52" s="16">
        <v>46863</v>
      </c>
      <c r="AP52" s="17" t="str">
        <v>Não iniciado</v>
      </c>
    </row>
    <row r="53">
      <c r="B53" s="7">
        <f>$B$49*$AU$4</f>
      </c>
      <c r="E53" s="15" t="str">
        <v>REQUADRO</v>
      </c>
      <c r="F53" s="7">
        <f>B53*$C$50*G53</f>
      </c>
      <c r="G53" s="18">
        <f>H53/25</f>
      </c>
      <c r="H53" s="15">
        <f>COUNTA(I53:AG53)</f>
      </c>
      <c r="AH53" s="16">
        <v>46515</v>
      </c>
      <c r="AI53" s="16">
        <v>46554</v>
      </c>
      <c r="AL53" s="16">
        <v>46804</v>
      </c>
      <c r="AM53" s="16">
        <v>46863</v>
      </c>
      <c r="AP53" s="17" t="str">
        <v>Não iniciado</v>
      </c>
    </row>
    <row r="54">
      <c r="B54" s="7">
        <f>$B$49*$AU$5</f>
      </c>
      <c r="E54" s="15" t="str">
        <v>REJUNTE</v>
      </c>
      <c r="F54" s="7">
        <f>B54*$C$50*G54</f>
      </c>
      <c r="G54" s="18">
        <f>H54/25</f>
      </c>
      <c r="H54" s="15">
        <f>COUNTA(I54:AG54)</f>
      </c>
      <c r="AH54" s="16">
        <v>46515</v>
      </c>
      <c r="AI54" s="16">
        <v>46554</v>
      </c>
      <c r="AL54" s="16">
        <v>46804</v>
      </c>
      <c r="AM54" s="16">
        <v>46863</v>
      </c>
      <c r="AP54" s="17" t="str">
        <v>Não iniciado</v>
      </c>
    </row>
    <row r="55">
      <c r="E55" s="19" t="str">
        <v>ACUMULADO</v>
      </c>
      <c r="F55" s="20">
        <f>SUM(F51:F54)</f>
      </c>
      <c r="G55" s="21">
        <f>$AU$2*G51+$AU$3*G52+$AU$4*G53+$AU$5*G54</f>
      </c>
    </row>
    <row r="56" xml:space="preserve">
      <c r="C56" s="7">
        <v>0.2857142857142857</v>
      </c>
      <c r="D56" s="14" t="str" xml:space="preserve">
        <v xml:space="preserve">BE 08
1ª eq. A / 2ª eq. F</v>
      </c>
      <c r="E56" s="15" t="str">
        <v>MONTAGEM</v>
      </c>
      <c r="AH56" s="16">
        <v>46512</v>
      </c>
      <c r="AI56" s="16">
        <v>46515</v>
      </c>
      <c r="AL56" s="16">
        <v>46808</v>
      </c>
      <c r="AM56" s="16">
        <v>46814</v>
      </c>
      <c r="AP56" s="17" t="str">
        <v>Não iniciado</v>
      </c>
    </row>
    <row r="57">
      <c r="B57" s="7">
        <f>$B$49*$AU$2</f>
      </c>
      <c r="E57" s="15" t="str">
        <v>LIMPEZA</v>
      </c>
      <c r="F57" s="7">
        <f>B57*$C$56*G57</f>
      </c>
      <c r="G57" s="18">
        <f>H57/25</f>
      </c>
      <c r="H57" s="15">
        <f>COUNTA(I57:AG57)</f>
      </c>
      <c r="AH57" s="16">
        <v>46515</v>
      </c>
      <c r="AI57" s="16">
        <v>46554</v>
      </c>
      <c r="AL57" s="16">
        <v>46814</v>
      </c>
      <c r="AM57" s="16">
        <v>46872</v>
      </c>
      <c r="AP57" s="17" t="str">
        <v>Não iniciado</v>
      </c>
    </row>
    <row r="58">
      <c r="B58" s="7">
        <f>$B$49*$AU$3</f>
      </c>
      <c r="E58" s="15" t="str">
        <v>PANO</v>
      </c>
      <c r="F58" s="7">
        <f>B58*$C$56*G58</f>
      </c>
      <c r="G58" s="18">
        <f>H58/25</f>
      </c>
      <c r="H58" s="15">
        <f>COUNTA(I58:AG58)</f>
      </c>
      <c r="AH58" s="16">
        <v>46515</v>
      </c>
      <c r="AI58" s="16">
        <v>46554</v>
      </c>
      <c r="AL58" s="16">
        <v>46814</v>
      </c>
      <c r="AM58" s="16">
        <v>46872</v>
      </c>
      <c r="AP58" s="17" t="str">
        <v>Não iniciado</v>
      </c>
    </row>
    <row r="59">
      <c r="B59" s="7">
        <f>$B$49*$AU$4</f>
      </c>
      <c r="E59" s="15" t="str">
        <v>REQUADRO</v>
      </c>
      <c r="F59" s="7">
        <f>B59*$C$56*G59</f>
      </c>
      <c r="G59" s="18">
        <f>H59/25</f>
      </c>
      <c r="H59" s="15">
        <f>COUNTA(I59:AG59)</f>
      </c>
      <c r="AH59" s="16">
        <v>46515</v>
      </c>
      <c r="AI59" s="16">
        <v>46554</v>
      </c>
      <c r="AL59" s="16">
        <v>46814</v>
      </c>
      <c r="AM59" s="16">
        <v>46872</v>
      </c>
      <c r="AP59" s="17" t="str">
        <v>Não iniciado</v>
      </c>
    </row>
    <row r="60">
      <c r="B60" s="7">
        <f>$B$49*$AU$5</f>
      </c>
      <c r="E60" s="15" t="str">
        <v>REJUNTE</v>
      </c>
      <c r="F60" s="7">
        <f>B60*$C$56*G60</f>
      </c>
      <c r="G60" s="18">
        <f>H60/25</f>
      </c>
      <c r="H60" s="15">
        <f>COUNTA(I60:AG60)</f>
      </c>
      <c r="AH60" s="16">
        <v>46515</v>
      </c>
      <c r="AI60" s="16">
        <v>46554</v>
      </c>
      <c r="AL60" s="16">
        <v>46814</v>
      </c>
      <c r="AM60" s="16">
        <v>46872</v>
      </c>
      <c r="AP60" s="17" t="str">
        <v>Não iniciado</v>
      </c>
    </row>
    <row r="61">
      <c r="E61" s="19" t="str">
        <v>ACUMULADO</v>
      </c>
      <c r="F61" s="20">
        <f>SUM(F57:F60)</f>
      </c>
      <c r="G61" s="21">
        <f>$AU$2*G57+$AU$3*G58+$AU$4*G59+$AU$5*G60</f>
      </c>
    </row>
    <row r="62" xml:space="preserve">
      <c r="C62" s="7">
        <v>0.42857142857142855</v>
      </c>
      <c r="D62" s="14" t="str" xml:space="preserve">
        <v xml:space="preserve">BE 09
1ª eq. C / 2ª eq. D</v>
      </c>
      <c r="E62" s="15" t="str">
        <v>MONTAGEM</v>
      </c>
      <c r="AH62" s="16">
        <v>46506</v>
      </c>
      <c r="AI62" s="16">
        <v>46511</v>
      </c>
      <c r="AL62" s="16">
        <v>46777</v>
      </c>
      <c r="AM62" s="16">
        <v>46780</v>
      </c>
      <c r="AP62" s="17" t="str">
        <v>Não iniciado</v>
      </c>
    </row>
    <row r="63">
      <c r="B63" s="7">
        <f>$B$49*$AU$2</f>
      </c>
      <c r="E63" s="15" t="str">
        <v>LIMPEZA</v>
      </c>
      <c r="F63" s="7">
        <f>B63*$C$62*G63</f>
      </c>
      <c r="G63" s="18">
        <f>H63/25</f>
      </c>
      <c r="H63" s="15">
        <f>COUNTA(I63:AG63)</f>
      </c>
      <c r="AH63" s="16">
        <v>46511</v>
      </c>
      <c r="AI63" s="16">
        <v>46568</v>
      </c>
      <c r="AL63" s="16">
        <v>46780</v>
      </c>
      <c r="AM63" s="16">
        <v>46869</v>
      </c>
      <c r="AP63" s="17" t="str">
        <v>Não iniciado</v>
      </c>
    </row>
    <row r="64">
      <c r="B64" s="7">
        <f>$B$49*$AU$3</f>
      </c>
      <c r="E64" s="15" t="str">
        <v>PANO</v>
      </c>
      <c r="F64" s="7">
        <f>B64*$C$62*G64</f>
      </c>
      <c r="G64" s="18">
        <f>H64/25</f>
      </c>
      <c r="H64" s="15">
        <f>COUNTA(I64:AG64)</f>
      </c>
      <c r="AH64" s="16">
        <v>46511</v>
      </c>
      <c r="AI64" s="16">
        <v>46568</v>
      </c>
      <c r="AL64" s="16">
        <v>46780</v>
      </c>
      <c r="AM64" s="16">
        <v>46869</v>
      </c>
      <c r="AP64" s="17" t="str">
        <v>Não iniciado</v>
      </c>
    </row>
    <row r="65">
      <c r="B65" s="7">
        <f>$B$49*$AU$4</f>
      </c>
      <c r="E65" s="15" t="str">
        <v>REQUADRO</v>
      </c>
      <c r="F65" s="7">
        <f>B65*$C$62*G65</f>
      </c>
      <c r="G65" s="18">
        <f>H65/25</f>
      </c>
      <c r="H65" s="15">
        <f>COUNTA(I65:AG65)</f>
      </c>
      <c r="AH65" s="16">
        <v>46511</v>
      </c>
      <c r="AI65" s="16">
        <v>46568</v>
      </c>
      <c r="AL65" s="16">
        <v>46780</v>
      </c>
      <c r="AM65" s="16">
        <v>46869</v>
      </c>
      <c r="AP65" s="17" t="str">
        <v>Não iniciado</v>
      </c>
    </row>
    <row r="66">
      <c r="B66" s="7">
        <f>$B$49*$AU$5</f>
      </c>
      <c r="E66" s="15" t="str">
        <v>REJUNTE</v>
      </c>
      <c r="F66" s="7">
        <f>B66*$C$62*G66</f>
      </c>
      <c r="G66" s="18">
        <f>H66/25</f>
      </c>
      <c r="H66" s="15">
        <f>COUNTA(I66:AG66)</f>
      </c>
      <c r="AH66" s="16">
        <v>46511</v>
      </c>
      <c r="AI66" s="16">
        <v>46568</v>
      </c>
      <c r="AL66" s="16">
        <v>46780</v>
      </c>
      <c r="AM66" s="16">
        <v>46869</v>
      </c>
      <c r="AP66" s="17" t="str">
        <v>Não iniciado</v>
      </c>
    </row>
    <row r="67">
      <c r="E67" s="19" t="str">
        <v>ACUMULADO</v>
      </c>
      <c r="F67" s="20">
        <f>SUM(F63:F66)</f>
      </c>
      <c r="G67" s="21">
        <f>$AU$2*G63+$AU$3*G64+$AU$4*G65+$AU$5*G66</f>
      </c>
    </row>
    <row r="68">
      <c r="B68" s="12" t="str">
        <v>ACUMULADO FACHADA LATERAL DIREITA</v>
      </c>
      <c r="F68" s="13">
        <f>F55+F61+F67</f>
      </c>
      <c r="G68" s="22">
        <f>C50*G55+C56*G61+C62*G67</f>
      </c>
    </row>
    <row r="70">
      <c r="A70" s="12" t="str">
        <v>FACHADA FRONTAL</v>
      </c>
      <c r="B70" s="13">
        <v>0.1767069852218012</v>
      </c>
    </row>
    <row r="71" xml:space="preserve">
      <c r="C71" s="7">
        <v>0.14634146341463414</v>
      </c>
      <c r="D71" s="14" t="str" xml:space="preserve">
        <v xml:space="preserve">BE 10
1ª eq. F / 2ª eq. G</v>
      </c>
      <c r="E71" s="15" t="str">
        <v>MONTAGEM</v>
      </c>
      <c r="AH71" s="16">
        <v>46394</v>
      </c>
      <c r="AI71" s="16">
        <v>46398</v>
      </c>
      <c r="AL71" s="16">
        <v>46519</v>
      </c>
      <c r="AM71" s="16">
        <v>46522</v>
      </c>
      <c r="AP71" s="17" t="str">
        <v>Não iniciado</v>
      </c>
    </row>
    <row r="72">
      <c r="B72" s="7">
        <f>$B$70*$AU$2</f>
      </c>
      <c r="E72" s="15" t="str">
        <v>LIMPEZA</v>
      </c>
      <c r="F72" s="7">
        <f>B72*$C$71*G72</f>
      </c>
      <c r="G72" s="18">
        <f>H72/25</f>
      </c>
      <c r="H72" s="15">
        <f>COUNTA(I72:AG72)</f>
      </c>
      <c r="AH72" s="16">
        <v>46398</v>
      </c>
      <c r="AI72" s="16">
        <v>46459</v>
      </c>
      <c r="AL72" s="16">
        <v>46522</v>
      </c>
      <c r="AM72" s="16">
        <v>46598</v>
      </c>
      <c r="AP72" s="17" t="str">
        <v>Não iniciado</v>
      </c>
    </row>
    <row r="73">
      <c r="B73" s="7">
        <f>$B$70*$AU$3</f>
      </c>
      <c r="E73" s="15" t="str">
        <v>PANO</v>
      </c>
      <c r="F73" s="7">
        <f>B73*$C$71*G73</f>
      </c>
      <c r="G73" s="18">
        <f>H73/25</f>
      </c>
      <c r="H73" s="15">
        <f>COUNTA(I73:AG73)</f>
      </c>
      <c r="AH73" s="16">
        <v>46398</v>
      </c>
      <c r="AI73" s="16">
        <v>46459</v>
      </c>
      <c r="AL73" s="16">
        <v>46522</v>
      </c>
      <c r="AM73" s="16">
        <v>46598</v>
      </c>
      <c r="AP73" s="17" t="str">
        <v>Não iniciado</v>
      </c>
    </row>
    <row r="74">
      <c r="B74" s="7">
        <f>$B$70*$AU$4</f>
      </c>
      <c r="E74" s="15" t="str">
        <v>REQUADRO</v>
      </c>
      <c r="F74" s="7">
        <f>B74*$C$71*G74</f>
      </c>
      <c r="G74" s="18">
        <f>H74/25</f>
      </c>
      <c r="H74" s="15">
        <f>COUNTA(I74:AG74)</f>
      </c>
      <c r="AH74" s="16">
        <v>46398</v>
      </c>
      <c r="AI74" s="16">
        <v>46459</v>
      </c>
      <c r="AL74" s="16">
        <v>46522</v>
      </c>
      <c r="AM74" s="16">
        <v>46598</v>
      </c>
      <c r="AP74" s="17" t="str">
        <v>Não iniciado</v>
      </c>
    </row>
    <row r="75">
      <c r="B75" s="7">
        <f>$B$70*$AU$5</f>
      </c>
      <c r="E75" s="15" t="str">
        <v>REJUNTE</v>
      </c>
      <c r="F75" s="7">
        <f>B75*$C$71*G75</f>
      </c>
      <c r="G75" s="18">
        <f>H75/25</f>
      </c>
      <c r="H75" s="15">
        <f>COUNTA(I75:AG75)</f>
      </c>
      <c r="AH75" s="16">
        <v>46398</v>
      </c>
      <c r="AI75" s="16">
        <v>46459</v>
      </c>
      <c r="AL75" s="16">
        <v>46522</v>
      </c>
      <c r="AM75" s="16">
        <v>46598</v>
      </c>
      <c r="AP75" s="17" t="str">
        <v>Não iniciado</v>
      </c>
    </row>
    <row r="76">
      <c r="E76" s="19" t="str">
        <v>ACUMULADO</v>
      </c>
      <c r="F76" s="20">
        <f>SUM(F72:F75)</f>
      </c>
      <c r="G76" s="21">
        <f>$AU$2*G72+$AU$3*G73+$AU$4*G74+$AU$5*G75</f>
      </c>
    </row>
    <row r="77" xml:space="preserve">
      <c r="C77" s="7">
        <v>0.12195121951219512</v>
      </c>
      <c r="D77" s="14" t="str" xml:space="preserve">
        <v xml:space="preserve">BE 11
1ª eq. C / 2ª eq. B</v>
      </c>
      <c r="E77" s="15" t="str">
        <v>MONTAGEM</v>
      </c>
      <c r="AH77" s="16">
        <v>46409</v>
      </c>
      <c r="AI77" s="16">
        <v>46413</v>
      </c>
      <c r="AL77" s="16">
        <v>46554</v>
      </c>
      <c r="AM77" s="16">
        <v>46557</v>
      </c>
      <c r="AP77" s="17" t="str">
        <v>Não iniciado</v>
      </c>
    </row>
    <row r="78">
      <c r="B78" s="7">
        <f>$B$70*$AU$2</f>
      </c>
      <c r="E78" s="15" t="str">
        <v>LIMPEZA</v>
      </c>
      <c r="F78" s="7">
        <f>B78*$C$77*G78</f>
      </c>
      <c r="G78" s="18">
        <f>H78/25</f>
      </c>
      <c r="H78" s="15">
        <f>COUNTA(I78:AG78)</f>
      </c>
      <c r="AH78" s="16">
        <v>46413</v>
      </c>
      <c r="AI78" s="16">
        <v>46464</v>
      </c>
      <c r="AL78" s="16">
        <v>46557</v>
      </c>
      <c r="AM78" s="16">
        <v>46619</v>
      </c>
      <c r="AP78" s="17" t="str">
        <v>Não iniciado</v>
      </c>
    </row>
    <row r="79">
      <c r="B79" s="7">
        <f>$B$70*$AU$3</f>
      </c>
      <c r="E79" s="15" t="str">
        <v>PANO</v>
      </c>
      <c r="F79" s="7">
        <f>B79*$C$77*G79</f>
      </c>
      <c r="G79" s="18">
        <f>H79/25</f>
      </c>
      <c r="H79" s="15">
        <f>COUNTA(I79:AG79)</f>
      </c>
      <c r="AH79" s="16">
        <v>46413</v>
      </c>
      <c r="AI79" s="16">
        <v>46464</v>
      </c>
      <c r="AL79" s="16">
        <v>46557</v>
      </c>
      <c r="AM79" s="16">
        <v>46619</v>
      </c>
      <c r="AP79" s="17" t="str">
        <v>Não iniciado</v>
      </c>
    </row>
    <row r="80">
      <c r="B80" s="7">
        <f>$B$70*$AU$4</f>
      </c>
      <c r="E80" s="15" t="str">
        <v>REQUADRO</v>
      </c>
      <c r="F80" s="7">
        <f>B80*$C$77*G80</f>
      </c>
      <c r="G80" s="18">
        <f>H80/25</f>
      </c>
      <c r="H80" s="15">
        <f>COUNTA(I80:AG80)</f>
      </c>
      <c r="AH80" s="16">
        <v>46413</v>
      </c>
      <c r="AI80" s="16">
        <v>46464</v>
      </c>
      <c r="AL80" s="16">
        <v>46557</v>
      </c>
      <c r="AM80" s="16">
        <v>46619</v>
      </c>
      <c r="AP80" s="17" t="str">
        <v>Não iniciado</v>
      </c>
    </row>
    <row r="81">
      <c r="B81" s="7">
        <f>$B$70*$AU$5</f>
      </c>
      <c r="E81" s="15" t="str">
        <v>REJUNTE</v>
      </c>
      <c r="F81" s="7">
        <f>B81*$C$77*G81</f>
      </c>
      <c r="G81" s="18">
        <f>H81/25</f>
      </c>
      <c r="H81" s="15">
        <f>COUNTA(I81:AG81)</f>
      </c>
      <c r="AH81" s="16">
        <v>46413</v>
      </c>
      <c r="AI81" s="16">
        <v>46464</v>
      </c>
      <c r="AL81" s="16">
        <v>46557</v>
      </c>
      <c r="AM81" s="16">
        <v>46619</v>
      </c>
      <c r="AP81" s="17" t="str">
        <v>Não iniciado</v>
      </c>
    </row>
    <row r="82">
      <c r="E82" s="19" t="str">
        <v>ACUMULADO</v>
      </c>
      <c r="F82" s="20">
        <f>SUM(F78:F81)</f>
      </c>
      <c r="G82" s="21">
        <f>$AU$2*G78+$AU$3*G79+$AU$4*G80+$AU$5*G81</f>
      </c>
    </row>
    <row r="83" xml:space="preserve">
      <c r="C83" s="7">
        <v>0.12195121951219512</v>
      </c>
      <c r="D83" s="14" t="str" xml:space="preserve">
        <v xml:space="preserve">BE 12
1ª eq. B / 2ª eq. A</v>
      </c>
      <c r="E83" s="15" t="str">
        <v>MONTAGEM</v>
      </c>
      <c r="AH83" s="16">
        <v>46410</v>
      </c>
      <c r="AI83" s="16">
        <v>46414</v>
      </c>
      <c r="AL83" s="16">
        <v>46554</v>
      </c>
      <c r="AM83" s="16">
        <v>46557</v>
      </c>
      <c r="AP83" s="17" t="str">
        <v>Não iniciado</v>
      </c>
    </row>
    <row r="84">
      <c r="B84" s="7">
        <f>$B$70*$AU$2</f>
      </c>
      <c r="E84" s="15" t="str">
        <v>LIMPEZA</v>
      </c>
      <c r="F84" s="7">
        <f>B84*$C$83*G84</f>
      </c>
      <c r="G84" s="18">
        <f>H84/25</f>
      </c>
      <c r="H84" s="15">
        <f>COUNTA(I84:AG84)</f>
      </c>
      <c r="AH84" s="16">
        <v>46414</v>
      </c>
      <c r="AI84" s="16">
        <v>46465</v>
      </c>
      <c r="AL84" s="16">
        <v>46557</v>
      </c>
      <c r="AM84" s="16">
        <v>46619</v>
      </c>
      <c r="AP84" s="17" t="str">
        <v>Não iniciado</v>
      </c>
    </row>
    <row r="85">
      <c r="B85" s="7">
        <f>$B$70*$AU$3</f>
      </c>
      <c r="E85" s="15" t="str">
        <v>PANO</v>
      </c>
      <c r="F85" s="7">
        <f>B85*$C$83*G85</f>
      </c>
      <c r="G85" s="18">
        <f>H85/25</f>
      </c>
      <c r="H85" s="15">
        <f>COUNTA(I85:AG85)</f>
      </c>
      <c r="AH85" s="16">
        <v>46414</v>
      </c>
      <c r="AI85" s="16">
        <v>46465</v>
      </c>
      <c r="AL85" s="16">
        <v>46557</v>
      </c>
      <c r="AM85" s="16">
        <v>46619</v>
      </c>
      <c r="AP85" s="17" t="str">
        <v>Não iniciado</v>
      </c>
    </row>
    <row r="86">
      <c r="B86" s="7">
        <f>$B$70*$AU$4</f>
      </c>
      <c r="E86" s="15" t="str">
        <v>REQUADRO</v>
      </c>
      <c r="F86" s="7">
        <f>B86*$C$83*G86</f>
      </c>
      <c r="G86" s="18">
        <f>H86/25</f>
      </c>
      <c r="H86" s="15">
        <f>COUNTA(I86:AG86)</f>
      </c>
      <c r="AH86" s="16">
        <v>46414</v>
      </c>
      <c r="AI86" s="16">
        <v>46465</v>
      </c>
      <c r="AL86" s="16">
        <v>46557</v>
      </c>
      <c r="AM86" s="16">
        <v>46619</v>
      </c>
      <c r="AP86" s="17" t="str">
        <v>Não iniciado</v>
      </c>
    </row>
    <row r="87">
      <c r="B87" s="7">
        <f>$B$70*$AU$5</f>
      </c>
      <c r="E87" s="15" t="str">
        <v>REJUNTE</v>
      </c>
      <c r="F87" s="7">
        <f>B87*$C$83*G87</f>
      </c>
      <c r="G87" s="18">
        <f>H87/25</f>
      </c>
      <c r="H87" s="15">
        <f>COUNTA(I87:AG87)</f>
      </c>
      <c r="AH87" s="16">
        <v>46414</v>
      </c>
      <c r="AI87" s="16">
        <v>46465</v>
      </c>
      <c r="AL87" s="16">
        <v>46557</v>
      </c>
      <c r="AM87" s="16">
        <v>46619</v>
      </c>
      <c r="AP87" s="17" t="str">
        <v>Não iniciado</v>
      </c>
    </row>
    <row r="88">
      <c r="E88" s="19" t="str">
        <v>ACUMULADO</v>
      </c>
      <c r="F88" s="20">
        <f>SUM(F84:F87)</f>
      </c>
      <c r="G88" s="21">
        <f>$AU$2*G84+$AU$3*G85+$AU$4*G86+$AU$5*G87</f>
      </c>
    </row>
    <row r="89" xml:space="preserve">
      <c r="C89" s="7">
        <v>0.08878048780487806</v>
      </c>
      <c r="D89" s="14" t="str" xml:space="preserve">
        <v xml:space="preserve">BE 13
1ª eq. D / 2ª eq. E
pavimentos pares</v>
      </c>
      <c r="E89" s="15" t="str">
        <v>MONTAGEM</v>
      </c>
      <c r="AH89" s="16">
        <v>46416</v>
      </c>
      <c r="AI89" s="16">
        <v>46420</v>
      </c>
      <c r="AL89" s="16">
        <v>46567</v>
      </c>
      <c r="AM89" s="16">
        <v>46570</v>
      </c>
      <c r="AP89" s="17" t="str">
        <v>Não iniciado</v>
      </c>
    </row>
    <row r="90">
      <c r="B90" s="7">
        <f>$B$70*$AU$2</f>
      </c>
      <c r="E90" s="15" t="str">
        <v>LIMPEZA</v>
      </c>
      <c r="F90" s="7">
        <f>B90*$C$89*G90</f>
      </c>
      <c r="G90" s="18">
        <f>H90/13</f>
      </c>
      <c r="H90" s="15">
        <f>COUNTA(I90:AG90)</f>
      </c>
      <c r="AH90" s="16">
        <v>46420</v>
      </c>
      <c r="AI90" s="16">
        <v>46456</v>
      </c>
      <c r="AL90" s="16">
        <v>46570</v>
      </c>
      <c r="AM90" s="16">
        <v>46616</v>
      </c>
      <c r="AP90" s="17" t="str">
        <v>Não iniciado</v>
      </c>
    </row>
    <row r="91">
      <c r="B91" s="7">
        <f>$B$70*$AU$3</f>
      </c>
      <c r="E91" s="15" t="str">
        <v>PANO</v>
      </c>
      <c r="F91" s="7">
        <f>B91*$C$89*G91</f>
      </c>
      <c r="G91" s="18">
        <f>H91/13</f>
      </c>
      <c r="H91" s="15">
        <f>COUNTA(I91:AG91)</f>
      </c>
      <c r="AH91" s="16">
        <v>46420</v>
      </c>
      <c r="AI91" s="16">
        <v>46456</v>
      </c>
      <c r="AL91" s="16">
        <v>46570</v>
      </c>
      <c r="AM91" s="16">
        <v>46616</v>
      </c>
      <c r="AP91" s="17" t="str">
        <v>Não iniciado</v>
      </c>
    </row>
    <row r="92">
      <c r="B92" s="7">
        <f>$B$70*$AU$4</f>
      </c>
      <c r="E92" s="15" t="str">
        <v>REQUADRO</v>
      </c>
      <c r="F92" s="7">
        <f>B92*$C$89*G92</f>
      </c>
      <c r="G92" s="18">
        <f>H92/13</f>
      </c>
      <c r="H92" s="15">
        <f>COUNTA(I92:AG92)</f>
      </c>
      <c r="AH92" s="16">
        <v>46420</v>
      </c>
      <c r="AI92" s="16">
        <v>46456</v>
      </c>
      <c r="AL92" s="16">
        <v>46570</v>
      </c>
      <c r="AM92" s="16">
        <v>46616</v>
      </c>
      <c r="AP92" s="17" t="str">
        <v>Não iniciado</v>
      </c>
    </row>
    <row r="93">
      <c r="B93" s="7">
        <f>$B$70*$AU$5</f>
      </c>
      <c r="E93" s="15" t="str">
        <v>REJUNTE</v>
      </c>
      <c r="F93" s="7">
        <f>B93*$C$89*G93</f>
      </c>
      <c r="G93" s="18">
        <f>H93/13</f>
      </c>
      <c r="H93" s="15">
        <f>COUNTA(I93:AG93)</f>
      </c>
      <c r="AH93" s="16">
        <v>46420</v>
      </c>
      <c r="AI93" s="16">
        <v>46456</v>
      </c>
      <c r="AL93" s="16">
        <v>46570</v>
      </c>
      <c r="AM93" s="16">
        <v>46616</v>
      </c>
      <c r="AP93" s="17" t="str">
        <v>Não iniciado</v>
      </c>
    </row>
    <row r="94">
      <c r="E94" s="19" t="str">
        <v>ACUMULADO</v>
      </c>
      <c r="F94" s="20">
        <f>SUM(F90:F93)</f>
      </c>
      <c r="G94" s="21">
        <f>$AU$2*G90+$AU$3*G91+$AU$4*G92+$AU$5*G93</f>
      </c>
    </row>
    <row r="95" xml:space="preserve">
      <c r="C95" s="7">
        <v>0.08195121951219513</v>
      </c>
      <c r="D95" s="14" t="str" xml:space="preserve">
        <v xml:space="preserve">BE 21
1ª eq. D / 2ª eq. E
pavimentos ímpares</v>
      </c>
      <c r="E95" s="15" t="str">
        <v>MONTAGEM</v>
      </c>
      <c r="AH95" s="16">
        <v>46477</v>
      </c>
      <c r="AI95" s="16">
        <v>46480</v>
      </c>
      <c r="AL95" s="16">
        <v>46616</v>
      </c>
      <c r="AM95" s="16">
        <v>46619</v>
      </c>
      <c r="AP95" s="17" t="str">
        <v>Não iniciado</v>
      </c>
    </row>
    <row r="96">
      <c r="B96" s="7">
        <f>$B$70*$AU$2</f>
      </c>
      <c r="E96" s="15" t="str">
        <v>LIMPEZA</v>
      </c>
      <c r="F96" s="7">
        <f>B96*$C$95*G96</f>
      </c>
      <c r="G96" s="18">
        <f>H96/12</f>
      </c>
      <c r="H96" s="15">
        <f>COUNTA(I96:AG96)</f>
      </c>
      <c r="AH96" s="16">
        <v>46480</v>
      </c>
      <c r="AI96" s="16">
        <v>46517</v>
      </c>
      <c r="AL96" s="16">
        <v>46619</v>
      </c>
      <c r="AM96" s="16">
        <v>46660</v>
      </c>
      <c r="AP96" s="17" t="str">
        <v>Não iniciado</v>
      </c>
    </row>
    <row r="97">
      <c r="B97" s="7">
        <f>$B$70*$AU$3</f>
      </c>
      <c r="E97" s="15" t="str">
        <v>PANO</v>
      </c>
      <c r="F97" s="7">
        <f>B97*$C$95*G97</f>
      </c>
      <c r="G97" s="18">
        <f>H97/12</f>
      </c>
      <c r="H97" s="15">
        <f>COUNTA(I97:AG97)</f>
      </c>
      <c r="AH97" s="16">
        <v>46480</v>
      </c>
      <c r="AI97" s="16">
        <v>46517</v>
      </c>
      <c r="AL97" s="16">
        <v>46619</v>
      </c>
      <c r="AM97" s="16">
        <v>46660</v>
      </c>
      <c r="AP97" s="17" t="str">
        <v>Não iniciado</v>
      </c>
    </row>
    <row r="98">
      <c r="B98" s="7">
        <f>$B$70*$AU$4</f>
      </c>
      <c r="E98" s="15" t="str">
        <v>REQUADRO</v>
      </c>
      <c r="F98" s="7">
        <f>B98*$C$95*G98</f>
      </c>
      <c r="G98" s="18">
        <f>H98/12</f>
      </c>
      <c r="H98" s="15">
        <f>COUNTA(I98:AG98)</f>
      </c>
      <c r="AH98" s="16">
        <v>46480</v>
      </c>
      <c r="AI98" s="16">
        <v>46517</v>
      </c>
      <c r="AL98" s="16">
        <v>46619</v>
      </c>
      <c r="AM98" s="16">
        <v>46660</v>
      </c>
      <c r="AP98" s="17" t="str">
        <v>Não iniciado</v>
      </c>
    </row>
    <row r="99">
      <c r="B99" s="7">
        <f>$B$70*$AU$5</f>
      </c>
      <c r="E99" s="15" t="str">
        <v>REJUNTE</v>
      </c>
      <c r="F99" s="7">
        <f>B99*$C$95*G99</f>
      </c>
      <c r="G99" s="18">
        <f>H99/12</f>
      </c>
      <c r="H99" s="15">
        <f>COUNTA(I99:AG99)</f>
      </c>
      <c r="AH99" s="16">
        <v>46480</v>
      </c>
      <c r="AI99" s="16">
        <v>46517</v>
      </c>
      <c r="AL99" s="16">
        <v>46619</v>
      </c>
      <c r="AM99" s="16">
        <v>46660</v>
      </c>
      <c r="AP99" s="17" t="str">
        <v>Não iniciado</v>
      </c>
    </row>
    <row r="100">
      <c r="E100" s="19" t="str">
        <v>ACUMULADO</v>
      </c>
      <c r="F100" s="20">
        <f>SUM(F96:F99)</f>
      </c>
      <c r="G100" s="21">
        <f>$AU$2*G96+$AU$3*G97+$AU$4*G98+$AU$5*G99</f>
      </c>
    </row>
    <row r="101" xml:space="preserve">
      <c r="C101" s="7">
        <v>0.07609756097560975</v>
      </c>
      <c r="D101" s="14" t="str" xml:space="preserve">
        <v xml:space="preserve">BE 14
1ª eq. G / 2ª eq. C
pavimentos pares</v>
      </c>
      <c r="E101" s="15" t="str">
        <v>MONTAGEM</v>
      </c>
      <c r="AH101" s="16">
        <v>46443</v>
      </c>
      <c r="AI101" s="16">
        <v>46447</v>
      </c>
      <c r="AL101" s="16">
        <v>46568</v>
      </c>
      <c r="AM101" s="16">
        <v>46571</v>
      </c>
      <c r="AP101" s="17" t="str">
        <v>Não iniciado</v>
      </c>
    </row>
    <row r="102">
      <c r="B102" s="7">
        <f>$B$70*$AU$2</f>
      </c>
      <c r="E102" s="15" t="str">
        <v>LIMPEZA</v>
      </c>
      <c r="F102" s="7">
        <f>B102*$C$101*G102</f>
      </c>
      <c r="G102" s="18">
        <f>H102/13</f>
      </c>
      <c r="H102" s="15">
        <f>COUNTA(I102:AG102)</f>
      </c>
      <c r="AH102" s="16">
        <v>46447</v>
      </c>
      <c r="AI102" s="16">
        <v>46477</v>
      </c>
      <c r="AL102" s="16">
        <v>46571</v>
      </c>
      <c r="AM102" s="16">
        <v>46611</v>
      </c>
      <c r="AP102" s="17" t="str">
        <v>Não iniciado</v>
      </c>
    </row>
    <row r="103">
      <c r="B103" s="7">
        <f>$B$70*$AU$3</f>
      </c>
      <c r="E103" s="15" t="str">
        <v>PANO</v>
      </c>
      <c r="F103" s="7">
        <f>B103*$C$101*G103</f>
      </c>
      <c r="G103" s="18">
        <f>H103/13</f>
      </c>
      <c r="H103" s="15">
        <f>COUNTA(I103:AG103)</f>
      </c>
      <c r="AH103" s="16">
        <v>46447</v>
      </c>
      <c r="AI103" s="16">
        <v>46477</v>
      </c>
      <c r="AL103" s="16">
        <v>46571</v>
      </c>
      <c r="AM103" s="16">
        <v>46611</v>
      </c>
      <c r="AP103" s="17" t="str">
        <v>Não iniciado</v>
      </c>
    </row>
    <row r="104">
      <c r="B104" s="7">
        <f>$B$70*$AU$4</f>
      </c>
      <c r="E104" s="15" t="str">
        <v>REQUADRO</v>
      </c>
      <c r="F104" s="7">
        <f>B104*$C$101*G104</f>
      </c>
      <c r="G104" s="18">
        <f>H104/13</f>
      </c>
      <c r="H104" s="15">
        <f>COUNTA(I104:AG104)</f>
      </c>
      <c r="AH104" s="16">
        <v>46447</v>
      </c>
      <c r="AI104" s="16">
        <v>46477</v>
      </c>
      <c r="AL104" s="16">
        <v>46571</v>
      </c>
      <c r="AM104" s="16">
        <v>46611</v>
      </c>
      <c r="AP104" s="17" t="str">
        <v>Não iniciado</v>
      </c>
    </row>
    <row r="105">
      <c r="B105" s="7">
        <f>$B$70*$AU$5</f>
      </c>
      <c r="E105" s="15" t="str">
        <v>REJUNTE</v>
      </c>
      <c r="F105" s="7">
        <f>B105*$C$101*G105</f>
      </c>
      <c r="G105" s="18">
        <f>H105/13</f>
      </c>
      <c r="H105" s="15">
        <f>COUNTA(I105:AG105)</f>
      </c>
      <c r="AH105" s="16">
        <v>46447</v>
      </c>
      <c r="AI105" s="16">
        <v>46477</v>
      </c>
      <c r="AL105" s="16">
        <v>46571</v>
      </c>
      <c r="AM105" s="16">
        <v>46611</v>
      </c>
      <c r="AP105" s="17" t="str">
        <v>Não iniciado</v>
      </c>
    </row>
    <row r="106">
      <c r="E106" s="19" t="str">
        <v>ACUMULADO</v>
      </c>
      <c r="F106" s="20">
        <f>SUM(F102:F105)</f>
      </c>
      <c r="G106" s="21">
        <f>$AU$2*G102+$AU$3*G103+$AU$4*G104+$AU$5*G105</f>
      </c>
    </row>
    <row r="107" xml:space="preserve">
      <c r="C107" s="7">
        <v>0.07024390243902438</v>
      </c>
      <c r="D107" s="14" t="str" xml:space="preserve">
        <v xml:space="preserve">BE 22
1ª eq. B / 2ª eq. D
pavimentos ímpares</v>
      </c>
      <c r="E107" s="15" t="str">
        <v>MONTAGEM</v>
      </c>
      <c r="AH107" s="16">
        <v>46477</v>
      </c>
      <c r="AI107" s="16">
        <v>46480</v>
      </c>
      <c r="AL107" s="16">
        <v>46616</v>
      </c>
      <c r="AM107" s="16">
        <v>46619</v>
      </c>
      <c r="AP107" s="17" t="str">
        <v>Não iniciado</v>
      </c>
    </row>
    <row r="108">
      <c r="B108" s="7">
        <f>$B$70*$AU$2</f>
      </c>
      <c r="E108" s="15" t="str">
        <v>LIMPEZA</v>
      </c>
      <c r="F108" s="7">
        <f>B108*$C$107*G108</f>
      </c>
      <c r="G108" s="18">
        <f>H108/12</f>
      </c>
      <c r="H108" s="15">
        <f>COUNTA(I108:AG108)</f>
      </c>
      <c r="AH108" s="16">
        <v>46480</v>
      </c>
      <c r="AI108" s="16">
        <v>46512</v>
      </c>
      <c r="AL108" s="16">
        <v>46619</v>
      </c>
      <c r="AM108" s="16">
        <v>46654</v>
      </c>
      <c r="AP108" s="17" t="str">
        <v>Não iniciado</v>
      </c>
    </row>
    <row r="109">
      <c r="B109" s="7">
        <f>$B$70*$AU$3</f>
      </c>
      <c r="E109" s="15" t="str">
        <v>PANO</v>
      </c>
      <c r="F109" s="7">
        <f>B109*$C$107*G109</f>
      </c>
      <c r="G109" s="18">
        <f>H109/12</f>
      </c>
      <c r="H109" s="15">
        <f>COUNTA(I109:AG109)</f>
      </c>
      <c r="AH109" s="16">
        <v>46480</v>
      </c>
      <c r="AI109" s="16">
        <v>46512</v>
      </c>
      <c r="AL109" s="16">
        <v>46619</v>
      </c>
      <c r="AM109" s="16">
        <v>46654</v>
      </c>
      <c r="AP109" s="17" t="str">
        <v>Não iniciado</v>
      </c>
    </row>
    <row r="110">
      <c r="B110" s="7">
        <f>$B$70*$AU$4</f>
      </c>
      <c r="E110" s="15" t="str">
        <v>REQUADRO</v>
      </c>
      <c r="F110" s="7">
        <f>B110*$C$107*G110</f>
      </c>
      <c r="G110" s="18">
        <f>H110/12</f>
      </c>
      <c r="H110" s="15">
        <f>COUNTA(I110:AG110)</f>
      </c>
      <c r="AH110" s="16">
        <v>46480</v>
      </c>
      <c r="AI110" s="16">
        <v>46512</v>
      </c>
      <c r="AL110" s="16">
        <v>46619</v>
      </c>
      <c r="AM110" s="16">
        <v>46654</v>
      </c>
      <c r="AP110" s="17" t="str">
        <v>Não iniciado</v>
      </c>
    </row>
    <row r="111">
      <c r="B111" s="7">
        <f>$B$70*$AU$5</f>
      </c>
      <c r="E111" s="15" t="str">
        <v>REJUNTE</v>
      </c>
      <c r="F111" s="7">
        <f>B111*$C$107*G111</f>
      </c>
      <c r="G111" s="18">
        <f>H111/12</f>
      </c>
      <c r="H111" s="15">
        <f>COUNTA(I111:AG111)</f>
      </c>
      <c r="AH111" s="16">
        <v>46480</v>
      </c>
      <c r="AI111" s="16">
        <v>46512</v>
      </c>
      <c r="AL111" s="16">
        <v>46619</v>
      </c>
      <c r="AM111" s="16">
        <v>46654</v>
      </c>
      <c r="AP111" s="17" t="str">
        <v>Não iniciado</v>
      </c>
    </row>
    <row r="112">
      <c r="E112" s="19" t="str">
        <v>ACUMULADO</v>
      </c>
      <c r="F112" s="20">
        <f>SUM(F108:F111)</f>
      </c>
      <c r="G112" s="21">
        <f>$AU$2*G108+$AU$3*G109+$AU$4*G110+$AU$5*G111</f>
      </c>
    </row>
    <row r="113" xml:space="preserve">
      <c r="C113" s="7">
        <v>0.06341463414634146</v>
      </c>
      <c r="D113" s="14" t="str" xml:space="preserve">
        <v xml:space="preserve">BE 15
1ª eq. E / 2ª eq. F
pavimentos pares</v>
      </c>
      <c r="E113" s="15" t="str">
        <v>MONTAGEM</v>
      </c>
      <c r="AH113" s="16">
        <v>46443</v>
      </c>
      <c r="AI113" s="16">
        <v>46447</v>
      </c>
      <c r="AL113" s="16">
        <v>46569</v>
      </c>
      <c r="AM113" s="16">
        <v>46573</v>
      </c>
      <c r="AP113" s="17" t="str">
        <v>Não iniciado</v>
      </c>
    </row>
    <row r="114">
      <c r="B114" s="7">
        <f>$B$70*$AU$2</f>
      </c>
      <c r="E114" s="15" t="str">
        <v>LIMPEZA</v>
      </c>
      <c r="F114" s="7">
        <f>B114*$C$113*G114</f>
      </c>
      <c r="G114" s="18">
        <f>H114/13</f>
      </c>
      <c r="H114" s="15">
        <f>COUNTA(I114:AG114)</f>
      </c>
      <c r="AH114" s="16">
        <v>46447</v>
      </c>
      <c r="AI114" s="16">
        <v>46471</v>
      </c>
      <c r="AL114" s="16">
        <v>46573</v>
      </c>
      <c r="AM114" s="16">
        <v>46605</v>
      </c>
      <c r="AP114" s="17" t="str">
        <v>Não iniciado</v>
      </c>
    </row>
    <row r="115">
      <c r="B115" s="7">
        <f>$B$70*$AU$3</f>
      </c>
      <c r="E115" s="15" t="str">
        <v>PANO</v>
      </c>
      <c r="F115" s="7">
        <f>B115*$C$113*G115</f>
      </c>
      <c r="G115" s="18">
        <f>H115/13</f>
      </c>
      <c r="H115" s="15">
        <f>COUNTA(I115:AG115)</f>
      </c>
      <c r="AH115" s="16">
        <v>46447</v>
      </c>
      <c r="AI115" s="16">
        <v>46471</v>
      </c>
      <c r="AL115" s="16">
        <v>46573</v>
      </c>
      <c r="AM115" s="16">
        <v>46605</v>
      </c>
      <c r="AP115" s="17" t="str">
        <v>Não iniciado</v>
      </c>
    </row>
    <row r="116">
      <c r="B116" s="7">
        <f>$B$70*$AU$4</f>
      </c>
      <c r="E116" s="15" t="str">
        <v>REQUADRO</v>
      </c>
      <c r="F116" s="7">
        <f>B116*$C$113*G116</f>
      </c>
      <c r="G116" s="18">
        <f>H116/13</f>
      </c>
      <c r="H116" s="15">
        <f>COUNTA(I116:AG116)</f>
      </c>
      <c r="AH116" s="16">
        <v>46447</v>
      </c>
      <c r="AI116" s="16">
        <v>46471</v>
      </c>
      <c r="AL116" s="16">
        <v>46573</v>
      </c>
      <c r="AM116" s="16">
        <v>46605</v>
      </c>
      <c r="AP116" s="17" t="str">
        <v>Não iniciado</v>
      </c>
    </row>
    <row r="117">
      <c r="B117" s="7">
        <f>$B$70*$AU$5</f>
      </c>
      <c r="E117" s="15" t="str">
        <v>REJUNTE</v>
      </c>
      <c r="F117" s="7">
        <f>B117*$C$113*G117</f>
      </c>
      <c r="G117" s="18">
        <f>H117/13</f>
      </c>
      <c r="H117" s="15">
        <f>COUNTA(I117:AG117)</f>
      </c>
      <c r="AH117" s="16">
        <v>46447</v>
      </c>
      <c r="AI117" s="16">
        <v>46471</v>
      </c>
      <c r="AL117" s="16">
        <v>46573</v>
      </c>
      <c r="AM117" s="16">
        <v>46605</v>
      </c>
      <c r="AP117" s="17" t="str">
        <v>Não iniciado</v>
      </c>
    </row>
    <row r="118">
      <c r="E118" s="19" t="str">
        <v>ACUMULADO</v>
      </c>
      <c r="F118" s="20">
        <f>SUM(F114:F117)</f>
      </c>
      <c r="G118" s="21">
        <f>$AU$2*G114+$AU$3*G115+$AU$4*G116+$AU$5*G117</f>
      </c>
    </row>
    <row r="119" xml:space="preserve">
      <c r="C119" s="7">
        <v>0.058536585365853655</v>
      </c>
      <c r="D119" s="14" t="str" xml:space="preserve">
        <v xml:space="preserve">BE 23
1ª eq. C / 2ª eq. F
pavimentos ímpares</v>
      </c>
      <c r="E119" s="15" t="str">
        <v>MONTAGEM</v>
      </c>
      <c r="AH119" s="16">
        <v>46477</v>
      </c>
      <c r="AI119" s="16">
        <v>46480</v>
      </c>
      <c r="AL119" s="16">
        <v>46616</v>
      </c>
      <c r="AM119" s="16">
        <v>46619</v>
      </c>
      <c r="AP119" s="17" t="str">
        <v>Não iniciado</v>
      </c>
    </row>
    <row r="120">
      <c r="B120" s="7">
        <f>$B$70*$AU$2</f>
      </c>
      <c r="E120" s="15" t="str">
        <v>LIMPEZA</v>
      </c>
      <c r="F120" s="7">
        <f>B120*$C$119*G120</f>
      </c>
      <c r="G120" s="18">
        <f>H120/12</f>
      </c>
      <c r="H120" s="15">
        <f>COUNTA(I120:AG120)</f>
      </c>
      <c r="AH120" s="16">
        <v>46480</v>
      </c>
      <c r="AI120" s="16">
        <v>46506</v>
      </c>
      <c r="AL120" s="16">
        <v>46619</v>
      </c>
      <c r="AM120" s="16">
        <v>46648</v>
      </c>
      <c r="AP120" s="17" t="str">
        <v>Não iniciado</v>
      </c>
    </row>
    <row r="121">
      <c r="B121" s="7">
        <f>$B$70*$AU$3</f>
      </c>
      <c r="E121" s="15" t="str">
        <v>PANO</v>
      </c>
      <c r="F121" s="7">
        <f>B121*$C$119*G121</f>
      </c>
      <c r="G121" s="18">
        <f>H121/12</f>
      </c>
      <c r="H121" s="15">
        <f>COUNTA(I121:AG121)</f>
      </c>
      <c r="AH121" s="16">
        <v>46480</v>
      </c>
      <c r="AI121" s="16">
        <v>46506</v>
      </c>
      <c r="AL121" s="16">
        <v>46619</v>
      </c>
      <c r="AM121" s="16">
        <v>46648</v>
      </c>
      <c r="AP121" s="17" t="str">
        <v>Não iniciado</v>
      </c>
    </row>
    <row r="122">
      <c r="B122" s="7">
        <f>$B$70*$AU$4</f>
      </c>
      <c r="E122" s="15" t="str">
        <v>REQUADRO</v>
      </c>
      <c r="F122" s="7">
        <f>B122*$C$119*G122</f>
      </c>
      <c r="G122" s="18">
        <f>H122/12</f>
      </c>
      <c r="H122" s="15">
        <f>COUNTA(I122:AG122)</f>
      </c>
      <c r="AH122" s="16">
        <v>46480</v>
      </c>
      <c r="AI122" s="16">
        <v>46506</v>
      </c>
      <c r="AL122" s="16">
        <v>46619</v>
      </c>
      <c r="AM122" s="16">
        <v>46648</v>
      </c>
      <c r="AP122" s="17" t="str">
        <v>Não iniciado</v>
      </c>
    </row>
    <row r="123">
      <c r="B123" s="7">
        <f>$B$70*$AU$5</f>
      </c>
      <c r="E123" s="15" t="str">
        <v>REJUNTE</v>
      </c>
      <c r="F123" s="7">
        <f>B123*$C$119*G123</f>
      </c>
      <c r="G123" s="18">
        <f>H123/12</f>
      </c>
      <c r="H123" s="15">
        <f>COUNTA(I123:AG123)</f>
      </c>
      <c r="AH123" s="16">
        <v>46480</v>
      </c>
      <c r="AI123" s="16">
        <v>46506</v>
      </c>
      <c r="AL123" s="16">
        <v>46619</v>
      </c>
      <c r="AM123" s="16">
        <v>46648</v>
      </c>
      <c r="AP123" s="17" t="str">
        <v>Não iniciado</v>
      </c>
    </row>
    <row r="124">
      <c r="E124" s="19" t="str">
        <v>ACUMULADO</v>
      </c>
      <c r="F124" s="20">
        <f>SUM(F120:F123)</f>
      </c>
      <c r="G124" s="21">
        <f>$AU$2*G120+$AU$3*G121+$AU$4*G122+$AU$5*G123</f>
      </c>
    </row>
    <row r="125" xml:space="preserve">
      <c r="C125" s="7">
        <v>0.17073170731707318</v>
      </c>
      <c r="D125" s="14" t="str" xml:space="preserve">
        <v xml:space="preserve">CR 20
Cremalheira</v>
      </c>
      <c r="E125" s="15" t="str">
        <v>MONTAGEM</v>
      </c>
      <c r="AH125" s="16">
        <v>46738</v>
      </c>
      <c r="AI125" s="16">
        <v>46757</v>
      </c>
      <c r="AP125" s="17" t="str">
        <v>Não iniciado</v>
      </c>
    </row>
    <row r="126">
      <c r="B126" s="7">
        <f>$B$70*$AU$2</f>
      </c>
      <c r="E126" s="15" t="str">
        <v>LIMPEZA</v>
      </c>
      <c r="F126" s="7">
        <f>B126*$C$125*G126</f>
      </c>
      <c r="G126" s="18">
        <f>H126/25</f>
      </c>
      <c r="H126" s="15">
        <f>COUNTA(I126:AG126)</f>
      </c>
      <c r="AH126" s="16">
        <v>46757</v>
      </c>
      <c r="AI126" s="16">
        <v>46870</v>
      </c>
      <c r="AP126" s="17" t="str">
        <v>Não iniciado</v>
      </c>
    </row>
    <row r="127">
      <c r="B127" s="7">
        <f>$B$70*$AU$3</f>
      </c>
      <c r="E127" s="15" t="str">
        <v>PANO</v>
      </c>
      <c r="F127" s="7">
        <f>B127*$C$125*G127</f>
      </c>
      <c r="G127" s="18">
        <f>H127/25</f>
      </c>
      <c r="H127" s="15">
        <f>COUNTA(I127:AG127)</f>
      </c>
      <c r="AH127" s="16">
        <v>46757</v>
      </c>
      <c r="AI127" s="16">
        <v>46870</v>
      </c>
      <c r="AP127" s="17" t="str">
        <v>Não iniciado</v>
      </c>
    </row>
    <row r="128">
      <c r="B128" s="7">
        <f>$B$70*$AU$4</f>
      </c>
      <c r="E128" s="15" t="str">
        <v>REQUADRO</v>
      </c>
      <c r="F128" s="7">
        <f>B128*$C$125*G128</f>
      </c>
      <c r="G128" s="18">
        <f>H128/25</f>
      </c>
      <c r="H128" s="15">
        <f>COUNTA(I128:AG128)</f>
      </c>
      <c r="AH128" s="16">
        <v>46757</v>
      </c>
      <c r="AI128" s="16">
        <v>46870</v>
      </c>
      <c r="AP128" s="17" t="str">
        <v>Não iniciado</v>
      </c>
    </row>
    <row r="129">
      <c r="B129" s="7">
        <f>$B$70*$AU$5</f>
      </c>
      <c r="E129" s="15" t="str">
        <v>REJUNTE</v>
      </c>
      <c r="F129" s="7">
        <f>B129*$C$125*G129</f>
      </c>
      <c r="G129" s="18">
        <f>H129/25</f>
      </c>
      <c r="H129" s="15">
        <f>COUNTA(I129:AG129)</f>
      </c>
      <c r="AH129" s="16">
        <v>46757</v>
      </c>
      <c r="AI129" s="16">
        <v>46870</v>
      </c>
      <c r="AP129" s="17" t="str">
        <v>Não iniciado</v>
      </c>
    </row>
    <row r="130">
      <c r="E130" s="19" t="str">
        <v>ACUMULADO</v>
      </c>
      <c r="F130" s="20">
        <f>SUM(F126:F129)</f>
      </c>
      <c r="G130" s="21">
        <f>$AU$2*G126+$AU$3*G127+$AU$4*G128+$AU$5*G129</f>
      </c>
    </row>
    <row r="131">
      <c r="B131" s="12" t="str">
        <v>ACUMULADO FACHADA FRONTAL</v>
      </c>
      <c r="F131" s="13">
        <f>F76+F82+F88+F94+F100+F106+F112+F118+F124+F130</f>
      </c>
      <c r="G131" s="22">
        <f>C71*G76+C77*G82+C83*G88+C89*G94+C95*G100+C101*G106+C107*G112+C113*G118+C119*G124+C125*G130</f>
      </c>
    </row>
    <row r="133">
      <c r="A133" s="12" t="str">
        <v>FACHADA LATERAL ESQUERDA</v>
      </c>
      <c r="B133" s="13">
        <v>0.27376240224420717</v>
      </c>
    </row>
    <row r="134" xml:space="preserve">
      <c r="C134" s="7">
        <v>0.13</v>
      </c>
      <c r="D134" s="14" t="str" xml:space="preserve">
        <v xml:space="preserve">BE 16
1ª eq. G / 2ª eq. A
pavimentos pares</v>
      </c>
      <c r="E134" s="15" t="str">
        <v>MONTAGEM</v>
      </c>
      <c r="AH134" s="16">
        <v>46477</v>
      </c>
      <c r="AI134" s="16">
        <v>46480</v>
      </c>
      <c r="AL134" s="16">
        <v>46619</v>
      </c>
      <c r="AM134" s="16">
        <v>46623</v>
      </c>
      <c r="AP134" s="17" t="str">
        <v>Não iniciado</v>
      </c>
    </row>
    <row r="135">
      <c r="B135" s="7">
        <f>$B$133*$AU$2</f>
      </c>
      <c r="E135" s="15" t="str">
        <v>LIMPEZA</v>
      </c>
      <c r="F135" s="7">
        <f>B135*$C$134*G135</f>
      </c>
      <c r="G135" s="18">
        <f>H135/13</f>
      </c>
      <c r="H135" s="15">
        <f>COUNTA(I135:AG135)</f>
      </c>
      <c r="AH135" s="16">
        <v>46480</v>
      </c>
      <c r="AI135" s="16">
        <v>46519</v>
      </c>
      <c r="AL135" s="16">
        <v>46623</v>
      </c>
      <c r="AM135" s="16">
        <v>46683</v>
      </c>
      <c r="AP135" s="17" t="str">
        <v>Não iniciado</v>
      </c>
    </row>
    <row r="136">
      <c r="B136" s="7">
        <f>$B$133*$AU$3</f>
      </c>
      <c r="E136" s="15" t="str">
        <v>PANO</v>
      </c>
      <c r="F136" s="7">
        <f>B136*$C$134*G136</f>
      </c>
      <c r="G136" s="18">
        <f>H136/13</f>
      </c>
      <c r="H136" s="15">
        <f>COUNTA(I136:AG136)</f>
      </c>
      <c r="AH136" s="16">
        <v>46480</v>
      </c>
      <c r="AI136" s="16">
        <v>46519</v>
      </c>
      <c r="AL136" s="16">
        <v>46623</v>
      </c>
      <c r="AM136" s="16">
        <v>46683</v>
      </c>
      <c r="AP136" s="17" t="str">
        <v>Não iniciado</v>
      </c>
    </row>
    <row r="137">
      <c r="B137" s="7">
        <f>$B$133*$AU$4</f>
      </c>
      <c r="E137" s="15" t="str">
        <v>REQUADRO</v>
      </c>
      <c r="F137" s="7">
        <f>B137*$C$134*G137</f>
      </c>
      <c r="G137" s="18">
        <f>H137/13</f>
      </c>
      <c r="H137" s="15">
        <f>COUNTA(I137:AG137)</f>
      </c>
      <c r="AH137" s="16">
        <v>46480</v>
      </c>
      <c r="AI137" s="16">
        <v>46519</v>
      </c>
      <c r="AL137" s="16">
        <v>46623</v>
      </c>
      <c r="AM137" s="16">
        <v>46683</v>
      </c>
      <c r="AP137" s="17" t="str">
        <v>Não iniciado</v>
      </c>
    </row>
    <row r="138">
      <c r="B138" s="7">
        <f>$B$133*$AU$5</f>
      </c>
      <c r="E138" s="15" t="str">
        <v>REJUNTE</v>
      </c>
      <c r="F138" s="7">
        <f>B138*$C$134*G138</f>
      </c>
      <c r="G138" s="18">
        <f>H138/13</f>
      </c>
      <c r="H138" s="15">
        <f>COUNTA(I138:AG138)</f>
      </c>
      <c r="AH138" s="16">
        <v>46480</v>
      </c>
      <c r="AI138" s="16">
        <v>46519</v>
      </c>
      <c r="AL138" s="16">
        <v>46623</v>
      </c>
      <c r="AM138" s="16">
        <v>46683</v>
      </c>
      <c r="AP138" s="17" t="str">
        <v>Não iniciado</v>
      </c>
    </row>
    <row r="139">
      <c r="E139" s="19" t="str">
        <v>ACUMULADO</v>
      </c>
      <c r="F139" s="20">
        <f>SUM(F135:F138)</f>
      </c>
      <c r="G139" s="21">
        <f>$AU$2*G135+$AU$3*G136+$AU$4*G137+$AU$5*G138</f>
      </c>
    </row>
    <row r="140" xml:space="preserve">
      <c r="C140" s="7">
        <v>0.052000000000000005</v>
      </c>
      <c r="D140" s="14" t="str" xml:space="preserve">
        <v xml:space="preserve">BE 17
1ª eq. A / 2ª eq. B
pavimentos pares</v>
      </c>
      <c r="E140" s="15" t="str">
        <v>MONTAGEM</v>
      </c>
      <c r="AH140" s="16">
        <v>46492</v>
      </c>
      <c r="AI140" s="16">
        <v>46496</v>
      </c>
      <c r="AL140" s="16">
        <v>46619</v>
      </c>
      <c r="AM140" s="16">
        <v>46623</v>
      </c>
      <c r="AP140" s="17" t="str">
        <v>Não iniciado</v>
      </c>
    </row>
    <row r="141">
      <c r="B141" s="7">
        <f>$B$133*$AU$2</f>
      </c>
      <c r="E141" s="15" t="str">
        <v>LIMPEZA</v>
      </c>
      <c r="F141" s="7">
        <f>B141*$C$140*G141</f>
      </c>
      <c r="G141" s="18">
        <f>H141/13</f>
      </c>
      <c r="H141" s="15">
        <f>COUNTA(I141:AG141)</f>
      </c>
      <c r="AH141" s="16">
        <v>46496</v>
      </c>
      <c r="AI141" s="16">
        <v>46512</v>
      </c>
      <c r="AL141" s="16">
        <v>46623</v>
      </c>
      <c r="AM141" s="16">
        <v>46647</v>
      </c>
      <c r="AP141" s="17" t="str">
        <v>Não iniciado</v>
      </c>
    </row>
    <row r="142">
      <c r="B142" s="7">
        <f>$B$133*$AU$3</f>
      </c>
      <c r="E142" s="15" t="str">
        <v>PANO</v>
      </c>
      <c r="F142" s="7">
        <f>B142*$C$140*G142</f>
      </c>
      <c r="G142" s="18">
        <f>H142/13</f>
      </c>
      <c r="H142" s="15">
        <f>COUNTA(I142:AG142)</f>
      </c>
      <c r="AH142" s="16">
        <v>46496</v>
      </c>
      <c r="AI142" s="16">
        <v>46512</v>
      </c>
      <c r="AL142" s="16">
        <v>46623</v>
      </c>
      <c r="AM142" s="16">
        <v>46647</v>
      </c>
      <c r="AP142" s="17" t="str">
        <v>Não iniciado</v>
      </c>
    </row>
    <row r="143">
      <c r="B143" s="7">
        <f>$B$133*$AU$4</f>
      </c>
      <c r="E143" s="15" t="str">
        <v>REQUADRO</v>
      </c>
      <c r="F143" s="7">
        <f>B143*$C$140*G143</f>
      </c>
      <c r="G143" s="18">
        <f>H143/13</f>
      </c>
      <c r="H143" s="15">
        <f>COUNTA(I143:AG143)</f>
      </c>
      <c r="AH143" s="16">
        <v>46496</v>
      </c>
      <c r="AI143" s="16">
        <v>46512</v>
      </c>
      <c r="AL143" s="16">
        <v>46623</v>
      </c>
      <c r="AM143" s="16">
        <v>46647</v>
      </c>
      <c r="AP143" s="17" t="str">
        <v>Não iniciado</v>
      </c>
    </row>
    <row r="144">
      <c r="B144" s="7">
        <f>$B$133*$AU$5</f>
      </c>
      <c r="E144" s="15" t="str">
        <v>REJUNTE</v>
      </c>
      <c r="F144" s="7">
        <f>B144*$C$140*G144</f>
      </c>
      <c r="G144" s="18">
        <f>H144/13</f>
      </c>
      <c r="H144" s="15">
        <f>COUNTA(I144:AG144)</f>
      </c>
      <c r="AH144" s="16">
        <v>46496</v>
      </c>
      <c r="AI144" s="16">
        <v>46512</v>
      </c>
      <c r="AL144" s="16">
        <v>46623</v>
      </c>
      <c r="AM144" s="16">
        <v>46647</v>
      </c>
      <c r="AP144" s="17" t="str">
        <v>Não iniciado</v>
      </c>
    </row>
    <row r="145">
      <c r="E145" s="19" t="str">
        <v>ACUMULADO</v>
      </c>
      <c r="F145" s="20">
        <f>SUM(F141:F144)</f>
      </c>
      <c r="G145" s="21">
        <f>$AU$2*G141+$AU$3*G142+$AU$4*G143+$AU$5*G144</f>
      </c>
    </row>
    <row r="146" xml:space="preserve">
      <c r="C146" s="7">
        <v>0.16799999999999998</v>
      </c>
      <c r="D146" s="14" t="str" xml:space="preserve">
        <v xml:space="preserve">BE 24
1ª eq. D / 2ª eq. D
pavimentos ímpares</v>
      </c>
      <c r="E146" s="15" t="str">
        <v>MONTAGEM</v>
      </c>
      <c r="AH146" s="16">
        <v>46519</v>
      </c>
      <c r="AI146" s="16">
        <v>46522</v>
      </c>
      <c r="AL146" s="16">
        <v>46683</v>
      </c>
      <c r="AM146" s="16">
        <v>46687</v>
      </c>
      <c r="AP146" s="17" t="str">
        <v>Não iniciado</v>
      </c>
    </row>
    <row r="147">
      <c r="B147" s="7">
        <f>$B$133*$AU$2</f>
      </c>
      <c r="E147" s="15" t="str">
        <v>LIMPEZA</v>
      </c>
      <c r="F147" s="7">
        <f>B147*$C$146*G147</f>
      </c>
      <c r="G147" s="18">
        <f>H147/12</f>
      </c>
      <c r="H147" s="15">
        <f>COUNTA(I147:AG147)</f>
      </c>
      <c r="AH147" s="16">
        <v>46522</v>
      </c>
      <c r="AI147" s="16">
        <v>46574</v>
      </c>
      <c r="AL147" s="16">
        <v>46687</v>
      </c>
      <c r="AM147" s="16">
        <v>46777</v>
      </c>
      <c r="AP147" s="17" t="str">
        <v>Não iniciado</v>
      </c>
    </row>
    <row r="148">
      <c r="B148" s="7">
        <f>$B$133*$AU$3</f>
      </c>
      <c r="E148" s="15" t="str">
        <v>PANO</v>
      </c>
      <c r="F148" s="7">
        <f>B148*$C$146*G148</f>
      </c>
      <c r="G148" s="18">
        <f>H148/12</f>
      </c>
      <c r="H148" s="15">
        <f>COUNTA(I148:AG148)</f>
      </c>
      <c r="AH148" s="16">
        <v>46522</v>
      </c>
      <c r="AI148" s="16">
        <v>46574</v>
      </c>
      <c r="AL148" s="16">
        <v>46687</v>
      </c>
      <c r="AM148" s="16">
        <v>46777</v>
      </c>
      <c r="AP148" s="17" t="str">
        <v>Não iniciado</v>
      </c>
    </row>
    <row r="149">
      <c r="B149" s="7">
        <f>$B$133*$AU$4</f>
      </c>
      <c r="E149" s="15" t="str">
        <v>REQUADRO</v>
      </c>
      <c r="F149" s="7">
        <f>B149*$C$146*G149</f>
      </c>
      <c r="G149" s="18">
        <f>H149/12</f>
      </c>
      <c r="H149" s="15">
        <f>COUNTA(I149:AG149)</f>
      </c>
      <c r="AH149" s="16">
        <v>46522</v>
      </c>
      <c r="AI149" s="16">
        <v>46574</v>
      </c>
      <c r="AL149" s="16">
        <v>46687</v>
      </c>
      <c r="AM149" s="16">
        <v>46777</v>
      </c>
      <c r="AP149" s="17" t="str">
        <v>Não iniciado</v>
      </c>
    </row>
    <row r="150">
      <c r="B150" s="7">
        <f>$B$133*$AU$5</f>
      </c>
      <c r="E150" s="15" t="str">
        <v>REJUNTE</v>
      </c>
      <c r="F150" s="7">
        <f>B150*$C$146*G150</f>
      </c>
      <c r="G150" s="18">
        <f>H150/12</f>
      </c>
      <c r="H150" s="15">
        <f>COUNTA(I150:AG150)</f>
      </c>
      <c r="AH150" s="16">
        <v>46522</v>
      </c>
      <c r="AI150" s="16">
        <v>46574</v>
      </c>
      <c r="AL150" s="16">
        <v>46687</v>
      </c>
      <c r="AM150" s="16">
        <v>46777</v>
      </c>
      <c r="AP150" s="17" t="str">
        <v>Não iniciado</v>
      </c>
    </row>
    <row r="151">
      <c r="E151" s="19" t="str">
        <v>ACUMULADO</v>
      </c>
      <c r="F151" s="20">
        <f>SUM(F147:F150)</f>
      </c>
      <c r="G151" s="21">
        <f>$AU$2*G147+$AU$3*G148+$AU$4*G149+$AU$5*G150</f>
      </c>
    </row>
    <row r="152" xml:space="preserve">
      <c r="C152" s="7">
        <v>0.35</v>
      </c>
      <c r="D152" s="14" t="str" xml:space="preserve">
        <v xml:space="preserve">BE 18
1ª eq. F / 2ª eq. G</v>
      </c>
      <c r="E152" s="15" t="str">
        <v>MONTAGEM</v>
      </c>
      <c r="AH152" s="16">
        <v>46459</v>
      </c>
      <c r="AI152" s="16">
        <v>46463</v>
      </c>
      <c r="AL152" s="16">
        <v>46598</v>
      </c>
      <c r="AM152" s="16">
        <v>46602</v>
      </c>
      <c r="AP152" s="17" t="str">
        <v>Não iniciado</v>
      </c>
    </row>
    <row r="153">
      <c r="B153" s="7">
        <f>$B$133*$AU$2</f>
      </c>
      <c r="E153" s="15" t="str">
        <v>LIMPEZA</v>
      </c>
      <c r="F153" s="7">
        <f>B153*$C$152*G153</f>
      </c>
      <c r="G153" s="18">
        <f>H153/25</f>
      </c>
      <c r="H153" s="15">
        <f>COUNTA(I153:AG153)</f>
      </c>
      <c r="AH153" s="16">
        <v>46463</v>
      </c>
      <c r="AI153" s="16">
        <v>46569</v>
      </c>
      <c r="AL153" s="16">
        <v>46602</v>
      </c>
      <c r="AM153" s="16">
        <v>46776</v>
      </c>
      <c r="AP153" s="17" t="str">
        <v>Não iniciado</v>
      </c>
    </row>
    <row r="154">
      <c r="B154" s="7">
        <f>$B$133*$AU$3</f>
      </c>
      <c r="E154" s="15" t="str">
        <v>PANO</v>
      </c>
      <c r="F154" s="7">
        <f>B154*$C$152*G154</f>
      </c>
      <c r="G154" s="18">
        <f>H154/25</f>
      </c>
      <c r="H154" s="15">
        <f>COUNTA(I154:AG154)</f>
      </c>
      <c r="AH154" s="16">
        <v>46463</v>
      </c>
      <c r="AI154" s="16">
        <v>46569</v>
      </c>
      <c r="AL154" s="16">
        <v>46602</v>
      </c>
      <c r="AM154" s="16">
        <v>46776</v>
      </c>
      <c r="AP154" s="17" t="str">
        <v>Não iniciado</v>
      </c>
    </row>
    <row r="155">
      <c r="B155" s="7">
        <f>$B$133*$AU$4</f>
      </c>
      <c r="E155" s="15" t="str">
        <v>REQUADRO</v>
      </c>
      <c r="F155" s="7">
        <f>B155*$C$152*G155</f>
      </c>
      <c r="G155" s="18">
        <f>H155/25</f>
      </c>
      <c r="H155" s="15">
        <f>COUNTA(I155:AG155)</f>
      </c>
      <c r="AH155" s="16">
        <v>46463</v>
      </c>
      <c r="AI155" s="16">
        <v>46569</v>
      </c>
      <c r="AL155" s="16">
        <v>46602</v>
      </c>
      <c r="AM155" s="16">
        <v>46776</v>
      </c>
      <c r="AP155" s="17" t="str">
        <v>Não iniciado</v>
      </c>
    </row>
    <row r="156">
      <c r="B156" s="7">
        <f>$B$133*$AU$5</f>
      </c>
      <c r="E156" s="15" t="str">
        <v>REJUNTE</v>
      </c>
      <c r="F156" s="7">
        <f>B156*$C$152*G156</f>
      </c>
      <c r="G156" s="18">
        <f>H156/25</f>
      </c>
      <c r="H156" s="15">
        <f>COUNTA(I156:AG156)</f>
      </c>
      <c r="AH156" s="16">
        <v>46463</v>
      </c>
      <c r="AI156" s="16">
        <v>46569</v>
      </c>
      <c r="AL156" s="16">
        <v>46602</v>
      </c>
      <c r="AM156" s="16">
        <v>46776</v>
      </c>
      <c r="AP156" s="17" t="str">
        <v>Não iniciado</v>
      </c>
    </row>
    <row r="157">
      <c r="E157" s="19" t="str">
        <v>ACUMULADO</v>
      </c>
      <c r="F157" s="20">
        <f>SUM(F153:F156)</f>
      </c>
      <c r="G157" s="21">
        <f>$AU$2*G153+$AU$3*G154+$AU$4*G155+$AU$5*G156</f>
      </c>
    </row>
    <row r="158" xml:space="preserve">
      <c r="C158" s="7">
        <v>0.3</v>
      </c>
      <c r="D158" s="14" t="str" xml:space="preserve">
        <v xml:space="preserve">BE 19
1ª eq. E / 2ª eq. C</v>
      </c>
      <c r="E158" s="15" t="str">
        <v>MONTAGEM</v>
      </c>
      <c r="AH158" s="16">
        <v>46471</v>
      </c>
      <c r="AI158" s="16">
        <v>46476</v>
      </c>
      <c r="AL158" s="16">
        <v>46611</v>
      </c>
      <c r="AM158" s="16">
        <v>46615</v>
      </c>
      <c r="AP158" s="17" t="str">
        <v>Não iniciado</v>
      </c>
    </row>
    <row r="159">
      <c r="B159" s="7">
        <f>$B$133*$AU$2</f>
      </c>
      <c r="E159" s="15" t="str">
        <v>LIMPEZA</v>
      </c>
      <c r="F159" s="7">
        <f>B159*$C$158*G159</f>
      </c>
      <c r="G159" s="18">
        <f>H159/25</f>
      </c>
      <c r="H159" s="15">
        <f>COUNTA(I159:AG159)</f>
      </c>
      <c r="AH159" s="16">
        <v>46476</v>
      </c>
      <c r="AI159" s="16">
        <v>46567</v>
      </c>
      <c r="AL159" s="16">
        <v>46615</v>
      </c>
      <c r="AM159" s="16">
        <v>46766</v>
      </c>
      <c r="AP159" s="17" t="str">
        <v>Não iniciado</v>
      </c>
    </row>
    <row r="160">
      <c r="B160" s="7">
        <f>$B$133*$AU$3</f>
      </c>
      <c r="E160" s="15" t="str">
        <v>PANO</v>
      </c>
      <c r="F160" s="7">
        <f>B160*$C$158*G160</f>
      </c>
      <c r="G160" s="18">
        <f>H160/25</f>
      </c>
      <c r="H160" s="15">
        <f>COUNTA(I160:AG160)</f>
      </c>
      <c r="AH160" s="16">
        <v>46476</v>
      </c>
      <c r="AI160" s="16">
        <v>46567</v>
      </c>
      <c r="AL160" s="16">
        <v>46615</v>
      </c>
      <c r="AM160" s="16">
        <v>46766</v>
      </c>
      <c r="AP160" s="17" t="str">
        <v>Não iniciado</v>
      </c>
    </row>
    <row r="161">
      <c r="B161" s="7">
        <f>$B$133*$AU$4</f>
      </c>
      <c r="E161" s="15" t="str">
        <v>REQUADRO</v>
      </c>
      <c r="F161" s="7">
        <f>B161*$C$158*G161</f>
      </c>
      <c r="G161" s="18">
        <f>H161/25</f>
      </c>
      <c r="H161" s="15">
        <f>COUNTA(I161:AG161)</f>
      </c>
      <c r="AH161" s="16">
        <v>46476</v>
      </c>
      <c r="AI161" s="16">
        <v>46567</v>
      </c>
      <c r="AL161" s="16">
        <v>46615</v>
      </c>
      <c r="AM161" s="16">
        <v>46766</v>
      </c>
      <c r="AP161" s="17" t="str">
        <v>Não iniciado</v>
      </c>
    </row>
    <row r="162">
      <c r="B162" s="7">
        <f>$B$133*$AU$5</f>
      </c>
      <c r="E162" s="15" t="str">
        <v>REJUNTE</v>
      </c>
      <c r="F162" s="7">
        <f>B162*$C$158*G162</f>
      </c>
      <c r="G162" s="18">
        <f>H162/25</f>
      </c>
      <c r="H162" s="15">
        <f>COUNTA(I162:AG162)</f>
      </c>
      <c r="AH162" s="16">
        <v>46476</v>
      </c>
      <c r="AI162" s="16">
        <v>46567</v>
      </c>
      <c r="AL162" s="16">
        <v>46615</v>
      </c>
      <c r="AM162" s="16">
        <v>46766</v>
      </c>
      <c r="AP162" s="17" t="str">
        <v>Não iniciado</v>
      </c>
    </row>
    <row r="163">
      <c r="E163" s="19" t="str">
        <v>ACUMULADO</v>
      </c>
      <c r="F163" s="20">
        <f>SUM(F159:F162)</f>
      </c>
      <c r="G163" s="21">
        <f>$AU$2*G159+$AU$3*G160+$AU$4*G161+$AU$5*G162</f>
      </c>
    </row>
    <row r="164">
      <c r="B164" s="12" t="str">
        <v>ACUMULADO FACHADA LATERAL ESQUERDA</v>
      </c>
      <c r="F164" s="13">
        <f>F139+F145+F151+F157+F163</f>
      </c>
      <c r="G164" s="22">
        <f>C134*G139+C140*G145+C146*G151+C152*G157+C158*G163</f>
      </c>
    </row>
    <row r="167">
      <c r="A167" s="23" t="str">
        <v>PREVISION - TORRE (ED. JARDIM)</v>
      </c>
      <c r="C167" s="11" t="str">
        <v>PESO</v>
      </c>
      <c r="D167" s="11" t="str">
        <v>AVANÇO</v>
      </c>
      <c r="E167" s="11" t="str">
        <v>PREVISTO NA DATA</v>
      </c>
    </row>
    <row r="168">
      <c r="A168" s="6" t="str">
        <v>FACHADA POSTERIOR</v>
      </c>
      <c r="C168" s="7">
        <f>B10</f>
      </c>
      <c r="D168" s="7">
        <f>G47</f>
      </c>
      <c r="E168" s="7">
        <v>0</v>
      </c>
    </row>
    <row r="169">
      <c r="A169" s="6" t="str">
        <v>FACHADA LATERAL DIREITA</v>
      </c>
      <c r="C169" s="7">
        <f>B49</f>
      </c>
      <c r="D169" s="7">
        <f>G68</f>
      </c>
      <c r="E169" s="7">
        <v>0</v>
      </c>
    </row>
    <row r="170">
      <c r="A170" s="6" t="str">
        <v>FACHADA FRONTAL</v>
      </c>
      <c r="C170" s="7">
        <f>B70</f>
      </c>
      <c r="D170" s="7">
        <f>G131</f>
      </c>
      <c r="E170" s="7">
        <v>0</v>
      </c>
    </row>
    <row r="171">
      <c r="A171" s="6" t="str">
        <v>FACHADA LATERAL ESQUERDA</v>
      </c>
      <c r="C171" s="7">
        <f>B133</f>
      </c>
      <c r="D171" s="7">
        <f>G164</f>
      </c>
      <c r="E171" s="7">
        <v>0</v>
      </c>
    </row>
    <row r="172">
      <c r="A172" s="4" t="str">
        <v>AVANÇO ACUMULADO</v>
      </c>
      <c r="C172" s="24">
        <f>SUM(C168:C171)</f>
      </c>
      <c r="D172" s="24">
        <f>SUMPRODUCT(C168:C171,D168:D171)</f>
      </c>
      <c r="E172" s="24">
        <f>SUMPRODUCT(C168:C171,E168:E171)</f>
      </c>
    </row>
    <row r="174">
      <c r="A174" s="25" t="str">
        <v>Pesos das fachadas: aba "Aux. Dados JARDIM" (pano sem Verde Ubatuba). Peso do balancim = comprimento ÷ soma da fachada; nas zonas par/ímpar, proporcional aos pavimentos executados. Previsto na data: cronograma do Estudo de Fachada (R12), avanço linear em dias úteis.</v>
      </c>
    </row>
  </sheetData>
  <mergeCells count="123">
    <mergeCell ref="A7:A9"/>
    <mergeCell ref="B7:B9"/>
    <mergeCell ref="C7:C9"/>
    <mergeCell ref="D7:D9"/>
    <mergeCell ref="E7:E9"/>
    <mergeCell ref="F7:F9"/>
    <mergeCell ref="G7:G9"/>
    <mergeCell ref="H7:H9"/>
    <mergeCell ref="I7:AG8"/>
    <mergeCell ref="AH7:AK7"/>
    <mergeCell ref="AH8:AI8"/>
    <mergeCell ref="AJ8:AK8"/>
    <mergeCell ref="AL7:AO7"/>
    <mergeCell ref="AL8:AM8"/>
    <mergeCell ref="AN8:AO8"/>
    <mergeCell ref="AP7:AP9"/>
    <mergeCell ref="C11:C16"/>
    <mergeCell ref="D11:D16"/>
    <mergeCell ref="A11:A16"/>
    <mergeCell ref="B11"/>
    <mergeCell ref="C17:C22"/>
    <mergeCell ref="D17:D22"/>
    <mergeCell ref="A17:A22"/>
    <mergeCell ref="B17"/>
    <mergeCell ref="C23:C28"/>
    <mergeCell ref="D23:D28"/>
    <mergeCell ref="A23:A28"/>
    <mergeCell ref="B23"/>
    <mergeCell ref="C29:C34"/>
    <mergeCell ref="D29:D34"/>
    <mergeCell ref="A29:A34"/>
    <mergeCell ref="B29"/>
    <mergeCell ref="C35:C40"/>
    <mergeCell ref="D35:D40"/>
    <mergeCell ref="A35:A40"/>
    <mergeCell ref="B35"/>
    <mergeCell ref="C41:C46"/>
    <mergeCell ref="D41:D46"/>
    <mergeCell ref="A41:A46"/>
    <mergeCell ref="B41"/>
    <mergeCell ref="B47:E47"/>
    <mergeCell ref="C50:C55"/>
    <mergeCell ref="D50:D55"/>
    <mergeCell ref="A50:A55"/>
    <mergeCell ref="B50"/>
    <mergeCell ref="C56:C61"/>
    <mergeCell ref="D56:D61"/>
    <mergeCell ref="A56:A61"/>
    <mergeCell ref="B56"/>
    <mergeCell ref="C62:C67"/>
    <mergeCell ref="D62:D67"/>
    <mergeCell ref="A62:A67"/>
    <mergeCell ref="B62"/>
    <mergeCell ref="B68:E68"/>
    <mergeCell ref="C71:C76"/>
    <mergeCell ref="D71:D76"/>
    <mergeCell ref="A71:A76"/>
    <mergeCell ref="B71"/>
    <mergeCell ref="C77:C82"/>
    <mergeCell ref="D77:D82"/>
    <mergeCell ref="A77:A82"/>
    <mergeCell ref="B77"/>
    <mergeCell ref="C83:C88"/>
    <mergeCell ref="D83:D88"/>
    <mergeCell ref="A83:A88"/>
    <mergeCell ref="B83"/>
    <mergeCell ref="C89:C94"/>
    <mergeCell ref="D89:D94"/>
    <mergeCell ref="A89:A94"/>
    <mergeCell ref="B89"/>
    <mergeCell ref="C95:C100"/>
    <mergeCell ref="D95:D100"/>
    <mergeCell ref="A95:A100"/>
    <mergeCell ref="B95"/>
    <mergeCell ref="C101:C106"/>
    <mergeCell ref="D101:D106"/>
    <mergeCell ref="A101:A106"/>
    <mergeCell ref="B101"/>
    <mergeCell ref="C107:C112"/>
    <mergeCell ref="D107:D112"/>
    <mergeCell ref="A107:A112"/>
    <mergeCell ref="B107"/>
    <mergeCell ref="C113:C118"/>
    <mergeCell ref="D113:D118"/>
    <mergeCell ref="A113:A118"/>
    <mergeCell ref="B113"/>
    <mergeCell ref="C119:C124"/>
    <mergeCell ref="D119:D124"/>
    <mergeCell ref="A119:A124"/>
    <mergeCell ref="B119"/>
    <mergeCell ref="C125:C130"/>
    <mergeCell ref="D125:D130"/>
    <mergeCell ref="A125:A130"/>
    <mergeCell ref="B125"/>
    <mergeCell ref="B131:E131"/>
    <mergeCell ref="C134:C139"/>
    <mergeCell ref="D134:D139"/>
    <mergeCell ref="A134:A139"/>
    <mergeCell ref="B134"/>
    <mergeCell ref="C140:C145"/>
    <mergeCell ref="D140:D145"/>
    <mergeCell ref="A140:A145"/>
    <mergeCell ref="B140"/>
    <mergeCell ref="C146:C151"/>
    <mergeCell ref="D146:D151"/>
    <mergeCell ref="A146:A151"/>
    <mergeCell ref="B146"/>
    <mergeCell ref="C152:C157"/>
    <mergeCell ref="D152:D157"/>
    <mergeCell ref="A152:A157"/>
    <mergeCell ref="B152"/>
    <mergeCell ref="C158:C163"/>
    <mergeCell ref="D158:D163"/>
    <mergeCell ref="A158:A163"/>
    <mergeCell ref="B158"/>
    <mergeCell ref="B164:E164"/>
    <mergeCell ref="A167:B167"/>
    <mergeCell ref="A168:B168"/>
    <mergeCell ref="A169:B169"/>
    <mergeCell ref="A170:B170"/>
    <mergeCell ref="A171:B171"/>
    <mergeCell ref="A172:B172"/>
    <mergeCell ref="A174:AG174"/>
  </mergeCells>
  <ignoredErrors>
    <ignoredError numberStoredAsText="1" sqref="A1:AU17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1"/>
  <sheetViews>
    <sheetView workbookViewId="0"/>
  </sheetViews>
  <cols>
    <col min="1" max="1" width="26.83203125" customWidth="1"/>
    <col min="2" max="2" width="22.83203125" customWidth="1"/>
    <col min="3" max="3" width="15.83203125" customWidth="1"/>
    <col min="4" max="4" width="11.83203125" customWidth="1"/>
    <col min="5" max="5" width="13.83203125" customWidth="1"/>
    <col min="6" max="6" width="14.83203125" customWidth="1"/>
    <col min="7" max="7" width="14.83203125" customWidth="1"/>
    <col min="8" max="8" width="14.83203125" customWidth="1"/>
    <col min="9" max="9" width="14.83203125" customWidth="1"/>
    <col min="10" max="10" width="10.83203125" customWidth="1"/>
    <col min="11" max="11" width="10.83203125" customWidth="1"/>
  </cols>
  <sheetData>
    <row r="1">
      <c r="A1" s="26" t="str">
        <v>Fachada</v>
      </c>
      <c r="B1" s="26" t="str">
        <v>Peso</v>
      </c>
    </row>
    <row r="2">
      <c r="A2" s="27" t="str">
        <v>Fachada Posterior</v>
      </c>
      <c r="B2" s="28">
        <v>0.39218578340775806</v>
      </c>
    </row>
    <row r="3">
      <c r="A3" s="27" t="str">
        <v>Fachada Lateral Direita</v>
      </c>
      <c r="B3" s="28">
        <v>0.1573448291262336</v>
      </c>
    </row>
    <row r="4">
      <c r="A4" s="27" t="str">
        <v>Fachada Frontal</v>
      </c>
      <c r="B4" s="28">
        <v>0.1767069852218012</v>
      </c>
    </row>
    <row r="5">
      <c r="A5" s="27" t="str">
        <v>Fachada Lateral Esquerda</v>
      </c>
      <c r="B5" s="28">
        <v>0.27376240224420717</v>
      </c>
    </row>
    <row r="7">
      <c r="A7" s="26" t="str">
        <v>Balancim</v>
      </c>
      <c r="B7" s="26" t="str">
        <v>Fachada</v>
      </c>
      <c r="C7" s="26" t="str">
        <v>Comprimento (m)</v>
      </c>
      <c r="D7" s="26" t="str">
        <v>Pavimentos</v>
      </c>
      <c r="E7" s="26" t="str">
        <v>Peso balancim</v>
      </c>
      <c r="F7" s="26" t="str">
        <v>1ª etapa início</v>
      </c>
      <c r="G7" s="26" t="str">
        <v>1ª etapa fim</v>
      </c>
      <c r="H7" s="26" t="str">
        <v>2ª etapa início</v>
      </c>
      <c r="I7" s="26" t="str">
        <v>2ª etapa fim</v>
      </c>
      <c r="J7" s="26" t="str">
        <v>Equipe 1ª</v>
      </c>
      <c r="K7" s="26" t="str">
        <v>Equipe 2ª</v>
      </c>
    </row>
    <row r="8">
      <c r="A8" s="27" t="str">
        <v>BE 01</v>
      </c>
      <c r="B8" s="27" t="str">
        <v>Posterior</v>
      </c>
      <c r="C8" s="27">
        <v>3</v>
      </c>
      <c r="D8" s="27">
        <v>25</v>
      </c>
      <c r="E8" s="28">
        <v>0.0967741935483871</v>
      </c>
      <c r="F8" s="29">
        <v>46300</v>
      </c>
      <c r="G8" s="29">
        <v>46342</v>
      </c>
      <c r="H8" s="29">
        <v>46770</v>
      </c>
      <c r="I8" s="29">
        <v>46830</v>
      </c>
      <c r="J8" s="27" t="str">
        <v>A</v>
      </c>
      <c r="K8" s="27" t="str">
        <v>C</v>
      </c>
    </row>
    <row r="9">
      <c r="A9" s="27" t="str">
        <v>BE 02</v>
      </c>
      <c r="B9" s="27" t="str">
        <v>Posterior</v>
      </c>
      <c r="C9" s="27">
        <v>7</v>
      </c>
      <c r="D9" s="27">
        <v>25</v>
      </c>
      <c r="E9" s="28">
        <v>0.2258064516129032</v>
      </c>
      <c r="F9" s="29">
        <v>46300</v>
      </c>
      <c r="G9" s="29">
        <v>46410</v>
      </c>
      <c r="H9" s="29">
        <v>46652</v>
      </c>
      <c r="I9" s="29">
        <v>46808</v>
      </c>
      <c r="J9" s="27" t="str">
        <v>B</v>
      </c>
      <c r="K9" s="27" t="str">
        <v>F</v>
      </c>
    </row>
    <row r="10">
      <c r="A10" s="27" t="str">
        <v>BE 03</v>
      </c>
      <c r="B10" s="27" t="str">
        <v>Posterior</v>
      </c>
      <c r="C10" s="27">
        <v>6</v>
      </c>
      <c r="D10" s="27">
        <v>25</v>
      </c>
      <c r="E10" s="28">
        <v>0.1935483870967742</v>
      </c>
      <c r="F10" s="29">
        <v>46314</v>
      </c>
      <c r="G10" s="29">
        <v>46409</v>
      </c>
      <c r="H10" s="29">
        <v>46664</v>
      </c>
      <c r="I10" s="29">
        <v>46800</v>
      </c>
      <c r="J10" s="27" t="str">
        <v>C</v>
      </c>
      <c r="K10" s="27" t="str">
        <v>E</v>
      </c>
    </row>
    <row r="11">
      <c r="A11" s="27" t="str">
        <v>BE 04</v>
      </c>
      <c r="B11" s="27" t="str">
        <v>Posterior</v>
      </c>
      <c r="C11" s="27">
        <v>6</v>
      </c>
      <c r="D11" s="27">
        <v>25</v>
      </c>
      <c r="E11" s="28">
        <v>0.1935483870967742</v>
      </c>
      <c r="F11" s="29">
        <v>46321</v>
      </c>
      <c r="G11" s="29">
        <v>46416</v>
      </c>
      <c r="H11" s="29">
        <v>46687</v>
      </c>
      <c r="I11" s="29">
        <v>46825</v>
      </c>
      <c r="J11" s="27" t="str">
        <v>D</v>
      </c>
      <c r="K11" s="27" t="str">
        <v>A</v>
      </c>
    </row>
    <row r="12">
      <c r="A12" s="27" t="str">
        <v>BE 05</v>
      </c>
      <c r="B12" s="27" t="str">
        <v>Posterior</v>
      </c>
      <c r="C12" s="27">
        <v>7</v>
      </c>
      <c r="D12" s="27">
        <v>25</v>
      </c>
      <c r="E12" s="28">
        <v>0.2258064516129032</v>
      </c>
      <c r="F12" s="29">
        <v>46345</v>
      </c>
      <c r="G12" s="29">
        <v>46492</v>
      </c>
      <c r="H12" s="29">
        <v>46651</v>
      </c>
      <c r="I12" s="29">
        <v>46867</v>
      </c>
      <c r="J12" s="27" t="str">
        <v>A</v>
      </c>
      <c r="K12" s="27" t="str">
        <v>B</v>
      </c>
    </row>
    <row r="13">
      <c r="A13" s="27" t="str">
        <v>BE 06</v>
      </c>
      <c r="B13" s="27" t="str">
        <v>Posterior</v>
      </c>
      <c r="C13" s="27">
        <v>2</v>
      </c>
      <c r="D13" s="27">
        <v>25</v>
      </c>
      <c r="E13" s="28">
        <v>0.06451612903225806</v>
      </c>
      <c r="F13" s="29">
        <v>46405</v>
      </c>
      <c r="G13" s="29">
        <v>46443</v>
      </c>
      <c r="H13" s="29">
        <v>46779</v>
      </c>
      <c r="I13" s="29">
        <v>46835</v>
      </c>
      <c r="J13" s="27" t="str">
        <v>E</v>
      </c>
      <c r="K13" s="27" t="str">
        <v>G</v>
      </c>
    </row>
    <row r="14">
      <c r="A14" s="27" t="str">
        <v>BE 07</v>
      </c>
      <c r="B14" s="27" t="str">
        <v>Lat. Direita</v>
      </c>
      <c r="C14" s="27">
        <v>4</v>
      </c>
      <c r="D14" s="27">
        <v>25</v>
      </c>
      <c r="E14" s="28">
        <v>0.2857142857142857</v>
      </c>
      <c r="F14" s="29">
        <v>46515</v>
      </c>
      <c r="G14" s="29">
        <v>46554</v>
      </c>
      <c r="H14" s="29">
        <v>46804</v>
      </c>
      <c r="I14" s="29">
        <v>46863</v>
      </c>
      <c r="J14" s="27" t="str">
        <v>B</v>
      </c>
      <c r="K14" s="27" t="str">
        <v>E</v>
      </c>
    </row>
    <row r="15">
      <c r="A15" s="27" t="str">
        <v>BE 08</v>
      </c>
      <c r="B15" s="27" t="str">
        <v>Lat. Direita</v>
      </c>
      <c r="C15" s="27">
        <v>4</v>
      </c>
      <c r="D15" s="27">
        <v>25</v>
      </c>
      <c r="E15" s="28">
        <v>0.2857142857142857</v>
      </c>
      <c r="F15" s="29">
        <v>46515</v>
      </c>
      <c r="G15" s="29">
        <v>46554</v>
      </c>
      <c r="H15" s="29">
        <v>46814</v>
      </c>
      <c r="I15" s="29">
        <v>46872</v>
      </c>
      <c r="J15" s="27" t="str">
        <v>A</v>
      </c>
      <c r="K15" s="27" t="str">
        <v>F</v>
      </c>
    </row>
    <row r="16">
      <c r="A16" s="27" t="str">
        <v>BE 09</v>
      </c>
      <c r="B16" s="27" t="str">
        <v>Lat. Direita</v>
      </c>
      <c r="C16" s="27">
        <v>6</v>
      </c>
      <c r="D16" s="27">
        <v>25</v>
      </c>
      <c r="E16" s="28">
        <v>0.42857142857142855</v>
      </c>
      <c r="F16" s="29">
        <v>46511</v>
      </c>
      <c r="G16" s="29">
        <v>46568</v>
      </c>
      <c r="H16" s="29">
        <v>46780</v>
      </c>
      <c r="I16" s="29">
        <v>46869</v>
      </c>
      <c r="J16" s="27" t="str">
        <v>C</v>
      </c>
      <c r="K16" s="27" t="str">
        <v>D</v>
      </c>
    </row>
    <row r="17">
      <c r="A17" s="27" t="str">
        <v>BE 10</v>
      </c>
      <c r="B17" s="27" t="str">
        <v>Frontal</v>
      </c>
      <c r="C17" s="27">
        <v>6</v>
      </c>
      <c r="D17" s="27">
        <v>25</v>
      </c>
      <c r="E17" s="28">
        <v>0.14634146341463414</v>
      </c>
      <c r="F17" s="29">
        <v>46398</v>
      </c>
      <c r="G17" s="29">
        <v>46459</v>
      </c>
      <c r="H17" s="29">
        <v>46522</v>
      </c>
      <c r="I17" s="29">
        <v>46598</v>
      </c>
      <c r="J17" s="27" t="str">
        <v>F</v>
      </c>
      <c r="K17" s="27" t="str">
        <v>G</v>
      </c>
    </row>
    <row r="18">
      <c r="A18" s="27" t="str">
        <v>BE 11</v>
      </c>
      <c r="B18" s="27" t="str">
        <v>Frontal</v>
      </c>
      <c r="C18" s="27">
        <v>5</v>
      </c>
      <c r="D18" s="27">
        <v>25</v>
      </c>
      <c r="E18" s="28">
        <v>0.12195121951219512</v>
      </c>
      <c r="F18" s="29">
        <v>46413</v>
      </c>
      <c r="G18" s="29">
        <v>46464</v>
      </c>
      <c r="H18" s="29">
        <v>46557</v>
      </c>
      <c r="I18" s="29">
        <v>46619</v>
      </c>
      <c r="J18" s="27" t="str">
        <v>C</v>
      </c>
      <c r="K18" s="27" t="str">
        <v>B</v>
      </c>
    </row>
    <row r="19">
      <c r="A19" s="27" t="str">
        <v>BE 12</v>
      </c>
      <c r="B19" s="27" t="str">
        <v>Frontal</v>
      </c>
      <c r="C19" s="27">
        <v>5</v>
      </c>
      <c r="D19" s="27">
        <v>25</v>
      </c>
      <c r="E19" s="28">
        <v>0.12195121951219512</v>
      </c>
      <c r="F19" s="29">
        <v>46414</v>
      </c>
      <c r="G19" s="29">
        <v>46465</v>
      </c>
      <c r="H19" s="29">
        <v>46557</v>
      </c>
      <c r="I19" s="29">
        <v>46619</v>
      </c>
      <c r="J19" s="27" t="str">
        <v>B</v>
      </c>
      <c r="K19" s="27" t="str">
        <v>A</v>
      </c>
    </row>
    <row r="20">
      <c r="A20" s="27" t="str">
        <v>BE 13</v>
      </c>
      <c r="B20" s="27" t="str">
        <v>Frontal</v>
      </c>
      <c r="C20" s="27">
        <v>7</v>
      </c>
      <c r="D20" s="27">
        <v>13</v>
      </c>
      <c r="E20" s="28">
        <v>0.08878048780487806</v>
      </c>
      <c r="F20" s="29">
        <v>46420</v>
      </c>
      <c r="G20" s="29">
        <v>46456</v>
      </c>
      <c r="H20" s="29">
        <v>46570</v>
      </c>
      <c r="I20" s="29">
        <v>46616</v>
      </c>
      <c r="J20" s="27" t="str">
        <v>D</v>
      </c>
      <c r="K20" s="27" t="str">
        <v>E</v>
      </c>
    </row>
    <row r="21">
      <c r="A21" s="27" t="str">
        <v>BE 21</v>
      </c>
      <c r="B21" s="27" t="str">
        <v>Frontal</v>
      </c>
      <c r="C21" s="27">
        <v>7</v>
      </c>
      <c r="D21" s="27">
        <v>12</v>
      </c>
      <c r="E21" s="28">
        <v>0.08195121951219513</v>
      </c>
      <c r="F21" s="29">
        <v>46480</v>
      </c>
      <c r="G21" s="29">
        <v>46517</v>
      </c>
      <c r="H21" s="29">
        <v>46619</v>
      </c>
      <c r="I21" s="29">
        <v>46660</v>
      </c>
      <c r="J21" s="27" t="str">
        <v>D</v>
      </c>
      <c r="K21" s="27" t="str">
        <v>E</v>
      </c>
    </row>
    <row r="22">
      <c r="A22" s="27" t="str">
        <v>BE 14</v>
      </c>
      <c r="B22" s="27" t="str">
        <v>Frontal</v>
      </c>
      <c r="C22" s="27">
        <v>6</v>
      </c>
      <c r="D22" s="27">
        <v>13</v>
      </c>
      <c r="E22" s="28">
        <v>0.07609756097560975</v>
      </c>
      <c r="F22" s="29">
        <v>46447</v>
      </c>
      <c r="G22" s="29">
        <v>46477</v>
      </c>
      <c r="H22" s="29">
        <v>46571</v>
      </c>
      <c r="I22" s="29">
        <v>46611</v>
      </c>
      <c r="J22" s="27" t="str">
        <v>G</v>
      </c>
      <c r="K22" s="27" t="str">
        <v>C</v>
      </c>
    </row>
    <row r="23">
      <c r="A23" s="27" t="str">
        <v>BE 22</v>
      </c>
      <c r="B23" s="27" t="str">
        <v>Frontal</v>
      </c>
      <c r="C23" s="27">
        <v>6</v>
      </c>
      <c r="D23" s="27">
        <v>12</v>
      </c>
      <c r="E23" s="28">
        <v>0.07024390243902438</v>
      </c>
      <c r="F23" s="29">
        <v>46480</v>
      </c>
      <c r="G23" s="29">
        <v>46512</v>
      </c>
      <c r="H23" s="29">
        <v>46619</v>
      </c>
      <c r="I23" s="29">
        <v>46654</v>
      </c>
      <c r="J23" s="27" t="str">
        <v>B</v>
      </c>
      <c r="K23" s="27" t="str">
        <v>D</v>
      </c>
    </row>
    <row r="24">
      <c r="A24" s="27" t="str">
        <v>BE 15</v>
      </c>
      <c r="B24" s="27" t="str">
        <v>Frontal</v>
      </c>
      <c r="C24" s="27">
        <v>5</v>
      </c>
      <c r="D24" s="27">
        <v>13</v>
      </c>
      <c r="E24" s="28">
        <v>0.06341463414634146</v>
      </c>
      <c r="F24" s="29">
        <v>46447</v>
      </c>
      <c r="G24" s="29">
        <v>46471</v>
      </c>
      <c r="H24" s="29">
        <v>46573</v>
      </c>
      <c r="I24" s="29">
        <v>46605</v>
      </c>
      <c r="J24" s="27" t="str">
        <v>E</v>
      </c>
      <c r="K24" s="27" t="str">
        <v>F</v>
      </c>
    </row>
    <row r="25">
      <c r="A25" s="27" t="str">
        <v>BE 23</v>
      </c>
      <c r="B25" s="27" t="str">
        <v>Frontal</v>
      </c>
      <c r="C25" s="27">
        <v>5</v>
      </c>
      <c r="D25" s="27">
        <v>12</v>
      </c>
      <c r="E25" s="28">
        <v>0.058536585365853655</v>
      </c>
      <c r="F25" s="29">
        <v>46480</v>
      </c>
      <c r="G25" s="29">
        <v>46506</v>
      </c>
      <c r="H25" s="29">
        <v>46619</v>
      </c>
      <c r="I25" s="29">
        <v>46648</v>
      </c>
      <c r="J25" s="27" t="str">
        <v>C</v>
      </c>
      <c r="K25" s="27" t="str">
        <v>F</v>
      </c>
    </row>
    <row r="26">
      <c r="A26" s="27" t="str">
        <v>CR 20</v>
      </c>
      <c r="B26" s="27" t="str">
        <v>Frontal</v>
      </c>
      <c r="C26" s="27">
        <v>7</v>
      </c>
      <c r="D26" s="27">
        <v>25</v>
      </c>
      <c r="E26" s="28">
        <v>0.17073170731707318</v>
      </c>
      <c r="F26" s="29">
        <v>46757</v>
      </c>
      <c r="G26" s="29">
        <v>46870</v>
      </c>
      <c r="H26" s="27" t="str">
        <v/>
      </c>
      <c r="I26" s="27" t="str">
        <v/>
      </c>
      <c r="J26" s="27" t="str">
        <v>CREMALHEIRA</v>
      </c>
      <c r="K26" s="27" t="str">
        <v/>
      </c>
    </row>
    <row r="27">
      <c r="A27" s="27" t="str">
        <v>BE 16</v>
      </c>
      <c r="B27" s="27" t="str">
        <v>Lat. Esquerda</v>
      </c>
      <c r="C27" s="27">
        <v>5</v>
      </c>
      <c r="D27" s="27">
        <v>13</v>
      </c>
      <c r="E27" s="28">
        <v>0.13</v>
      </c>
      <c r="F27" s="29">
        <v>46480</v>
      </c>
      <c r="G27" s="29">
        <v>46519</v>
      </c>
      <c r="H27" s="29">
        <v>46623</v>
      </c>
      <c r="I27" s="29">
        <v>46683</v>
      </c>
      <c r="J27" s="27" t="str">
        <v>G</v>
      </c>
      <c r="K27" s="27" t="str">
        <v>A</v>
      </c>
    </row>
    <row r="28">
      <c r="A28" s="27" t="str">
        <v>BE 17</v>
      </c>
      <c r="B28" s="27" t="str">
        <v>Lat. Esquerda</v>
      </c>
      <c r="C28" s="27">
        <v>2</v>
      </c>
      <c r="D28" s="27">
        <v>13</v>
      </c>
      <c r="E28" s="28">
        <v>0.052000000000000005</v>
      </c>
      <c r="F28" s="29">
        <v>46496</v>
      </c>
      <c r="G28" s="29">
        <v>46512</v>
      </c>
      <c r="H28" s="29">
        <v>46623</v>
      </c>
      <c r="I28" s="29">
        <v>46647</v>
      </c>
      <c r="J28" s="27" t="str">
        <v>A</v>
      </c>
      <c r="K28" s="27" t="str">
        <v>B</v>
      </c>
    </row>
    <row r="29">
      <c r="A29" s="27" t="str">
        <v>BE 24</v>
      </c>
      <c r="B29" s="27" t="str">
        <v>Lat. Esquerda</v>
      </c>
      <c r="C29" s="27">
        <v>7</v>
      </c>
      <c r="D29" s="27">
        <v>12</v>
      </c>
      <c r="E29" s="28">
        <v>0.16799999999999998</v>
      </c>
      <c r="F29" s="29">
        <v>46522</v>
      </c>
      <c r="G29" s="29">
        <v>46574</v>
      </c>
      <c r="H29" s="29">
        <v>46687</v>
      </c>
      <c r="I29" s="29">
        <v>46777</v>
      </c>
      <c r="J29" s="27" t="str">
        <v>D</v>
      </c>
      <c r="K29" s="27" t="str">
        <v>D</v>
      </c>
    </row>
    <row r="30">
      <c r="A30" s="27" t="str">
        <v>BE 18</v>
      </c>
      <c r="B30" s="27" t="str">
        <v>Lat. Esquerda</v>
      </c>
      <c r="C30" s="27">
        <v>7</v>
      </c>
      <c r="D30" s="27">
        <v>25</v>
      </c>
      <c r="E30" s="28">
        <v>0.35</v>
      </c>
      <c r="F30" s="29">
        <v>46463</v>
      </c>
      <c r="G30" s="29">
        <v>46569</v>
      </c>
      <c r="H30" s="29">
        <v>46602</v>
      </c>
      <c r="I30" s="29">
        <v>46776</v>
      </c>
      <c r="J30" s="27" t="str">
        <v>F</v>
      </c>
      <c r="K30" s="27" t="str">
        <v>G</v>
      </c>
    </row>
    <row r="31">
      <c r="A31" s="27" t="str">
        <v>BE 19</v>
      </c>
      <c r="B31" s="27" t="str">
        <v>Lat. Esquerda</v>
      </c>
      <c r="C31" s="27">
        <v>6</v>
      </c>
      <c r="D31" s="27">
        <v>25</v>
      </c>
      <c r="E31" s="28">
        <v>0.3</v>
      </c>
      <c r="F31" s="29">
        <v>46476</v>
      </c>
      <c r="G31" s="29">
        <v>46567</v>
      </c>
      <c r="H31" s="29">
        <v>46615</v>
      </c>
      <c r="I31" s="29">
        <v>46766</v>
      </c>
      <c r="J31" s="27" t="str">
        <v>E</v>
      </c>
      <c r="K31" s="27" t="str">
        <v>C</v>
      </c>
    </row>
  </sheetData>
  <ignoredErrors>
    <ignoredError numberStoredAsText="1" sqref="A1:K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TORRE JARDIM</vt:lpstr>
      <vt:lpstr>Aux. Dados JARDIM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