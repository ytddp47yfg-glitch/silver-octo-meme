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RE JARDIM" sheetId="1" r:id="rId1"/>
    <sheet name="Aux. Dados JARDI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"/>
    <numFmt numFmtId="166" formatCode="dd/mm/yyyy"/>
  </numFmts>
  <fonts count="42" x14ac:knownFonts="1">
    <font>
      <sz val="11"/>
      <name val="Calibri"/>
    </font>
    <font>
      <sz val="11"/>
      <name val="Calibri"/>
    </font>
    <font>
      <sz val="14"/>
      <name val="Aptos Narrow"/>
      <b/>
      <color rgb="FFFFFF"/>
    </font>
    <font>
      <sz val="9"/>
      <name val="Aptos Narrow"/>
    </font>
    <font>
      <sz val="9"/>
      <name val="Aptos Narrow"/>
      <b/>
    </font>
    <font>
      <sz val="9"/>
      <name val="Aptos Narrow"/>
      <b/>
    </font>
    <font>
      <sz val="9"/>
      <name val="Aptos Narrow"/>
    </font>
    <font>
      <sz val="9"/>
      <name val="Aptos Narrow"/>
    </font>
    <font>
      <sz val="12"/>
      <name val="Aptos Narrow"/>
      <b/>
      <color rgb="FFFFFF"/>
    </font>
    <font>
      <sz val="9"/>
      <name val="Aptos Narrow"/>
    </font>
    <font>
      <sz val="9"/>
      <name val="Aptos Narrow"/>
      <color rgb="555555"/>
    </font>
    <font>
      <sz val="9"/>
      <name val="Aptos Narrow"/>
    </font>
    <font>
      <sz val="9"/>
      <name val="Aptos Narrow"/>
    </font>
    <font>
      <sz val="9"/>
      <name val="Aptos Narrow"/>
    </font>
    <font>
      <sz val="9"/>
      <name val="Aptos Narrow"/>
    </font>
    <font>
      <sz val="9"/>
      <name val="Aptos Narrow"/>
    </font>
    <font>
      <sz val="9"/>
      <name val="Aptos Narrow"/>
      <b/>
      <color rgb="000000"/>
    </font>
    <font>
      <sz val="9"/>
      <name val="Aptos Narrow"/>
      <b/>
      <color rgb="000000"/>
    </font>
    <font>
      <sz val="9"/>
      <name val="Aptos Narrow"/>
      <b/>
      <color rgb="000000"/>
    </font>
    <font>
      <sz val="9"/>
      <name val="Aptos Narrow"/>
      <b/>
    </font>
    <font>
      <sz val="9"/>
      <name val="Aptos Narrow"/>
      <b/>
    </font>
    <font>
      <sz val="9"/>
      <name val="Aptos Narrow"/>
    </font>
    <font>
      <sz val="9"/>
      <name val="Aptos Narrow"/>
      <b/>
    </font>
    <font>
      <sz val="9"/>
      <name val="Aptos Narrow"/>
    </font>
    <font>
      <sz val="9"/>
      <name val="Aptos Narrow"/>
    </font>
    <font>
      <sz val="9"/>
      <name val="Aptos Narrow"/>
      <color rgb="595959"/>
    </font>
    <font>
      <sz val="9"/>
      <name val="Aptos Narrow"/>
    </font>
    <font>
      <sz val="9"/>
      <name val="Aptos Narrow"/>
    </font>
    <font>
      <sz val="9"/>
      <name val="Aptos Narrow"/>
    </font>
    <font>
      <sz val="9"/>
      <name val="Aptos Narrow"/>
      <b/>
    </font>
    <font>
      <sz val="9"/>
      <name val="Aptos Narrow"/>
      <b/>
    </font>
    <font>
      <sz val="9"/>
      <name val="Aptos Narrow"/>
      <b/>
    </font>
    <font>
      <sz val="9"/>
      <name val="Aptos Narrow"/>
      <b/>
    </font>
    <font>
      <sz val="9"/>
      <name val="Aptos Narrow"/>
      <b/>
      <color rgb="FFFFFF"/>
    </font>
    <font>
      <sz val="9"/>
      <name val="Aptos Narrow"/>
    </font>
    <font>
      <sz val="9"/>
      <name val="Aptos Narrow"/>
      <b/>
    </font>
    <font>
      <sz val="9"/>
      <name val="Aptos Narrow"/>
    </font>
    <font>
      <sz val="9"/>
      <name val="Aptos Narrow"/>
      <i/>
      <color rgb="555555"/>
    </font>
    <font>
      <sz val="9"/>
      <name val="Aptos Narrow"/>
      <b/>
    </font>
    <font>
      <sz val="9"/>
      <name val="Aptos Narrow"/>
    </font>
    <font>
      <sz val="9"/>
      <name val="Aptos Narrow"/>
    </font>
    <font>
      <sz val="9"/>
      <name val="Aptos Narrow"/>
    </font>
  </fonts>
  <fills count="2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595959"/>
        <bgColor/>
      </patternFill>
    </fill>
    <fill>
      <patternFill patternType="solid">
        <fgColor rgb="FF595959"/>
        <bgColor/>
      </patternFill>
    </fill>
    <fill>
      <patternFill patternType="solid">
        <fgColor rgb="FF00B0F0"/>
        <bgColor/>
      </patternFill>
    </fill>
    <fill>
      <patternFill patternType="solid">
        <fgColor rgb="FF00B050"/>
        <bgColor/>
      </patternFill>
    </fill>
    <fill>
      <patternFill patternType="solid">
        <fgColor rgb="FFFF0000"/>
        <bgColor/>
      </patternFill>
    </fill>
    <fill>
      <patternFill patternType="solid">
        <fgColor rgb="FFBFBFBF"/>
        <bgColor/>
      </patternFill>
    </fill>
    <fill>
      <patternFill patternType="solid">
        <fgColor rgb="FFA6A6A6"/>
        <bgColor/>
      </patternFill>
    </fill>
    <fill>
      <patternFill patternType="solid">
        <fgColor rgb="FFD6E4DD"/>
        <bgColor/>
      </patternFill>
    </fill>
    <fill>
      <patternFill patternType="solid">
        <fgColor rgb="FF949C94"/>
        <bgColor/>
      </patternFill>
    </fill>
    <fill>
      <patternFill patternType="solid">
        <fgColor rgb="FFF2F2F2"/>
        <bgColor/>
      </patternFill>
    </fill>
    <fill>
      <patternFill patternType="solid">
        <fgColor rgb="FFD6E4DD"/>
        <bgColor/>
      </patternFill>
    </fill>
    <fill>
      <patternFill patternType="solid">
        <fgColor rgb="FFF2F2F2"/>
        <bgColor/>
      </patternFill>
    </fill>
    <fill>
      <patternFill patternType="solid">
        <fgColor rgb="FFEBF2EE"/>
        <bgColor/>
      </patternFill>
    </fill>
    <fill>
      <patternFill patternType="solid">
        <fgColor rgb="FFF2F2F2"/>
        <bgColor/>
      </patternFill>
    </fill>
    <fill>
      <patternFill patternType="solid">
        <fgColor rgb="FFD6E4DD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D9D9D9"/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A6A6A6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0" fontId="7" fillId="0" borderId="5" xfId="0" applyFont="1" applyBorder="1" applyNumberFormat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6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7" borderId="7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 wrapText="true"/>
    </xf>
    <xf numFmtId="0" fontId="17" fillId="11" borderId="11" xfId="0" applyFont="1" applyFill="1" applyBorder="1" applyAlignment="1">
      <alignment horizontal="center" vertical="center" wrapText="true"/>
    </xf>
    <xf numFmtId="0" fontId="18" fillId="12" borderId="12" xfId="0" applyFont="1" applyFill="1" applyBorder="1" applyAlignment="1">
      <alignment horizontal="center" vertical="center" wrapText="true"/>
    </xf>
    <xf numFmtId="0" fontId="19" fillId="13" borderId="13" xfId="0" applyFont="1" applyFill="1" applyBorder="1" applyAlignment="1">
      <alignment horizontal="left" vertical="center"/>
    </xf>
    <xf numFmtId="10" fontId="20" fillId="14" borderId="14" xfId="0" applyFont="1" applyFill="1" applyBorder="1" applyNumberFormat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true"/>
    </xf>
    <xf numFmtId="0" fontId="23" fillId="0" borderId="17" xfId="0" applyFont="1" applyBorder="1" applyAlignment="1">
      <alignment horizontal="center" vertical="center"/>
    </xf>
    <xf numFmtId="165" fontId="24" fillId="16" borderId="18" xfId="0" applyFont="1" applyFill="1" applyBorder="1" applyNumberFormat="1" applyAlignment="1">
      <alignment horizontal="center" vertical="center"/>
    </xf>
    <xf numFmtId="0" fontId="25" fillId="17" borderId="19" xfId="0" applyFont="1" applyFill="1" applyBorder="1" applyAlignment="1">
      <alignment horizontal="center" vertical="center"/>
    </xf>
    <xf numFmtId="10" fontId="26" fillId="18" borderId="20" xfId="0" applyFont="1" applyFill="1" applyBorder="1" applyNumberFormat="1" applyAlignment="1">
      <alignment horizontal="center" vertical="center"/>
    </xf>
    <xf numFmtId="9" fontId="27" fillId="0" borderId="21" xfId="0" applyFont="1" applyBorder="1" applyNumberFormat="1" applyAlignment="1">
      <alignment horizontal="center" vertical="center"/>
    </xf>
    <xf numFmtId="0" fontId="28" fillId="19" borderId="22" xfId="0" applyFont="1" applyFill="1" applyBorder="1" applyAlignment="1">
      <alignment horizontal="center" vertical="center"/>
    </xf>
    <xf numFmtId="0" fontId="29" fillId="20" borderId="23" xfId="0" applyFont="1" applyFill="1" applyBorder="1" applyAlignment="1">
      <alignment horizontal="center" vertical="center"/>
    </xf>
    <xf numFmtId="10" fontId="30" fillId="21" borderId="24" xfId="0" applyFont="1" applyFill="1" applyBorder="1" applyNumberFormat="1" applyAlignment="1">
      <alignment horizontal="center" vertical="center"/>
    </xf>
    <xf numFmtId="9" fontId="31" fillId="22" borderId="25" xfId="0" applyFont="1" applyFill="1" applyBorder="1" applyNumberFormat="1" applyAlignment="1">
      <alignment horizontal="center" vertical="center"/>
    </xf>
    <xf numFmtId="0" fontId="32" fillId="23" borderId="26" xfId="0" applyFont="1" applyFill="1" applyBorder="1" applyAlignment="1">
      <alignment horizontal="left" vertical="center"/>
    </xf>
    <xf numFmtId="0" fontId="33" fillId="24" borderId="27" xfId="0" applyFont="1" applyFill="1" applyBorder="1" applyAlignment="1">
      <alignment horizontal="left" vertical="center"/>
    </xf>
    <xf numFmtId="0" fontId="34" fillId="25" borderId="28" xfId="0" applyFont="1" applyFill="1" applyBorder="1" applyAlignment="1">
      <alignment horizontal="center" vertical="center"/>
    </xf>
    <xf numFmtId="0" fontId="35" fillId="26" borderId="29" xfId="0" applyFont="1" applyFill="1" applyBorder="1" applyAlignment="1">
      <alignment horizontal="left" vertical="center"/>
    </xf>
    <xf numFmtId="0" fontId="36" fillId="27" borderId="30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 wrapText="true"/>
    </xf>
    <xf numFmtId="0" fontId="38" fillId="28" borderId="0" xfId="0" applyFont="1" applyFill="1"/>
    <xf numFmtId="0" fontId="39" fillId="0" borderId="0" xfId="0" applyFont="1"/>
    <xf numFmtId="10" fontId="40" fillId="0" borderId="0" xfId="0" applyFont="1" applyNumberFormat="1"/>
    <xf numFmtId="166" fontId="41" fillId="0" borderId="0" xfId="0" applyFont="1" applyNumberFormat="1"/>
  </cellXfs>
  <cellStyles>
    <cellStyle name="Normal" xfId="0" builtinId="0"/>
  </cellStyles>
  <dxfs count="1">
    <dxf>
      <font>
        <b/>
        <color rgb="FF000000"/>
      </font>
      <fill>
        <patternFill patternType="solid">
          <fgColor rgb="FF00B050"/>
          <bgColor rgb="FF00B05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74"/>
  <sheetViews>
    <sheetView workbookViewId="0">
      <pane xSplit="8" ySplit="9" topLeftCell="I10" activePane="bottomRight" state="frozen"/>
      <selection pane="bottomRight" activeCell="I10" sqref="I10"/>
    </sheetView>
  </sheetViews>
  <cols>
    <col min="1" max="1" width="22.83203125" customWidth="1"/>
    <col min="2" max="2" width="9.83203125" customWidth="1"/>
    <col min="3" max="3" width="9.83203125" customWidth="1"/>
    <col min="4" max="4" width="18.83203125" customWidth="1"/>
    <col min="5" max="5" width="12.83203125" customWidth="1"/>
    <col min="6" max="6" width="9.83203125" customWidth="1"/>
    <col min="7" max="7" width="9.83203125" customWidth="1"/>
    <col min="8" max="8" width="11.83203125" customWidth="1"/>
    <col min="9" max="9" width="4.43359375" customWidth="1"/>
    <col min="10" max="10" width="4.43359375" customWidth="1"/>
    <col min="11" max="11" width="4.43359375" customWidth="1"/>
    <col min="12" max="12" width="4.43359375" customWidth="1"/>
    <col min="13" max="13" width="4.43359375" customWidth="1"/>
    <col min="14" max="14" width="4.43359375" customWidth="1"/>
    <col min="15" max="15" width="4.43359375" customWidth="1"/>
    <col min="16" max="16" width="4.43359375" customWidth="1"/>
    <col min="17" max="17" width="4.43359375" customWidth="1"/>
    <col min="18" max="18" width="4.43359375" customWidth="1"/>
    <col min="19" max="19" width="4.43359375" customWidth="1"/>
    <col min="20" max="20" width="4.43359375" customWidth="1"/>
    <col min="21" max="21" width="4.43359375" customWidth="1"/>
    <col min="22" max="22" width="4.43359375" customWidth="1"/>
    <col min="23" max="23" width="4.43359375" customWidth="1"/>
    <col min="24" max="24" width="4.43359375" customWidth="1"/>
    <col min="25" max="25" width="4.43359375" customWidth="1"/>
    <col min="26" max="26" width="4.43359375" customWidth="1"/>
    <col min="27" max="27" width="4.43359375" customWidth="1"/>
    <col min="28" max="28" width="4.43359375" customWidth="1"/>
    <col min="29" max="29" width="4.43359375" customWidth="1"/>
    <col min="30" max="30" width="4.43359375" customWidth="1"/>
    <col min="31" max="31" width="4.43359375" customWidth="1"/>
    <col min="32" max="32" width="4.43359375" customWidth="1"/>
    <col min="33" max="33" width="4.43359375" customWidth="1"/>
    <col min="34" max="34" width="11.33203125" customWidth="1"/>
    <col min="35" max="35" width="11.33203125" customWidth="1"/>
    <col min="36" max="36" width="11.33203125" customWidth="1"/>
    <col min="37" max="37" width="11.33203125" customWidth="1"/>
    <col min="38" max="38" width="11.33203125" customWidth="1"/>
    <col min="39" max="39" width="11.33203125" customWidth="1"/>
    <col min="40" max="40" width="11.33203125" customWidth="1"/>
    <col min="41" max="41" width="11.33203125" customWidth="1"/>
    <col min="42" max="42" width="12.83203125" customWidth="1"/>
    <col min="43" max="43" width="2.83203125" customWidth="1"/>
    <col min="44" max="44" width="2.83203125" customWidth="1"/>
    <col min="45" max="45" width="2.83203125" customWidth="1"/>
    <col min="46" max="46" width="26.83203125" customWidth="1"/>
    <col min="47" max="47" width="8.83203125" customWidth="1"/>
  </cols>
  <sheetData>
    <row r="1" ht="20" customHeight="1">
      <c r="A1" s="3" t="str">
        <v>ACOMPANHAMENTO FACHADA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AT1" s="5" t="str">
        <v>Pesos de referência</v>
      </c>
      <c r="AU1" s="6" t="str">
        <v>Peso</v>
      </c>
    </row>
    <row r="2">
      <c r="AT2" s="7" t="str">
        <v>Limpeza</v>
      </c>
      <c r="AU2" s="8">
        <v>0.05</v>
      </c>
    </row>
    <row r="3" ht="18" customHeight="1">
      <c r="A3" s="9" t="str">
        <v>ED. JARDIM</v>
      </c>
      <c r="B3" s="10" t="str">
        <v/>
      </c>
      <c r="C3" s="10" t="str">
        <v/>
      </c>
      <c r="D3" s="10" t="str">
        <v/>
      </c>
      <c r="E3" s="10" t="str">
        <v/>
      </c>
      <c r="F3" s="10" t="str">
        <v/>
      </c>
      <c r="G3" s="10" t="str">
        <v/>
      </c>
      <c r="H3" s="10" t="str">
        <v/>
      </c>
      <c r="AT3" s="7" t="str">
        <v>Pano (granito)</v>
      </c>
      <c r="AU3" s="8">
        <v>0.65</v>
      </c>
    </row>
    <row r="4">
      <c r="A4" s="11" t="str">
        <v>Data de referência: 30/09/2026 · gerado em 30/09/2026</v>
      </c>
      <c r="AT4" s="7" t="str">
        <v>Requadro (granito)</v>
      </c>
      <c r="AU4" s="8">
        <v>0.25</v>
      </c>
    </row>
    <row r="5">
      <c r="I5" s="12" t="str">
        <v/>
      </c>
      <c r="J5" s="13" t="str">
        <v>Andamento</v>
      </c>
      <c r="N5" s="14" t="str">
        <v/>
      </c>
      <c r="O5" s="13" t="str">
        <v>Concluído</v>
      </c>
      <c r="S5" s="15" t="str">
        <v/>
      </c>
      <c r="T5" s="13" t="str">
        <v>Atrasado</v>
      </c>
      <c r="X5" s="16" t="str">
        <v/>
      </c>
      <c r="Y5" s="13" t="str">
        <v>Não se aplica (par/ímpar)</v>
      </c>
      <c r="AT5" s="7" t="str">
        <v>Rejunte</v>
      </c>
      <c r="AU5" s="8">
        <v>0.05</v>
      </c>
    </row>
    <row r="6">
      <c r="AU6" s="8">
        <f>SUM(AU2:AU5)</f>
      </c>
    </row>
    <row r="7" ht="18" customHeight="1" xml:space="preserve">
      <c r="A7" s="17" t="str">
        <v>LOCAL</v>
      </c>
      <c r="B7" s="18" t="str">
        <v>PESO</v>
      </c>
      <c r="C7" s="18" t="str">
        <v>PESO BALANCIM</v>
      </c>
      <c r="D7" s="17" t="str">
        <v>BALANCIM</v>
      </c>
      <c r="E7" s="17" t="str">
        <v>SERVIÇOS</v>
      </c>
      <c r="F7" s="17" t="str" xml:space="preserve">
        <v xml:space="preserve">AVANÇO
PESO</v>
      </c>
      <c r="G7" s="17" t="str" xml:space="preserve">
        <v xml:space="preserve">AVANÇO
FÍSICO</v>
      </c>
      <c r="H7" s="17" t="str" xml:space="preserve">
        <v xml:space="preserve">PAVIMENTOS
EXECUTADOS</v>
      </c>
      <c r="I7" s="17" t="str">
        <v>PAVIMENTOS</v>
      </c>
      <c r="J7" s="17" t="str">
        <v/>
      </c>
      <c r="K7" s="17" t="str">
        <v/>
      </c>
      <c r="L7" s="17" t="str">
        <v/>
      </c>
      <c r="M7" s="17" t="str">
        <v/>
      </c>
      <c r="N7" s="17" t="str">
        <v/>
      </c>
      <c r="O7" s="17" t="str">
        <v/>
      </c>
      <c r="P7" s="17" t="str">
        <v/>
      </c>
      <c r="Q7" s="17" t="str">
        <v/>
      </c>
      <c r="R7" s="17" t="str">
        <v/>
      </c>
      <c r="S7" s="17" t="str">
        <v/>
      </c>
      <c r="T7" s="17" t="str">
        <v/>
      </c>
      <c r="U7" s="17" t="str">
        <v/>
      </c>
      <c r="V7" s="17" t="str">
        <v/>
      </c>
      <c r="W7" s="17" t="str">
        <v/>
      </c>
      <c r="X7" s="17" t="str">
        <v/>
      </c>
      <c r="Y7" s="17" t="str">
        <v/>
      </c>
      <c r="Z7" s="17" t="str">
        <v/>
      </c>
      <c r="AA7" s="17" t="str">
        <v/>
      </c>
      <c r="AB7" s="17" t="str">
        <v/>
      </c>
      <c r="AC7" s="17" t="str">
        <v/>
      </c>
      <c r="AD7" s="17" t="str">
        <v/>
      </c>
      <c r="AE7" s="17" t="str">
        <v/>
      </c>
      <c r="AF7" s="17" t="str">
        <v/>
      </c>
      <c r="AG7" s="17" t="str">
        <v/>
      </c>
      <c r="AH7" s="19" t="str">
        <v>1ª ETAPA - 4° ao 13° Pavimento</v>
      </c>
      <c r="AI7" s="19" t="str">
        <v/>
      </c>
      <c r="AJ7" s="19" t="str">
        <v/>
      </c>
      <c r="AK7" s="19" t="str">
        <v/>
      </c>
      <c r="AL7" s="19" t="str">
        <v>2ª ETAPA - 14° ao 28° Pavimento</v>
      </c>
      <c r="AM7" s="19" t="str">
        <v/>
      </c>
      <c r="AN7" s="19" t="str">
        <v/>
      </c>
      <c r="AO7" s="19" t="str">
        <v/>
      </c>
      <c r="AP7" s="17" t="str">
        <v>SITUAÇÃO</v>
      </c>
    </row>
    <row r="8" ht="16" customHeight="1">
      <c r="A8" s="17" t="str">
        <v/>
      </c>
      <c r="B8" s="18" t="str">
        <v/>
      </c>
      <c r="C8" s="18" t="str">
        <v/>
      </c>
      <c r="D8" s="17" t="str">
        <v/>
      </c>
      <c r="E8" s="17" t="str">
        <v/>
      </c>
      <c r="F8" s="17" t="str">
        <v/>
      </c>
      <c r="G8" s="17" t="str">
        <v/>
      </c>
      <c r="H8" s="17" t="str">
        <v/>
      </c>
      <c r="I8" s="17" t="str">
        <v/>
      </c>
      <c r="J8" s="17" t="str">
        <v/>
      </c>
      <c r="K8" s="17" t="str">
        <v/>
      </c>
      <c r="L8" s="17" t="str">
        <v/>
      </c>
      <c r="M8" s="17" t="str">
        <v/>
      </c>
      <c r="N8" s="17" t="str">
        <v/>
      </c>
      <c r="O8" s="17" t="str">
        <v/>
      </c>
      <c r="P8" s="17" t="str">
        <v/>
      </c>
      <c r="Q8" s="17" t="str">
        <v/>
      </c>
      <c r="R8" s="17" t="str">
        <v/>
      </c>
      <c r="S8" s="17" t="str">
        <v/>
      </c>
      <c r="T8" s="17" t="str">
        <v/>
      </c>
      <c r="U8" s="17" t="str">
        <v/>
      </c>
      <c r="V8" s="17" t="str">
        <v/>
      </c>
      <c r="W8" s="17" t="str">
        <v/>
      </c>
      <c r="X8" s="17" t="str">
        <v/>
      </c>
      <c r="Y8" s="17" t="str">
        <v/>
      </c>
      <c r="Z8" s="17" t="str">
        <v/>
      </c>
      <c r="AA8" s="17" t="str">
        <v/>
      </c>
      <c r="AB8" s="17" t="str">
        <v/>
      </c>
      <c r="AC8" s="17" t="str">
        <v/>
      </c>
      <c r="AD8" s="17" t="str">
        <v/>
      </c>
      <c r="AE8" s="17" t="str">
        <v/>
      </c>
      <c r="AF8" s="17" t="str">
        <v/>
      </c>
      <c r="AG8" s="17" t="str">
        <v/>
      </c>
      <c r="AH8" s="19" t="str">
        <v>PREVISTO</v>
      </c>
      <c r="AI8" s="19" t="str">
        <v/>
      </c>
      <c r="AJ8" s="19" t="str">
        <v>REALIZADO</v>
      </c>
      <c r="AK8" s="19" t="str">
        <v/>
      </c>
      <c r="AL8" s="19" t="str">
        <v>PREVISTO</v>
      </c>
      <c r="AM8" s="19" t="str">
        <v/>
      </c>
      <c r="AN8" s="19" t="str">
        <v>REALIZADO</v>
      </c>
      <c r="AO8" s="19" t="str">
        <v/>
      </c>
      <c r="AP8" s="17" t="str">
        <v/>
      </c>
    </row>
    <row r="9" ht="16" customHeight="1">
      <c r="A9" s="17" t="str">
        <v/>
      </c>
      <c r="B9" s="18" t="str">
        <v/>
      </c>
      <c r="C9" s="18" t="str">
        <v/>
      </c>
      <c r="D9" s="17" t="str">
        <v/>
      </c>
      <c r="E9" s="17" t="str">
        <v/>
      </c>
      <c r="F9" s="17" t="str">
        <v/>
      </c>
      <c r="G9" s="17" t="str">
        <v/>
      </c>
      <c r="H9" s="17" t="str">
        <v/>
      </c>
      <c r="I9" s="17">
        <v>4</v>
      </c>
      <c r="J9" s="17">
        <v>5</v>
      </c>
      <c r="K9" s="17">
        <v>6</v>
      </c>
      <c r="L9" s="17">
        <v>7</v>
      </c>
      <c r="M9" s="17">
        <v>8</v>
      </c>
      <c r="N9" s="17">
        <v>9</v>
      </c>
      <c r="O9" s="17">
        <v>10</v>
      </c>
      <c r="P9" s="17">
        <v>11</v>
      </c>
      <c r="Q9" s="17">
        <v>12</v>
      </c>
      <c r="R9" s="17">
        <v>13</v>
      </c>
      <c r="S9" s="17">
        <v>14</v>
      </c>
      <c r="T9" s="17">
        <v>15</v>
      </c>
      <c r="U9" s="17">
        <v>16</v>
      </c>
      <c r="V9" s="17">
        <v>17</v>
      </c>
      <c r="W9" s="17">
        <v>18</v>
      </c>
      <c r="X9" s="17">
        <v>19</v>
      </c>
      <c r="Y9" s="17">
        <v>20</v>
      </c>
      <c r="Z9" s="17">
        <v>21</v>
      </c>
      <c r="AA9" s="17">
        <v>22</v>
      </c>
      <c r="AB9" s="17">
        <v>23</v>
      </c>
      <c r="AC9" s="17">
        <v>24</v>
      </c>
      <c r="AD9" s="17">
        <v>25</v>
      </c>
      <c r="AE9" s="17">
        <v>26</v>
      </c>
      <c r="AF9" s="17">
        <v>27</v>
      </c>
      <c r="AG9" s="17">
        <v>28</v>
      </c>
      <c r="AH9" s="17" t="str">
        <v>INICIO</v>
      </c>
      <c r="AI9" s="17" t="str">
        <v>FIM</v>
      </c>
      <c r="AJ9" s="17" t="str">
        <v>INICIO</v>
      </c>
      <c r="AK9" s="17" t="str">
        <v>FIM</v>
      </c>
      <c r="AL9" s="17" t="str">
        <v>INICIO</v>
      </c>
      <c r="AM9" s="17" t="str">
        <v>FIM</v>
      </c>
      <c r="AN9" s="17" t="str">
        <v>INICIO</v>
      </c>
      <c r="AO9" s="17" t="str">
        <v>FIM</v>
      </c>
      <c r="AP9" s="17" t="str">
        <v/>
      </c>
    </row>
    <row r="10">
      <c r="A10" s="20" t="str">
        <v>FACHADA POSTERIOR</v>
      </c>
      <c r="B10" s="21">
        <v>0.39218578340775806</v>
      </c>
      <c r="C10" s="22" t="str">
        <v/>
      </c>
      <c r="D10" s="22" t="str">
        <v/>
      </c>
      <c r="E10" s="22" t="str">
        <v/>
      </c>
      <c r="F10" s="22" t="str">
        <v/>
      </c>
      <c r="G10" s="22" t="str">
        <v/>
      </c>
      <c r="H10" s="22" t="str">
        <v/>
      </c>
      <c r="I10" s="22" t="str">
        <v/>
      </c>
      <c r="J10" s="22" t="str">
        <v/>
      </c>
      <c r="K10" s="22" t="str">
        <v/>
      </c>
      <c r="L10" s="22" t="str">
        <v/>
      </c>
      <c r="M10" s="22" t="str">
        <v/>
      </c>
      <c r="N10" s="22" t="str">
        <v/>
      </c>
      <c r="O10" s="22" t="str">
        <v/>
      </c>
      <c r="P10" s="22" t="str">
        <v/>
      </c>
      <c r="Q10" s="22" t="str">
        <v/>
      </c>
      <c r="R10" s="22" t="str">
        <v/>
      </c>
      <c r="S10" s="22" t="str">
        <v/>
      </c>
      <c r="T10" s="22" t="str">
        <v/>
      </c>
      <c r="U10" s="22" t="str">
        <v/>
      </c>
      <c r="V10" s="22" t="str">
        <v/>
      </c>
      <c r="W10" s="22" t="str">
        <v/>
      </c>
      <c r="X10" s="22" t="str">
        <v/>
      </c>
      <c r="Y10" s="22" t="str">
        <v/>
      </c>
      <c r="Z10" s="22" t="str">
        <v/>
      </c>
      <c r="AA10" s="22" t="str">
        <v/>
      </c>
      <c r="AB10" s="22" t="str">
        <v/>
      </c>
      <c r="AC10" s="22" t="str">
        <v/>
      </c>
      <c r="AD10" s="22" t="str">
        <v/>
      </c>
      <c r="AE10" s="22" t="str">
        <v/>
      </c>
      <c r="AF10" s="22" t="str">
        <v/>
      </c>
      <c r="AG10" s="22" t="str">
        <v/>
      </c>
      <c r="AH10" s="22" t="str">
        <v/>
      </c>
      <c r="AI10" s="22" t="str">
        <v/>
      </c>
      <c r="AJ10" s="22" t="str">
        <v/>
      </c>
      <c r="AK10" s="22" t="str">
        <v/>
      </c>
      <c r="AL10" s="22" t="str">
        <v/>
      </c>
      <c r="AM10" s="22" t="str">
        <v/>
      </c>
      <c r="AN10" s="22" t="str">
        <v/>
      </c>
      <c r="AO10" s="22" t="str">
        <v/>
      </c>
      <c r="AP10" s="22" t="str">
        <v/>
      </c>
    </row>
    <row r="11" xml:space="preserve">
      <c r="C11" s="8">
        <v>0.0967741935483871</v>
      </c>
      <c r="D11" s="23" t="str" xml:space="preserve">
        <v xml:space="preserve">BE 01
1ª eq. A / 2ª eq. C</v>
      </c>
      <c r="E11" s="24" t="str">
        <v>MONTAGEM</v>
      </c>
      <c r="I11" s="22" t="str">
        <v/>
      </c>
      <c r="J11" s="22" t="str">
        <v/>
      </c>
      <c r="K11" s="22" t="str">
        <v/>
      </c>
      <c r="L11" s="22" t="str">
        <v/>
      </c>
      <c r="M11" s="22" t="str">
        <v/>
      </c>
      <c r="N11" s="22" t="str">
        <v/>
      </c>
      <c r="O11" s="22" t="str">
        <v/>
      </c>
      <c r="P11" s="22" t="str">
        <v/>
      </c>
      <c r="Q11" s="22" t="str">
        <v/>
      </c>
      <c r="R11" s="22" t="str">
        <v/>
      </c>
      <c r="S11" s="22" t="str">
        <v/>
      </c>
      <c r="T11" s="22" t="str">
        <v/>
      </c>
      <c r="U11" s="22" t="str">
        <v/>
      </c>
      <c r="V11" s="22" t="str">
        <v/>
      </c>
      <c r="W11" s="22" t="str">
        <v/>
      </c>
      <c r="X11" s="22" t="str">
        <v/>
      </c>
      <c r="Y11" s="22" t="str">
        <v/>
      </c>
      <c r="Z11" s="22" t="str">
        <v/>
      </c>
      <c r="AA11" s="22" t="str">
        <v/>
      </c>
      <c r="AB11" s="22" t="str">
        <v/>
      </c>
      <c r="AC11" s="22" t="str">
        <v/>
      </c>
      <c r="AD11" s="22" t="str">
        <v/>
      </c>
      <c r="AE11" s="22" t="str">
        <v/>
      </c>
      <c r="AF11" s="22" t="str">
        <v/>
      </c>
      <c r="AG11" s="22" t="str">
        <v/>
      </c>
      <c r="AH11" s="25">
        <v>46296</v>
      </c>
      <c r="AI11" s="25">
        <v>46300</v>
      </c>
      <c r="AL11" s="25">
        <v>46766</v>
      </c>
      <c r="AM11" s="25">
        <v>46770</v>
      </c>
      <c r="AP11" s="26" t="str">
        <v>Não iniciado</v>
      </c>
    </row>
    <row r="12">
      <c r="B12" s="27">
        <f>$B$10*$AU$2</f>
      </c>
      <c r="E12" s="24" t="str">
        <v>LIMPEZA</v>
      </c>
      <c r="F12" s="8">
        <f>B12*$C$11*G12</f>
      </c>
      <c r="G12" s="28">
        <f>H12/25</f>
      </c>
      <c r="H12" s="24">
        <f>COUNTIF(I12:AG12,"x")</f>
      </c>
      <c r="AH12" s="25">
        <v>46300</v>
      </c>
      <c r="AI12" s="25">
        <v>46342</v>
      </c>
      <c r="AL12" s="25">
        <v>46770</v>
      </c>
      <c r="AM12" s="25">
        <v>46830</v>
      </c>
      <c r="AP12" s="26" t="str">
        <v>Não iniciado</v>
      </c>
    </row>
    <row r="13">
      <c r="B13" s="27">
        <f>$B$10*$AU$3</f>
      </c>
      <c r="E13" s="24" t="str">
        <v>PANO</v>
      </c>
      <c r="F13" s="8">
        <f>B13*$C$11*G13</f>
      </c>
      <c r="G13" s="28">
        <f>H13/25</f>
      </c>
      <c r="H13" s="24">
        <f>COUNTIF(I13:AG13,"x")</f>
      </c>
      <c r="AH13" s="25">
        <v>46300</v>
      </c>
      <c r="AI13" s="25">
        <v>46342</v>
      </c>
      <c r="AL13" s="25">
        <v>46770</v>
      </c>
      <c r="AM13" s="25">
        <v>46830</v>
      </c>
      <c r="AP13" s="26" t="str">
        <v>Não iniciado</v>
      </c>
    </row>
    <row r="14">
      <c r="B14" s="27">
        <f>$B$10*$AU$4</f>
      </c>
      <c r="E14" s="24" t="str">
        <v>REQUADRO</v>
      </c>
      <c r="F14" s="8">
        <f>B14*$C$11*G14</f>
      </c>
      <c r="G14" s="28">
        <f>H14/25</f>
      </c>
      <c r="H14" s="24">
        <f>COUNTIF(I14:AG14,"x")</f>
      </c>
      <c r="AH14" s="25">
        <v>46300</v>
      </c>
      <c r="AI14" s="25">
        <v>46342</v>
      </c>
      <c r="AL14" s="25">
        <v>46770</v>
      </c>
      <c r="AM14" s="25">
        <v>46830</v>
      </c>
      <c r="AP14" s="26" t="str">
        <v>Não iniciado</v>
      </c>
    </row>
    <row r="15">
      <c r="B15" s="27">
        <f>$B$10*$AU$5</f>
      </c>
      <c r="E15" s="24" t="str">
        <v>REJUNTE</v>
      </c>
      <c r="F15" s="8">
        <f>B15*$C$11*G15</f>
      </c>
      <c r="G15" s="28">
        <f>H15/25</f>
      </c>
      <c r="H15" s="24">
        <f>COUNTIF(I15:AG15,"x")</f>
      </c>
      <c r="AH15" s="25">
        <v>46300</v>
      </c>
      <c r="AI15" s="25">
        <v>46342</v>
      </c>
      <c r="AL15" s="25">
        <v>46770</v>
      </c>
      <c r="AM15" s="25">
        <v>46830</v>
      </c>
      <c r="AP15" s="26" t="str">
        <v>Não iniciado</v>
      </c>
    </row>
    <row r="16">
      <c r="A16" s="29" t="str">
        <v/>
      </c>
      <c r="B16" s="29" t="str">
        <v/>
      </c>
      <c r="C16" s="29" t="str">
        <v/>
      </c>
      <c r="D16" s="29" t="str">
        <v/>
      </c>
      <c r="E16" s="30" t="str">
        <v>ACUMULADO</v>
      </c>
      <c r="F16" s="31">
        <f>SUM(F12:F15)</f>
      </c>
      <c r="G16" s="32">
        <f>$AU$2*G12+$AU$3*G13+$AU$4*G14+$AU$5*G15</f>
      </c>
      <c r="H16" s="29" t="str">
        <v/>
      </c>
      <c r="I16" s="29" t="str">
        <v/>
      </c>
      <c r="J16" s="29" t="str">
        <v/>
      </c>
      <c r="K16" s="29" t="str">
        <v/>
      </c>
      <c r="L16" s="29" t="str">
        <v/>
      </c>
      <c r="M16" s="29" t="str">
        <v/>
      </c>
      <c r="N16" s="29" t="str">
        <v/>
      </c>
      <c r="O16" s="29" t="str">
        <v/>
      </c>
      <c r="P16" s="29" t="str">
        <v/>
      </c>
      <c r="Q16" s="29" t="str">
        <v/>
      </c>
      <c r="R16" s="29" t="str">
        <v/>
      </c>
      <c r="S16" s="29" t="str">
        <v/>
      </c>
      <c r="T16" s="29" t="str">
        <v/>
      </c>
      <c r="U16" s="29" t="str">
        <v/>
      </c>
      <c r="V16" s="29" t="str">
        <v/>
      </c>
      <c r="W16" s="29" t="str">
        <v/>
      </c>
      <c r="X16" s="29" t="str">
        <v/>
      </c>
      <c r="Y16" s="29" t="str">
        <v/>
      </c>
      <c r="Z16" s="29" t="str">
        <v/>
      </c>
      <c r="AA16" s="29" t="str">
        <v/>
      </c>
      <c r="AB16" s="29" t="str">
        <v/>
      </c>
      <c r="AC16" s="29" t="str">
        <v/>
      </c>
      <c r="AD16" s="29" t="str">
        <v/>
      </c>
      <c r="AE16" s="29" t="str">
        <v/>
      </c>
      <c r="AF16" s="29" t="str">
        <v/>
      </c>
      <c r="AG16" s="29" t="str">
        <v/>
      </c>
      <c r="AH16" s="29" t="str">
        <v/>
      </c>
      <c r="AI16" s="29" t="str">
        <v/>
      </c>
      <c r="AJ16" s="29" t="str">
        <v/>
      </c>
      <c r="AK16" s="29" t="str">
        <v/>
      </c>
      <c r="AL16" s="29" t="str">
        <v/>
      </c>
      <c r="AM16" s="29" t="str">
        <v/>
      </c>
      <c r="AN16" s="29" t="str">
        <v/>
      </c>
      <c r="AO16" s="29" t="str">
        <v/>
      </c>
      <c r="AP16" s="29" t="str">
        <v/>
      </c>
    </row>
    <row r="17" xml:space="preserve">
      <c r="C17" s="8">
        <v>0.2258064516129032</v>
      </c>
      <c r="D17" s="23" t="str" xml:space="preserve">
        <v xml:space="preserve">BE 02
1ª eq. B / 2ª eq. F</v>
      </c>
      <c r="E17" s="24" t="str">
        <v>MONTAGEM</v>
      </c>
      <c r="I17" s="22" t="str">
        <v/>
      </c>
      <c r="J17" s="22" t="str">
        <v/>
      </c>
      <c r="K17" s="22" t="str">
        <v/>
      </c>
      <c r="L17" s="22" t="str">
        <v/>
      </c>
      <c r="M17" s="22" t="str">
        <v/>
      </c>
      <c r="N17" s="22" t="str">
        <v/>
      </c>
      <c r="O17" s="22" t="str">
        <v/>
      </c>
      <c r="P17" s="22" t="str">
        <v/>
      </c>
      <c r="Q17" s="22" t="str">
        <v/>
      </c>
      <c r="R17" s="22" t="str">
        <v/>
      </c>
      <c r="S17" s="22" t="str">
        <v/>
      </c>
      <c r="T17" s="22" t="str">
        <v/>
      </c>
      <c r="U17" s="22" t="str">
        <v/>
      </c>
      <c r="V17" s="22" t="str">
        <v/>
      </c>
      <c r="W17" s="22" t="str">
        <v/>
      </c>
      <c r="X17" s="22" t="str">
        <v/>
      </c>
      <c r="Y17" s="22" t="str">
        <v/>
      </c>
      <c r="Z17" s="22" t="str">
        <v/>
      </c>
      <c r="AA17" s="22" t="str">
        <v/>
      </c>
      <c r="AB17" s="22" t="str">
        <v/>
      </c>
      <c r="AC17" s="22" t="str">
        <v/>
      </c>
      <c r="AD17" s="22" t="str">
        <v/>
      </c>
      <c r="AE17" s="22" t="str">
        <v/>
      </c>
      <c r="AF17" s="22" t="str">
        <v/>
      </c>
      <c r="AG17" s="22" t="str">
        <v/>
      </c>
      <c r="AH17" s="25">
        <v>46296</v>
      </c>
      <c r="AI17" s="25">
        <v>46300</v>
      </c>
      <c r="AL17" s="25">
        <v>46648</v>
      </c>
      <c r="AM17" s="25">
        <v>46652</v>
      </c>
      <c r="AP17" s="26" t="str">
        <v>Não iniciado</v>
      </c>
    </row>
    <row r="18">
      <c r="B18" s="27">
        <f>$B$10*$AU$2</f>
      </c>
      <c r="E18" s="24" t="str">
        <v>LIMPEZA</v>
      </c>
      <c r="F18" s="8">
        <f>B18*$C$17*G18</f>
      </c>
      <c r="G18" s="28">
        <f>H18/25</f>
      </c>
      <c r="H18" s="24">
        <f>COUNTIF(I18:AG18,"x")</f>
      </c>
      <c r="AH18" s="25">
        <v>46300</v>
      </c>
      <c r="AI18" s="25">
        <v>46410</v>
      </c>
      <c r="AL18" s="25">
        <v>46652</v>
      </c>
      <c r="AM18" s="25">
        <v>46808</v>
      </c>
      <c r="AP18" s="26" t="str">
        <v>Não iniciado</v>
      </c>
    </row>
    <row r="19">
      <c r="B19" s="27">
        <f>$B$10*$AU$3</f>
      </c>
      <c r="E19" s="24" t="str">
        <v>PANO</v>
      </c>
      <c r="F19" s="8">
        <f>B19*$C$17*G19</f>
      </c>
      <c r="G19" s="28">
        <f>H19/25</f>
      </c>
      <c r="H19" s="24">
        <f>COUNTIF(I19:AG19,"x")</f>
      </c>
      <c r="AH19" s="25">
        <v>46300</v>
      </c>
      <c r="AI19" s="25">
        <v>46410</v>
      </c>
      <c r="AL19" s="25">
        <v>46652</v>
      </c>
      <c r="AM19" s="25">
        <v>46808</v>
      </c>
      <c r="AP19" s="26" t="str">
        <v>Não iniciado</v>
      </c>
    </row>
    <row r="20">
      <c r="B20" s="27">
        <f>$B$10*$AU$4</f>
      </c>
      <c r="E20" s="24" t="str">
        <v>REQUADRO</v>
      </c>
      <c r="F20" s="8">
        <f>B20*$C$17*G20</f>
      </c>
      <c r="G20" s="28">
        <f>H20/25</f>
      </c>
      <c r="H20" s="24">
        <f>COUNTIF(I20:AG20,"x")</f>
      </c>
      <c r="AH20" s="25">
        <v>46300</v>
      </c>
      <c r="AI20" s="25">
        <v>46410</v>
      </c>
      <c r="AL20" s="25">
        <v>46652</v>
      </c>
      <c r="AM20" s="25">
        <v>46808</v>
      </c>
      <c r="AP20" s="26" t="str">
        <v>Não iniciado</v>
      </c>
    </row>
    <row r="21">
      <c r="B21" s="27">
        <f>$B$10*$AU$5</f>
      </c>
      <c r="E21" s="24" t="str">
        <v>REJUNTE</v>
      </c>
      <c r="F21" s="8">
        <f>B21*$C$17*G21</f>
      </c>
      <c r="G21" s="28">
        <f>H21/25</f>
      </c>
      <c r="H21" s="24">
        <f>COUNTIF(I21:AG21,"x")</f>
      </c>
      <c r="AH21" s="25">
        <v>46300</v>
      </c>
      <c r="AI21" s="25">
        <v>46410</v>
      </c>
      <c r="AL21" s="25">
        <v>46652</v>
      </c>
      <c r="AM21" s="25">
        <v>46808</v>
      </c>
      <c r="AP21" s="26" t="str">
        <v>Não iniciado</v>
      </c>
    </row>
    <row r="22">
      <c r="A22" s="29" t="str">
        <v/>
      </c>
      <c r="B22" s="29" t="str">
        <v/>
      </c>
      <c r="C22" s="29" t="str">
        <v/>
      </c>
      <c r="D22" s="29" t="str">
        <v/>
      </c>
      <c r="E22" s="30" t="str">
        <v>ACUMULADO</v>
      </c>
      <c r="F22" s="31">
        <f>SUM(F18:F21)</f>
      </c>
      <c r="G22" s="32">
        <f>$AU$2*G18+$AU$3*G19+$AU$4*G20+$AU$5*G21</f>
      </c>
      <c r="H22" s="29" t="str">
        <v/>
      </c>
      <c r="I22" s="29" t="str">
        <v/>
      </c>
      <c r="J22" s="29" t="str">
        <v/>
      </c>
      <c r="K22" s="29" t="str">
        <v/>
      </c>
      <c r="L22" s="29" t="str">
        <v/>
      </c>
      <c r="M22" s="29" t="str">
        <v/>
      </c>
      <c r="N22" s="29" t="str">
        <v/>
      </c>
      <c r="O22" s="29" t="str">
        <v/>
      </c>
      <c r="P22" s="29" t="str">
        <v/>
      </c>
      <c r="Q22" s="29" t="str">
        <v/>
      </c>
      <c r="R22" s="29" t="str">
        <v/>
      </c>
      <c r="S22" s="29" t="str">
        <v/>
      </c>
      <c r="T22" s="29" t="str">
        <v/>
      </c>
      <c r="U22" s="29" t="str">
        <v/>
      </c>
      <c r="V22" s="29" t="str">
        <v/>
      </c>
      <c r="W22" s="29" t="str">
        <v/>
      </c>
      <c r="X22" s="29" t="str">
        <v/>
      </c>
      <c r="Y22" s="29" t="str">
        <v/>
      </c>
      <c r="Z22" s="29" t="str">
        <v/>
      </c>
      <c r="AA22" s="29" t="str">
        <v/>
      </c>
      <c r="AB22" s="29" t="str">
        <v/>
      </c>
      <c r="AC22" s="29" t="str">
        <v/>
      </c>
      <c r="AD22" s="29" t="str">
        <v/>
      </c>
      <c r="AE22" s="29" t="str">
        <v/>
      </c>
      <c r="AF22" s="29" t="str">
        <v/>
      </c>
      <c r="AG22" s="29" t="str">
        <v/>
      </c>
      <c r="AH22" s="29" t="str">
        <v/>
      </c>
      <c r="AI22" s="29" t="str">
        <v/>
      </c>
      <c r="AJ22" s="29" t="str">
        <v/>
      </c>
      <c r="AK22" s="29" t="str">
        <v/>
      </c>
      <c r="AL22" s="29" t="str">
        <v/>
      </c>
      <c r="AM22" s="29" t="str">
        <v/>
      </c>
      <c r="AN22" s="29" t="str">
        <v/>
      </c>
      <c r="AO22" s="29" t="str">
        <v/>
      </c>
      <c r="AP22" s="29" t="str">
        <v/>
      </c>
    </row>
    <row r="23" xml:space="preserve">
      <c r="C23" s="8">
        <v>0.1935483870967742</v>
      </c>
      <c r="D23" s="23" t="str" xml:space="preserve">
        <v xml:space="preserve">BE 03
1ª eq. C / 2ª eq. E</v>
      </c>
      <c r="E23" s="24" t="str">
        <v>MONTAGEM</v>
      </c>
      <c r="I23" s="22" t="str">
        <v/>
      </c>
      <c r="J23" s="22" t="str">
        <v/>
      </c>
      <c r="K23" s="22" t="str">
        <v/>
      </c>
      <c r="L23" s="22" t="str">
        <v/>
      </c>
      <c r="M23" s="22" t="str">
        <v/>
      </c>
      <c r="N23" s="22" t="str">
        <v/>
      </c>
      <c r="O23" s="22" t="str">
        <v/>
      </c>
      <c r="P23" s="22" t="str">
        <v/>
      </c>
      <c r="Q23" s="22" t="str">
        <v/>
      </c>
      <c r="R23" s="22" t="str">
        <v/>
      </c>
      <c r="S23" s="22" t="str">
        <v/>
      </c>
      <c r="T23" s="22" t="str">
        <v/>
      </c>
      <c r="U23" s="22" t="str">
        <v/>
      </c>
      <c r="V23" s="22" t="str">
        <v/>
      </c>
      <c r="W23" s="22" t="str">
        <v/>
      </c>
      <c r="X23" s="22" t="str">
        <v/>
      </c>
      <c r="Y23" s="22" t="str">
        <v/>
      </c>
      <c r="Z23" s="22" t="str">
        <v/>
      </c>
      <c r="AA23" s="22" t="str">
        <v/>
      </c>
      <c r="AB23" s="22" t="str">
        <v/>
      </c>
      <c r="AC23" s="22" t="str">
        <v/>
      </c>
      <c r="AD23" s="22" t="str">
        <v/>
      </c>
      <c r="AE23" s="22" t="str">
        <v/>
      </c>
      <c r="AF23" s="22" t="str">
        <v/>
      </c>
      <c r="AG23" s="22" t="str">
        <v/>
      </c>
      <c r="AH23" s="25">
        <v>46310</v>
      </c>
      <c r="AI23" s="25">
        <v>46314</v>
      </c>
      <c r="AL23" s="25">
        <v>46660</v>
      </c>
      <c r="AM23" s="25">
        <v>46664</v>
      </c>
      <c r="AP23" s="26" t="str">
        <v>Não iniciado</v>
      </c>
    </row>
    <row r="24">
      <c r="B24" s="27">
        <f>$B$10*$AU$2</f>
      </c>
      <c r="E24" s="24" t="str">
        <v>LIMPEZA</v>
      </c>
      <c r="F24" s="8">
        <f>B24*$C$23*G24</f>
      </c>
      <c r="G24" s="28">
        <f>H24/25</f>
      </c>
      <c r="H24" s="24">
        <f>COUNTIF(I24:AG24,"x")</f>
      </c>
      <c r="AH24" s="25">
        <v>46314</v>
      </c>
      <c r="AI24" s="25">
        <v>46409</v>
      </c>
      <c r="AL24" s="25">
        <v>46664</v>
      </c>
      <c r="AM24" s="25">
        <v>46800</v>
      </c>
      <c r="AP24" s="26" t="str">
        <v>Não iniciado</v>
      </c>
    </row>
    <row r="25">
      <c r="B25" s="27">
        <f>$B$10*$AU$3</f>
      </c>
      <c r="E25" s="24" t="str">
        <v>PANO</v>
      </c>
      <c r="F25" s="8">
        <f>B25*$C$23*G25</f>
      </c>
      <c r="G25" s="28">
        <f>H25/25</f>
      </c>
      <c r="H25" s="24">
        <f>COUNTIF(I25:AG25,"x")</f>
      </c>
      <c r="AH25" s="25">
        <v>46314</v>
      </c>
      <c r="AI25" s="25">
        <v>46409</v>
      </c>
      <c r="AL25" s="25">
        <v>46664</v>
      </c>
      <c r="AM25" s="25">
        <v>46800</v>
      </c>
      <c r="AP25" s="26" t="str">
        <v>Não iniciado</v>
      </c>
    </row>
    <row r="26">
      <c r="B26" s="27">
        <f>$B$10*$AU$4</f>
      </c>
      <c r="E26" s="24" t="str">
        <v>REQUADRO</v>
      </c>
      <c r="F26" s="8">
        <f>B26*$C$23*G26</f>
      </c>
      <c r="G26" s="28">
        <f>H26/25</f>
      </c>
      <c r="H26" s="24">
        <f>COUNTIF(I26:AG26,"x")</f>
      </c>
      <c r="AH26" s="25">
        <v>46314</v>
      </c>
      <c r="AI26" s="25">
        <v>46409</v>
      </c>
      <c r="AL26" s="25">
        <v>46664</v>
      </c>
      <c r="AM26" s="25">
        <v>46800</v>
      </c>
      <c r="AP26" s="26" t="str">
        <v>Não iniciado</v>
      </c>
    </row>
    <row r="27">
      <c r="B27" s="27">
        <f>$B$10*$AU$5</f>
      </c>
      <c r="E27" s="24" t="str">
        <v>REJUNTE</v>
      </c>
      <c r="F27" s="8">
        <f>B27*$C$23*G27</f>
      </c>
      <c r="G27" s="28">
        <f>H27/25</f>
      </c>
      <c r="H27" s="24">
        <f>COUNTIF(I27:AG27,"x")</f>
      </c>
      <c r="AH27" s="25">
        <v>46314</v>
      </c>
      <c r="AI27" s="25">
        <v>46409</v>
      </c>
      <c r="AL27" s="25">
        <v>46664</v>
      </c>
      <c r="AM27" s="25">
        <v>46800</v>
      </c>
      <c r="AP27" s="26" t="str">
        <v>Não iniciado</v>
      </c>
    </row>
    <row r="28">
      <c r="A28" s="29" t="str">
        <v/>
      </c>
      <c r="B28" s="29" t="str">
        <v/>
      </c>
      <c r="C28" s="29" t="str">
        <v/>
      </c>
      <c r="D28" s="29" t="str">
        <v/>
      </c>
      <c r="E28" s="30" t="str">
        <v>ACUMULADO</v>
      </c>
      <c r="F28" s="31">
        <f>SUM(F24:F27)</f>
      </c>
      <c r="G28" s="32">
        <f>$AU$2*G24+$AU$3*G25+$AU$4*G26+$AU$5*G27</f>
      </c>
      <c r="H28" s="29" t="str">
        <v/>
      </c>
      <c r="I28" s="29" t="str">
        <v/>
      </c>
      <c r="J28" s="29" t="str">
        <v/>
      </c>
      <c r="K28" s="29" t="str">
        <v/>
      </c>
      <c r="L28" s="29" t="str">
        <v/>
      </c>
      <c r="M28" s="29" t="str">
        <v/>
      </c>
      <c r="N28" s="29" t="str">
        <v/>
      </c>
      <c r="O28" s="29" t="str">
        <v/>
      </c>
      <c r="P28" s="29" t="str">
        <v/>
      </c>
      <c r="Q28" s="29" t="str">
        <v/>
      </c>
      <c r="R28" s="29" t="str">
        <v/>
      </c>
      <c r="S28" s="29" t="str">
        <v/>
      </c>
      <c r="T28" s="29" t="str">
        <v/>
      </c>
      <c r="U28" s="29" t="str">
        <v/>
      </c>
      <c r="V28" s="29" t="str">
        <v/>
      </c>
      <c r="W28" s="29" t="str">
        <v/>
      </c>
      <c r="X28" s="29" t="str">
        <v/>
      </c>
      <c r="Y28" s="29" t="str">
        <v/>
      </c>
      <c r="Z28" s="29" t="str">
        <v/>
      </c>
      <c r="AA28" s="29" t="str">
        <v/>
      </c>
      <c r="AB28" s="29" t="str">
        <v/>
      </c>
      <c r="AC28" s="29" t="str">
        <v/>
      </c>
      <c r="AD28" s="29" t="str">
        <v/>
      </c>
      <c r="AE28" s="29" t="str">
        <v/>
      </c>
      <c r="AF28" s="29" t="str">
        <v/>
      </c>
      <c r="AG28" s="29" t="str">
        <v/>
      </c>
      <c r="AH28" s="29" t="str">
        <v/>
      </c>
      <c r="AI28" s="29" t="str">
        <v/>
      </c>
      <c r="AJ28" s="29" t="str">
        <v/>
      </c>
      <c r="AK28" s="29" t="str">
        <v/>
      </c>
      <c r="AL28" s="29" t="str">
        <v/>
      </c>
      <c r="AM28" s="29" t="str">
        <v/>
      </c>
      <c r="AN28" s="29" t="str">
        <v/>
      </c>
      <c r="AO28" s="29" t="str">
        <v/>
      </c>
      <c r="AP28" s="29" t="str">
        <v/>
      </c>
    </row>
    <row r="29" xml:space="preserve">
      <c r="C29" s="8">
        <v>0.1935483870967742</v>
      </c>
      <c r="D29" s="23" t="str" xml:space="preserve">
        <v xml:space="preserve">BE 04
1ª eq. D / 2ª eq. A</v>
      </c>
      <c r="E29" s="24" t="str">
        <v>MONTAGEM</v>
      </c>
      <c r="I29" s="22" t="str">
        <v/>
      </c>
      <c r="J29" s="22" t="str">
        <v/>
      </c>
      <c r="K29" s="22" t="str">
        <v/>
      </c>
      <c r="L29" s="22" t="str">
        <v/>
      </c>
      <c r="M29" s="22" t="str">
        <v/>
      </c>
      <c r="N29" s="22" t="str">
        <v/>
      </c>
      <c r="O29" s="22" t="str">
        <v/>
      </c>
      <c r="P29" s="22" t="str">
        <v/>
      </c>
      <c r="Q29" s="22" t="str">
        <v/>
      </c>
      <c r="R29" s="22" t="str">
        <v/>
      </c>
      <c r="S29" s="22" t="str">
        <v/>
      </c>
      <c r="T29" s="22" t="str">
        <v/>
      </c>
      <c r="U29" s="22" t="str">
        <v/>
      </c>
      <c r="V29" s="22" t="str">
        <v/>
      </c>
      <c r="W29" s="22" t="str">
        <v/>
      </c>
      <c r="X29" s="22" t="str">
        <v/>
      </c>
      <c r="Y29" s="22" t="str">
        <v/>
      </c>
      <c r="Z29" s="22" t="str">
        <v/>
      </c>
      <c r="AA29" s="22" t="str">
        <v/>
      </c>
      <c r="AB29" s="22" t="str">
        <v/>
      </c>
      <c r="AC29" s="22" t="str">
        <v/>
      </c>
      <c r="AD29" s="22" t="str">
        <v/>
      </c>
      <c r="AE29" s="22" t="str">
        <v/>
      </c>
      <c r="AF29" s="22" t="str">
        <v/>
      </c>
      <c r="AG29" s="22" t="str">
        <v/>
      </c>
      <c r="AH29" s="25">
        <v>46317</v>
      </c>
      <c r="AI29" s="25">
        <v>46321</v>
      </c>
      <c r="AL29" s="25">
        <v>46683</v>
      </c>
      <c r="AM29" s="25">
        <v>46687</v>
      </c>
      <c r="AP29" s="26" t="str">
        <v>Não iniciado</v>
      </c>
    </row>
    <row r="30">
      <c r="B30" s="27">
        <f>$B$10*$AU$2</f>
      </c>
      <c r="E30" s="24" t="str">
        <v>LIMPEZA</v>
      </c>
      <c r="F30" s="8">
        <f>B30*$C$29*G30</f>
      </c>
      <c r="G30" s="28">
        <f>H30/25</f>
      </c>
      <c r="H30" s="24">
        <f>COUNTIF(I30:AG30,"x")</f>
      </c>
      <c r="AH30" s="25">
        <v>46321</v>
      </c>
      <c r="AI30" s="25">
        <v>46416</v>
      </c>
      <c r="AL30" s="25">
        <v>46687</v>
      </c>
      <c r="AM30" s="25">
        <v>46825</v>
      </c>
      <c r="AP30" s="26" t="str">
        <v>Não iniciado</v>
      </c>
    </row>
    <row r="31">
      <c r="B31" s="27">
        <f>$B$10*$AU$3</f>
      </c>
      <c r="E31" s="24" t="str">
        <v>PANO</v>
      </c>
      <c r="F31" s="8">
        <f>B31*$C$29*G31</f>
      </c>
      <c r="G31" s="28">
        <f>H31/25</f>
      </c>
      <c r="H31" s="24">
        <f>COUNTIF(I31:AG31,"x")</f>
      </c>
      <c r="AH31" s="25">
        <v>46321</v>
      </c>
      <c r="AI31" s="25">
        <v>46416</v>
      </c>
      <c r="AL31" s="25">
        <v>46687</v>
      </c>
      <c r="AM31" s="25">
        <v>46825</v>
      </c>
      <c r="AP31" s="26" t="str">
        <v>Não iniciado</v>
      </c>
    </row>
    <row r="32">
      <c r="B32" s="27">
        <f>$B$10*$AU$4</f>
      </c>
      <c r="E32" s="24" t="str">
        <v>REQUADRO</v>
      </c>
      <c r="F32" s="8">
        <f>B32*$C$29*G32</f>
      </c>
      <c r="G32" s="28">
        <f>H32/25</f>
      </c>
      <c r="H32" s="24">
        <f>COUNTIF(I32:AG32,"x")</f>
      </c>
      <c r="AH32" s="25">
        <v>46321</v>
      </c>
      <c r="AI32" s="25">
        <v>46416</v>
      </c>
      <c r="AL32" s="25">
        <v>46687</v>
      </c>
      <c r="AM32" s="25">
        <v>46825</v>
      </c>
      <c r="AP32" s="26" t="str">
        <v>Não iniciado</v>
      </c>
    </row>
    <row r="33">
      <c r="B33" s="27">
        <f>$B$10*$AU$5</f>
      </c>
      <c r="E33" s="24" t="str">
        <v>REJUNTE</v>
      </c>
      <c r="F33" s="8">
        <f>B33*$C$29*G33</f>
      </c>
      <c r="G33" s="28">
        <f>H33/25</f>
      </c>
      <c r="H33" s="24">
        <f>COUNTIF(I33:AG33,"x")</f>
      </c>
      <c r="AH33" s="25">
        <v>46321</v>
      </c>
      <c r="AI33" s="25">
        <v>46416</v>
      </c>
      <c r="AL33" s="25">
        <v>46687</v>
      </c>
      <c r="AM33" s="25">
        <v>46825</v>
      </c>
      <c r="AP33" s="26" t="str">
        <v>Não iniciado</v>
      </c>
    </row>
    <row r="34">
      <c r="A34" s="29" t="str">
        <v/>
      </c>
      <c r="B34" s="29" t="str">
        <v/>
      </c>
      <c r="C34" s="29" t="str">
        <v/>
      </c>
      <c r="D34" s="29" t="str">
        <v/>
      </c>
      <c r="E34" s="30" t="str">
        <v>ACUMULADO</v>
      </c>
      <c r="F34" s="31">
        <f>SUM(F30:F33)</f>
      </c>
      <c r="G34" s="32">
        <f>$AU$2*G30+$AU$3*G31+$AU$4*G32+$AU$5*G33</f>
      </c>
      <c r="H34" s="29" t="str">
        <v/>
      </c>
      <c r="I34" s="29" t="str">
        <v/>
      </c>
      <c r="J34" s="29" t="str">
        <v/>
      </c>
      <c r="K34" s="29" t="str">
        <v/>
      </c>
      <c r="L34" s="29" t="str">
        <v/>
      </c>
      <c r="M34" s="29" t="str">
        <v/>
      </c>
      <c r="N34" s="29" t="str">
        <v/>
      </c>
      <c r="O34" s="29" t="str">
        <v/>
      </c>
      <c r="P34" s="29" t="str">
        <v/>
      </c>
      <c r="Q34" s="29" t="str">
        <v/>
      </c>
      <c r="R34" s="29" t="str">
        <v/>
      </c>
      <c r="S34" s="29" t="str">
        <v/>
      </c>
      <c r="T34" s="29" t="str">
        <v/>
      </c>
      <c r="U34" s="29" t="str">
        <v/>
      </c>
      <c r="V34" s="29" t="str">
        <v/>
      </c>
      <c r="W34" s="29" t="str">
        <v/>
      </c>
      <c r="X34" s="29" t="str">
        <v/>
      </c>
      <c r="Y34" s="29" t="str">
        <v/>
      </c>
      <c r="Z34" s="29" t="str">
        <v/>
      </c>
      <c r="AA34" s="29" t="str">
        <v/>
      </c>
      <c r="AB34" s="29" t="str">
        <v/>
      </c>
      <c r="AC34" s="29" t="str">
        <v/>
      </c>
      <c r="AD34" s="29" t="str">
        <v/>
      </c>
      <c r="AE34" s="29" t="str">
        <v/>
      </c>
      <c r="AF34" s="29" t="str">
        <v/>
      </c>
      <c r="AG34" s="29" t="str">
        <v/>
      </c>
      <c r="AH34" s="29" t="str">
        <v/>
      </c>
      <c r="AI34" s="29" t="str">
        <v/>
      </c>
      <c r="AJ34" s="29" t="str">
        <v/>
      </c>
      <c r="AK34" s="29" t="str">
        <v/>
      </c>
      <c r="AL34" s="29" t="str">
        <v/>
      </c>
      <c r="AM34" s="29" t="str">
        <v/>
      </c>
      <c r="AN34" s="29" t="str">
        <v/>
      </c>
      <c r="AO34" s="29" t="str">
        <v/>
      </c>
      <c r="AP34" s="29" t="str">
        <v/>
      </c>
    </row>
    <row r="35" xml:space="preserve">
      <c r="C35" s="8">
        <v>0.2258064516129032</v>
      </c>
      <c r="D35" s="23" t="str" xml:space="preserve">
        <v xml:space="preserve">BE 05
1ª eq. A / 2ª eq. B</v>
      </c>
      <c r="E35" s="24" t="str">
        <v>MONTAGEM</v>
      </c>
      <c r="I35" s="22" t="str">
        <v/>
      </c>
      <c r="J35" s="22" t="str">
        <v/>
      </c>
      <c r="K35" s="22" t="str">
        <v/>
      </c>
      <c r="L35" s="22" t="str">
        <v/>
      </c>
      <c r="M35" s="22" t="str">
        <v/>
      </c>
      <c r="N35" s="22" t="str">
        <v/>
      </c>
      <c r="O35" s="22" t="str">
        <v/>
      </c>
      <c r="P35" s="22" t="str">
        <v/>
      </c>
      <c r="Q35" s="22" t="str">
        <v/>
      </c>
      <c r="R35" s="22" t="str">
        <v/>
      </c>
      <c r="S35" s="22" t="str">
        <v/>
      </c>
      <c r="T35" s="22" t="str">
        <v/>
      </c>
      <c r="U35" s="22" t="str">
        <v/>
      </c>
      <c r="V35" s="22" t="str">
        <v/>
      </c>
      <c r="W35" s="22" t="str">
        <v/>
      </c>
      <c r="X35" s="22" t="str">
        <v/>
      </c>
      <c r="Y35" s="22" t="str">
        <v/>
      </c>
      <c r="Z35" s="22" t="str">
        <v/>
      </c>
      <c r="AA35" s="22" t="str">
        <v/>
      </c>
      <c r="AB35" s="22" t="str">
        <v/>
      </c>
      <c r="AC35" s="22" t="str">
        <v/>
      </c>
      <c r="AD35" s="22" t="str">
        <v/>
      </c>
      <c r="AE35" s="22" t="str">
        <v/>
      </c>
      <c r="AF35" s="22" t="str">
        <v/>
      </c>
      <c r="AG35" s="22" t="str">
        <v/>
      </c>
      <c r="AH35" s="25">
        <v>46342</v>
      </c>
      <c r="AI35" s="25">
        <v>46345</v>
      </c>
      <c r="AL35" s="25">
        <v>46647</v>
      </c>
      <c r="AM35" s="25">
        <v>46651</v>
      </c>
      <c r="AP35" s="26" t="str">
        <v>Não iniciado</v>
      </c>
    </row>
    <row r="36">
      <c r="B36" s="27">
        <f>$B$10*$AU$2</f>
      </c>
      <c r="E36" s="24" t="str">
        <v>LIMPEZA</v>
      </c>
      <c r="F36" s="8">
        <f>B36*$C$35*G36</f>
      </c>
      <c r="G36" s="28">
        <f>H36/25</f>
      </c>
      <c r="H36" s="24">
        <f>COUNTIF(I36:AG36,"x")</f>
      </c>
      <c r="AH36" s="25">
        <v>46345</v>
      </c>
      <c r="AI36" s="25">
        <v>46492</v>
      </c>
      <c r="AL36" s="25">
        <v>46651</v>
      </c>
      <c r="AM36" s="25">
        <v>46867</v>
      </c>
      <c r="AP36" s="26" t="str">
        <v>Não iniciado</v>
      </c>
    </row>
    <row r="37">
      <c r="B37" s="27">
        <f>$B$10*$AU$3</f>
      </c>
      <c r="E37" s="24" t="str">
        <v>PANO</v>
      </c>
      <c r="F37" s="8">
        <f>B37*$C$35*G37</f>
      </c>
      <c r="G37" s="28">
        <f>H37/25</f>
      </c>
      <c r="H37" s="24">
        <f>COUNTIF(I37:AG37,"x")</f>
      </c>
      <c r="AH37" s="25">
        <v>46345</v>
      </c>
      <c r="AI37" s="25">
        <v>46492</v>
      </c>
      <c r="AL37" s="25">
        <v>46651</v>
      </c>
      <c r="AM37" s="25">
        <v>46867</v>
      </c>
      <c r="AP37" s="26" t="str">
        <v>Não iniciado</v>
      </c>
    </row>
    <row r="38">
      <c r="B38" s="27">
        <f>$B$10*$AU$4</f>
      </c>
      <c r="E38" s="24" t="str">
        <v>REQUADRO</v>
      </c>
      <c r="F38" s="8">
        <f>B38*$C$35*G38</f>
      </c>
      <c r="G38" s="28">
        <f>H38/25</f>
      </c>
      <c r="H38" s="24">
        <f>COUNTIF(I38:AG38,"x")</f>
      </c>
      <c r="AH38" s="25">
        <v>46345</v>
      </c>
      <c r="AI38" s="25">
        <v>46492</v>
      </c>
      <c r="AL38" s="25">
        <v>46651</v>
      </c>
      <c r="AM38" s="25">
        <v>46867</v>
      </c>
      <c r="AP38" s="26" t="str">
        <v>Não iniciado</v>
      </c>
    </row>
    <row r="39">
      <c r="B39" s="27">
        <f>$B$10*$AU$5</f>
      </c>
      <c r="E39" s="24" t="str">
        <v>REJUNTE</v>
      </c>
      <c r="F39" s="8">
        <f>B39*$C$35*G39</f>
      </c>
      <c r="G39" s="28">
        <f>H39/25</f>
      </c>
      <c r="H39" s="24">
        <f>COUNTIF(I39:AG39,"x")</f>
      </c>
      <c r="AH39" s="25">
        <v>46345</v>
      </c>
      <c r="AI39" s="25">
        <v>46492</v>
      </c>
      <c r="AL39" s="25">
        <v>46651</v>
      </c>
      <c r="AM39" s="25">
        <v>46867</v>
      </c>
      <c r="AP39" s="26" t="str">
        <v>Não iniciado</v>
      </c>
    </row>
    <row r="40">
      <c r="A40" s="29" t="str">
        <v/>
      </c>
      <c r="B40" s="29" t="str">
        <v/>
      </c>
      <c r="C40" s="29" t="str">
        <v/>
      </c>
      <c r="D40" s="29" t="str">
        <v/>
      </c>
      <c r="E40" s="30" t="str">
        <v>ACUMULADO</v>
      </c>
      <c r="F40" s="31">
        <f>SUM(F36:F39)</f>
      </c>
      <c r="G40" s="32">
        <f>$AU$2*G36+$AU$3*G37+$AU$4*G38+$AU$5*G39</f>
      </c>
      <c r="H40" s="29" t="str">
        <v/>
      </c>
      <c r="I40" s="29" t="str">
        <v/>
      </c>
      <c r="J40" s="29" t="str">
        <v/>
      </c>
      <c r="K40" s="29" t="str">
        <v/>
      </c>
      <c r="L40" s="29" t="str">
        <v/>
      </c>
      <c r="M40" s="29" t="str">
        <v/>
      </c>
      <c r="N40" s="29" t="str">
        <v/>
      </c>
      <c r="O40" s="29" t="str">
        <v/>
      </c>
      <c r="P40" s="29" t="str">
        <v/>
      </c>
      <c r="Q40" s="29" t="str">
        <v/>
      </c>
      <c r="R40" s="29" t="str">
        <v/>
      </c>
      <c r="S40" s="29" t="str">
        <v/>
      </c>
      <c r="T40" s="29" t="str">
        <v/>
      </c>
      <c r="U40" s="29" t="str">
        <v/>
      </c>
      <c r="V40" s="29" t="str">
        <v/>
      </c>
      <c r="W40" s="29" t="str">
        <v/>
      </c>
      <c r="X40" s="29" t="str">
        <v/>
      </c>
      <c r="Y40" s="29" t="str">
        <v/>
      </c>
      <c r="Z40" s="29" t="str">
        <v/>
      </c>
      <c r="AA40" s="29" t="str">
        <v/>
      </c>
      <c r="AB40" s="29" t="str">
        <v/>
      </c>
      <c r="AC40" s="29" t="str">
        <v/>
      </c>
      <c r="AD40" s="29" t="str">
        <v/>
      </c>
      <c r="AE40" s="29" t="str">
        <v/>
      </c>
      <c r="AF40" s="29" t="str">
        <v/>
      </c>
      <c r="AG40" s="29" t="str">
        <v/>
      </c>
      <c r="AH40" s="29" t="str">
        <v/>
      </c>
      <c r="AI40" s="29" t="str">
        <v/>
      </c>
      <c r="AJ40" s="29" t="str">
        <v/>
      </c>
      <c r="AK40" s="29" t="str">
        <v/>
      </c>
      <c r="AL40" s="29" t="str">
        <v/>
      </c>
      <c r="AM40" s="29" t="str">
        <v/>
      </c>
      <c r="AN40" s="29" t="str">
        <v/>
      </c>
      <c r="AO40" s="29" t="str">
        <v/>
      </c>
      <c r="AP40" s="29" t="str">
        <v/>
      </c>
    </row>
    <row r="41" xml:space="preserve">
      <c r="C41" s="8">
        <v>0.06451612903225806</v>
      </c>
      <c r="D41" s="23" t="str" xml:space="preserve">
        <v xml:space="preserve">BE 06
1ª eq. E / 2ª eq. G</v>
      </c>
      <c r="E41" s="24" t="str">
        <v>MONTAGEM</v>
      </c>
      <c r="I41" s="22" t="str">
        <v/>
      </c>
      <c r="J41" s="22" t="str">
        <v/>
      </c>
      <c r="K41" s="22" t="str">
        <v/>
      </c>
      <c r="L41" s="22" t="str">
        <v/>
      </c>
      <c r="M41" s="22" t="str">
        <v/>
      </c>
      <c r="N41" s="22" t="str">
        <v/>
      </c>
      <c r="O41" s="22" t="str">
        <v/>
      </c>
      <c r="P41" s="22" t="str">
        <v/>
      </c>
      <c r="Q41" s="22" t="str">
        <v/>
      </c>
      <c r="R41" s="22" t="str">
        <v/>
      </c>
      <c r="S41" s="22" t="str">
        <v/>
      </c>
      <c r="T41" s="22" t="str">
        <v/>
      </c>
      <c r="U41" s="22" t="str">
        <v/>
      </c>
      <c r="V41" s="22" t="str">
        <v/>
      </c>
      <c r="W41" s="22" t="str">
        <v/>
      </c>
      <c r="X41" s="22" t="str">
        <v/>
      </c>
      <c r="Y41" s="22" t="str">
        <v/>
      </c>
      <c r="Z41" s="22" t="str">
        <v/>
      </c>
      <c r="AA41" s="22" t="str">
        <v/>
      </c>
      <c r="AB41" s="22" t="str">
        <v/>
      </c>
      <c r="AC41" s="22" t="str">
        <v/>
      </c>
      <c r="AD41" s="22" t="str">
        <v/>
      </c>
      <c r="AE41" s="22" t="str">
        <v/>
      </c>
      <c r="AF41" s="22" t="str">
        <v/>
      </c>
      <c r="AG41" s="22" t="str">
        <v/>
      </c>
      <c r="AH41" s="25">
        <v>46401</v>
      </c>
      <c r="AI41" s="25">
        <v>46405</v>
      </c>
      <c r="AL41" s="25">
        <v>46776</v>
      </c>
      <c r="AM41" s="25">
        <v>46779</v>
      </c>
      <c r="AP41" s="26" t="str">
        <v>Não iniciado</v>
      </c>
    </row>
    <row r="42">
      <c r="B42" s="27">
        <f>$B$10*$AU$2</f>
      </c>
      <c r="E42" s="24" t="str">
        <v>LIMPEZA</v>
      </c>
      <c r="F42" s="8">
        <f>B42*$C$41*G42</f>
      </c>
      <c r="G42" s="28">
        <f>H42/25</f>
      </c>
      <c r="H42" s="24">
        <f>COUNTIF(I42:AG42,"x")</f>
      </c>
      <c r="AH42" s="25">
        <v>46405</v>
      </c>
      <c r="AI42" s="25">
        <v>46443</v>
      </c>
      <c r="AL42" s="25">
        <v>46779</v>
      </c>
      <c r="AM42" s="25">
        <v>46835</v>
      </c>
      <c r="AP42" s="26" t="str">
        <v>Não iniciado</v>
      </c>
    </row>
    <row r="43">
      <c r="B43" s="27">
        <f>$B$10*$AU$3</f>
      </c>
      <c r="E43" s="24" t="str">
        <v>PANO</v>
      </c>
      <c r="F43" s="8">
        <f>B43*$C$41*G43</f>
      </c>
      <c r="G43" s="28">
        <f>H43/25</f>
      </c>
      <c r="H43" s="24">
        <f>COUNTIF(I43:AG43,"x")</f>
      </c>
      <c r="AH43" s="25">
        <v>46405</v>
      </c>
      <c r="AI43" s="25">
        <v>46443</v>
      </c>
      <c r="AL43" s="25">
        <v>46779</v>
      </c>
      <c r="AM43" s="25">
        <v>46835</v>
      </c>
      <c r="AP43" s="26" t="str">
        <v>Não iniciado</v>
      </c>
    </row>
    <row r="44">
      <c r="B44" s="27">
        <f>$B$10*$AU$4</f>
      </c>
      <c r="E44" s="24" t="str">
        <v>REQUADRO</v>
      </c>
      <c r="F44" s="8">
        <f>B44*$C$41*G44</f>
      </c>
      <c r="G44" s="28">
        <f>H44/25</f>
      </c>
      <c r="H44" s="24">
        <f>COUNTIF(I44:AG44,"x")</f>
      </c>
      <c r="AH44" s="25">
        <v>46405</v>
      </c>
      <c r="AI44" s="25">
        <v>46443</v>
      </c>
      <c r="AL44" s="25">
        <v>46779</v>
      </c>
      <c r="AM44" s="25">
        <v>46835</v>
      </c>
      <c r="AP44" s="26" t="str">
        <v>Não iniciado</v>
      </c>
    </row>
    <row r="45">
      <c r="B45" s="27">
        <f>$B$10*$AU$5</f>
      </c>
      <c r="E45" s="24" t="str">
        <v>REJUNTE</v>
      </c>
      <c r="F45" s="8">
        <f>B45*$C$41*G45</f>
      </c>
      <c r="G45" s="28">
        <f>H45/25</f>
      </c>
      <c r="H45" s="24">
        <f>COUNTIF(I45:AG45,"x")</f>
      </c>
      <c r="AH45" s="25">
        <v>46405</v>
      </c>
      <c r="AI45" s="25">
        <v>46443</v>
      </c>
      <c r="AL45" s="25">
        <v>46779</v>
      </c>
      <c r="AM45" s="25">
        <v>46835</v>
      </c>
      <c r="AP45" s="26" t="str">
        <v>Não iniciado</v>
      </c>
    </row>
    <row r="46">
      <c r="A46" s="29" t="str">
        <v/>
      </c>
      <c r="B46" s="29" t="str">
        <v/>
      </c>
      <c r="C46" s="29" t="str">
        <v/>
      </c>
      <c r="D46" s="29" t="str">
        <v/>
      </c>
      <c r="E46" s="30" t="str">
        <v>ACUMULADO</v>
      </c>
      <c r="F46" s="31">
        <f>SUM(F42:F45)</f>
      </c>
      <c r="G46" s="32">
        <f>$AU$2*G42+$AU$3*G43+$AU$4*G44+$AU$5*G45</f>
      </c>
      <c r="H46" s="29" t="str">
        <v/>
      </c>
      <c r="I46" s="29" t="str">
        <v/>
      </c>
      <c r="J46" s="29" t="str">
        <v/>
      </c>
      <c r="K46" s="29" t="str">
        <v/>
      </c>
      <c r="L46" s="29" t="str">
        <v/>
      </c>
      <c r="M46" s="29" t="str">
        <v/>
      </c>
      <c r="N46" s="29" t="str">
        <v/>
      </c>
      <c r="O46" s="29" t="str">
        <v/>
      </c>
      <c r="P46" s="29" t="str">
        <v/>
      </c>
      <c r="Q46" s="29" t="str">
        <v/>
      </c>
      <c r="R46" s="29" t="str">
        <v/>
      </c>
      <c r="S46" s="29" t="str">
        <v/>
      </c>
      <c r="T46" s="29" t="str">
        <v/>
      </c>
      <c r="U46" s="29" t="str">
        <v/>
      </c>
      <c r="V46" s="29" t="str">
        <v/>
      </c>
      <c r="W46" s="29" t="str">
        <v/>
      </c>
      <c r="X46" s="29" t="str">
        <v/>
      </c>
      <c r="Y46" s="29" t="str">
        <v/>
      </c>
      <c r="Z46" s="29" t="str">
        <v/>
      </c>
      <c r="AA46" s="29" t="str">
        <v/>
      </c>
      <c r="AB46" s="29" t="str">
        <v/>
      </c>
      <c r="AC46" s="29" t="str">
        <v/>
      </c>
      <c r="AD46" s="29" t="str">
        <v/>
      </c>
      <c r="AE46" s="29" t="str">
        <v/>
      </c>
      <c r="AF46" s="29" t="str">
        <v/>
      </c>
      <c r="AG46" s="29" t="str">
        <v/>
      </c>
      <c r="AH46" s="29" t="str">
        <v/>
      </c>
      <c r="AI46" s="29" t="str">
        <v/>
      </c>
      <c r="AJ46" s="29" t="str">
        <v/>
      </c>
      <c r="AK46" s="29" t="str">
        <v/>
      </c>
      <c r="AL46" s="29" t="str">
        <v/>
      </c>
      <c r="AM46" s="29" t="str">
        <v/>
      </c>
      <c r="AN46" s="29" t="str">
        <v/>
      </c>
      <c r="AO46" s="29" t="str">
        <v/>
      </c>
      <c r="AP46" s="29" t="str">
        <v/>
      </c>
    </row>
    <row r="47">
      <c r="A47" s="29" t="str">
        <v/>
      </c>
      <c r="B47" s="33" t="str">
        <v>ACUMULADO FACHADA POSTERIOR</v>
      </c>
      <c r="C47" s="29" t="str">
        <v/>
      </c>
      <c r="D47" s="29" t="str">
        <v/>
      </c>
      <c r="E47" s="29" t="str">
        <v/>
      </c>
      <c r="F47" s="31">
        <f>F16+F22+F28+F34+F40+F46</f>
      </c>
      <c r="G47" s="32">
        <f>C11*G16+C17*G22+C23*G28+C29*G34+C35*G40+C41*G46</f>
      </c>
      <c r="H47" s="29" t="str">
        <v/>
      </c>
      <c r="I47" s="29" t="str">
        <v/>
      </c>
      <c r="J47" s="29" t="str">
        <v/>
      </c>
      <c r="K47" s="29" t="str">
        <v/>
      </c>
      <c r="L47" s="29" t="str">
        <v/>
      </c>
      <c r="M47" s="29" t="str">
        <v/>
      </c>
      <c r="N47" s="29" t="str">
        <v/>
      </c>
      <c r="O47" s="29" t="str">
        <v/>
      </c>
      <c r="P47" s="29" t="str">
        <v/>
      </c>
      <c r="Q47" s="29" t="str">
        <v/>
      </c>
      <c r="R47" s="29" t="str">
        <v/>
      </c>
      <c r="S47" s="29" t="str">
        <v/>
      </c>
      <c r="T47" s="29" t="str">
        <v/>
      </c>
      <c r="U47" s="29" t="str">
        <v/>
      </c>
      <c r="V47" s="29" t="str">
        <v/>
      </c>
      <c r="W47" s="29" t="str">
        <v/>
      </c>
      <c r="X47" s="29" t="str">
        <v/>
      </c>
      <c r="Y47" s="29" t="str">
        <v/>
      </c>
      <c r="Z47" s="29" t="str">
        <v/>
      </c>
      <c r="AA47" s="29" t="str">
        <v/>
      </c>
      <c r="AB47" s="29" t="str">
        <v/>
      </c>
      <c r="AC47" s="29" t="str">
        <v/>
      </c>
      <c r="AD47" s="29" t="str">
        <v/>
      </c>
      <c r="AE47" s="29" t="str">
        <v/>
      </c>
      <c r="AF47" s="29" t="str">
        <v/>
      </c>
      <c r="AG47" s="29" t="str">
        <v/>
      </c>
      <c r="AH47" s="29" t="str">
        <v/>
      </c>
      <c r="AI47" s="29" t="str">
        <v/>
      </c>
      <c r="AJ47" s="29" t="str">
        <v/>
      </c>
      <c r="AK47" s="29" t="str">
        <v/>
      </c>
      <c r="AL47" s="29" t="str">
        <v/>
      </c>
      <c r="AM47" s="29" t="str">
        <v/>
      </c>
      <c r="AN47" s="29" t="str">
        <v/>
      </c>
      <c r="AO47" s="29" t="str">
        <v/>
      </c>
      <c r="AP47" s="29" t="str">
        <v/>
      </c>
    </row>
    <row r="49">
      <c r="A49" s="20" t="str">
        <v>FACHADA LATERAL DIREITA</v>
      </c>
      <c r="B49" s="21">
        <v>0.1573448291262336</v>
      </c>
      <c r="C49" s="22" t="str">
        <v/>
      </c>
      <c r="D49" s="22" t="str">
        <v/>
      </c>
      <c r="E49" s="22" t="str">
        <v/>
      </c>
      <c r="F49" s="22" t="str">
        <v/>
      </c>
      <c r="G49" s="22" t="str">
        <v/>
      </c>
      <c r="H49" s="22" t="str">
        <v/>
      </c>
      <c r="I49" s="22" t="str">
        <v/>
      </c>
      <c r="J49" s="22" t="str">
        <v/>
      </c>
      <c r="K49" s="22" t="str">
        <v/>
      </c>
      <c r="L49" s="22" t="str">
        <v/>
      </c>
      <c r="M49" s="22" t="str">
        <v/>
      </c>
      <c r="N49" s="22" t="str">
        <v/>
      </c>
      <c r="O49" s="22" t="str">
        <v/>
      </c>
      <c r="P49" s="22" t="str">
        <v/>
      </c>
      <c r="Q49" s="22" t="str">
        <v/>
      </c>
      <c r="R49" s="22" t="str">
        <v/>
      </c>
      <c r="S49" s="22" t="str">
        <v/>
      </c>
      <c r="T49" s="22" t="str">
        <v/>
      </c>
      <c r="U49" s="22" t="str">
        <v/>
      </c>
      <c r="V49" s="22" t="str">
        <v/>
      </c>
      <c r="W49" s="22" t="str">
        <v/>
      </c>
      <c r="X49" s="22" t="str">
        <v/>
      </c>
      <c r="Y49" s="22" t="str">
        <v/>
      </c>
      <c r="Z49" s="22" t="str">
        <v/>
      </c>
      <c r="AA49" s="22" t="str">
        <v/>
      </c>
      <c r="AB49" s="22" t="str">
        <v/>
      </c>
      <c r="AC49" s="22" t="str">
        <v/>
      </c>
      <c r="AD49" s="22" t="str">
        <v/>
      </c>
      <c r="AE49" s="22" t="str">
        <v/>
      </c>
      <c r="AF49" s="22" t="str">
        <v/>
      </c>
      <c r="AG49" s="22" t="str">
        <v/>
      </c>
      <c r="AH49" s="22" t="str">
        <v/>
      </c>
      <c r="AI49" s="22" t="str">
        <v/>
      </c>
      <c r="AJ49" s="22" t="str">
        <v/>
      </c>
      <c r="AK49" s="22" t="str">
        <v/>
      </c>
      <c r="AL49" s="22" t="str">
        <v/>
      </c>
      <c r="AM49" s="22" t="str">
        <v/>
      </c>
      <c r="AN49" s="22" t="str">
        <v/>
      </c>
      <c r="AO49" s="22" t="str">
        <v/>
      </c>
      <c r="AP49" s="22" t="str">
        <v/>
      </c>
    </row>
    <row r="50" xml:space="preserve">
      <c r="C50" s="8">
        <v>0.2857142857142857</v>
      </c>
      <c r="D50" s="23" t="str" xml:space="preserve">
        <v xml:space="preserve">BE 07
1ª eq. B / 2ª eq. E</v>
      </c>
      <c r="E50" s="24" t="str">
        <v>MONTAGEM</v>
      </c>
      <c r="I50" s="22" t="str">
        <v/>
      </c>
      <c r="J50" s="22" t="str">
        <v/>
      </c>
      <c r="K50" s="22" t="str">
        <v/>
      </c>
      <c r="L50" s="22" t="str">
        <v/>
      </c>
      <c r="M50" s="22" t="str">
        <v/>
      </c>
      <c r="N50" s="22" t="str">
        <v/>
      </c>
      <c r="O50" s="22" t="str">
        <v/>
      </c>
      <c r="P50" s="22" t="str">
        <v/>
      </c>
      <c r="Q50" s="22" t="str">
        <v/>
      </c>
      <c r="R50" s="22" t="str">
        <v/>
      </c>
      <c r="S50" s="22" t="str">
        <v/>
      </c>
      <c r="T50" s="22" t="str">
        <v/>
      </c>
      <c r="U50" s="22" t="str">
        <v/>
      </c>
      <c r="V50" s="22" t="str">
        <v/>
      </c>
      <c r="W50" s="22" t="str">
        <v/>
      </c>
      <c r="X50" s="22" t="str">
        <v/>
      </c>
      <c r="Y50" s="22" t="str">
        <v/>
      </c>
      <c r="Z50" s="22" t="str">
        <v/>
      </c>
      <c r="AA50" s="22" t="str">
        <v/>
      </c>
      <c r="AB50" s="22" t="str">
        <v/>
      </c>
      <c r="AC50" s="22" t="str">
        <v/>
      </c>
      <c r="AD50" s="22" t="str">
        <v/>
      </c>
      <c r="AE50" s="22" t="str">
        <v/>
      </c>
      <c r="AF50" s="22" t="str">
        <v/>
      </c>
      <c r="AG50" s="22" t="str">
        <v/>
      </c>
      <c r="AH50" s="25">
        <v>46512</v>
      </c>
      <c r="AI50" s="25">
        <v>46515</v>
      </c>
      <c r="AL50" s="25">
        <v>46800</v>
      </c>
      <c r="AM50" s="25">
        <v>46804</v>
      </c>
      <c r="AP50" s="26" t="str">
        <v>Não iniciado</v>
      </c>
    </row>
    <row r="51">
      <c r="B51" s="27">
        <f>$B$49*$AU$2</f>
      </c>
      <c r="E51" s="24" t="str">
        <v>LIMPEZA</v>
      </c>
      <c r="F51" s="8">
        <f>B51*$C$50*G51</f>
      </c>
      <c r="G51" s="28">
        <f>H51/25</f>
      </c>
      <c r="H51" s="24">
        <f>COUNTIF(I51:AG51,"x")</f>
      </c>
      <c r="AH51" s="25">
        <v>46515</v>
      </c>
      <c r="AI51" s="25">
        <v>46554</v>
      </c>
      <c r="AL51" s="25">
        <v>46804</v>
      </c>
      <c r="AM51" s="25">
        <v>46863</v>
      </c>
      <c r="AP51" s="26" t="str">
        <v>Não iniciado</v>
      </c>
    </row>
    <row r="52">
      <c r="B52" s="27">
        <f>$B$49*$AU$3</f>
      </c>
      <c r="E52" s="24" t="str">
        <v>PANO</v>
      </c>
      <c r="F52" s="8">
        <f>B52*$C$50*G52</f>
      </c>
      <c r="G52" s="28">
        <f>H52/25</f>
      </c>
      <c r="H52" s="24">
        <f>COUNTIF(I52:AG52,"x")</f>
      </c>
      <c r="AH52" s="25">
        <v>46515</v>
      </c>
      <c r="AI52" s="25">
        <v>46554</v>
      </c>
      <c r="AL52" s="25">
        <v>46804</v>
      </c>
      <c r="AM52" s="25">
        <v>46863</v>
      </c>
      <c r="AP52" s="26" t="str">
        <v>Não iniciado</v>
      </c>
    </row>
    <row r="53">
      <c r="B53" s="27">
        <f>$B$49*$AU$4</f>
      </c>
      <c r="E53" s="24" t="str">
        <v>REQUADRO</v>
      </c>
      <c r="F53" s="8">
        <f>B53*$C$50*G53</f>
      </c>
      <c r="G53" s="28">
        <f>H53/25</f>
      </c>
      <c r="H53" s="24">
        <f>COUNTIF(I53:AG53,"x")</f>
      </c>
      <c r="AH53" s="25">
        <v>46515</v>
      </c>
      <c r="AI53" s="25">
        <v>46554</v>
      </c>
      <c r="AL53" s="25">
        <v>46804</v>
      </c>
      <c r="AM53" s="25">
        <v>46863</v>
      </c>
      <c r="AP53" s="26" t="str">
        <v>Não iniciado</v>
      </c>
    </row>
    <row r="54">
      <c r="B54" s="27">
        <f>$B$49*$AU$5</f>
      </c>
      <c r="E54" s="24" t="str">
        <v>REJUNTE</v>
      </c>
      <c r="F54" s="8">
        <f>B54*$C$50*G54</f>
      </c>
      <c r="G54" s="28">
        <f>H54/25</f>
      </c>
      <c r="H54" s="24">
        <f>COUNTIF(I54:AG54,"x")</f>
      </c>
      <c r="AH54" s="25">
        <v>46515</v>
      </c>
      <c r="AI54" s="25">
        <v>46554</v>
      </c>
      <c r="AL54" s="25">
        <v>46804</v>
      </c>
      <c r="AM54" s="25">
        <v>46863</v>
      </c>
      <c r="AP54" s="26" t="str">
        <v>Não iniciado</v>
      </c>
    </row>
    <row r="55">
      <c r="A55" s="29" t="str">
        <v/>
      </c>
      <c r="B55" s="29" t="str">
        <v/>
      </c>
      <c r="C55" s="29" t="str">
        <v/>
      </c>
      <c r="D55" s="29" t="str">
        <v/>
      </c>
      <c r="E55" s="30" t="str">
        <v>ACUMULADO</v>
      </c>
      <c r="F55" s="31">
        <f>SUM(F51:F54)</f>
      </c>
      <c r="G55" s="32">
        <f>$AU$2*G51+$AU$3*G52+$AU$4*G53+$AU$5*G54</f>
      </c>
      <c r="H55" s="29" t="str">
        <v/>
      </c>
      <c r="I55" s="29" t="str">
        <v/>
      </c>
      <c r="J55" s="29" t="str">
        <v/>
      </c>
      <c r="K55" s="29" t="str">
        <v/>
      </c>
      <c r="L55" s="29" t="str">
        <v/>
      </c>
      <c r="M55" s="29" t="str">
        <v/>
      </c>
      <c r="N55" s="29" t="str">
        <v/>
      </c>
      <c r="O55" s="29" t="str">
        <v/>
      </c>
      <c r="P55" s="29" t="str">
        <v/>
      </c>
      <c r="Q55" s="29" t="str">
        <v/>
      </c>
      <c r="R55" s="29" t="str">
        <v/>
      </c>
      <c r="S55" s="29" t="str">
        <v/>
      </c>
      <c r="T55" s="29" t="str">
        <v/>
      </c>
      <c r="U55" s="29" t="str">
        <v/>
      </c>
      <c r="V55" s="29" t="str">
        <v/>
      </c>
      <c r="W55" s="29" t="str">
        <v/>
      </c>
      <c r="X55" s="29" t="str">
        <v/>
      </c>
      <c r="Y55" s="29" t="str">
        <v/>
      </c>
      <c r="Z55" s="29" t="str">
        <v/>
      </c>
      <c r="AA55" s="29" t="str">
        <v/>
      </c>
      <c r="AB55" s="29" t="str">
        <v/>
      </c>
      <c r="AC55" s="29" t="str">
        <v/>
      </c>
      <c r="AD55" s="29" t="str">
        <v/>
      </c>
      <c r="AE55" s="29" t="str">
        <v/>
      </c>
      <c r="AF55" s="29" t="str">
        <v/>
      </c>
      <c r="AG55" s="29" t="str">
        <v/>
      </c>
      <c r="AH55" s="29" t="str">
        <v/>
      </c>
      <c r="AI55" s="29" t="str">
        <v/>
      </c>
      <c r="AJ55" s="29" t="str">
        <v/>
      </c>
      <c r="AK55" s="29" t="str">
        <v/>
      </c>
      <c r="AL55" s="29" t="str">
        <v/>
      </c>
      <c r="AM55" s="29" t="str">
        <v/>
      </c>
      <c r="AN55" s="29" t="str">
        <v/>
      </c>
      <c r="AO55" s="29" t="str">
        <v/>
      </c>
      <c r="AP55" s="29" t="str">
        <v/>
      </c>
    </row>
    <row r="56" xml:space="preserve">
      <c r="C56" s="8">
        <v>0.2857142857142857</v>
      </c>
      <c r="D56" s="23" t="str" xml:space="preserve">
        <v xml:space="preserve">BE 08
1ª eq. A / 2ª eq. F</v>
      </c>
      <c r="E56" s="24" t="str">
        <v>MONTAGEM</v>
      </c>
      <c r="I56" s="22" t="str">
        <v/>
      </c>
      <c r="J56" s="22" t="str">
        <v/>
      </c>
      <c r="K56" s="22" t="str">
        <v/>
      </c>
      <c r="L56" s="22" t="str">
        <v/>
      </c>
      <c r="M56" s="22" t="str">
        <v/>
      </c>
      <c r="N56" s="22" t="str">
        <v/>
      </c>
      <c r="O56" s="22" t="str">
        <v/>
      </c>
      <c r="P56" s="22" t="str">
        <v/>
      </c>
      <c r="Q56" s="22" t="str">
        <v/>
      </c>
      <c r="R56" s="22" t="str">
        <v/>
      </c>
      <c r="S56" s="22" t="str">
        <v/>
      </c>
      <c r="T56" s="22" t="str">
        <v/>
      </c>
      <c r="U56" s="22" t="str">
        <v/>
      </c>
      <c r="V56" s="22" t="str">
        <v/>
      </c>
      <c r="W56" s="22" t="str">
        <v/>
      </c>
      <c r="X56" s="22" t="str">
        <v/>
      </c>
      <c r="Y56" s="22" t="str">
        <v/>
      </c>
      <c r="Z56" s="22" t="str">
        <v/>
      </c>
      <c r="AA56" s="22" t="str">
        <v/>
      </c>
      <c r="AB56" s="22" t="str">
        <v/>
      </c>
      <c r="AC56" s="22" t="str">
        <v/>
      </c>
      <c r="AD56" s="22" t="str">
        <v/>
      </c>
      <c r="AE56" s="22" t="str">
        <v/>
      </c>
      <c r="AF56" s="22" t="str">
        <v/>
      </c>
      <c r="AG56" s="22" t="str">
        <v/>
      </c>
      <c r="AH56" s="25">
        <v>46512</v>
      </c>
      <c r="AI56" s="25">
        <v>46515</v>
      </c>
      <c r="AL56" s="25">
        <v>46808</v>
      </c>
      <c r="AM56" s="25">
        <v>46814</v>
      </c>
      <c r="AP56" s="26" t="str">
        <v>Não iniciado</v>
      </c>
    </row>
    <row r="57">
      <c r="B57" s="27">
        <f>$B$49*$AU$2</f>
      </c>
      <c r="E57" s="24" t="str">
        <v>LIMPEZA</v>
      </c>
      <c r="F57" s="8">
        <f>B57*$C$56*G57</f>
      </c>
      <c r="G57" s="28">
        <f>H57/25</f>
      </c>
      <c r="H57" s="24">
        <f>COUNTIF(I57:AG57,"x")</f>
      </c>
      <c r="AH57" s="25">
        <v>46515</v>
      </c>
      <c r="AI57" s="25">
        <v>46554</v>
      </c>
      <c r="AL57" s="25">
        <v>46814</v>
      </c>
      <c r="AM57" s="25">
        <v>46872</v>
      </c>
      <c r="AP57" s="26" t="str">
        <v>Não iniciado</v>
      </c>
    </row>
    <row r="58">
      <c r="B58" s="27">
        <f>$B$49*$AU$3</f>
      </c>
      <c r="E58" s="24" t="str">
        <v>PANO</v>
      </c>
      <c r="F58" s="8">
        <f>B58*$C$56*G58</f>
      </c>
      <c r="G58" s="28">
        <f>H58/25</f>
      </c>
      <c r="H58" s="24">
        <f>COUNTIF(I58:AG58,"x")</f>
      </c>
      <c r="AH58" s="25">
        <v>46515</v>
      </c>
      <c r="AI58" s="25">
        <v>46554</v>
      </c>
      <c r="AL58" s="25">
        <v>46814</v>
      </c>
      <c r="AM58" s="25">
        <v>46872</v>
      </c>
      <c r="AP58" s="26" t="str">
        <v>Não iniciado</v>
      </c>
    </row>
    <row r="59">
      <c r="B59" s="27">
        <f>$B$49*$AU$4</f>
      </c>
      <c r="E59" s="24" t="str">
        <v>REQUADRO</v>
      </c>
      <c r="F59" s="8">
        <f>B59*$C$56*G59</f>
      </c>
      <c r="G59" s="28">
        <f>H59/25</f>
      </c>
      <c r="H59" s="24">
        <f>COUNTIF(I59:AG59,"x")</f>
      </c>
      <c r="AH59" s="25">
        <v>46515</v>
      </c>
      <c r="AI59" s="25">
        <v>46554</v>
      </c>
      <c r="AL59" s="25">
        <v>46814</v>
      </c>
      <c r="AM59" s="25">
        <v>46872</v>
      </c>
      <c r="AP59" s="26" t="str">
        <v>Não iniciado</v>
      </c>
    </row>
    <row r="60">
      <c r="B60" s="27">
        <f>$B$49*$AU$5</f>
      </c>
      <c r="E60" s="24" t="str">
        <v>REJUNTE</v>
      </c>
      <c r="F60" s="8">
        <f>B60*$C$56*G60</f>
      </c>
      <c r="G60" s="28">
        <f>H60/25</f>
      </c>
      <c r="H60" s="24">
        <f>COUNTIF(I60:AG60,"x")</f>
      </c>
      <c r="AH60" s="25">
        <v>46515</v>
      </c>
      <c r="AI60" s="25">
        <v>46554</v>
      </c>
      <c r="AL60" s="25">
        <v>46814</v>
      </c>
      <c r="AM60" s="25">
        <v>46872</v>
      </c>
      <c r="AP60" s="26" t="str">
        <v>Não iniciado</v>
      </c>
    </row>
    <row r="61">
      <c r="A61" s="29" t="str">
        <v/>
      </c>
      <c r="B61" s="29" t="str">
        <v/>
      </c>
      <c r="C61" s="29" t="str">
        <v/>
      </c>
      <c r="D61" s="29" t="str">
        <v/>
      </c>
      <c r="E61" s="30" t="str">
        <v>ACUMULADO</v>
      </c>
      <c r="F61" s="31">
        <f>SUM(F57:F60)</f>
      </c>
      <c r="G61" s="32">
        <f>$AU$2*G57+$AU$3*G58+$AU$4*G59+$AU$5*G60</f>
      </c>
      <c r="H61" s="29" t="str">
        <v/>
      </c>
      <c r="I61" s="29" t="str">
        <v/>
      </c>
      <c r="J61" s="29" t="str">
        <v/>
      </c>
      <c r="K61" s="29" t="str">
        <v/>
      </c>
      <c r="L61" s="29" t="str">
        <v/>
      </c>
      <c r="M61" s="29" t="str">
        <v/>
      </c>
      <c r="N61" s="29" t="str">
        <v/>
      </c>
      <c r="O61" s="29" t="str">
        <v/>
      </c>
      <c r="P61" s="29" t="str">
        <v/>
      </c>
      <c r="Q61" s="29" t="str">
        <v/>
      </c>
      <c r="R61" s="29" t="str">
        <v/>
      </c>
      <c r="S61" s="29" t="str">
        <v/>
      </c>
      <c r="T61" s="29" t="str">
        <v/>
      </c>
      <c r="U61" s="29" t="str">
        <v/>
      </c>
      <c r="V61" s="29" t="str">
        <v/>
      </c>
      <c r="W61" s="29" t="str">
        <v/>
      </c>
      <c r="X61" s="29" t="str">
        <v/>
      </c>
      <c r="Y61" s="29" t="str">
        <v/>
      </c>
      <c r="Z61" s="29" t="str">
        <v/>
      </c>
      <c r="AA61" s="29" t="str">
        <v/>
      </c>
      <c r="AB61" s="29" t="str">
        <v/>
      </c>
      <c r="AC61" s="29" t="str">
        <v/>
      </c>
      <c r="AD61" s="29" t="str">
        <v/>
      </c>
      <c r="AE61" s="29" t="str">
        <v/>
      </c>
      <c r="AF61" s="29" t="str">
        <v/>
      </c>
      <c r="AG61" s="29" t="str">
        <v/>
      </c>
      <c r="AH61" s="29" t="str">
        <v/>
      </c>
      <c r="AI61" s="29" t="str">
        <v/>
      </c>
      <c r="AJ61" s="29" t="str">
        <v/>
      </c>
      <c r="AK61" s="29" t="str">
        <v/>
      </c>
      <c r="AL61" s="29" t="str">
        <v/>
      </c>
      <c r="AM61" s="29" t="str">
        <v/>
      </c>
      <c r="AN61" s="29" t="str">
        <v/>
      </c>
      <c r="AO61" s="29" t="str">
        <v/>
      </c>
      <c r="AP61" s="29" t="str">
        <v/>
      </c>
    </row>
    <row r="62" xml:space="preserve">
      <c r="C62" s="8">
        <v>0.42857142857142855</v>
      </c>
      <c r="D62" s="23" t="str" xml:space="preserve">
        <v xml:space="preserve">BE 09
1ª eq. C / 2ª eq. D</v>
      </c>
      <c r="E62" s="24" t="str">
        <v>MONTAGEM</v>
      </c>
      <c r="I62" s="22" t="str">
        <v/>
      </c>
      <c r="J62" s="22" t="str">
        <v/>
      </c>
      <c r="K62" s="22" t="str">
        <v/>
      </c>
      <c r="L62" s="22" t="str">
        <v/>
      </c>
      <c r="M62" s="22" t="str">
        <v/>
      </c>
      <c r="N62" s="22" t="str">
        <v/>
      </c>
      <c r="O62" s="22" t="str">
        <v/>
      </c>
      <c r="P62" s="22" t="str">
        <v/>
      </c>
      <c r="Q62" s="22" t="str">
        <v/>
      </c>
      <c r="R62" s="22" t="str">
        <v/>
      </c>
      <c r="S62" s="22" t="str">
        <v/>
      </c>
      <c r="T62" s="22" t="str">
        <v/>
      </c>
      <c r="U62" s="22" t="str">
        <v/>
      </c>
      <c r="V62" s="22" t="str">
        <v/>
      </c>
      <c r="W62" s="22" t="str">
        <v/>
      </c>
      <c r="X62" s="22" t="str">
        <v/>
      </c>
      <c r="Y62" s="22" t="str">
        <v/>
      </c>
      <c r="Z62" s="22" t="str">
        <v/>
      </c>
      <c r="AA62" s="22" t="str">
        <v/>
      </c>
      <c r="AB62" s="22" t="str">
        <v/>
      </c>
      <c r="AC62" s="22" t="str">
        <v/>
      </c>
      <c r="AD62" s="22" t="str">
        <v/>
      </c>
      <c r="AE62" s="22" t="str">
        <v/>
      </c>
      <c r="AF62" s="22" t="str">
        <v/>
      </c>
      <c r="AG62" s="22" t="str">
        <v/>
      </c>
      <c r="AH62" s="25">
        <v>46506</v>
      </c>
      <c r="AI62" s="25">
        <v>46511</v>
      </c>
      <c r="AL62" s="25">
        <v>46777</v>
      </c>
      <c r="AM62" s="25">
        <v>46780</v>
      </c>
      <c r="AP62" s="26" t="str">
        <v>Não iniciado</v>
      </c>
    </row>
    <row r="63">
      <c r="B63" s="27">
        <f>$B$49*$AU$2</f>
      </c>
      <c r="E63" s="24" t="str">
        <v>LIMPEZA</v>
      </c>
      <c r="F63" s="8">
        <f>B63*$C$62*G63</f>
      </c>
      <c r="G63" s="28">
        <f>H63/25</f>
      </c>
      <c r="H63" s="24">
        <f>COUNTIF(I63:AG63,"x")</f>
      </c>
      <c r="AH63" s="25">
        <v>46511</v>
      </c>
      <c r="AI63" s="25">
        <v>46568</v>
      </c>
      <c r="AL63" s="25">
        <v>46780</v>
      </c>
      <c r="AM63" s="25">
        <v>46869</v>
      </c>
      <c r="AP63" s="26" t="str">
        <v>Não iniciado</v>
      </c>
    </row>
    <row r="64">
      <c r="B64" s="27">
        <f>$B$49*$AU$3</f>
      </c>
      <c r="E64" s="24" t="str">
        <v>PANO</v>
      </c>
      <c r="F64" s="8">
        <f>B64*$C$62*G64</f>
      </c>
      <c r="G64" s="28">
        <f>H64/25</f>
      </c>
      <c r="H64" s="24">
        <f>COUNTIF(I64:AG64,"x")</f>
      </c>
      <c r="AH64" s="25">
        <v>46511</v>
      </c>
      <c r="AI64" s="25">
        <v>46568</v>
      </c>
      <c r="AL64" s="25">
        <v>46780</v>
      </c>
      <c r="AM64" s="25">
        <v>46869</v>
      </c>
      <c r="AP64" s="26" t="str">
        <v>Não iniciado</v>
      </c>
    </row>
    <row r="65">
      <c r="B65" s="27">
        <f>$B$49*$AU$4</f>
      </c>
      <c r="E65" s="24" t="str">
        <v>REQUADRO</v>
      </c>
      <c r="F65" s="8">
        <f>B65*$C$62*G65</f>
      </c>
      <c r="G65" s="28">
        <f>H65/25</f>
      </c>
      <c r="H65" s="24">
        <f>COUNTIF(I65:AG65,"x")</f>
      </c>
      <c r="AH65" s="25">
        <v>46511</v>
      </c>
      <c r="AI65" s="25">
        <v>46568</v>
      </c>
      <c r="AL65" s="25">
        <v>46780</v>
      </c>
      <c r="AM65" s="25">
        <v>46869</v>
      </c>
      <c r="AP65" s="26" t="str">
        <v>Não iniciado</v>
      </c>
    </row>
    <row r="66">
      <c r="B66" s="27">
        <f>$B$49*$AU$5</f>
      </c>
      <c r="E66" s="24" t="str">
        <v>REJUNTE</v>
      </c>
      <c r="F66" s="8">
        <f>B66*$C$62*G66</f>
      </c>
      <c r="G66" s="28">
        <f>H66/25</f>
      </c>
      <c r="H66" s="24">
        <f>COUNTIF(I66:AG66,"x")</f>
      </c>
      <c r="AH66" s="25">
        <v>46511</v>
      </c>
      <c r="AI66" s="25">
        <v>46568</v>
      </c>
      <c r="AL66" s="25">
        <v>46780</v>
      </c>
      <c r="AM66" s="25">
        <v>46869</v>
      </c>
      <c r="AP66" s="26" t="str">
        <v>Não iniciado</v>
      </c>
    </row>
    <row r="67">
      <c r="A67" s="29" t="str">
        <v/>
      </c>
      <c r="B67" s="29" t="str">
        <v/>
      </c>
      <c r="C67" s="29" t="str">
        <v/>
      </c>
      <c r="D67" s="29" t="str">
        <v/>
      </c>
      <c r="E67" s="30" t="str">
        <v>ACUMULADO</v>
      </c>
      <c r="F67" s="31">
        <f>SUM(F63:F66)</f>
      </c>
      <c r="G67" s="32">
        <f>$AU$2*G63+$AU$3*G64+$AU$4*G65+$AU$5*G66</f>
      </c>
      <c r="H67" s="29" t="str">
        <v/>
      </c>
      <c r="I67" s="29" t="str">
        <v/>
      </c>
      <c r="J67" s="29" t="str">
        <v/>
      </c>
      <c r="K67" s="29" t="str">
        <v/>
      </c>
      <c r="L67" s="29" t="str">
        <v/>
      </c>
      <c r="M67" s="29" t="str">
        <v/>
      </c>
      <c r="N67" s="29" t="str">
        <v/>
      </c>
      <c r="O67" s="29" t="str">
        <v/>
      </c>
      <c r="P67" s="29" t="str">
        <v/>
      </c>
      <c r="Q67" s="29" t="str">
        <v/>
      </c>
      <c r="R67" s="29" t="str">
        <v/>
      </c>
      <c r="S67" s="29" t="str">
        <v/>
      </c>
      <c r="T67" s="29" t="str">
        <v/>
      </c>
      <c r="U67" s="29" t="str">
        <v/>
      </c>
      <c r="V67" s="29" t="str">
        <v/>
      </c>
      <c r="W67" s="29" t="str">
        <v/>
      </c>
      <c r="X67" s="29" t="str">
        <v/>
      </c>
      <c r="Y67" s="29" t="str">
        <v/>
      </c>
      <c r="Z67" s="29" t="str">
        <v/>
      </c>
      <c r="AA67" s="29" t="str">
        <v/>
      </c>
      <c r="AB67" s="29" t="str">
        <v/>
      </c>
      <c r="AC67" s="29" t="str">
        <v/>
      </c>
      <c r="AD67" s="29" t="str">
        <v/>
      </c>
      <c r="AE67" s="29" t="str">
        <v/>
      </c>
      <c r="AF67" s="29" t="str">
        <v/>
      </c>
      <c r="AG67" s="29" t="str">
        <v/>
      </c>
      <c r="AH67" s="29" t="str">
        <v/>
      </c>
      <c r="AI67" s="29" t="str">
        <v/>
      </c>
      <c r="AJ67" s="29" t="str">
        <v/>
      </c>
      <c r="AK67" s="29" t="str">
        <v/>
      </c>
      <c r="AL67" s="29" t="str">
        <v/>
      </c>
      <c r="AM67" s="29" t="str">
        <v/>
      </c>
      <c r="AN67" s="29" t="str">
        <v/>
      </c>
      <c r="AO67" s="29" t="str">
        <v/>
      </c>
      <c r="AP67" s="29" t="str">
        <v/>
      </c>
    </row>
    <row r="68">
      <c r="A68" s="29" t="str">
        <v/>
      </c>
      <c r="B68" s="33" t="str">
        <v>ACUMULADO FACHADA LATERAL DIREITA</v>
      </c>
      <c r="C68" s="29" t="str">
        <v/>
      </c>
      <c r="D68" s="29" t="str">
        <v/>
      </c>
      <c r="E68" s="29" t="str">
        <v/>
      </c>
      <c r="F68" s="31">
        <f>F55+F61+F67</f>
      </c>
      <c r="G68" s="32">
        <f>C50*G55+C56*G61+C62*G67</f>
      </c>
      <c r="H68" s="29" t="str">
        <v/>
      </c>
      <c r="I68" s="29" t="str">
        <v/>
      </c>
      <c r="J68" s="29" t="str">
        <v/>
      </c>
      <c r="K68" s="29" t="str">
        <v/>
      </c>
      <c r="L68" s="29" t="str">
        <v/>
      </c>
      <c r="M68" s="29" t="str">
        <v/>
      </c>
      <c r="N68" s="29" t="str">
        <v/>
      </c>
      <c r="O68" s="29" t="str">
        <v/>
      </c>
      <c r="P68" s="29" t="str">
        <v/>
      </c>
      <c r="Q68" s="29" t="str">
        <v/>
      </c>
      <c r="R68" s="29" t="str">
        <v/>
      </c>
      <c r="S68" s="29" t="str">
        <v/>
      </c>
      <c r="T68" s="29" t="str">
        <v/>
      </c>
      <c r="U68" s="29" t="str">
        <v/>
      </c>
      <c r="V68" s="29" t="str">
        <v/>
      </c>
      <c r="W68" s="29" t="str">
        <v/>
      </c>
      <c r="X68" s="29" t="str">
        <v/>
      </c>
      <c r="Y68" s="29" t="str">
        <v/>
      </c>
      <c r="Z68" s="29" t="str">
        <v/>
      </c>
      <c r="AA68" s="29" t="str">
        <v/>
      </c>
      <c r="AB68" s="29" t="str">
        <v/>
      </c>
      <c r="AC68" s="29" t="str">
        <v/>
      </c>
      <c r="AD68" s="29" t="str">
        <v/>
      </c>
      <c r="AE68" s="29" t="str">
        <v/>
      </c>
      <c r="AF68" s="29" t="str">
        <v/>
      </c>
      <c r="AG68" s="29" t="str">
        <v/>
      </c>
      <c r="AH68" s="29" t="str">
        <v/>
      </c>
      <c r="AI68" s="29" t="str">
        <v/>
      </c>
      <c r="AJ68" s="29" t="str">
        <v/>
      </c>
      <c r="AK68" s="29" t="str">
        <v/>
      </c>
      <c r="AL68" s="29" t="str">
        <v/>
      </c>
      <c r="AM68" s="29" t="str">
        <v/>
      </c>
      <c r="AN68" s="29" t="str">
        <v/>
      </c>
      <c r="AO68" s="29" t="str">
        <v/>
      </c>
      <c r="AP68" s="29" t="str">
        <v/>
      </c>
    </row>
    <row r="70">
      <c r="A70" s="20" t="str">
        <v>FACHADA FRONTAL</v>
      </c>
      <c r="B70" s="21">
        <v>0.1767069852218012</v>
      </c>
      <c r="C70" s="22" t="str">
        <v/>
      </c>
      <c r="D70" s="22" t="str">
        <v/>
      </c>
      <c r="E70" s="22" t="str">
        <v/>
      </c>
      <c r="F70" s="22" t="str">
        <v/>
      </c>
      <c r="G70" s="22" t="str">
        <v/>
      </c>
      <c r="H70" s="22" t="str">
        <v/>
      </c>
      <c r="I70" s="22" t="str">
        <v/>
      </c>
      <c r="J70" s="22" t="str">
        <v/>
      </c>
      <c r="K70" s="22" t="str">
        <v/>
      </c>
      <c r="L70" s="22" t="str">
        <v/>
      </c>
      <c r="M70" s="22" t="str">
        <v/>
      </c>
      <c r="N70" s="22" t="str">
        <v/>
      </c>
      <c r="O70" s="22" t="str">
        <v/>
      </c>
      <c r="P70" s="22" t="str">
        <v/>
      </c>
      <c r="Q70" s="22" t="str">
        <v/>
      </c>
      <c r="R70" s="22" t="str">
        <v/>
      </c>
      <c r="S70" s="22" t="str">
        <v/>
      </c>
      <c r="T70" s="22" t="str">
        <v/>
      </c>
      <c r="U70" s="22" t="str">
        <v/>
      </c>
      <c r="V70" s="22" t="str">
        <v/>
      </c>
      <c r="W70" s="22" t="str">
        <v/>
      </c>
      <c r="X70" s="22" t="str">
        <v/>
      </c>
      <c r="Y70" s="22" t="str">
        <v/>
      </c>
      <c r="Z70" s="22" t="str">
        <v/>
      </c>
      <c r="AA70" s="22" t="str">
        <v/>
      </c>
      <c r="AB70" s="22" t="str">
        <v/>
      </c>
      <c r="AC70" s="22" t="str">
        <v/>
      </c>
      <c r="AD70" s="22" t="str">
        <v/>
      </c>
      <c r="AE70" s="22" t="str">
        <v/>
      </c>
      <c r="AF70" s="22" t="str">
        <v/>
      </c>
      <c r="AG70" s="22" t="str">
        <v/>
      </c>
      <c r="AH70" s="22" t="str">
        <v/>
      </c>
      <c r="AI70" s="22" t="str">
        <v/>
      </c>
      <c r="AJ70" s="22" t="str">
        <v/>
      </c>
      <c r="AK70" s="22" t="str">
        <v/>
      </c>
      <c r="AL70" s="22" t="str">
        <v/>
      </c>
      <c r="AM70" s="22" t="str">
        <v/>
      </c>
      <c r="AN70" s="22" t="str">
        <v/>
      </c>
      <c r="AO70" s="22" t="str">
        <v/>
      </c>
      <c r="AP70" s="22" t="str">
        <v/>
      </c>
    </row>
    <row r="71" xml:space="preserve">
      <c r="C71" s="8">
        <v>0.14634146341463414</v>
      </c>
      <c r="D71" s="23" t="str" xml:space="preserve">
        <v xml:space="preserve">BE 10
1ª eq. F / 2ª eq. G</v>
      </c>
      <c r="E71" s="24" t="str">
        <v>MONTAGEM</v>
      </c>
      <c r="I71" s="22" t="str">
        <v/>
      </c>
      <c r="J71" s="22" t="str">
        <v/>
      </c>
      <c r="K71" s="22" t="str">
        <v/>
      </c>
      <c r="L71" s="22" t="str">
        <v/>
      </c>
      <c r="M71" s="22" t="str">
        <v/>
      </c>
      <c r="N71" s="22" t="str">
        <v/>
      </c>
      <c r="O71" s="22" t="str">
        <v/>
      </c>
      <c r="P71" s="22" t="str">
        <v/>
      </c>
      <c r="Q71" s="22" t="str">
        <v/>
      </c>
      <c r="R71" s="22" t="str">
        <v/>
      </c>
      <c r="S71" s="22" t="str">
        <v/>
      </c>
      <c r="T71" s="22" t="str">
        <v/>
      </c>
      <c r="U71" s="22" t="str">
        <v/>
      </c>
      <c r="V71" s="22" t="str">
        <v/>
      </c>
      <c r="W71" s="22" t="str">
        <v/>
      </c>
      <c r="X71" s="22" t="str">
        <v/>
      </c>
      <c r="Y71" s="22" t="str">
        <v/>
      </c>
      <c r="Z71" s="22" t="str">
        <v/>
      </c>
      <c r="AA71" s="22" t="str">
        <v/>
      </c>
      <c r="AB71" s="22" t="str">
        <v/>
      </c>
      <c r="AC71" s="22" t="str">
        <v/>
      </c>
      <c r="AD71" s="22" t="str">
        <v/>
      </c>
      <c r="AE71" s="22" t="str">
        <v/>
      </c>
      <c r="AF71" s="22" t="str">
        <v/>
      </c>
      <c r="AG71" s="22" t="str">
        <v/>
      </c>
      <c r="AH71" s="25">
        <v>46394</v>
      </c>
      <c r="AI71" s="25">
        <v>46398</v>
      </c>
      <c r="AL71" s="25">
        <v>46519</v>
      </c>
      <c r="AM71" s="25">
        <v>46522</v>
      </c>
      <c r="AP71" s="26" t="str">
        <v>Não iniciado</v>
      </c>
    </row>
    <row r="72">
      <c r="B72" s="27">
        <f>$B$70*$AU$2</f>
      </c>
      <c r="E72" s="24" t="str">
        <v>LIMPEZA</v>
      </c>
      <c r="F72" s="8">
        <f>B72*$C$71*G72</f>
      </c>
      <c r="G72" s="28">
        <f>H72/25</f>
      </c>
      <c r="H72" s="24">
        <f>COUNTIF(I72:AG72,"x")</f>
      </c>
      <c r="AH72" s="25">
        <v>46398</v>
      </c>
      <c r="AI72" s="25">
        <v>46459</v>
      </c>
      <c r="AL72" s="25">
        <v>46522</v>
      </c>
      <c r="AM72" s="25">
        <v>46598</v>
      </c>
      <c r="AP72" s="26" t="str">
        <v>Não iniciado</v>
      </c>
    </row>
    <row r="73">
      <c r="B73" s="27">
        <f>$B$70*$AU$3</f>
      </c>
      <c r="E73" s="24" t="str">
        <v>PANO</v>
      </c>
      <c r="F73" s="8">
        <f>B73*$C$71*G73</f>
      </c>
      <c r="G73" s="28">
        <f>H73/25</f>
      </c>
      <c r="H73" s="24">
        <f>COUNTIF(I73:AG73,"x")</f>
      </c>
      <c r="AH73" s="25">
        <v>46398</v>
      </c>
      <c r="AI73" s="25">
        <v>46459</v>
      </c>
      <c r="AL73" s="25">
        <v>46522</v>
      </c>
      <c r="AM73" s="25">
        <v>46598</v>
      </c>
      <c r="AP73" s="26" t="str">
        <v>Não iniciado</v>
      </c>
    </row>
    <row r="74">
      <c r="B74" s="27">
        <f>$B$70*$AU$4</f>
      </c>
      <c r="E74" s="24" t="str">
        <v>REQUADRO</v>
      </c>
      <c r="F74" s="8">
        <f>B74*$C$71*G74</f>
      </c>
      <c r="G74" s="28">
        <f>H74/25</f>
      </c>
      <c r="H74" s="24">
        <f>COUNTIF(I74:AG74,"x")</f>
      </c>
      <c r="AH74" s="25">
        <v>46398</v>
      </c>
      <c r="AI74" s="25">
        <v>46459</v>
      </c>
      <c r="AL74" s="25">
        <v>46522</v>
      </c>
      <c r="AM74" s="25">
        <v>46598</v>
      </c>
      <c r="AP74" s="26" t="str">
        <v>Não iniciado</v>
      </c>
    </row>
    <row r="75">
      <c r="B75" s="27">
        <f>$B$70*$AU$5</f>
      </c>
      <c r="E75" s="24" t="str">
        <v>REJUNTE</v>
      </c>
      <c r="F75" s="8">
        <f>B75*$C$71*G75</f>
      </c>
      <c r="G75" s="28">
        <f>H75/25</f>
      </c>
      <c r="H75" s="24">
        <f>COUNTIF(I75:AG75,"x")</f>
      </c>
      <c r="AH75" s="25">
        <v>46398</v>
      </c>
      <c r="AI75" s="25">
        <v>46459</v>
      </c>
      <c r="AL75" s="25">
        <v>46522</v>
      </c>
      <c r="AM75" s="25">
        <v>46598</v>
      </c>
      <c r="AP75" s="26" t="str">
        <v>Não iniciado</v>
      </c>
    </row>
    <row r="76">
      <c r="A76" s="29" t="str">
        <v/>
      </c>
      <c r="B76" s="29" t="str">
        <v/>
      </c>
      <c r="C76" s="29" t="str">
        <v/>
      </c>
      <c r="D76" s="29" t="str">
        <v/>
      </c>
      <c r="E76" s="30" t="str">
        <v>ACUMULADO</v>
      </c>
      <c r="F76" s="31">
        <f>SUM(F72:F75)</f>
      </c>
      <c r="G76" s="32">
        <f>$AU$2*G72+$AU$3*G73+$AU$4*G74+$AU$5*G75</f>
      </c>
      <c r="H76" s="29" t="str">
        <v/>
      </c>
      <c r="I76" s="29" t="str">
        <v/>
      </c>
      <c r="J76" s="29" t="str">
        <v/>
      </c>
      <c r="K76" s="29" t="str">
        <v/>
      </c>
      <c r="L76" s="29" t="str">
        <v/>
      </c>
      <c r="M76" s="29" t="str">
        <v/>
      </c>
      <c r="N76" s="29" t="str">
        <v/>
      </c>
      <c r="O76" s="29" t="str">
        <v/>
      </c>
      <c r="P76" s="29" t="str">
        <v/>
      </c>
      <c r="Q76" s="29" t="str">
        <v/>
      </c>
      <c r="R76" s="29" t="str">
        <v/>
      </c>
      <c r="S76" s="29" t="str">
        <v/>
      </c>
      <c r="T76" s="29" t="str">
        <v/>
      </c>
      <c r="U76" s="29" t="str">
        <v/>
      </c>
      <c r="V76" s="29" t="str">
        <v/>
      </c>
      <c r="W76" s="29" t="str">
        <v/>
      </c>
      <c r="X76" s="29" t="str">
        <v/>
      </c>
      <c r="Y76" s="29" t="str">
        <v/>
      </c>
      <c r="Z76" s="29" t="str">
        <v/>
      </c>
      <c r="AA76" s="29" t="str">
        <v/>
      </c>
      <c r="AB76" s="29" t="str">
        <v/>
      </c>
      <c r="AC76" s="29" t="str">
        <v/>
      </c>
      <c r="AD76" s="29" t="str">
        <v/>
      </c>
      <c r="AE76" s="29" t="str">
        <v/>
      </c>
      <c r="AF76" s="29" t="str">
        <v/>
      </c>
      <c r="AG76" s="29" t="str">
        <v/>
      </c>
      <c r="AH76" s="29" t="str">
        <v/>
      </c>
      <c r="AI76" s="29" t="str">
        <v/>
      </c>
      <c r="AJ76" s="29" t="str">
        <v/>
      </c>
      <c r="AK76" s="29" t="str">
        <v/>
      </c>
      <c r="AL76" s="29" t="str">
        <v/>
      </c>
      <c r="AM76" s="29" t="str">
        <v/>
      </c>
      <c r="AN76" s="29" t="str">
        <v/>
      </c>
      <c r="AO76" s="29" t="str">
        <v/>
      </c>
      <c r="AP76" s="29" t="str">
        <v/>
      </c>
    </row>
    <row r="77" xml:space="preserve">
      <c r="C77" s="8">
        <v>0.12195121951219512</v>
      </c>
      <c r="D77" s="23" t="str" xml:space="preserve">
        <v xml:space="preserve">BE 11
1ª eq. C / 2ª eq. B</v>
      </c>
      <c r="E77" s="24" t="str">
        <v>MONTAGEM</v>
      </c>
      <c r="I77" s="22" t="str">
        <v/>
      </c>
      <c r="J77" s="22" t="str">
        <v/>
      </c>
      <c r="K77" s="22" t="str">
        <v/>
      </c>
      <c r="L77" s="22" t="str">
        <v/>
      </c>
      <c r="M77" s="22" t="str">
        <v/>
      </c>
      <c r="N77" s="22" t="str">
        <v/>
      </c>
      <c r="O77" s="22" t="str">
        <v/>
      </c>
      <c r="P77" s="22" t="str">
        <v/>
      </c>
      <c r="Q77" s="22" t="str">
        <v/>
      </c>
      <c r="R77" s="22" t="str">
        <v/>
      </c>
      <c r="S77" s="22" t="str">
        <v/>
      </c>
      <c r="T77" s="22" t="str">
        <v/>
      </c>
      <c r="U77" s="22" t="str">
        <v/>
      </c>
      <c r="V77" s="22" t="str">
        <v/>
      </c>
      <c r="W77" s="22" t="str">
        <v/>
      </c>
      <c r="X77" s="22" t="str">
        <v/>
      </c>
      <c r="Y77" s="22" t="str">
        <v/>
      </c>
      <c r="Z77" s="22" t="str">
        <v/>
      </c>
      <c r="AA77" s="22" t="str">
        <v/>
      </c>
      <c r="AB77" s="22" t="str">
        <v/>
      </c>
      <c r="AC77" s="22" t="str">
        <v/>
      </c>
      <c r="AD77" s="22" t="str">
        <v/>
      </c>
      <c r="AE77" s="22" t="str">
        <v/>
      </c>
      <c r="AF77" s="22" t="str">
        <v/>
      </c>
      <c r="AG77" s="22" t="str">
        <v/>
      </c>
      <c r="AH77" s="25">
        <v>46409</v>
      </c>
      <c r="AI77" s="25">
        <v>46413</v>
      </c>
      <c r="AL77" s="25">
        <v>46554</v>
      </c>
      <c r="AM77" s="25">
        <v>46557</v>
      </c>
      <c r="AP77" s="26" t="str">
        <v>Não iniciado</v>
      </c>
    </row>
    <row r="78">
      <c r="B78" s="27">
        <f>$B$70*$AU$2</f>
      </c>
      <c r="E78" s="24" t="str">
        <v>LIMPEZA</v>
      </c>
      <c r="F78" s="8">
        <f>B78*$C$77*G78</f>
      </c>
      <c r="G78" s="28">
        <f>H78/25</f>
      </c>
      <c r="H78" s="24">
        <f>COUNTIF(I78:AG78,"x")</f>
      </c>
      <c r="AH78" s="25">
        <v>46413</v>
      </c>
      <c r="AI78" s="25">
        <v>46464</v>
      </c>
      <c r="AL78" s="25">
        <v>46557</v>
      </c>
      <c r="AM78" s="25">
        <v>46619</v>
      </c>
      <c r="AP78" s="26" t="str">
        <v>Não iniciado</v>
      </c>
    </row>
    <row r="79">
      <c r="B79" s="27">
        <f>$B$70*$AU$3</f>
      </c>
      <c r="E79" s="24" t="str">
        <v>PANO</v>
      </c>
      <c r="F79" s="8">
        <f>B79*$C$77*G79</f>
      </c>
      <c r="G79" s="28">
        <f>H79/25</f>
      </c>
      <c r="H79" s="24">
        <f>COUNTIF(I79:AG79,"x")</f>
      </c>
      <c r="AH79" s="25">
        <v>46413</v>
      </c>
      <c r="AI79" s="25">
        <v>46464</v>
      </c>
      <c r="AL79" s="25">
        <v>46557</v>
      </c>
      <c r="AM79" s="25">
        <v>46619</v>
      </c>
      <c r="AP79" s="26" t="str">
        <v>Não iniciado</v>
      </c>
    </row>
    <row r="80">
      <c r="B80" s="27">
        <f>$B$70*$AU$4</f>
      </c>
      <c r="E80" s="24" t="str">
        <v>REQUADRO</v>
      </c>
      <c r="F80" s="8">
        <f>B80*$C$77*G80</f>
      </c>
      <c r="G80" s="28">
        <f>H80/25</f>
      </c>
      <c r="H80" s="24">
        <f>COUNTIF(I80:AG80,"x")</f>
      </c>
      <c r="AH80" s="25">
        <v>46413</v>
      </c>
      <c r="AI80" s="25">
        <v>46464</v>
      </c>
      <c r="AL80" s="25">
        <v>46557</v>
      </c>
      <c r="AM80" s="25">
        <v>46619</v>
      </c>
      <c r="AP80" s="26" t="str">
        <v>Não iniciado</v>
      </c>
    </row>
    <row r="81">
      <c r="B81" s="27">
        <f>$B$70*$AU$5</f>
      </c>
      <c r="E81" s="24" t="str">
        <v>REJUNTE</v>
      </c>
      <c r="F81" s="8">
        <f>B81*$C$77*G81</f>
      </c>
      <c r="G81" s="28">
        <f>H81/25</f>
      </c>
      <c r="H81" s="24">
        <f>COUNTIF(I81:AG81,"x")</f>
      </c>
      <c r="AH81" s="25">
        <v>46413</v>
      </c>
      <c r="AI81" s="25">
        <v>46464</v>
      </c>
      <c r="AL81" s="25">
        <v>46557</v>
      </c>
      <c r="AM81" s="25">
        <v>46619</v>
      </c>
      <c r="AP81" s="26" t="str">
        <v>Não iniciado</v>
      </c>
    </row>
    <row r="82">
      <c r="A82" s="29" t="str">
        <v/>
      </c>
      <c r="B82" s="29" t="str">
        <v/>
      </c>
      <c r="C82" s="29" t="str">
        <v/>
      </c>
      <c r="D82" s="29" t="str">
        <v/>
      </c>
      <c r="E82" s="30" t="str">
        <v>ACUMULADO</v>
      </c>
      <c r="F82" s="31">
        <f>SUM(F78:F81)</f>
      </c>
      <c r="G82" s="32">
        <f>$AU$2*G78+$AU$3*G79+$AU$4*G80+$AU$5*G81</f>
      </c>
      <c r="H82" s="29" t="str">
        <v/>
      </c>
      <c r="I82" s="29" t="str">
        <v/>
      </c>
      <c r="J82" s="29" t="str">
        <v/>
      </c>
      <c r="K82" s="29" t="str">
        <v/>
      </c>
      <c r="L82" s="29" t="str">
        <v/>
      </c>
      <c r="M82" s="29" t="str">
        <v/>
      </c>
      <c r="N82" s="29" t="str">
        <v/>
      </c>
      <c r="O82" s="29" t="str">
        <v/>
      </c>
      <c r="P82" s="29" t="str">
        <v/>
      </c>
      <c r="Q82" s="29" t="str">
        <v/>
      </c>
      <c r="R82" s="29" t="str">
        <v/>
      </c>
      <c r="S82" s="29" t="str">
        <v/>
      </c>
      <c r="T82" s="29" t="str">
        <v/>
      </c>
      <c r="U82" s="29" t="str">
        <v/>
      </c>
      <c r="V82" s="29" t="str">
        <v/>
      </c>
      <c r="W82" s="29" t="str">
        <v/>
      </c>
      <c r="X82" s="29" t="str">
        <v/>
      </c>
      <c r="Y82" s="29" t="str">
        <v/>
      </c>
      <c r="Z82" s="29" t="str">
        <v/>
      </c>
      <c r="AA82" s="29" t="str">
        <v/>
      </c>
      <c r="AB82" s="29" t="str">
        <v/>
      </c>
      <c r="AC82" s="29" t="str">
        <v/>
      </c>
      <c r="AD82" s="29" t="str">
        <v/>
      </c>
      <c r="AE82" s="29" t="str">
        <v/>
      </c>
      <c r="AF82" s="29" t="str">
        <v/>
      </c>
      <c r="AG82" s="29" t="str">
        <v/>
      </c>
      <c r="AH82" s="29" t="str">
        <v/>
      </c>
      <c r="AI82" s="29" t="str">
        <v/>
      </c>
      <c r="AJ82" s="29" t="str">
        <v/>
      </c>
      <c r="AK82" s="29" t="str">
        <v/>
      </c>
      <c r="AL82" s="29" t="str">
        <v/>
      </c>
      <c r="AM82" s="29" t="str">
        <v/>
      </c>
      <c r="AN82" s="29" t="str">
        <v/>
      </c>
      <c r="AO82" s="29" t="str">
        <v/>
      </c>
      <c r="AP82" s="29" t="str">
        <v/>
      </c>
    </row>
    <row r="83" xml:space="preserve">
      <c r="C83" s="8">
        <v>0.12195121951219512</v>
      </c>
      <c r="D83" s="23" t="str" xml:space="preserve">
        <v xml:space="preserve">BE 12
1ª eq. B / 2ª eq. A</v>
      </c>
      <c r="E83" s="24" t="str">
        <v>MONTAGEM</v>
      </c>
      <c r="I83" s="22" t="str">
        <v/>
      </c>
      <c r="J83" s="22" t="str">
        <v/>
      </c>
      <c r="K83" s="22" t="str">
        <v/>
      </c>
      <c r="L83" s="22" t="str">
        <v/>
      </c>
      <c r="M83" s="22" t="str">
        <v/>
      </c>
      <c r="N83" s="22" t="str">
        <v/>
      </c>
      <c r="O83" s="22" t="str">
        <v/>
      </c>
      <c r="P83" s="22" t="str">
        <v/>
      </c>
      <c r="Q83" s="22" t="str">
        <v/>
      </c>
      <c r="R83" s="22" t="str">
        <v/>
      </c>
      <c r="S83" s="22" t="str">
        <v/>
      </c>
      <c r="T83" s="22" t="str">
        <v/>
      </c>
      <c r="U83" s="22" t="str">
        <v/>
      </c>
      <c r="V83" s="22" t="str">
        <v/>
      </c>
      <c r="W83" s="22" t="str">
        <v/>
      </c>
      <c r="X83" s="22" t="str">
        <v/>
      </c>
      <c r="Y83" s="22" t="str">
        <v/>
      </c>
      <c r="Z83" s="22" t="str">
        <v/>
      </c>
      <c r="AA83" s="22" t="str">
        <v/>
      </c>
      <c r="AB83" s="22" t="str">
        <v/>
      </c>
      <c r="AC83" s="22" t="str">
        <v/>
      </c>
      <c r="AD83" s="22" t="str">
        <v/>
      </c>
      <c r="AE83" s="22" t="str">
        <v/>
      </c>
      <c r="AF83" s="22" t="str">
        <v/>
      </c>
      <c r="AG83" s="22" t="str">
        <v/>
      </c>
      <c r="AH83" s="25">
        <v>46410</v>
      </c>
      <c r="AI83" s="25">
        <v>46414</v>
      </c>
      <c r="AL83" s="25">
        <v>46554</v>
      </c>
      <c r="AM83" s="25">
        <v>46557</v>
      </c>
      <c r="AP83" s="26" t="str">
        <v>Não iniciado</v>
      </c>
    </row>
    <row r="84">
      <c r="B84" s="27">
        <f>$B$70*$AU$2</f>
      </c>
      <c r="E84" s="24" t="str">
        <v>LIMPEZA</v>
      </c>
      <c r="F84" s="8">
        <f>B84*$C$83*G84</f>
      </c>
      <c r="G84" s="28">
        <f>H84/25</f>
      </c>
      <c r="H84" s="24">
        <f>COUNTIF(I84:AG84,"x")</f>
      </c>
      <c r="AH84" s="25">
        <v>46414</v>
      </c>
      <c r="AI84" s="25">
        <v>46465</v>
      </c>
      <c r="AL84" s="25">
        <v>46557</v>
      </c>
      <c r="AM84" s="25">
        <v>46619</v>
      </c>
      <c r="AP84" s="26" t="str">
        <v>Não iniciado</v>
      </c>
    </row>
    <row r="85">
      <c r="B85" s="27">
        <f>$B$70*$AU$3</f>
      </c>
      <c r="E85" s="24" t="str">
        <v>PANO</v>
      </c>
      <c r="F85" s="8">
        <f>B85*$C$83*G85</f>
      </c>
      <c r="G85" s="28">
        <f>H85/25</f>
      </c>
      <c r="H85" s="24">
        <f>COUNTIF(I85:AG85,"x")</f>
      </c>
      <c r="AH85" s="25">
        <v>46414</v>
      </c>
      <c r="AI85" s="25">
        <v>46465</v>
      </c>
      <c r="AL85" s="25">
        <v>46557</v>
      </c>
      <c r="AM85" s="25">
        <v>46619</v>
      </c>
      <c r="AP85" s="26" t="str">
        <v>Não iniciado</v>
      </c>
    </row>
    <row r="86">
      <c r="B86" s="27">
        <f>$B$70*$AU$4</f>
      </c>
      <c r="E86" s="24" t="str">
        <v>REQUADRO</v>
      </c>
      <c r="F86" s="8">
        <f>B86*$C$83*G86</f>
      </c>
      <c r="G86" s="28">
        <f>H86/25</f>
      </c>
      <c r="H86" s="24">
        <f>COUNTIF(I86:AG86,"x")</f>
      </c>
      <c r="AH86" s="25">
        <v>46414</v>
      </c>
      <c r="AI86" s="25">
        <v>46465</v>
      </c>
      <c r="AL86" s="25">
        <v>46557</v>
      </c>
      <c r="AM86" s="25">
        <v>46619</v>
      </c>
      <c r="AP86" s="26" t="str">
        <v>Não iniciado</v>
      </c>
    </row>
    <row r="87">
      <c r="B87" s="27">
        <f>$B$70*$AU$5</f>
      </c>
      <c r="E87" s="24" t="str">
        <v>REJUNTE</v>
      </c>
      <c r="F87" s="8">
        <f>B87*$C$83*G87</f>
      </c>
      <c r="G87" s="28">
        <f>H87/25</f>
      </c>
      <c r="H87" s="24">
        <f>COUNTIF(I87:AG87,"x")</f>
      </c>
      <c r="AH87" s="25">
        <v>46414</v>
      </c>
      <c r="AI87" s="25">
        <v>46465</v>
      </c>
      <c r="AL87" s="25">
        <v>46557</v>
      </c>
      <c r="AM87" s="25">
        <v>46619</v>
      </c>
      <c r="AP87" s="26" t="str">
        <v>Não iniciado</v>
      </c>
    </row>
    <row r="88">
      <c r="A88" s="29" t="str">
        <v/>
      </c>
      <c r="B88" s="29" t="str">
        <v/>
      </c>
      <c r="C88" s="29" t="str">
        <v/>
      </c>
      <c r="D88" s="29" t="str">
        <v/>
      </c>
      <c r="E88" s="30" t="str">
        <v>ACUMULADO</v>
      </c>
      <c r="F88" s="31">
        <f>SUM(F84:F87)</f>
      </c>
      <c r="G88" s="32">
        <f>$AU$2*G84+$AU$3*G85+$AU$4*G86+$AU$5*G87</f>
      </c>
      <c r="H88" s="29" t="str">
        <v/>
      </c>
      <c r="I88" s="29" t="str">
        <v/>
      </c>
      <c r="J88" s="29" t="str">
        <v/>
      </c>
      <c r="K88" s="29" t="str">
        <v/>
      </c>
      <c r="L88" s="29" t="str">
        <v/>
      </c>
      <c r="M88" s="29" t="str">
        <v/>
      </c>
      <c r="N88" s="29" t="str">
        <v/>
      </c>
      <c r="O88" s="29" t="str">
        <v/>
      </c>
      <c r="P88" s="29" t="str">
        <v/>
      </c>
      <c r="Q88" s="29" t="str">
        <v/>
      </c>
      <c r="R88" s="29" t="str">
        <v/>
      </c>
      <c r="S88" s="29" t="str">
        <v/>
      </c>
      <c r="T88" s="29" t="str">
        <v/>
      </c>
      <c r="U88" s="29" t="str">
        <v/>
      </c>
      <c r="V88" s="29" t="str">
        <v/>
      </c>
      <c r="W88" s="29" t="str">
        <v/>
      </c>
      <c r="X88" s="29" t="str">
        <v/>
      </c>
      <c r="Y88" s="29" t="str">
        <v/>
      </c>
      <c r="Z88" s="29" t="str">
        <v/>
      </c>
      <c r="AA88" s="29" t="str">
        <v/>
      </c>
      <c r="AB88" s="29" t="str">
        <v/>
      </c>
      <c r="AC88" s="29" t="str">
        <v/>
      </c>
      <c r="AD88" s="29" t="str">
        <v/>
      </c>
      <c r="AE88" s="29" t="str">
        <v/>
      </c>
      <c r="AF88" s="29" t="str">
        <v/>
      </c>
      <c r="AG88" s="29" t="str">
        <v/>
      </c>
      <c r="AH88" s="29" t="str">
        <v/>
      </c>
      <c r="AI88" s="29" t="str">
        <v/>
      </c>
      <c r="AJ88" s="29" t="str">
        <v/>
      </c>
      <c r="AK88" s="29" t="str">
        <v/>
      </c>
      <c r="AL88" s="29" t="str">
        <v/>
      </c>
      <c r="AM88" s="29" t="str">
        <v/>
      </c>
      <c r="AN88" s="29" t="str">
        <v/>
      </c>
      <c r="AO88" s="29" t="str">
        <v/>
      </c>
      <c r="AP88" s="29" t="str">
        <v/>
      </c>
    </row>
    <row r="89" xml:space="preserve">
      <c r="C89" s="8">
        <v>0.08878048780487806</v>
      </c>
      <c r="D89" s="23" t="str" xml:space="preserve">
        <v xml:space="preserve">BE 13
1ª eq. D / 2ª eq. E
pavimentos pares</v>
      </c>
      <c r="E89" s="24" t="str">
        <v>MONTAGEM</v>
      </c>
      <c r="I89" s="22" t="str">
        <v/>
      </c>
      <c r="J89" s="22" t="str">
        <v/>
      </c>
      <c r="K89" s="22" t="str">
        <v/>
      </c>
      <c r="L89" s="22" t="str">
        <v/>
      </c>
      <c r="M89" s="22" t="str">
        <v/>
      </c>
      <c r="N89" s="22" t="str">
        <v/>
      </c>
      <c r="O89" s="22" t="str">
        <v/>
      </c>
      <c r="P89" s="22" t="str">
        <v/>
      </c>
      <c r="Q89" s="22" t="str">
        <v/>
      </c>
      <c r="R89" s="22" t="str">
        <v/>
      </c>
      <c r="S89" s="22" t="str">
        <v/>
      </c>
      <c r="T89" s="22" t="str">
        <v/>
      </c>
      <c r="U89" s="22" t="str">
        <v/>
      </c>
      <c r="V89" s="22" t="str">
        <v/>
      </c>
      <c r="W89" s="22" t="str">
        <v/>
      </c>
      <c r="X89" s="22" t="str">
        <v/>
      </c>
      <c r="Y89" s="22" t="str">
        <v/>
      </c>
      <c r="Z89" s="22" t="str">
        <v/>
      </c>
      <c r="AA89" s="22" t="str">
        <v/>
      </c>
      <c r="AB89" s="22" t="str">
        <v/>
      </c>
      <c r="AC89" s="22" t="str">
        <v/>
      </c>
      <c r="AD89" s="22" t="str">
        <v/>
      </c>
      <c r="AE89" s="22" t="str">
        <v/>
      </c>
      <c r="AF89" s="22" t="str">
        <v/>
      </c>
      <c r="AG89" s="22" t="str">
        <v/>
      </c>
      <c r="AH89" s="25">
        <v>46416</v>
      </c>
      <c r="AI89" s="25">
        <v>46420</v>
      </c>
      <c r="AL89" s="25">
        <v>46567</v>
      </c>
      <c r="AM89" s="25">
        <v>46570</v>
      </c>
      <c r="AP89" s="26" t="str">
        <v>Não iniciado</v>
      </c>
    </row>
    <row r="90">
      <c r="B90" s="27">
        <f>$B$70*$AU$2</f>
      </c>
      <c r="E90" s="24" t="str">
        <v>LIMPEZA</v>
      </c>
      <c r="F90" s="8">
        <f>B90*$C$89*G90</f>
      </c>
      <c r="G90" s="28">
        <f>H90/13</f>
      </c>
      <c r="H90" s="24">
        <f>COUNTIF(I90:AG90,"x")</f>
      </c>
      <c r="J90" s="16" t="str">
        <v/>
      </c>
      <c r="L90" s="16" t="str">
        <v/>
      </c>
      <c r="N90" s="16" t="str">
        <v/>
      </c>
      <c r="P90" s="16" t="str">
        <v/>
      </c>
      <c r="R90" s="16" t="str">
        <v/>
      </c>
      <c r="T90" s="16" t="str">
        <v/>
      </c>
      <c r="V90" s="16" t="str">
        <v/>
      </c>
      <c r="X90" s="16" t="str">
        <v/>
      </c>
      <c r="Z90" s="16" t="str">
        <v/>
      </c>
      <c r="AB90" s="16" t="str">
        <v/>
      </c>
      <c r="AD90" s="16" t="str">
        <v/>
      </c>
      <c r="AF90" s="16" t="str">
        <v/>
      </c>
      <c r="AH90" s="25">
        <v>46420</v>
      </c>
      <c r="AI90" s="25">
        <v>46456</v>
      </c>
      <c r="AL90" s="25">
        <v>46570</v>
      </c>
      <c r="AM90" s="25">
        <v>46616</v>
      </c>
      <c r="AP90" s="26" t="str">
        <v>Não iniciado</v>
      </c>
    </row>
    <row r="91">
      <c r="B91" s="27">
        <f>$B$70*$AU$3</f>
      </c>
      <c r="E91" s="24" t="str">
        <v>PANO</v>
      </c>
      <c r="F91" s="8">
        <f>B91*$C$89*G91</f>
      </c>
      <c r="G91" s="28">
        <f>H91/13</f>
      </c>
      <c r="H91" s="24">
        <f>COUNTIF(I91:AG91,"x")</f>
      </c>
      <c r="J91" s="16" t="str">
        <v/>
      </c>
      <c r="L91" s="16" t="str">
        <v/>
      </c>
      <c r="N91" s="16" t="str">
        <v/>
      </c>
      <c r="P91" s="16" t="str">
        <v/>
      </c>
      <c r="R91" s="16" t="str">
        <v/>
      </c>
      <c r="T91" s="16" t="str">
        <v/>
      </c>
      <c r="V91" s="16" t="str">
        <v/>
      </c>
      <c r="X91" s="16" t="str">
        <v/>
      </c>
      <c r="Z91" s="16" t="str">
        <v/>
      </c>
      <c r="AB91" s="16" t="str">
        <v/>
      </c>
      <c r="AD91" s="16" t="str">
        <v/>
      </c>
      <c r="AF91" s="16" t="str">
        <v/>
      </c>
      <c r="AH91" s="25">
        <v>46420</v>
      </c>
      <c r="AI91" s="25">
        <v>46456</v>
      </c>
      <c r="AL91" s="25">
        <v>46570</v>
      </c>
      <c r="AM91" s="25">
        <v>46616</v>
      </c>
      <c r="AP91" s="26" t="str">
        <v>Não iniciado</v>
      </c>
    </row>
    <row r="92">
      <c r="B92" s="27">
        <f>$B$70*$AU$4</f>
      </c>
      <c r="E92" s="24" t="str">
        <v>REQUADRO</v>
      </c>
      <c r="F92" s="8">
        <f>B92*$C$89*G92</f>
      </c>
      <c r="G92" s="28">
        <f>H92/13</f>
      </c>
      <c r="H92" s="24">
        <f>COUNTIF(I92:AG92,"x")</f>
      </c>
      <c r="J92" s="16" t="str">
        <v/>
      </c>
      <c r="L92" s="16" t="str">
        <v/>
      </c>
      <c r="N92" s="16" t="str">
        <v/>
      </c>
      <c r="P92" s="16" t="str">
        <v/>
      </c>
      <c r="R92" s="16" t="str">
        <v/>
      </c>
      <c r="T92" s="16" t="str">
        <v/>
      </c>
      <c r="V92" s="16" t="str">
        <v/>
      </c>
      <c r="X92" s="16" t="str">
        <v/>
      </c>
      <c r="Z92" s="16" t="str">
        <v/>
      </c>
      <c r="AB92" s="16" t="str">
        <v/>
      </c>
      <c r="AD92" s="16" t="str">
        <v/>
      </c>
      <c r="AF92" s="16" t="str">
        <v/>
      </c>
      <c r="AH92" s="25">
        <v>46420</v>
      </c>
      <c r="AI92" s="25">
        <v>46456</v>
      </c>
      <c r="AL92" s="25">
        <v>46570</v>
      </c>
      <c r="AM92" s="25">
        <v>46616</v>
      </c>
      <c r="AP92" s="26" t="str">
        <v>Não iniciado</v>
      </c>
    </row>
    <row r="93">
      <c r="B93" s="27">
        <f>$B$70*$AU$5</f>
      </c>
      <c r="E93" s="24" t="str">
        <v>REJUNTE</v>
      </c>
      <c r="F93" s="8">
        <f>B93*$C$89*G93</f>
      </c>
      <c r="G93" s="28">
        <f>H93/13</f>
      </c>
      <c r="H93" s="24">
        <f>COUNTIF(I93:AG93,"x")</f>
      </c>
      <c r="J93" s="16" t="str">
        <v/>
      </c>
      <c r="L93" s="16" t="str">
        <v/>
      </c>
      <c r="N93" s="16" t="str">
        <v/>
      </c>
      <c r="P93" s="16" t="str">
        <v/>
      </c>
      <c r="R93" s="16" t="str">
        <v/>
      </c>
      <c r="T93" s="16" t="str">
        <v/>
      </c>
      <c r="V93" s="16" t="str">
        <v/>
      </c>
      <c r="X93" s="16" t="str">
        <v/>
      </c>
      <c r="Z93" s="16" t="str">
        <v/>
      </c>
      <c r="AB93" s="16" t="str">
        <v/>
      </c>
      <c r="AD93" s="16" t="str">
        <v/>
      </c>
      <c r="AF93" s="16" t="str">
        <v/>
      </c>
      <c r="AH93" s="25">
        <v>46420</v>
      </c>
      <c r="AI93" s="25">
        <v>46456</v>
      </c>
      <c r="AL93" s="25">
        <v>46570</v>
      </c>
      <c r="AM93" s="25">
        <v>46616</v>
      </c>
      <c r="AP93" s="26" t="str">
        <v>Não iniciado</v>
      </c>
    </row>
    <row r="94">
      <c r="A94" s="29" t="str">
        <v/>
      </c>
      <c r="B94" s="29" t="str">
        <v/>
      </c>
      <c r="C94" s="29" t="str">
        <v/>
      </c>
      <c r="D94" s="29" t="str">
        <v/>
      </c>
      <c r="E94" s="30" t="str">
        <v>ACUMULADO</v>
      </c>
      <c r="F94" s="31">
        <f>SUM(F90:F93)</f>
      </c>
      <c r="G94" s="32">
        <f>$AU$2*G90+$AU$3*G91+$AU$4*G92+$AU$5*G93</f>
      </c>
      <c r="H94" s="29" t="str">
        <v/>
      </c>
      <c r="I94" s="29" t="str">
        <v/>
      </c>
      <c r="J94" s="29" t="str">
        <v/>
      </c>
      <c r="K94" s="29" t="str">
        <v/>
      </c>
      <c r="L94" s="29" t="str">
        <v/>
      </c>
      <c r="M94" s="29" t="str">
        <v/>
      </c>
      <c r="N94" s="29" t="str">
        <v/>
      </c>
      <c r="O94" s="29" t="str">
        <v/>
      </c>
      <c r="P94" s="29" t="str">
        <v/>
      </c>
      <c r="Q94" s="29" t="str">
        <v/>
      </c>
      <c r="R94" s="29" t="str">
        <v/>
      </c>
      <c r="S94" s="29" t="str">
        <v/>
      </c>
      <c r="T94" s="29" t="str">
        <v/>
      </c>
      <c r="U94" s="29" t="str">
        <v/>
      </c>
      <c r="V94" s="29" t="str">
        <v/>
      </c>
      <c r="W94" s="29" t="str">
        <v/>
      </c>
      <c r="X94" s="29" t="str">
        <v/>
      </c>
      <c r="Y94" s="29" t="str">
        <v/>
      </c>
      <c r="Z94" s="29" t="str">
        <v/>
      </c>
      <c r="AA94" s="29" t="str">
        <v/>
      </c>
      <c r="AB94" s="29" t="str">
        <v/>
      </c>
      <c r="AC94" s="29" t="str">
        <v/>
      </c>
      <c r="AD94" s="29" t="str">
        <v/>
      </c>
      <c r="AE94" s="29" t="str">
        <v/>
      </c>
      <c r="AF94" s="29" t="str">
        <v/>
      </c>
      <c r="AG94" s="29" t="str">
        <v/>
      </c>
      <c r="AH94" s="29" t="str">
        <v/>
      </c>
      <c r="AI94" s="29" t="str">
        <v/>
      </c>
      <c r="AJ94" s="29" t="str">
        <v/>
      </c>
      <c r="AK94" s="29" t="str">
        <v/>
      </c>
      <c r="AL94" s="29" t="str">
        <v/>
      </c>
      <c r="AM94" s="29" t="str">
        <v/>
      </c>
      <c r="AN94" s="29" t="str">
        <v/>
      </c>
      <c r="AO94" s="29" t="str">
        <v/>
      </c>
      <c r="AP94" s="29" t="str">
        <v/>
      </c>
    </row>
    <row r="95" xml:space="preserve">
      <c r="C95" s="8">
        <v>0.08195121951219513</v>
      </c>
      <c r="D95" s="23" t="str" xml:space="preserve">
        <v xml:space="preserve">BE 21
1ª eq. D / 2ª eq. E
pavimentos ímpares</v>
      </c>
      <c r="E95" s="24" t="str">
        <v>MONTAGEM</v>
      </c>
      <c r="I95" s="22" t="str">
        <v/>
      </c>
      <c r="J95" s="22" t="str">
        <v/>
      </c>
      <c r="K95" s="22" t="str">
        <v/>
      </c>
      <c r="L95" s="22" t="str">
        <v/>
      </c>
      <c r="M95" s="22" t="str">
        <v/>
      </c>
      <c r="N95" s="22" t="str">
        <v/>
      </c>
      <c r="O95" s="22" t="str">
        <v/>
      </c>
      <c r="P95" s="22" t="str">
        <v/>
      </c>
      <c r="Q95" s="22" t="str">
        <v/>
      </c>
      <c r="R95" s="22" t="str">
        <v/>
      </c>
      <c r="S95" s="22" t="str">
        <v/>
      </c>
      <c r="T95" s="22" t="str">
        <v/>
      </c>
      <c r="U95" s="22" t="str">
        <v/>
      </c>
      <c r="V95" s="22" t="str">
        <v/>
      </c>
      <c r="W95" s="22" t="str">
        <v/>
      </c>
      <c r="X95" s="22" t="str">
        <v/>
      </c>
      <c r="Y95" s="22" t="str">
        <v/>
      </c>
      <c r="Z95" s="22" t="str">
        <v/>
      </c>
      <c r="AA95" s="22" t="str">
        <v/>
      </c>
      <c r="AB95" s="22" t="str">
        <v/>
      </c>
      <c r="AC95" s="22" t="str">
        <v/>
      </c>
      <c r="AD95" s="22" t="str">
        <v/>
      </c>
      <c r="AE95" s="22" t="str">
        <v/>
      </c>
      <c r="AF95" s="22" t="str">
        <v/>
      </c>
      <c r="AG95" s="22" t="str">
        <v/>
      </c>
      <c r="AH95" s="25">
        <v>46477</v>
      </c>
      <c r="AI95" s="25">
        <v>46480</v>
      </c>
      <c r="AL95" s="25">
        <v>46616</v>
      </c>
      <c r="AM95" s="25">
        <v>46619</v>
      </c>
      <c r="AP95" s="26" t="str">
        <v>Não iniciado</v>
      </c>
    </row>
    <row r="96">
      <c r="B96" s="27">
        <f>$B$70*$AU$2</f>
      </c>
      <c r="E96" s="24" t="str">
        <v>LIMPEZA</v>
      </c>
      <c r="F96" s="8">
        <f>B96*$C$95*G96</f>
      </c>
      <c r="G96" s="28">
        <f>H96/12</f>
      </c>
      <c r="H96" s="24">
        <f>COUNTIF(I96:AG96,"x")</f>
      </c>
      <c r="I96" s="16" t="str">
        <v/>
      </c>
      <c r="K96" s="16" t="str">
        <v/>
      </c>
      <c r="M96" s="16" t="str">
        <v/>
      </c>
      <c r="O96" s="16" t="str">
        <v/>
      </c>
      <c r="Q96" s="16" t="str">
        <v/>
      </c>
      <c r="S96" s="16" t="str">
        <v/>
      </c>
      <c r="U96" s="16" t="str">
        <v/>
      </c>
      <c r="W96" s="16" t="str">
        <v/>
      </c>
      <c r="Y96" s="16" t="str">
        <v/>
      </c>
      <c r="AA96" s="16" t="str">
        <v/>
      </c>
      <c r="AC96" s="16" t="str">
        <v/>
      </c>
      <c r="AE96" s="16" t="str">
        <v/>
      </c>
      <c r="AG96" s="16" t="str">
        <v/>
      </c>
      <c r="AH96" s="25">
        <v>46480</v>
      </c>
      <c r="AI96" s="25">
        <v>46517</v>
      </c>
      <c r="AL96" s="25">
        <v>46619</v>
      </c>
      <c r="AM96" s="25">
        <v>46660</v>
      </c>
      <c r="AP96" s="26" t="str">
        <v>Não iniciado</v>
      </c>
    </row>
    <row r="97">
      <c r="B97" s="27">
        <f>$B$70*$AU$3</f>
      </c>
      <c r="E97" s="24" t="str">
        <v>PANO</v>
      </c>
      <c r="F97" s="8">
        <f>B97*$C$95*G97</f>
      </c>
      <c r="G97" s="28">
        <f>H97/12</f>
      </c>
      <c r="H97" s="24">
        <f>COUNTIF(I97:AG97,"x")</f>
      </c>
      <c r="I97" s="16" t="str">
        <v/>
      </c>
      <c r="K97" s="16" t="str">
        <v/>
      </c>
      <c r="M97" s="16" t="str">
        <v/>
      </c>
      <c r="O97" s="16" t="str">
        <v/>
      </c>
      <c r="Q97" s="16" t="str">
        <v/>
      </c>
      <c r="S97" s="16" t="str">
        <v/>
      </c>
      <c r="U97" s="16" t="str">
        <v/>
      </c>
      <c r="W97" s="16" t="str">
        <v/>
      </c>
      <c r="Y97" s="16" t="str">
        <v/>
      </c>
      <c r="AA97" s="16" t="str">
        <v/>
      </c>
      <c r="AC97" s="16" t="str">
        <v/>
      </c>
      <c r="AE97" s="16" t="str">
        <v/>
      </c>
      <c r="AG97" s="16" t="str">
        <v/>
      </c>
      <c r="AH97" s="25">
        <v>46480</v>
      </c>
      <c r="AI97" s="25">
        <v>46517</v>
      </c>
      <c r="AL97" s="25">
        <v>46619</v>
      </c>
      <c r="AM97" s="25">
        <v>46660</v>
      </c>
      <c r="AP97" s="26" t="str">
        <v>Não iniciado</v>
      </c>
    </row>
    <row r="98">
      <c r="B98" s="27">
        <f>$B$70*$AU$4</f>
      </c>
      <c r="E98" s="24" t="str">
        <v>REQUADRO</v>
      </c>
      <c r="F98" s="8">
        <f>B98*$C$95*G98</f>
      </c>
      <c r="G98" s="28">
        <f>H98/12</f>
      </c>
      <c r="H98" s="24">
        <f>COUNTIF(I98:AG98,"x")</f>
      </c>
      <c r="I98" s="16" t="str">
        <v/>
      </c>
      <c r="K98" s="16" t="str">
        <v/>
      </c>
      <c r="M98" s="16" t="str">
        <v/>
      </c>
      <c r="O98" s="16" t="str">
        <v/>
      </c>
      <c r="Q98" s="16" t="str">
        <v/>
      </c>
      <c r="S98" s="16" t="str">
        <v/>
      </c>
      <c r="U98" s="16" t="str">
        <v/>
      </c>
      <c r="W98" s="16" t="str">
        <v/>
      </c>
      <c r="Y98" s="16" t="str">
        <v/>
      </c>
      <c r="AA98" s="16" t="str">
        <v/>
      </c>
      <c r="AC98" s="16" t="str">
        <v/>
      </c>
      <c r="AE98" s="16" t="str">
        <v/>
      </c>
      <c r="AG98" s="16" t="str">
        <v/>
      </c>
      <c r="AH98" s="25">
        <v>46480</v>
      </c>
      <c r="AI98" s="25">
        <v>46517</v>
      </c>
      <c r="AL98" s="25">
        <v>46619</v>
      </c>
      <c r="AM98" s="25">
        <v>46660</v>
      </c>
      <c r="AP98" s="26" t="str">
        <v>Não iniciado</v>
      </c>
    </row>
    <row r="99">
      <c r="B99" s="27">
        <f>$B$70*$AU$5</f>
      </c>
      <c r="E99" s="24" t="str">
        <v>REJUNTE</v>
      </c>
      <c r="F99" s="8">
        <f>B99*$C$95*G99</f>
      </c>
      <c r="G99" s="28">
        <f>H99/12</f>
      </c>
      <c r="H99" s="24">
        <f>COUNTIF(I99:AG99,"x")</f>
      </c>
      <c r="I99" s="16" t="str">
        <v/>
      </c>
      <c r="K99" s="16" t="str">
        <v/>
      </c>
      <c r="M99" s="16" t="str">
        <v/>
      </c>
      <c r="O99" s="16" t="str">
        <v/>
      </c>
      <c r="Q99" s="16" t="str">
        <v/>
      </c>
      <c r="S99" s="16" t="str">
        <v/>
      </c>
      <c r="U99" s="16" t="str">
        <v/>
      </c>
      <c r="W99" s="16" t="str">
        <v/>
      </c>
      <c r="Y99" s="16" t="str">
        <v/>
      </c>
      <c r="AA99" s="16" t="str">
        <v/>
      </c>
      <c r="AC99" s="16" t="str">
        <v/>
      </c>
      <c r="AE99" s="16" t="str">
        <v/>
      </c>
      <c r="AG99" s="16" t="str">
        <v/>
      </c>
      <c r="AH99" s="25">
        <v>46480</v>
      </c>
      <c r="AI99" s="25">
        <v>46517</v>
      </c>
      <c r="AL99" s="25">
        <v>46619</v>
      </c>
      <c r="AM99" s="25">
        <v>46660</v>
      </c>
      <c r="AP99" s="26" t="str">
        <v>Não iniciado</v>
      </c>
    </row>
    <row r="100">
      <c r="A100" s="29" t="str">
        <v/>
      </c>
      <c r="B100" s="29" t="str">
        <v/>
      </c>
      <c r="C100" s="29" t="str">
        <v/>
      </c>
      <c r="D100" s="29" t="str">
        <v/>
      </c>
      <c r="E100" s="30" t="str">
        <v>ACUMULADO</v>
      </c>
      <c r="F100" s="31">
        <f>SUM(F96:F99)</f>
      </c>
      <c r="G100" s="32">
        <f>$AU$2*G96+$AU$3*G97+$AU$4*G98+$AU$5*G99</f>
      </c>
      <c r="H100" s="29" t="str">
        <v/>
      </c>
      <c r="I100" s="29" t="str">
        <v/>
      </c>
      <c r="J100" s="29" t="str">
        <v/>
      </c>
      <c r="K100" s="29" t="str">
        <v/>
      </c>
      <c r="L100" s="29" t="str">
        <v/>
      </c>
      <c r="M100" s="29" t="str">
        <v/>
      </c>
      <c r="N100" s="29" t="str">
        <v/>
      </c>
      <c r="O100" s="29" t="str">
        <v/>
      </c>
      <c r="P100" s="29" t="str">
        <v/>
      </c>
      <c r="Q100" s="29" t="str">
        <v/>
      </c>
      <c r="R100" s="29" t="str">
        <v/>
      </c>
      <c r="S100" s="29" t="str">
        <v/>
      </c>
      <c r="T100" s="29" t="str">
        <v/>
      </c>
      <c r="U100" s="29" t="str">
        <v/>
      </c>
      <c r="V100" s="29" t="str">
        <v/>
      </c>
      <c r="W100" s="29" t="str">
        <v/>
      </c>
      <c r="X100" s="29" t="str">
        <v/>
      </c>
      <c r="Y100" s="29" t="str">
        <v/>
      </c>
      <c r="Z100" s="29" t="str">
        <v/>
      </c>
      <c r="AA100" s="29" t="str">
        <v/>
      </c>
      <c r="AB100" s="29" t="str">
        <v/>
      </c>
      <c r="AC100" s="29" t="str">
        <v/>
      </c>
      <c r="AD100" s="29" t="str">
        <v/>
      </c>
      <c r="AE100" s="29" t="str">
        <v/>
      </c>
      <c r="AF100" s="29" t="str">
        <v/>
      </c>
      <c r="AG100" s="29" t="str">
        <v/>
      </c>
      <c r="AH100" s="29" t="str">
        <v/>
      </c>
      <c r="AI100" s="29" t="str">
        <v/>
      </c>
      <c r="AJ100" s="29" t="str">
        <v/>
      </c>
      <c r="AK100" s="29" t="str">
        <v/>
      </c>
      <c r="AL100" s="29" t="str">
        <v/>
      </c>
      <c r="AM100" s="29" t="str">
        <v/>
      </c>
      <c r="AN100" s="29" t="str">
        <v/>
      </c>
      <c r="AO100" s="29" t="str">
        <v/>
      </c>
      <c r="AP100" s="29" t="str">
        <v/>
      </c>
    </row>
    <row r="101" xml:space="preserve">
      <c r="C101" s="8">
        <v>0.07609756097560975</v>
      </c>
      <c r="D101" s="23" t="str" xml:space="preserve">
        <v xml:space="preserve">BE 14
1ª eq. G / 2ª eq. C
pavimentos pares</v>
      </c>
      <c r="E101" s="24" t="str">
        <v>MONTAGEM</v>
      </c>
      <c r="I101" s="22" t="str">
        <v/>
      </c>
      <c r="J101" s="22" t="str">
        <v/>
      </c>
      <c r="K101" s="22" t="str">
        <v/>
      </c>
      <c r="L101" s="22" t="str">
        <v/>
      </c>
      <c r="M101" s="22" t="str">
        <v/>
      </c>
      <c r="N101" s="22" t="str">
        <v/>
      </c>
      <c r="O101" s="22" t="str">
        <v/>
      </c>
      <c r="P101" s="22" t="str">
        <v/>
      </c>
      <c r="Q101" s="22" t="str">
        <v/>
      </c>
      <c r="R101" s="22" t="str">
        <v/>
      </c>
      <c r="S101" s="22" t="str">
        <v/>
      </c>
      <c r="T101" s="22" t="str">
        <v/>
      </c>
      <c r="U101" s="22" t="str">
        <v/>
      </c>
      <c r="V101" s="22" t="str">
        <v/>
      </c>
      <c r="W101" s="22" t="str">
        <v/>
      </c>
      <c r="X101" s="22" t="str">
        <v/>
      </c>
      <c r="Y101" s="22" t="str">
        <v/>
      </c>
      <c r="Z101" s="22" t="str">
        <v/>
      </c>
      <c r="AA101" s="22" t="str">
        <v/>
      </c>
      <c r="AB101" s="22" t="str">
        <v/>
      </c>
      <c r="AC101" s="22" t="str">
        <v/>
      </c>
      <c r="AD101" s="22" t="str">
        <v/>
      </c>
      <c r="AE101" s="22" t="str">
        <v/>
      </c>
      <c r="AF101" s="22" t="str">
        <v/>
      </c>
      <c r="AG101" s="22" t="str">
        <v/>
      </c>
      <c r="AH101" s="25">
        <v>46443</v>
      </c>
      <c r="AI101" s="25">
        <v>46447</v>
      </c>
      <c r="AL101" s="25">
        <v>46568</v>
      </c>
      <c r="AM101" s="25">
        <v>46571</v>
      </c>
      <c r="AP101" s="26" t="str">
        <v>Não iniciado</v>
      </c>
    </row>
    <row r="102">
      <c r="B102" s="27">
        <f>$B$70*$AU$2</f>
      </c>
      <c r="E102" s="24" t="str">
        <v>LIMPEZA</v>
      </c>
      <c r="F102" s="8">
        <f>B102*$C$101*G102</f>
      </c>
      <c r="G102" s="28">
        <f>H102/13</f>
      </c>
      <c r="H102" s="24">
        <f>COUNTIF(I102:AG102,"x")</f>
      </c>
      <c r="J102" s="16" t="str">
        <v/>
      </c>
      <c r="L102" s="16" t="str">
        <v/>
      </c>
      <c r="N102" s="16" t="str">
        <v/>
      </c>
      <c r="P102" s="16" t="str">
        <v/>
      </c>
      <c r="R102" s="16" t="str">
        <v/>
      </c>
      <c r="T102" s="16" t="str">
        <v/>
      </c>
      <c r="V102" s="16" t="str">
        <v/>
      </c>
      <c r="X102" s="16" t="str">
        <v/>
      </c>
      <c r="Z102" s="16" t="str">
        <v/>
      </c>
      <c r="AB102" s="16" t="str">
        <v/>
      </c>
      <c r="AD102" s="16" t="str">
        <v/>
      </c>
      <c r="AF102" s="16" t="str">
        <v/>
      </c>
      <c r="AH102" s="25">
        <v>46447</v>
      </c>
      <c r="AI102" s="25">
        <v>46477</v>
      </c>
      <c r="AL102" s="25">
        <v>46571</v>
      </c>
      <c r="AM102" s="25">
        <v>46611</v>
      </c>
      <c r="AP102" s="26" t="str">
        <v>Não iniciado</v>
      </c>
    </row>
    <row r="103">
      <c r="B103" s="27">
        <f>$B$70*$AU$3</f>
      </c>
      <c r="E103" s="24" t="str">
        <v>PANO</v>
      </c>
      <c r="F103" s="8">
        <f>B103*$C$101*G103</f>
      </c>
      <c r="G103" s="28">
        <f>H103/13</f>
      </c>
      <c r="H103" s="24">
        <f>COUNTIF(I103:AG103,"x")</f>
      </c>
      <c r="J103" s="16" t="str">
        <v/>
      </c>
      <c r="L103" s="16" t="str">
        <v/>
      </c>
      <c r="N103" s="16" t="str">
        <v/>
      </c>
      <c r="P103" s="16" t="str">
        <v/>
      </c>
      <c r="R103" s="16" t="str">
        <v/>
      </c>
      <c r="T103" s="16" t="str">
        <v/>
      </c>
      <c r="V103" s="16" t="str">
        <v/>
      </c>
      <c r="X103" s="16" t="str">
        <v/>
      </c>
      <c r="Z103" s="16" t="str">
        <v/>
      </c>
      <c r="AB103" s="16" t="str">
        <v/>
      </c>
      <c r="AD103" s="16" t="str">
        <v/>
      </c>
      <c r="AF103" s="16" t="str">
        <v/>
      </c>
      <c r="AH103" s="25">
        <v>46447</v>
      </c>
      <c r="AI103" s="25">
        <v>46477</v>
      </c>
      <c r="AL103" s="25">
        <v>46571</v>
      </c>
      <c r="AM103" s="25">
        <v>46611</v>
      </c>
      <c r="AP103" s="26" t="str">
        <v>Não iniciado</v>
      </c>
    </row>
    <row r="104">
      <c r="B104" s="27">
        <f>$B$70*$AU$4</f>
      </c>
      <c r="E104" s="24" t="str">
        <v>REQUADRO</v>
      </c>
      <c r="F104" s="8">
        <f>B104*$C$101*G104</f>
      </c>
      <c r="G104" s="28">
        <f>H104/13</f>
      </c>
      <c r="H104" s="24">
        <f>COUNTIF(I104:AG104,"x")</f>
      </c>
      <c r="J104" s="16" t="str">
        <v/>
      </c>
      <c r="L104" s="16" t="str">
        <v/>
      </c>
      <c r="N104" s="16" t="str">
        <v/>
      </c>
      <c r="P104" s="16" t="str">
        <v/>
      </c>
      <c r="R104" s="16" t="str">
        <v/>
      </c>
      <c r="T104" s="16" t="str">
        <v/>
      </c>
      <c r="V104" s="16" t="str">
        <v/>
      </c>
      <c r="X104" s="16" t="str">
        <v/>
      </c>
      <c r="Z104" s="16" t="str">
        <v/>
      </c>
      <c r="AB104" s="16" t="str">
        <v/>
      </c>
      <c r="AD104" s="16" t="str">
        <v/>
      </c>
      <c r="AF104" s="16" t="str">
        <v/>
      </c>
      <c r="AH104" s="25">
        <v>46447</v>
      </c>
      <c r="AI104" s="25">
        <v>46477</v>
      </c>
      <c r="AL104" s="25">
        <v>46571</v>
      </c>
      <c r="AM104" s="25">
        <v>46611</v>
      </c>
      <c r="AP104" s="26" t="str">
        <v>Não iniciado</v>
      </c>
    </row>
    <row r="105">
      <c r="B105" s="27">
        <f>$B$70*$AU$5</f>
      </c>
      <c r="E105" s="24" t="str">
        <v>REJUNTE</v>
      </c>
      <c r="F105" s="8">
        <f>B105*$C$101*G105</f>
      </c>
      <c r="G105" s="28">
        <f>H105/13</f>
      </c>
      <c r="H105" s="24">
        <f>COUNTIF(I105:AG105,"x")</f>
      </c>
      <c r="J105" s="16" t="str">
        <v/>
      </c>
      <c r="L105" s="16" t="str">
        <v/>
      </c>
      <c r="N105" s="16" t="str">
        <v/>
      </c>
      <c r="P105" s="16" t="str">
        <v/>
      </c>
      <c r="R105" s="16" t="str">
        <v/>
      </c>
      <c r="T105" s="16" t="str">
        <v/>
      </c>
      <c r="V105" s="16" t="str">
        <v/>
      </c>
      <c r="X105" s="16" t="str">
        <v/>
      </c>
      <c r="Z105" s="16" t="str">
        <v/>
      </c>
      <c r="AB105" s="16" t="str">
        <v/>
      </c>
      <c r="AD105" s="16" t="str">
        <v/>
      </c>
      <c r="AF105" s="16" t="str">
        <v/>
      </c>
      <c r="AH105" s="25">
        <v>46447</v>
      </c>
      <c r="AI105" s="25">
        <v>46477</v>
      </c>
      <c r="AL105" s="25">
        <v>46571</v>
      </c>
      <c r="AM105" s="25">
        <v>46611</v>
      </c>
      <c r="AP105" s="26" t="str">
        <v>Não iniciado</v>
      </c>
    </row>
    <row r="106">
      <c r="A106" s="29" t="str">
        <v/>
      </c>
      <c r="B106" s="29" t="str">
        <v/>
      </c>
      <c r="C106" s="29" t="str">
        <v/>
      </c>
      <c r="D106" s="29" t="str">
        <v/>
      </c>
      <c r="E106" s="30" t="str">
        <v>ACUMULADO</v>
      </c>
      <c r="F106" s="31">
        <f>SUM(F102:F105)</f>
      </c>
      <c r="G106" s="32">
        <f>$AU$2*G102+$AU$3*G103+$AU$4*G104+$AU$5*G105</f>
      </c>
      <c r="H106" s="29" t="str">
        <v/>
      </c>
      <c r="I106" s="29" t="str">
        <v/>
      </c>
      <c r="J106" s="29" t="str">
        <v/>
      </c>
      <c r="K106" s="29" t="str">
        <v/>
      </c>
      <c r="L106" s="29" t="str">
        <v/>
      </c>
      <c r="M106" s="29" t="str">
        <v/>
      </c>
      <c r="N106" s="29" t="str">
        <v/>
      </c>
      <c r="O106" s="29" t="str">
        <v/>
      </c>
      <c r="P106" s="29" t="str">
        <v/>
      </c>
      <c r="Q106" s="29" t="str">
        <v/>
      </c>
      <c r="R106" s="29" t="str">
        <v/>
      </c>
      <c r="S106" s="29" t="str">
        <v/>
      </c>
      <c r="T106" s="29" t="str">
        <v/>
      </c>
      <c r="U106" s="29" t="str">
        <v/>
      </c>
      <c r="V106" s="29" t="str">
        <v/>
      </c>
      <c r="W106" s="29" t="str">
        <v/>
      </c>
      <c r="X106" s="29" t="str">
        <v/>
      </c>
      <c r="Y106" s="29" t="str">
        <v/>
      </c>
      <c r="Z106" s="29" t="str">
        <v/>
      </c>
      <c r="AA106" s="29" t="str">
        <v/>
      </c>
      <c r="AB106" s="29" t="str">
        <v/>
      </c>
      <c r="AC106" s="29" t="str">
        <v/>
      </c>
      <c r="AD106" s="29" t="str">
        <v/>
      </c>
      <c r="AE106" s="29" t="str">
        <v/>
      </c>
      <c r="AF106" s="29" t="str">
        <v/>
      </c>
      <c r="AG106" s="29" t="str">
        <v/>
      </c>
      <c r="AH106" s="29" t="str">
        <v/>
      </c>
      <c r="AI106" s="29" t="str">
        <v/>
      </c>
      <c r="AJ106" s="29" t="str">
        <v/>
      </c>
      <c r="AK106" s="29" t="str">
        <v/>
      </c>
      <c r="AL106" s="29" t="str">
        <v/>
      </c>
      <c r="AM106" s="29" t="str">
        <v/>
      </c>
      <c r="AN106" s="29" t="str">
        <v/>
      </c>
      <c r="AO106" s="29" t="str">
        <v/>
      </c>
      <c r="AP106" s="29" t="str">
        <v/>
      </c>
    </row>
    <row r="107" xml:space="preserve">
      <c r="C107" s="8">
        <v>0.07024390243902438</v>
      </c>
      <c r="D107" s="23" t="str" xml:space="preserve">
        <v xml:space="preserve">BE 22
1ª eq. B / 2ª eq. D
pavimentos ímpares</v>
      </c>
      <c r="E107" s="24" t="str">
        <v>MONTAGEM</v>
      </c>
      <c r="I107" s="22" t="str">
        <v/>
      </c>
      <c r="J107" s="22" t="str">
        <v/>
      </c>
      <c r="K107" s="22" t="str">
        <v/>
      </c>
      <c r="L107" s="22" t="str">
        <v/>
      </c>
      <c r="M107" s="22" t="str">
        <v/>
      </c>
      <c r="N107" s="22" t="str">
        <v/>
      </c>
      <c r="O107" s="22" t="str">
        <v/>
      </c>
      <c r="P107" s="22" t="str">
        <v/>
      </c>
      <c r="Q107" s="22" t="str">
        <v/>
      </c>
      <c r="R107" s="22" t="str">
        <v/>
      </c>
      <c r="S107" s="22" t="str">
        <v/>
      </c>
      <c r="T107" s="22" t="str">
        <v/>
      </c>
      <c r="U107" s="22" t="str">
        <v/>
      </c>
      <c r="V107" s="22" t="str">
        <v/>
      </c>
      <c r="W107" s="22" t="str">
        <v/>
      </c>
      <c r="X107" s="22" t="str">
        <v/>
      </c>
      <c r="Y107" s="22" t="str">
        <v/>
      </c>
      <c r="Z107" s="22" t="str">
        <v/>
      </c>
      <c r="AA107" s="22" t="str">
        <v/>
      </c>
      <c r="AB107" s="22" t="str">
        <v/>
      </c>
      <c r="AC107" s="22" t="str">
        <v/>
      </c>
      <c r="AD107" s="22" t="str">
        <v/>
      </c>
      <c r="AE107" s="22" t="str">
        <v/>
      </c>
      <c r="AF107" s="22" t="str">
        <v/>
      </c>
      <c r="AG107" s="22" t="str">
        <v/>
      </c>
      <c r="AH107" s="25">
        <v>46477</v>
      </c>
      <c r="AI107" s="25">
        <v>46480</v>
      </c>
      <c r="AL107" s="25">
        <v>46616</v>
      </c>
      <c r="AM107" s="25">
        <v>46619</v>
      </c>
      <c r="AP107" s="26" t="str">
        <v>Não iniciado</v>
      </c>
    </row>
    <row r="108">
      <c r="B108" s="27">
        <f>$B$70*$AU$2</f>
      </c>
      <c r="E108" s="24" t="str">
        <v>LIMPEZA</v>
      </c>
      <c r="F108" s="8">
        <f>B108*$C$107*G108</f>
      </c>
      <c r="G108" s="28">
        <f>H108/12</f>
      </c>
      <c r="H108" s="24">
        <f>COUNTIF(I108:AG108,"x")</f>
      </c>
      <c r="I108" s="16" t="str">
        <v/>
      </c>
      <c r="K108" s="16" t="str">
        <v/>
      </c>
      <c r="M108" s="16" t="str">
        <v/>
      </c>
      <c r="O108" s="16" t="str">
        <v/>
      </c>
      <c r="Q108" s="16" t="str">
        <v/>
      </c>
      <c r="S108" s="16" t="str">
        <v/>
      </c>
      <c r="U108" s="16" t="str">
        <v/>
      </c>
      <c r="W108" s="16" t="str">
        <v/>
      </c>
      <c r="Y108" s="16" t="str">
        <v/>
      </c>
      <c r="AA108" s="16" t="str">
        <v/>
      </c>
      <c r="AC108" s="16" t="str">
        <v/>
      </c>
      <c r="AE108" s="16" t="str">
        <v/>
      </c>
      <c r="AG108" s="16" t="str">
        <v/>
      </c>
      <c r="AH108" s="25">
        <v>46480</v>
      </c>
      <c r="AI108" s="25">
        <v>46512</v>
      </c>
      <c r="AL108" s="25">
        <v>46619</v>
      </c>
      <c r="AM108" s="25">
        <v>46654</v>
      </c>
      <c r="AP108" s="26" t="str">
        <v>Não iniciado</v>
      </c>
    </row>
    <row r="109">
      <c r="B109" s="27">
        <f>$B$70*$AU$3</f>
      </c>
      <c r="E109" s="24" t="str">
        <v>PANO</v>
      </c>
      <c r="F109" s="8">
        <f>B109*$C$107*G109</f>
      </c>
      <c r="G109" s="28">
        <f>H109/12</f>
      </c>
      <c r="H109" s="24">
        <f>COUNTIF(I109:AG109,"x")</f>
      </c>
      <c r="I109" s="16" t="str">
        <v/>
      </c>
      <c r="K109" s="16" t="str">
        <v/>
      </c>
      <c r="M109" s="16" t="str">
        <v/>
      </c>
      <c r="O109" s="16" t="str">
        <v/>
      </c>
      <c r="Q109" s="16" t="str">
        <v/>
      </c>
      <c r="S109" s="16" t="str">
        <v/>
      </c>
      <c r="U109" s="16" t="str">
        <v/>
      </c>
      <c r="W109" s="16" t="str">
        <v/>
      </c>
      <c r="Y109" s="16" t="str">
        <v/>
      </c>
      <c r="AA109" s="16" t="str">
        <v/>
      </c>
      <c r="AC109" s="16" t="str">
        <v/>
      </c>
      <c r="AE109" s="16" t="str">
        <v/>
      </c>
      <c r="AG109" s="16" t="str">
        <v/>
      </c>
      <c r="AH109" s="25">
        <v>46480</v>
      </c>
      <c r="AI109" s="25">
        <v>46512</v>
      </c>
      <c r="AL109" s="25">
        <v>46619</v>
      </c>
      <c r="AM109" s="25">
        <v>46654</v>
      </c>
      <c r="AP109" s="26" t="str">
        <v>Não iniciado</v>
      </c>
    </row>
    <row r="110">
      <c r="B110" s="27">
        <f>$B$70*$AU$4</f>
      </c>
      <c r="E110" s="24" t="str">
        <v>REQUADRO</v>
      </c>
      <c r="F110" s="8">
        <f>B110*$C$107*G110</f>
      </c>
      <c r="G110" s="28">
        <f>H110/12</f>
      </c>
      <c r="H110" s="24">
        <f>COUNTIF(I110:AG110,"x")</f>
      </c>
      <c r="I110" s="16" t="str">
        <v/>
      </c>
      <c r="K110" s="16" t="str">
        <v/>
      </c>
      <c r="M110" s="16" t="str">
        <v/>
      </c>
      <c r="O110" s="16" t="str">
        <v/>
      </c>
      <c r="Q110" s="16" t="str">
        <v/>
      </c>
      <c r="S110" s="16" t="str">
        <v/>
      </c>
      <c r="U110" s="16" t="str">
        <v/>
      </c>
      <c r="W110" s="16" t="str">
        <v/>
      </c>
      <c r="Y110" s="16" t="str">
        <v/>
      </c>
      <c r="AA110" s="16" t="str">
        <v/>
      </c>
      <c r="AC110" s="16" t="str">
        <v/>
      </c>
      <c r="AE110" s="16" t="str">
        <v/>
      </c>
      <c r="AG110" s="16" t="str">
        <v/>
      </c>
      <c r="AH110" s="25">
        <v>46480</v>
      </c>
      <c r="AI110" s="25">
        <v>46512</v>
      </c>
      <c r="AL110" s="25">
        <v>46619</v>
      </c>
      <c r="AM110" s="25">
        <v>46654</v>
      </c>
      <c r="AP110" s="26" t="str">
        <v>Não iniciado</v>
      </c>
    </row>
    <row r="111">
      <c r="B111" s="27">
        <f>$B$70*$AU$5</f>
      </c>
      <c r="E111" s="24" t="str">
        <v>REJUNTE</v>
      </c>
      <c r="F111" s="8">
        <f>B111*$C$107*G111</f>
      </c>
      <c r="G111" s="28">
        <f>H111/12</f>
      </c>
      <c r="H111" s="24">
        <f>COUNTIF(I111:AG111,"x")</f>
      </c>
      <c r="I111" s="16" t="str">
        <v/>
      </c>
      <c r="K111" s="16" t="str">
        <v/>
      </c>
      <c r="M111" s="16" t="str">
        <v/>
      </c>
      <c r="O111" s="16" t="str">
        <v/>
      </c>
      <c r="Q111" s="16" t="str">
        <v/>
      </c>
      <c r="S111" s="16" t="str">
        <v/>
      </c>
      <c r="U111" s="16" t="str">
        <v/>
      </c>
      <c r="W111" s="16" t="str">
        <v/>
      </c>
      <c r="Y111" s="16" t="str">
        <v/>
      </c>
      <c r="AA111" s="16" t="str">
        <v/>
      </c>
      <c r="AC111" s="16" t="str">
        <v/>
      </c>
      <c r="AE111" s="16" t="str">
        <v/>
      </c>
      <c r="AG111" s="16" t="str">
        <v/>
      </c>
      <c r="AH111" s="25">
        <v>46480</v>
      </c>
      <c r="AI111" s="25">
        <v>46512</v>
      </c>
      <c r="AL111" s="25">
        <v>46619</v>
      </c>
      <c r="AM111" s="25">
        <v>46654</v>
      </c>
      <c r="AP111" s="26" t="str">
        <v>Não iniciado</v>
      </c>
    </row>
    <row r="112">
      <c r="A112" s="29" t="str">
        <v/>
      </c>
      <c r="B112" s="29" t="str">
        <v/>
      </c>
      <c r="C112" s="29" t="str">
        <v/>
      </c>
      <c r="D112" s="29" t="str">
        <v/>
      </c>
      <c r="E112" s="30" t="str">
        <v>ACUMULADO</v>
      </c>
      <c r="F112" s="31">
        <f>SUM(F108:F111)</f>
      </c>
      <c r="G112" s="32">
        <f>$AU$2*G108+$AU$3*G109+$AU$4*G110+$AU$5*G111</f>
      </c>
      <c r="H112" s="29" t="str">
        <v/>
      </c>
      <c r="I112" s="29" t="str">
        <v/>
      </c>
      <c r="J112" s="29" t="str">
        <v/>
      </c>
      <c r="K112" s="29" t="str">
        <v/>
      </c>
      <c r="L112" s="29" t="str">
        <v/>
      </c>
      <c r="M112" s="29" t="str">
        <v/>
      </c>
      <c r="N112" s="29" t="str">
        <v/>
      </c>
      <c r="O112" s="29" t="str">
        <v/>
      </c>
      <c r="P112" s="29" t="str">
        <v/>
      </c>
      <c r="Q112" s="29" t="str">
        <v/>
      </c>
      <c r="R112" s="29" t="str">
        <v/>
      </c>
      <c r="S112" s="29" t="str">
        <v/>
      </c>
      <c r="T112" s="29" t="str">
        <v/>
      </c>
      <c r="U112" s="29" t="str">
        <v/>
      </c>
      <c r="V112" s="29" t="str">
        <v/>
      </c>
      <c r="W112" s="29" t="str">
        <v/>
      </c>
      <c r="X112" s="29" t="str">
        <v/>
      </c>
      <c r="Y112" s="29" t="str">
        <v/>
      </c>
      <c r="Z112" s="29" t="str">
        <v/>
      </c>
      <c r="AA112" s="29" t="str">
        <v/>
      </c>
      <c r="AB112" s="29" t="str">
        <v/>
      </c>
      <c r="AC112" s="29" t="str">
        <v/>
      </c>
      <c r="AD112" s="29" t="str">
        <v/>
      </c>
      <c r="AE112" s="29" t="str">
        <v/>
      </c>
      <c r="AF112" s="29" t="str">
        <v/>
      </c>
      <c r="AG112" s="29" t="str">
        <v/>
      </c>
      <c r="AH112" s="29" t="str">
        <v/>
      </c>
      <c r="AI112" s="29" t="str">
        <v/>
      </c>
      <c r="AJ112" s="29" t="str">
        <v/>
      </c>
      <c r="AK112" s="29" t="str">
        <v/>
      </c>
      <c r="AL112" s="29" t="str">
        <v/>
      </c>
      <c r="AM112" s="29" t="str">
        <v/>
      </c>
      <c r="AN112" s="29" t="str">
        <v/>
      </c>
      <c r="AO112" s="29" t="str">
        <v/>
      </c>
      <c r="AP112" s="29" t="str">
        <v/>
      </c>
    </row>
    <row r="113" xml:space="preserve">
      <c r="C113" s="8">
        <v>0.06341463414634146</v>
      </c>
      <c r="D113" s="23" t="str" xml:space="preserve">
        <v xml:space="preserve">BE 15
1ª eq. E / 2ª eq. F
pavimentos pares</v>
      </c>
      <c r="E113" s="24" t="str">
        <v>MONTAGEM</v>
      </c>
      <c r="I113" s="22" t="str">
        <v/>
      </c>
      <c r="J113" s="22" t="str">
        <v/>
      </c>
      <c r="K113" s="22" t="str">
        <v/>
      </c>
      <c r="L113" s="22" t="str">
        <v/>
      </c>
      <c r="M113" s="22" t="str">
        <v/>
      </c>
      <c r="N113" s="22" t="str">
        <v/>
      </c>
      <c r="O113" s="22" t="str">
        <v/>
      </c>
      <c r="P113" s="22" t="str">
        <v/>
      </c>
      <c r="Q113" s="22" t="str">
        <v/>
      </c>
      <c r="R113" s="22" t="str">
        <v/>
      </c>
      <c r="S113" s="22" t="str">
        <v/>
      </c>
      <c r="T113" s="22" t="str">
        <v/>
      </c>
      <c r="U113" s="22" t="str">
        <v/>
      </c>
      <c r="V113" s="22" t="str">
        <v/>
      </c>
      <c r="W113" s="22" t="str">
        <v/>
      </c>
      <c r="X113" s="22" t="str">
        <v/>
      </c>
      <c r="Y113" s="22" t="str">
        <v/>
      </c>
      <c r="Z113" s="22" t="str">
        <v/>
      </c>
      <c r="AA113" s="22" t="str">
        <v/>
      </c>
      <c r="AB113" s="22" t="str">
        <v/>
      </c>
      <c r="AC113" s="22" t="str">
        <v/>
      </c>
      <c r="AD113" s="22" t="str">
        <v/>
      </c>
      <c r="AE113" s="22" t="str">
        <v/>
      </c>
      <c r="AF113" s="22" t="str">
        <v/>
      </c>
      <c r="AG113" s="22" t="str">
        <v/>
      </c>
      <c r="AH113" s="25">
        <v>46443</v>
      </c>
      <c r="AI113" s="25">
        <v>46447</v>
      </c>
      <c r="AL113" s="25">
        <v>46569</v>
      </c>
      <c r="AM113" s="25">
        <v>46573</v>
      </c>
      <c r="AP113" s="26" t="str">
        <v>Não iniciado</v>
      </c>
    </row>
    <row r="114">
      <c r="B114" s="27">
        <f>$B$70*$AU$2</f>
      </c>
      <c r="E114" s="24" t="str">
        <v>LIMPEZA</v>
      </c>
      <c r="F114" s="8">
        <f>B114*$C$113*G114</f>
      </c>
      <c r="G114" s="28">
        <f>H114/13</f>
      </c>
      <c r="H114" s="24">
        <f>COUNTIF(I114:AG114,"x")</f>
      </c>
      <c r="J114" s="16" t="str">
        <v/>
      </c>
      <c r="L114" s="16" t="str">
        <v/>
      </c>
      <c r="N114" s="16" t="str">
        <v/>
      </c>
      <c r="P114" s="16" t="str">
        <v/>
      </c>
      <c r="R114" s="16" t="str">
        <v/>
      </c>
      <c r="T114" s="16" t="str">
        <v/>
      </c>
      <c r="V114" s="16" t="str">
        <v/>
      </c>
      <c r="X114" s="16" t="str">
        <v/>
      </c>
      <c r="Z114" s="16" t="str">
        <v/>
      </c>
      <c r="AB114" s="16" t="str">
        <v/>
      </c>
      <c r="AD114" s="16" t="str">
        <v/>
      </c>
      <c r="AF114" s="16" t="str">
        <v/>
      </c>
      <c r="AH114" s="25">
        <v>46447</v>
      </c>
      <c r="AI114" s="25">
        <v>46471</v>
      </c>
      <c r="AL114" s="25">
        <v>46573</v>
      </c>
      <c r="AM114" s="25">
        <v>46605</v>
      </c>
      <c r="AP114" s="26" t="str">
        <v>Não iniciado</v>
      </c>
    </row>
    <row r="115">
      <c r="B115" s="27">
        <f>$B$70*$AU$3</f>
      </c>
      <c r="E115" s="24" t="str">
        <v>PANO</v>
      </c>
      <c r="F115" s="8">
        <f>B115*$C$113*G115</f>
      </c>
      <c r="G115" s="28">
        <f>H115/13</f>
      </c>
      <c r="H115" s="24">
        <f>COUNTIF(I115:AG115,"x")</f>
      </c>
      <c r="J115" s="16" t="str">
        <v/>
      </c>
      <c r="L115" s="16" t="str">
        <v/>
      </c>
      <c r="N115" s="16" t="str">
        <v/>
      </c>
      <c r="P115" s="16" t="str">
        <v/>
      </c>
      <c r="R115" s="16" t="str">
        <v/>
      </c>
      <c r="T115" s="16" t="str">
        <v/>
      </c>
      <c r="V115" s="16" t="str">
        <v/>
      </c>
      <c r="X115" s="16" t="str">
        <v/>
      </c>
      <c r="Z115" s="16" t="str">
        <v/>
      </c>
      <c r="AB115" s="16" t="str">
        <v/>
      </c>
      <c r="AD115" s="16" t="str">
        <v/>
      </c>
      <c r="AF115" s="16" t="str">
        <v/>
      </c>
      <c r="AH115" s="25">
        <v>46447</v>
      </c>
      <c r="AI115" s="25">
        <v>46471</v>
      </c>
      <c r="AL115" s="25">
        <v>46573</v>
      </c>
      <c r="AM115" s="25">
        <v>46605</v>
      </c>
      <c r="AP115" s="26" t="str">
        <v>Não iniciado</v>
      </c>
    </row>
    <row r="116">
      <c r="B116" s="27">
        <f>$B$70*$AU$4</f>
      </c>
      <c r="E116" s="24" t="str">
        <v>REQUADRO</v>
      </c>
      <c r="F116" s="8">
        <f>B116*$C$113*G116</f>
      </c>
      <c r="G116" s="28">
        <f>H116/13</f>
      </c>
      <c r="H116" s="24">
        <f>COUNTIF(I116:AG116,"x")</f>
      </c>
      <c r="J116" s="16" t="str">
        <v/>
      </c>
      <c r="L116" s="16" t="str">
        <v/>
      </c>
      <c r="N116" s="16" t="str">
        <v/>
      </c>
      <c r="P116" s="16" t="str">
        <v/>
      </c>
      <c r="R116" s="16" t="str">
        <v/>
      </c>
      <c r="T116" s="16" t="str">
        <v/>
      </c>
      <c r="V116" s="16" t="str">
        <v/>
      </c>
      <c r="X116" s="16" t="str">
        <v/>
      </c>
      <c r="Z116" s="16" t="str">
        <v/>
      </c>
      <c r="AB116" s="16" t="str">
        <v/>
      </c>
      <c r="AD116" s="16" t="str">
        <v/>
      </c>
      <c r="AF116" s="16" t="str">
        <v/>
      </c>
      <c r="AH116" s="25">
        <v>46447</v>
      </c>
      <c r="AI116" s="25">
        <v>46471</v>
      </c>
      <c r="AL116" s="25">
        <v>46573</v>
      </c>
      <c r="AM116" s="25">
        <v>46605</v>
      </c>
      <c r="AP116" s="26" t="str">
        <v>Não iniciado</v>
      </c>
    </row>
    <row r="117">
      <c r="B117" s="27">
        <f>$B$70*$AU$5</f>
      </c>
      <c r="E117" s="24" t="str">
        <v>REJUNTE</v>
      </c>
      <c r="F117" s="8">
        <f>B117*$C$113*G117</f>
      </c>
      <c r="G117" s="28">
        <f>H117/13</f>
      </c>
      <c r="H117" s="24">
        <f>COUNTIF(I117:AG117,"x")</f>
      </c>
      <c r="J117" s="16" t="str">
        <v/>
      </c>
      <c r="L117" s="16" t="str">
        <v/>
      </c>
      <c r="N117" s="16" t="str">
        <v/>
      </c>
      <c r="P117" s="16" t="str">
        <v/>
      </c>
      <c r="R117" s="16" t="str">
        <v/>
      </c>
      <c r="T117" s="16" t="str">
        <v/>
      </c>
      <c r="V117" s="16" t="str">
        <v/>
      </c>
      <c r="X117" s="16" t="str">
        <v/>
      </c>
      <c r="Z117" s="16" t="str">
        <v/>
      </c>
      <c r="AB117" s="16" t="str">
        <v/>
      </c>
      <c r="AD117" s="16" t="str">
        <v/>
      </c>
      <c r="AF117" s="16" t="str">
        <v/>
      </c>
      <c r="AH117" s="25">
        <v>46447</v>
      </c>
      <c r="AI117" s="25">
        <v>46471</v>
      </c>
      <c r="AL117" s="25">
        <v>46573</v>
      </c>
      <c r="AM117" s="25">
        <v>46605</v>
      </c>
      <c r="AP117" s="26" t="str">
        <v>Não iniciado</v>
      </c>
    </row>
    <row r="118">
      <c r="A118" s="29" t="str">
        <v/>
      </c>
      <c r="B118" s="29" t="str">
        <v/>
      </c>
      <c r="C118" s="29" t="str">
        <v/>
      </c>
      <c r="D118" s="29" t="str">
        <v/>
      </c>
      <c r="E118" s="30" t="str">
        <v>ACUMULADO</v>
      </c>
      <c r="F118" s="31">
        <f>SUM(F114:F117)</f>
      </c>
      <c r="G118" s="32">
        <f>$AU$2*G114+$AU$3*G115+$AU$4*G116+$AU$5*G117</f>
      </c>
      <c r="H118" s="29" t="str">
        <v/>
      </c>
      <c r="I118" s="29" t="str">
        <v/>
      </c>
      <c r="J118" s="29" t="str">
        <v/>
      </c>
      <c r="K118" s="29" t="str">
        <v/>
      </c>
      <c r="L118" s="29" t="str">
        <v/>
      </c>
      <c r="M118" s="29" t="str">
        <v/>
      </c>
      <c r="N118" s="29" t="str">
        <v/>
      </c>
      <c r="O118" s="29" t="str">
        <v/>
      </c>
      <c r="P118" s="29" t="str">
        <v/>
      </c>
      <c r="Q118" s="29" t="str">
        <v/>
      </c>
      <c r="R118" s="29" t="str">
        <v/>
      </c>
      <c r="S118" s="29" t="str">
        <v/>
      </c>
      <c r="T118" s="29" t="str">
        <v/>
      </c>
      <c r="U118" s="29" t="str">
        <v/>
      </c>
      <c r="V118" s="29" t="str">
        <v/>
      </c>
      <c r="W118" s="29" t="str">
        <v/>
      </c>
      <c r="X118" s="29" t="str">
        <v/>
      </c>
      <c r="Y118" s="29" t="str">
        <v/>
      </c>
      <c r="Z118" s="29" t="str">
        <v/>
      </c>
      <c r="AA118" s="29" t="str">
        <v/>
      </c>
      <c r="AB118" s="29" t="str">
        <v/>
      </c>
      <c r="AC118" s="29" t="str">
        <v/>
      </c>
      <c r="AD118" s="29" t="str">
        <v/>
      </c>
      <c r="AE118" s="29" t="str">
        <v/>
      </c>
      <c r="AF118" s="29" t="str">
        <v/>
      </c>
      <c r="AG118" s="29" t="str">
        <v/>
      </c>
      <c r="AH118" s="29" t="str">
        <v/>
      </c>
      <c r="AI118" s="29" t="str">
        <v/>
      </c>
      <c r="AJ118" s="29" t="str">
        <v/>
      </c>
      <c r="AK118" s="29" t="str">
        <v/>
      </c>
      <c r="AL118" s="29" t="str">
        <v/>
      </c>
      <c r="AM118" s="29" t="str">
        <v/>
      </c>
      <c r="AN118" s="29" t="str">
        <v/>
      </c>
      <c r="AO118" s="29" t="str">
        <v/>
      </c>
      <c r="AP118" s="29" t="str">
        <v/>
      </c>
    </row>
    <row r="119" xml:space="preserve">
      <c r="C119" s="8">
        <v>0.058536585365853655</v>
      </c>
      <c r="D119" s="23" t="str" xml:space="preserve">
        <v xml:space="preserve">BE 23
1ª eq. C / 2ª eq. F
pavimentos ímpares</v>
      </c>
      <c r="E119" s="24" t="str">
        <v>MONTAGEM</v>
      </c>
      <c r="I119" s="22" t="str">
        <v/>
      </c>
      <c r="J119" s="22" t="str">
        <v/>
      </c>
      <c r="K119" s="22" t="str">
        <v/>
      </c>
      <c r="L119" s="22" t="str">
        <v/>
      </c>
      <c r="M119" s="22" t="str">
        <v/>
      </c>
      <c r="N119" s="22" t="str">
        <v/>
      </c>
      <c r="O119" s="22" t="str">
        <v/>
      </c>
      <c r="P119" s="22" t="str">
        <v/>
      </c>
      <c r="Q119" s="22" t="str">
        <v/>
      </c>
      <c r="R119" s="22" t="str">
        <v/>
      </c>
      <c r="S119" s="22" t="str">
        <v/>
      </c>
      <c r="T119" s="22" t="str">
        <v/>
      </c>
      <c r="U119" s="22" t="str">
        <v/>
      </c>
      <c r="V119" s="22" t="str">
        <v/>
      </c>
      <c r="W119" s="22" t="str">
        <v/>
      </c>
      <c r="X119" s="22" t="str">
        <v/>
      </c>
      <c r="Y119" s="22" t="str">
        <v/>
      </c>
      <c r="Z119" s="22" t="str">
        <v/>
      </c>
      <c r="AA119" s="22" t="str">
        <v/>
      </c>
      <c r="AB119" s="22" t="str">
        <v/>
      </c>
      <c r="AC119" s="22" t="str">
        <v/>
      </c>
      <c r="AD119" s="22" t="str">
        <v/>
      </c>
      <c r="AE119" s="22" t="str">
        <v/>
      </c>
      <c r="AF119" s="22" t="str">
        <v/>
      </c>
      <c r="AG119" s="22" t="str">
        <v/>
      </c>
      <c r="AH119" s="25">
        <v>46477</v>
      </c>
      <c r="AI119" s="25">
        <v>46480</v>
      </c>
      <c r="AL119" s="25">
        <v>46616</v>
      </c>
      <c r="AM119" s="25">
        <v>46619</v>
      </c>
      <c r="AP119" s="26" t="str">
        <v>Não iniciado</v>
      </c>
    </row>
    <row r="120">
      <c r="B120" s="27">
        <f>$B$70*$AU$2</f>
      </c>
      <c r="E120" s="24" t="str">
        <v>LIMPEZA</v>
      </c>
      <c r="F120" s="8">
        <f>B120*$C$119*G120</f>
      </c>
      <c r="G120" s="28">
        <f>H120/12</f>
      </c>
      <c r="H120" s="24">
        <f>COUNTIF(I120:AG120,"x")</f>
      </c>
      <c r="I120" s="16" t="str">
        <v/>
      </c>
      <c r="K120" s="16" t="str">
        <v/>
      </c>
      <c r="M120" s="16" t="str">
        <v/>
      </c>
      <c r="O120" s="16" t="str">
        <v/>
      </c>
      <c r="Q120" s="16" t="str">
        <v/>
      </c>
      <c r="S120" s="16" t="str">
        <v/>
      </c>
      <c r="U120" s="16" t="str">
        <v/>
      </c>
      <c r="W120" s="16" t="str">
        <v/>
      </c>
      <c r="Y120" s="16" t="str">
        <v/>
      </c>
      <c r="AA120" s="16" t="str">
        <v/>
      </c>
      <c r="AC120" s="16" t="str">
        <v/>
      </c>
      <c r="AE120" s="16" t="str">
        <v/>
      </c>
      <c r="AG120" s="16" t="str">
        <v/>
      </c>
      <c r="AH120" s="25">
        <v>46480</v>
      </c>
      <c r="AI120" s="25">
        <v>46506</v>
      </c>
      <c r="AL120" s="25">
        <v>46619</v>
      </c>
      <c r="AM120" s="25">
        <v>46648</v>
      </c>
      <c r="AP120" s="26" t="str">
        <v>Não iniciado</v>
      </c>
    </row>
    <row r="121">
      <c r="B121" s="27">
        <f>$B$70*$AU$3</f>
      </c>
      <c r="E121" s="24" t="str">
        <v>PANO</v>
      </c>
      <c r="F121" s="8">
        <f>B121*$C$119*G121</f>
      </c>
      <c r="G121" s="28">
        <f>H121/12</f>
      </c>
      <c r="H121" s="24">
        <f>COUNTIF(I121:AG121,"x")</f>
      </c>
      <c r="I121" s="16" t="str">
        <v/>
      </c>
      <c r="K121" s="16" t="str">
        <v/>
      </c>
      <c r="M121" s="16" t="str">
        <v/>
      </c>
      <c r="O121" s="16" t="str">
        <v/>
      </c>
      <c r="Q121" s="16" t="str">
        <v/>
      </c>
      <c r="S121" s="16" t="str">
        <v/>
      </c>
      <c r="U121" s="16" t="str">
        <v/>
      </c>
      <c r="W121" s="16" t="str">
        <v/>
      </c>
      <c r="Y121" s="16" t="str">
        <v/>
      </c>
      <c r="AA121" s="16" t="str">
        <v/>
      </c>
      <c r="AC121" s="16" t="str">
        <v/>
      </c>
      <c r="AE121" s="16" t="str">
        <v/>
      </c>
      <c r="AG121" s="16" t="str">
        <v/>
      </c>
      <c r="AH121" s="25">
        <v>46480</v>
      </c>
      <c r="AI121" s="25">
        <v>46506</v>
      </c>
      <c r="AL121" s="25">
        <v>46619</v>
      </c>
      <c r="AM121" s="25">
        <v>46648</v>
      </c>
      <c r="AP121" s="26" t="str">
        <v>Não iniciado</v>
      </c>
    </row>
    <row r="122">
      <c r="B122" s="27">
        <f>$B$70*$AU$4</f>
      </c>
      <c r="E122" s="24" t="str">
        <v>REQUADRO</v>
      </c>
      <c r="F122" s="8">
        <f>B122*$C$119*G122</f>
      </c>
      <c r="G122" s="28">
        <f>H122/12</f>
      </c>
      <c r="H122" s="24">
        <f>COUNTIF(I122:AG122,"x")</f>
      </c>
      <c r="I122" s="16" t="str">
        <v/>
      </c>
      <c r="K122" s="16" t="str">
        <v/>
      </c>
      <c r="M122" s="16" t="str">
        <v/>
      </c>
      <c r="O122" s="16" t="str">
        <v/>
      </c>
      <c r="Q122" s="16" t="str">
        <v/>
      </c>
      <c r="S122" s="16" t="str">
        <v/>
      </c>
      <c r="U122" s="16" t="str">
        <v/>
      </c>
      <c r="W122" s="16" t="str">
        <v/>
      </c>
      <c r="Y122" s="16" t="str">
        <v/>
      </c>
      <c r="AA122" s="16" t="str">
        <v/>
      </c>
      <c r="AC122" s="16" t="str">
        <v/>
      </c>
      <c r="AE122" s="16" t="str">
        <v/>
      </c>
      <c r="AG122" s="16" t="str">
        <v/>
      </c>
      <c r="AH122" s="25">
        <v>46480</v>
      </c>
      <c r="AI122" s="25">
        <v>46506</v>
      </c>
      <c r="AL122" s="25">
        <v>46619</v>
      </c>
      <c r="AM122" s="25">
        <v>46648</v>
      </c>
      <c r="AP122" s="26" t="str">
        <v>Não iniciado</v>
      </c>
    </row>
    <row r="123">
      <c r="B123" s="27">
        <f>$B$70*$AU$5</f>
      </c>
      <c r="E123" s="24" t="str">
        <v>REJUNTE</v>
      </c>
      <c r="F123" s="8">
        <f>B123*$C$119*G123</f>
      </c>
      <c r="G123" s="28">
        <f>H123/12</f>
      </c>
      <c r="H123" s="24">
        <f>COUNTIF(I123:AG123,"x")</f>
      </c>
      <c r="I123" s="16" t="str">
        <v/>
      </c>
      <c r="K123" s="16" t="str">
        <v/>
      </c>
      <c r="M123" s="16" t="str">
        <v/>
      </c>
      <c r="O123" s="16" t="str">
        <v/>
      </c>
      <c r="Q123" s="16" t="str">
        <v/>
      </c>
      <c r="S123" s="16" t="str">
        <v/>
      </c>
      <c r="U123" s="16" t="str">
        <v/>
      </c>
      <c r="W123" s="16" t="str">
        <v/>
      </c>
      <c r="Y123" s="16" t="str">
        <v/>
      </c>
      <c r="AA123" s="16" t="str">
        <v/>
      </c>
      <c r="AC123" s="16" t="str">
        <v/>
      </c>
      <c r="AE123" s="16" t="str">
        <v/>
      </c>
      <c r="AG123" s="16" t="str">
        <v/>
      </c>
      <c r="AH123" s="25">
        <v>46480</v>
      </c>
      <c r="AI123" s="25">
        <v>46506</v>
      </c>
      <c r="AL123" s="25">
        <v>46619</v>
      </c>
      <c r="AM123" s="25">
        <v>46648</v>
      </c>
      <c r="AP123" s="26" t="str">
        <v>Não iniciado</v>
      </c>
    </row>
    <row r="124">
      <c r="A124" s="29" t="str">
        <v/>
      </c>
      <c r="B124" s="29" t="str">
        <v/>
      </c>
      <c r="C124" s="29" t="str">
        <v/>
      </c>
      <c r="D124" s="29" t="str">
        <v/>
      </c>
      <c r="E124" s="30" t="str">
        <v>ACUMULADO</v>
      </c>
      <c r="F124" s="31">
        <f>SUM(F120:F123)</f>
      </c>
      <c r="G124" s="32">
        <f>$AU$2*G120+$AU$3*G121+$AU$4*G122+$AU$5*G123</f>
      </c>
      <c r="H124" s="29" t="str">
        <v/>
      </c>
      <c r="I124" s="29" t="str">
        <v/>
      </c>
      <c r="J124" s="29" t="str">
        <v/>
      </c>
      <c r="K124" s="29" t="str">
        <v/>
      </c>
      <c r="L124" s="29" t="str">
        <v/>
      </c>
      <c r="M124" s="29" t="str">
        <v/>
      </c>
      <c r="N124" s="29" t="str">
        <v/>
      </c>
      <c r="O124" s="29" t="str">
        <v/>
      </c>
      <c r="P124" s="29" t="str">
        <v/>
      </c>
      <c r="Q124" s="29" t="str">
        <v/>
      </c>
      <c r="R124" s="29" t="str">
        <v/>
      </c>
      <c r="S124" s="29" t="str">
        <v/>
      </c>
      <c r="T124" s="29" t="str">
        <v/>
      </c>
      <c r="U124" s="29" t="str">
        <v/>
      </c>
      <c r="V124" s="29" t="str">
        <v/>
      </c>
      <c r="W124" s="29" t="str">
        <v/>
      </c>
      <c r="X124" s="29" t="str">
        <v/>
      </c>
      <c r="Y124" s="29" t="str">
        <v/>
      </c>
      <c r="Z124" s="29" t="str">
        <v/>
      </c>
      <c r="AA124" s="29" t="str">
        <v/>
      </c>
      <c r="AB124" s="29" t="str">
        <v/>
      </c>
      <c r="AC124" s="29" t="str">
        <v/>
      </c>
      <c r="AD124" s="29" t="str">
        <v/>
      </c>
      <c r="AE124" s="29" t="str">
        <v/>
      </c>
      <c r="AF124" s="29" t="str">
        <v/>
      </c>
      <c r="AG124" s="29" t="str">
        <v/>
      </c>
      <c r="AH124" s="29" t="str">
        <v/>
      </c>
      <c r="AI124" s="29" t="str">
        <v/>
      </c>
      <c r="AJ124" s="29" t="str">
        <v/>
      </c>
      <c r="AK124" s="29" t="str">
        <v/>
      </c>
      <c r="AL124" s="29" t="str">
        <v/>
      </c>
      <c r="AM124" s="29" t="str">
        <v/>
      </c>
      <c r="AN124" s="29" t="str">
        <v/>
      </c>
      <c r="AO124" s="29" t="str">
        <v/>
      </c>
      <c r="AP124" s="29" t="str">
        <v/>
      </c>
    </row>
    <row r="125" xml:space="preserve">
      <c r="C125" s="8">
        <v>0.17073170731707318</v>
      </c>
      <c r="D125" s="23" t="str" xml:space="preserve">
        <v xml:space="preserve">CR 20
Cremalheira</v>
      </c>
      <c r="E125" s="24" t="str">
        <v>MONTAGEM</v>
      </c>
      <c r="I125" s="22" t="str">
        <v/>
      </c>
      <c r="J125" s="22" t="str">
        <v/>
      </c>
      <c r="K125" s="22" t="str">
        <v/>
      </c>
      <c r="L125" s="22" t="str">
        <v/>
      </c>
      <c r="M125" s="22" t="str">
        <v/>
      </c>
      <c r="N125" s="22" t="str">
        <v/>
      </c>
      <c r="O125" s="22" t="str">
        <v/>
      </c>
      <c r="P125" s="22" t="str">
        <v/>
      </c>
      <c r="Q125" s="22" t="str">
        <v/>
      </c>
      <c r="R125" s="22" t="str">
        <v/>
      </c>
      <c r="S125" s="22" t="str">
        <v/>
      </c>
      <c r="T125" s="22" t="str">
        <v/>
      </c>
      <c r="U125" s="22" t="str">
        <v/>
      </c>
      <c r="V125" s="22" t="str">
        <v/>
      </c>
      <c r="W125" s="22" t="str">
        <v/>
      </c>
      <c r="X125" s="22" t="str">
        <v/>
      </c>
      <c r="Y125" s="22" t="str">
        <v/>
      </c>
      <c r="Z125" s="22" t="str">
        <v/>
      </c>
      <c r="AA125" s="22" t="str">
        <v/>
      </c>
      <c r="AB125" s="22" t="str">
        <v/>
      </c>
      <c r="AC125" s="22" t="str">
        <v/>
      </c>
      <c r="AD125" s="22" t="str">
        <v/>
      </c>
      <c r="AE125" s="22" t="str">
        <v/>
      </c>
      <c r="AF125" s="22" t="str">
        <v/>
      </c>
      <c r="AG125" s="22" t="str">
        <v/>
      </c>
      <c r="AH125" s="25">
        <v>46738</v>
      </c>
      <c r="AI125" s="25">
        <v>46757</v>
      </c>
      <c r="AL125" s="25" t="str">
        <v/>
      </c>
      <c r="AM125" s="25" t="str">
        <v/>
      </c>
      <c r="AP125" s="26" t="str">
        <v>Não iniciado</v>
      </c>
    </row>
    <row r="126">
      <c r="B126" s="27">
        <f>$B$70*$AU$2</f>
      </c>
      <c r="E126" s="24" t="str">
        <v>LIMPEZA</v>
      </c>
      <c r="F126" s="8">
        <f>B126*$C$125*G126</f>
      </c>
      <c r="G126" s="28">
        <f>H126/25</f>
      </c>
      <c r="H126" s="24">
        <f>COUNTIF(I126:AG126,"x")</f>
      </c>
      <c r="AH126" s="25">
        <v>46757</v>
      </c>
      <c r="AI126" s="25">
        <v>46870</v>
      </c>
      <c r="AL126" s="25" t="str">
        <v/>
      </c>
      <c r="AM126" s="25" t="str">
        <v/>
      </c>
      <c r="AP126" s="26" t="str">
        <v>Não iniciado</v>
      </c>
    </row>
    <row r="127">
      <c r="B127" s="27">
        <f>$B$70*$AU$3</f>
      </c>
      <c r="E127" s="24" t="str">
        <v>PANO</v>
      </c>
      <c r="F127" s="8">
        <f>B127*$C$125*G127</f>
      </c>
      <c r="G127" s="28">
        <f>H127/25</f>
      </c>
      <c r="H127" s="24">
        <f>COUNTIF(I127:AG127,"x")</f>
      </c>
      <c r="AH127" s="25">
        <v>46757</v>
      </c>
      <c r="AI127" s="25">
        <v>46870</v>
      </c>
      <c r="AL127" s="25" t="str">
        <v/>
      </c>
      <c r="AM127" s="25" t="str">
        <v/>
      </c>
      <c r="AP127" s="26" t="str">
        <v>Não iniciado</v>
      </c>
    </row>
    <row r="128">
      <c r="B128" s="27">
        <f>$B$70*$AU$4</f>
      </c>
      <c r="E128" s="24" t="str">
        <v>REQUADRO</v>
      </c>
      <c r="F128" s="8">
        <f>B128*$C$125*G128</f>
      </c>
      <c r="G128" s="28">
        <f>H128/25</f>
      </c>
      <c r="H128" s="24">
        <f>COUNTIF(I128:AG128,"x")</f>
      </c>
      <c r="AH128" s="25">
        <v>46757</v>
      </c>
      <c r="AI128" s="25">
        <v>46870</v>
      </c>
      <c r="AL128" s="25" t="str">
        <v/>
      </c>
      <c r="AM128" s="25" t="str">
        <v/>
      </c>
      <c r="AP128" s="26" t="str">
        <v>Não iniciado</v>
      </c>
    </row>
    <row r="129">
      <c r="B129" s="27">
        <f>$B$70*$AU$5</f>
      </c>
      <c r="E129" s="24" t="str">
        <v>REJUNTE</v>
      </c>
      <c r="F129" s="8">
        <f>B129*$C$125*G129</f>
      </c>
      <c r="G129" s="28">
        <f>H129/25</f>
      </c>
      <c r="H129" s="24">
        <f>COUNTIF(I129:AG129,"x")</f>
      </c>
      <c r="AH129" s="25">
        <v>46757</v>
      </c>
      <c r="AI129" s="25">
        <v>46870</v>
      </c>
      <c r="AL129" s="25" t="str">
        <v/>
      </c>
      <c r="AM129" s="25" t="str">
        <v/>
      </c>
      <c r="AP129" s="26" t="str">
        <v>Não iniciado</v>
      </c>
    </row>
    <row r="130">
      <c r="A130" s="29" t="str">
        <v/>
      </c>
      <c r="B130" s="29" t="str">
        <v/>
      </c>
      <c r="C130" s="29" t="str">
        <v/>
      </c>
      <c r="D130" s="29" t="str">
        <v/>
      </c>
      <c r="E130" s="30" t="str">
        <v>ACUMULADO</v>
      </c>
      <c r="F130" s="31">
        <f>SUM(F126:F129)</f>
      </c>
      <c r="G130" s="32">
        <f>$AU$2*G126+$AU$3*G127+$AU$4*G128+$AU$5*G129</f>
      </c>
      <c r="H130" s="29" t="str">
        <v/>
      </c>
      <c r="I130" s="29" t="str">
        <v/>
      </c>
      <c r="J130" s="29" t="str">
        <v/>
      </c>
      <c r="K130" s="29" t="str">
        <v/>
      </c>
      <c r="L130" s="29" t="str">
        <v/>
      </c>
      <c r="M130" s="29" t="str">
        <v/>
      </c>
      <c r="N130" s="29" t="str">
        <v/>
      </c>
      <c r="O130" s="29" t="str">
        <v/>
      </c>
      <c r="P130" s="29" t="str">
        <v/>
      </c>
      <c r="Q130" s="29" t="str">
        <v/>
      </c>
      <c r="R130" s="29" t="str">
        <v/>
      </c>
      <c r="S130" s="29" t="str">
        <v/>
      </c>
      <c r="T130" s="29" t="str">
        <v/>
      </c>
      <c r="U130" s="29" t="str">
        <v/>
      </c>
      <c r="V130" s="29" t="str">
        <v/>
      </c>
      <c r="W130" s="29" t="str">
        <v/>
      </c>
      <c r="X130" s="29" t="str">
        <v/>
      </c>
      <c r="Y130" s="29" t="str">
        <v/>
      </c>
      <c r="Z130" s="29" t="str">
        <v/>
      </c>
      <c r="AA130" s="29" t="str">
        <v/>
      </c>
      <c r="AB130" s="29" t="str">
        <v/>
      </c>
      <c r="AC130" s="29" t="str">
        <v/>
      </c>
      <c r="AD130" s="29" t="str">
        <v/>
      </c>
      <c r="AE130" s="29" t="str">
        <v/>
      </c>
      <c r="AF130" s="29" t="str">
        <v/>
      </c>
      <c r="AG130" s="29" t="str">
        <v/>
      </c>
      <c r="AH130" s="29" t="str">
        <v/>
      </c>
      <c r="AI130" s="29" t="str">
        <v/>
      </c>
      <c r="AJ130" s="29" t="str">
        <v/>
      </c>
      <c r="AK130" s="29" t="str">
        <v/>
      </c>
      <c r="AL130" s="29" t="str">
        <v/>
      </c>
      <c r="AM130" s="29" t="str">
        <v/>
      </c>
      <c r="AN130" s="29" t="str">
        <v/>
      </c>
      <c r="AO130" s="29" t="str">
        <v/>
      </c>
      <c r="AP130" s="29" t="str">
        <v/>
      </c>
    </row>
    <row r="131">
      <c r="A131" s="29" t="str">
        <v/>
      </c>
      <c r="B131" s="33" t="str">
        <v>ACUMULADO FACHADA FRONTAL</v>
      </c>
      <c r="C131" s="29" t="str">
        <v/>
      </c>
      <c r="D131" s="29" t="str">
        <v/>
      </c>
      <c r="E131" s="29" t="str">
        <v/>
      </c>
      <c r="F131" s="31">
        <f>F76+F82+F88+F94+F100+F106+F112+F118+F124+F130</f>
      </c>
      <c r="G131" s="32">
        <f>C71*G76+C77*G82+C83*G88+C89*G94+C95*G100+C101*G106+C107*G112+C113*G118+C119*G124+C125*G130</f>
      </c>
      <c r="H131" s="29" t="str">
        <v/>
      </c>
      <c r="I131" s="29" t="str">
        <v/>
      </c>
      <c r="J131" s="29" t="str">
        <v/>
      </c>
      <c r="K131" s="29" t="str">
        <v/>
      </c>
      <c r="L131" s="29" t="str">
        <v/>
      </c>
      <c r="M131" s="29" t="str">
        <v/>
      </c>
      <c r="N131" s="29" t="str">
        <v/>
      </c>
      <c r="O131" s="29" t="str">
        <v/>
      </c>
      <c r="P131" s="29" t="str">
        <v/>
      </c>
      <c r="Q131" s="29" t="str">
        <v/>
      </c>
      <c r="R131" s="29" t="str">
        <v/>
      </c>
      <c r="S131" s="29" t="str">
        <v/>
      </c>
      <c r="T131" s="29" t="str">
        <v/>
      </c>
      <c r="U131" s="29" t="str">
        <v/>
      </c>
      <c r="V131" s="29" t="str">
        <v/>
      </c>
      <c r="W131" s="29" t="str">
        <v/>
      </c>
      <c r="X131" s="29" t="str">
        <v/>
      </c>
      <c r="Y131" s="29" t="str">
        <v/>
      </c>
      <c r="Z131" s="29" t="str">
        <v/>
      </c>
      <c r="AA131" s="29" t="str">
        <v/>
      </c>
      <c r="AB131" s="29" t="str">
        <v/>
      </c>
      <c r="AC131" s="29" t="str">
        <v/>
      </c>
      <c r="AD131" s="29" t="str">
        <v/>
      </c>
      <c r="AE131" s="29" t="str">
        <v/>
      </c>
      <c r="AF131" s="29" t="str">
        <v/>
      </c>
      <c r="AG131" s="29" t="str">
        <v/>
      </c>
      <c r="AH131" s="29" t="str">
        <v/>
      </c>
      <c r="AI131" s="29" t="str">
        <v/>
      </c>
      <c r="AJ131" s="29" t="str">
        <v/>
      </c>
      <c r="AK131" s="29" t="str">
        <v/>
      </c>
      <c r="AL131" s="29" t="str">
        <v/>
      </c>
      <c r="AM131" s="29" t="str">
        <v/>
      </c>
      <c r="AN131" s="29" t="str">
        <v/>
      </c>
      <c r="AO131" s="29" t="str">
        <v/>
      </c>
      <c r="AP131" s="29" t="str">
        <v/>
      </c>
    </row>
    <row r="133">
      <c r="A133" s="20" t="str">
        <v>FACHADA LATERAL ESQUERDA</v>
      </c>
      <c r="B133" s="21">
        <v>0.27376240224420717</v>
      </c>
      <c r="C133" s="22" t="str">
        <v/>
      </c>
      <c r="D133" s="22" t="str">
        <v/>
      </c>
      <c r="E133" s="22" t="str">
        <v/>
      </c>
      <c r="F133" s="22" t="str">
        <v/>
      </c>
      <c r="G133" s="22" t="str">
        <v/>
      </c>
      <c r="H133" s="22" t="str">
        <v/>
      </c>
      <c r="I133" s="22" t="str">
        <v/>
      </c>
      <c r="J133" s="22" t="str">
        <v/>
      </c>
      <c r="K133" s="22" t="str">
        <v/>
      </c>
      <c r="L133" s="22" t="str">
        <v/>
      </c>
      <c r="M133" s="22" t="str">
        <v/>
      </c>
      <c r="N133" s="22" t="str">
        <v/>
      </c>
      <c r="O133" s="22" t="str">
        <v/>
      </c>
      <c r="P133" s="22" t="str">
        <v/>
      </c>
      <c r="Q133" s="22" t="str">
        <v/>
      </c>
      <c r="R133" s="22" t="str">
        <v/>
      </c>
      <c r="S133" s="22" t="str">
        <v/>
      </c>
      <c r="T133" s="22" t="str">
        <v/>
      </c>
      <c r="U133" s="22" t="str">
        <v/>
      </c>
      <c r="V133" s="22" t="str">
        <v/>
      </c>
      <c r="W133" s="22" t="str">
        <v/>
      </c>
      <c r="X133" s="22" t="str">
        <v/>
      </c>
      <c r="Y133" s="22" t="str">
        <v/>
      </c>
      <c r="Z133" s="22" t="str">
        <v/>
      </c>
      <c r="AA133" s="22" t="str">
        <v/>
      </c>
      <c r="AB133" s="22" t="str">
        <v/>
      </c>
      <c r="AC133" s="22" t="str">
        <v/>
      </c>
      <c r="AD133" s="22" t="str">
        <v/>
      </c>
      <c r="AE133" s="22" t="str">
        <v/>
      </c>
      <c r="AF133" s="22" t="str">
        <v/>
      </c>
      <c r="AG133" s="22" t="str">
        <v/>
      </c>
      <c r="AH133" s="22" t="str">
        <v/>
      </c>
      <c r="AI133" s="22" t="str">
        <v/>
      </c>
      <c r="AJ133" s="22" t="str">
        <v/>
      </c>
      <c r="AK133" s="22" t="str">
        <v/>
      </c>
      <c r="AL133" s="22" t="str">
        <v/>
      </c>
      <c r="AM133" s="22" t="str">
        <v/>
      </c>
      <c r="AN133" s="22" t="str">
        <v/>
      </c>
      <c r="AO133" s="22" t="str">
        <v/>
      </c>
      <c r="AP133" s="22" t="str">
        <v/>
      </c>
    </row>
    <row r="134" xml:space="preserve">
      <c r="C134" s="8">
        <v>0.13</v>
      </c>
      <c r="D134" s="23" t="str" xml:space="preserve">
        <v xml:space="preserve">BE 16
1ª eq. G / 2ª eq. A
pavimentos pares</v>
      </c>
      <c r="E134" s="24" t="str">
        <v>MONTAGEM</v>
      </c>
      <c r="I134" s="22" t="str">
        <v/>
      </c>
      <c r="J134" s="22" t="str">
        <v/>
      </c>
      <c r="K134" s="22" t="str">
        <v/>
      </c>
      <c r="L134" s="22" t="str">
        <v/>
      </c>
      <c r="M134" s="22" t="str">
        <v/>
      </c>
      <c r="N134" s="22" t="str">
        <v/>
      </c>
      <c r="O134" s="22" t="str">
        <v/>
      </c>
      <c r="P134" s="22" t="str">
        <v/>
      </c>
      <c r="Q134" s="22" t="str">
        <v/>
      </c>
      <c r="R134" s="22" t="str">
        <v/>
      </c>
      <c r="S134" s="22" t="str">
        <v/>
      </c>
      <c r="T134" s="22" t="str">
        <v/>
      </c>
      <c r="U134" s="22" t="str">
        <v/>
      </c>
      <c r="V134" s="22" t="str">
        <v/>
      </c>
      <c r="W134" s="22" t="str">
        <v/>
      </c>
      <c r="X134" s="22" t="str">
        <v/>
      </c>
      <c r="Y134" s="22" t="str">
        <v/>
      </c>
      <c r="Z134" s="22" t="str">
        <v/>
      </c>
      <c r="AA134" s="22" t="str">
        <v/>
      </c>
      <c r="AB134" s="22" t="str">
        <v/>
      </c>
      <c r="AC134" s="22" t="str">
        <v/>
      </c>
      <c r="AD134" s="22" t="str">
        <v/>
      </c>
      <c r="AE134" s="22" t="str">
        <v/>
      </c>
      <c r="AF134" s="22" t="str">
        <v/>
      </c>
      <c r="AG134" s="22" t="str">
        <v/>
      </c>
      <c r="AH134" s="25">
        <v>46477</v>
      </c>
      <c r="AI134" s="25">
        <v>46480</v>
      </c>
      <c r="AL134" s="25">
        <v>46619</v>
      </c>
      <c r="AM134" s="25">
        <v>46623</v>
      </c>
      <c r="AP134" s="26" t="str">
        <v>Não iniciado</v>
      </c>
    </row>
    <row r="135">
      <c r="B135" s="27">
        <f>$B$133*$AU$2</f>
      </c>
      <c r="E135" s="24" t="str">
        <v>LIMPEZA</v>
      </c>
      <c r="F135" s="8">
        <f>B135*$C$134*G135</f>
      </c>
      <c r="G135" s="28">
        <f>H135/13</f>
      </c>
      <c r="H135" s="24">
        <f>COUNTIF(I135:AG135,"x")</f>
      </c>
      <c r="J135" s="16" t="str">
        <v/>
      </c>
      <c r="L135" s="16" t="str">
        <v/>
      </c>
      <c r="N135" s="16" t="str">
        <v/>
      </c>
      <c r="P135" s="16" t="str">
        <v/>
      </c>
      <c r="R135" s="16" t="str">
        <v/>
      </c>
      <c r="T135" s="16" t="str">
        <v/>
      </c>
      <c r="V135" s="16" t="str">
        <v/>
      </c>
      <c r="X135" s="16" t="str">
        <v/>
      </c>
      <c r="Z135" s="16" t="str">
        <v/>
      </c>
      <c r="AB135" s="16" t="str">
        <v/>
      </c>
      <c r="AD135" s="16" t="str">
        <v/>
      </c>
      <c r="AF135" s="16" t="str">
        <v/>
      </c>
      <c r="AH135" s="25">
        <v>46480</v>
      </c>
      <c r="AI135" s="25">
        <v>46519</v>
      </c>
      <c r="AL135" s="25">
        <v>46623</v>
      </c>
      <c r="AM135" s="25">
        <v>46683</v>
      </c>
      <c r="AP135" s="26" t="str">
        <v>Não iniciado</v>
      </c>
    </row>
    <row r="136">
      <c r="B136" s="27">
        <f>$B$133*$AU$3</f>
      </c>
      <c r="E136" s="24" t="str">
        <v>PANO</v>
      </c>
      <c r="F136" s="8">
        <f>B136*$C$134*G136</f>
      </c>
      <c r="G136" s="28">
        <f>H136/13</f>
      </c>
      <c r="H136" s="24">
        <f>COUNTIF(I136:AG136,"x")</f>
      </c>
      <c r="J136" s="16" t="str">
        <v/>
      </c>
      <c r="L136" s="16" t="str">
        <v/>
      </c>
      <c r="N136" s="16" t="str">
        <v/>
      </c>
      <c r="P136" s="16" t="str">
        <v/>
      </c>
      <c r="R136" s="16" t="str">
        <v/>
      </c>
      <c r="T136" s="16" t="str">
        <v/>
      </c>
      <c r="V136" s="16" t="str">
        <v/>
      </c>
      <c r="X136" s="16" t="str">
        <v/>
      </c>
      <c r="Z136" s="16" t="str">
        <v/>
      </c>
      <c r="AB136" s="16" t="str">
        <v/>
      </c>
      <c r="AD136" s="16" t="str">
        <v/>
      </c>
      <c r="AF136" s="16" t="str">
        <v/>
      </c>
      <c r="AH136" s="25">
        <v>46480</v>
      </c>
      <c r="AI136" s="25">
        <v>46519</v>
      </c>
      <c r="AL136" s="25">
        <v>46623</v>
      </c>
      <c r="AM136" s="25">
        <v>46683</v>
      </c>
      <c r="AP136" s="26" t="str">
        <v>Não iniciado</v>
      </c>
    </row>
    <row r="137">
      <c r="B137" s="27">
        <f>$B$133*$AU$4</f>
      </c>
      <c r="E137" s="24" t="str">
        <v>REQUADRO</v>
      </c>
      <c r="F137" s="8">
        <f>B137*$C$134*G137</f>
      </c>
      <c r="G137" s="28">
        <f>H137/13</f>
      </c>
      <c r="H137" s="24">
        <f>COUNTIF(I137:AG137,"x")</f>
      </c>
      <c r="J137" s="16" t="str">
        <v/>
      </c>
      <c r="L137" s="16" t="str">
        <v/>
      </c>
      <c r="N137" s="16" t="str">
        <v/>
      </c>
      <c r="P137" s="16" t="str">
        <v/>
      </c>
      <c r="R137" s="16" t="str">
        <v/>
      </c>
      <c r="T137" s="16" t="str">
        <v/>
      </c>
      <c r="V137" s="16" t="str">
        <v/>
      </c>
      <c r="X137" s="16" t="str">
        <v/>
      </c>
      <c r="Z137" s="16" t="str">
        <v/>
      </c>
      <c r="AB137" s="16" t="str">
        <v/>
      </c>
      <c r="AD137" s="16" t="str">
        <v/>
      </c>
      <c r="AF137" s="16" t="str">
        <v/>
      </c>
      <c r="AH137" s="25">
        <v>46480</v>
      </c>
      <c r="AI137" s="25">
        <v>46519</v>
      </c>
      <c r="AL137" s="25">
        <v>46623</v>
      </c>
      <c r="AM137" s="25">
        <v>46683</v>
      </c>
      <c r="AP137" s="26" t="str">
        <v>Não iniciado</v>
      </c>
    </row>
    <row r="138">
      <c r="B138" s="27">
        <f>$B$133*$AU$5</f>
      </c>
      <c r="E138" s="24" t="str">
        <v>REJUNTE</v>
      </c>
      <c r="F138" s="8">
        <f>B138*$C$134*G138</f>
      </c>
      <c r="G138" s="28">
        <f>H138/13</f>
      </c>
      <c r="H138" s="24">
        <f>COUNTIF(I138:AG138,"x")</f>
      </c>
      <c r="J138" s="16" t="str">
        <v/>
      </c>
      <c r="L138" s="16" t="str">
        <v/>
      </c>
      <c r="N138" s="16" t="str">
        <v/>
      </c>
      <c r="P138" s="16" t="str">
        <v/>
      </c>
      <c r="R138" s="16" t="str">
        <v/>
      </c>
      <c r="T138" s="16" t="str">
        <v/>
      </c>
      <c r="V138" s="16" t="str">
        <v/>
      </c>
      <c r="X138" s="16" t="str">
        <v/>
      </c>
      <c r="Z138" s="16" t="str">
        <v/>
      </c>
      <c r="AB138" s="16" t="str">
        <v/>
      </c>
      <c r="AD138" s="16" t="str">
        <v/>
      </c>
      <c r="AF138" s="16" t="str">
        <v/>
      </c>
      <c r="AH138" s="25">
        <v>46480</v>
      </c>
      <c r="AI138" s="25">
        <v>46519</v>
      </c>
      <c r="AL138" s="25">
        <v>46623</v>
      </c>
      <c r="AM138" s="25">
        <v>46683</v>
      </c>
      <c r="AP138" s="26" t="str">
        <v>Não iniciado</v>
      </c>
    </row>
    <row r="139">
      <c r="A139" s="29" t="str">
        <v/>
      </c>
      <c r="B139" s="29" t="str">
        <v/>
      </c>
      <c r="C139" s="29" t="str">
        <v/>
      </c>
      <c r="D139" s="29" t="str">
        <v/>
      </c>
      <c r="E139" s="30" t="str">
        <v>ACUMULADO</v>
      </c>
      <c r="F139" s="31">
        <f>SUM(F135:F138)</f>
      </c>
      <c r="G139" s="32">
        <f>$AU$2*G135+$AU$3*G136+$AU$4*G137+$AU$5*G138</f>
      </c>
      <c r="H139" s="29" t="str">
        <v/>
      </c>
      <c r="I139" s="29" t="str">
        <v/>
      </c>
      <c r="J139" s="29" t="str">
        <v/>
      </c>
      <c r="K139" s="29" t="str">
        <v/>
      </c>
      <c r="L139" s="29" t="str">
        <v/>
      </c>
      <c r="M139" s="29" t="str">
        <v/>
      </c>
      <c r="N139" s="29" t="str">
        <v/>
      </c>
      <c r="O139" s="29" t="str">
        <v/>
      </c>
      <c r="P139" s="29" t="str">
        <v/>
      </c>
      <c r="Q139" s="29" t="str">
        <v/>
      </c>
      <c r="R139" s="29" t="str">
        <v/>
      </c>
      <c r="S139" s="29" t="str">
        <v/>
      </c>
      <c r="T139" s="29" t="str">
        <v/>
      </c>
      <c r="U139" s="29" t="str">
        <v/>
      </c>
      <c r="V139" s="29" t="str">
        <v/>
      </c>
      <c r="W139" s="29" t="str">
        <v/>
      </c>
      <c r="X139" s="29" t="str">
        <v/>
      </c>
      <c r="Y139" s="29" t="str">
        <v/>
      </c>
      <c r="Z139" s="29" t="str">
        <v/>
      </c>
      <c r="AA139" s="29" t="str">
        <v/>
      </c>
      <c r="AB139" s="29" t="str">
        <v/>
      </c>
      <c r="AC139" s="29" t="str">
        <v/>
      </c>
      <c r="AD139" s="29" t="str">
        <v/>
      </c>
      <c r="AE139" s="29" t="str">
        <v/>
      </c>
      <c r="AF139" s="29" t="str">
        <v/>
      </c>
      <c r="AG139" s="29" t="str">
        <v/>
      </c>
      <c r="AH139" s="29" t="str">
        <v/>
      </c>
      <c r="AI139" s="29" t="str">
        <v/>
      </c>
      <c r="AJ139" s="29" t="str">
        <v/>
      </c>
      <c r="AK139" s="29" t="str">
        <v/>
      </c>
      <c r="AL139" s="29" t="str">
        <v/>
      </c>
      <c r="AM139" s="29" t="str">
        <v/>
      </c>
      <c r="AN139" s="29" t="str">
        <v/>
      </c>
      <c r="AO139" s="29" t="str">
        <v/>
      </c>
      <c r="AP139" s="29" t="str">
        <v/>
      </c>
    </row>
    <row r="140" xml:space="preserve">
      <c r="C140" s="8">
        <v>0.052000000000000005</v>
      </c>
      <c r="D140" s="23" t="str" xml:space="preserve">
        <v xml:space="preserve">BE 17
1ª eq. A / 2ª eq. B
pavimentos pares</v>
      </c>
      <c r="E140" s="24" t="str">
        <v>MONTAGEM</v>
      </c>
      <c r="I140" s="22" t="str">
        <v/>
      </c>
      <c r="J140" s="22" t="str">
        <v/>
      </c>
      <c r="K140" s="22" t="str">
        <v/>
      </c>
      <c r="L140" s="22" t="str">
        <v/>
      </c>
      <c r="M140" s="22" t="str">
        <v/>
      </c>
      <c r="N140" s="22" t="str">
        <v/>
      </c>
      <c r="O140" s="22" t="str">
        <v/>
      </c>
      <c r="P140" s="22" t="str">
        <v/>
      </c>
      <c r="Q140" s="22" t="str">
        <v/>
      </c>
      <c r="R140" s="22" t="str">
        <v/>
      </c>
      <c r="S140" s="22" t="str">
        <v/>
      </c>
      <c r="T140" s="22" t="str">
        <v/>
      </c>
      <c r="U140" s="22" t="str">
        <v/>
      </c>
      <c r="V140" s="22" t="str">
        <v/>
      </c>
      <c r="W140" s="22" t="str">
        <v/>
      </c>
      <c r="X140" s="22" t="str">
        <v/>
      </c>
      <c r="Y140" s="22" t="str">
        <v/>
      </c>
      <c r="Z140" s="22" t="str">
        <v/>
      </c>
      <c r="AA140" s="22" t="str">
        <v/>
      </c>
      <c r="AB140" s="22" t="str">
        <v/>
      </c>
      <c r="AC140" s="22" t="str">
        <v/>
      </c>
      <c r="AD140" s="22" t="str">
        <v/>
      </c>
      <c r="AE140" s="22" t="str">
        <v/>
      </c>
      <c r="AF140" s="22" t="str">
        <v/>
      </c>
      <c r="AG140" s="22" t="str">
        <v/>
      </c>
      <c r="AH140" s="25">
        <v>46492</v>
      </c>
      <c r="AI140" s="25">
        <v>46496</v>
      </c>
      <c r="AL140" s="25">
        <v>46619</v>
      </c>
      <c r="AM140" s="25">
        <v>46623</v>
      </c>
      <c r="AP140" s="26" t="str">
        <v>Não iniciado</v>
      </c>
    </row>
    <row r="141">
      <c r="B141" s="27">
        <f>$B$133*$AU$2</f>
      </c>
      <c r="E141" s="24" t="str">
        <v>LIMPEZA</v>
      </c>
      <c r="F141" s="8">
        <f>B141*$C$140*G141</f>
      </c>
      <c r="G141" s="28">
        <f>H141/13</f>
      </c>
      <c r="H141" s="24">
        <f>COUNTIF(I141:AG141,"x")</f>
      </c>
      <c r="J141" s="16" t="str">
        <v/>
      </c>
      <c r="L141" s="16" t="str">
        <v/>
      </c>
      <c r="N141" s="16" t="str">
        <v/>
      </c>
      <c r="P141" s="16" t="str">
        <v/>
      </c>
      <c r="R141" s="16" t="str">
        <v/>
      </c>
      <c r="T141" s="16" t="str">
        <v/>
      </c>
      <c r="V141" s="16" t="str">
        <v/>
      </c>
      <c r="X141" s="16" t="str">
        <v/>
      </c>
      <c r="Z141" s="16" t="str">
        <v/>
      </c>
      <c r="AB141" s="16" t="str">
        <v/>
      </c>
      <c r="AD141" s="16" t="str">
        <v/>
      </c>
      <c r="AF141" s="16" t="str">
        <v/>
      </c>
      <c r="AH141" s="25">
        <v>46496</v>
      </c>
      <c r="AI141" s="25">
        <v>46512</v>
      </c>
      <c r="AL141" s="25">
        <v>46623</v>
      </c>
      <c r="AM141" s="25">
        <v>46647</v>
      </c>
      <c r="AP141" s="26" t="str">
        <v>Não iniciado</v>
      </c>
    </row>
    <row r="142">
      <c r="B142" s="27">
        <f>$B$133*$AU$3</f>
      </c>
      <c r="E142" s="24" t="str">
        <v>PANO</v>
      </c>
      <c r="F142" s="8">
        <f>B142*$C$140*G142</f>
      </c>
      <c r="G142" s="28">
        <f>H142/13</f>
      </c>
      <c r="H142" s="24">
        <f>COUNTIF(I142:AG142,"x")</f>
      </c>
      <c r="J142" s="16" t="str">
        <v/>
      </c>
      <c r="L142" s="16" t="str">
        <v/>
      </c>
      <c r="N142" s="16" t="str">
        <v/>
      </c>
      <c r="P142" s="16" t="str">
        <v/>
      </c>
      <c r="R142" s="16" t="str">
        <v/>
      </c>
      <c r="T142" s="16" t="str">
        <v/>
      </c>
      <c r="V142" s="16" t="str">
        <v/>
      </c>
      <c r="X142" s="16" t="str">
        <v/>
      </c>
      <c r="Z142" s="16" t="str">
        <v/>
      </c>
      <c r="AB142" s="16" t="str">
        <v/>
      </c>
      <c r="AD142" s="16" t="str">
        <v/>
      </c>
      <c r="AF142" s="16" t="str">
        <v/>
      </c>
      <c r="AH142" s="25">
        <v>46496</v>
      </c>
      <c r="AI142" s="25">
        <v>46512</v>
      </c>
      <c r="AL142" s="25">
        <v>46623</v>
      </c>
      <c r="AM142" s="25">
        <v>46647</v>
      </c>
      <c r="AP142" s="26" t="str">
        <v>Não iniciado</v>
      </c>
    </row>
    <row r="143">
      <c r="B143" s="27">
        <f>$B$133*$AU$4</f>
      </c>
      <c r="E143" s="24" t="str">
        <v>REQUADRO</v>
      </c>
      <c r="F143" s="8">
        <f>B143*$C$140*G143</f>
      </c>
      <c r="G143" s="28">
        <f>H143/13</f>
      </c>
      <c r="H143" s="24">
        <f>COUNTIF(I143:AG143,"x")</f>
      </c>
      <c r="J143" s="16" t="str">
        <v/>
      </c>
      <c r="L143" s="16" t="str">
        <v/>
      </c>
      <c r="N143" s="16" t="str">
        <v/>
      </c>
      <c r="P143" s="16" t="str">
        <v/>
      </c>
      <c r="R143" s="16" t="str">
        <v/>
      </c>
      <c r="T143" s="16" t="str">
        <v/>
      </c>
      <c r="V143" s="16" t="str">
        <v/>
      </c>
      <c r="X143" s="16" t="str">
        <v/>
      </c>
      <c r="Z143" s="16" t="str">
        <v/>
      </c>
      <c r="AB143" s="16" t="str">
        <v/>
      </c>
      <c r="AD143" s="16" t="str">
        <v/>
      </c>
      <c r="AF143" s="16" t="str">
        <v/>
      </c>
      <c r="AH143" s="25">
        <v>46496</v>
      </c>
      <c r="AI143" s="25">
        <v>46512</v>
      </c>
      <c r="AL143" s="25">
        <v>46623</v>
      </c>
      <c r="AM143" s="25">
        <v>46647</v>
      </c>
      <c r="AP143" s="26" t="str">
        <v>Não iniciado</v>
      </c>
    </row>
    <row r="144">
      <c r="B144" s="27">
        <f>$B$133*$AU$5</f>
      </c>
      <c r="E144" s="24" t="str">
        <v>REJUNTE</v>
      </c>
      <c r="F144" s="8">
        <f>B144*$C$140*G144</f>
      </c>
      <c r="G144" s="28">
        <f>H144/13</f>
      </c>
      <c r="H144" s="24">
        <f>COUNTIF(I144:AG144,"x")</f>
      </c>
      <c r="J144" s="16" t="str">
        <v/>
      </c>
      <c r="L144" s="16" t="str">
        <v/>
      </c>
      <c r="N144" s="16" t="str">
        <v/>
      </c>
      <c r="P144" s="16" t="str">
        <v/>
      </c>
      <c r="R144" s="16" t="str">
        <v/>
      </c>
      <c r="T144" s="16" t="str">
        <v/>
      </c>
      <c r="V144" s="16" t="str">
        <v/>
      </c>
      <c r="X144" s="16" t="str">
        <v/>
      </c>
      <c r="Z144" s="16" t="str">
        <v/>
      </c>
      <c r="AB144" s="16" t="str">
        <v/>
      </c>
      <c r="AD144" s="16" t="str">
        <v/>
      </c>
      <c r="AF144" s="16" t="str">
        <v/>
      </c>
      <c r="AH144" s="25">
        <v>46496</v>
      </c>
      <c r="AI144" s="25">
        <v>46512</v>
      </c>
      <c r="AL144" s="25">
        <v>46623</v>
      </c>
      <c r="AM144" s="25">
        <v>46647</v>
      </c>
      <c r="AP144" s="26" t="str">
        <v>Não iniciado</v>
      </c>
    </row>
    <row r="145">
      <c r="A145" s="29" t="str">
        <v/>
      </c>
      <c r="B145" s="29" t="str">
        <v/>
      </c>
      <c r="C145" s="29" t="str">
        <v/>
      </c>
      <c r="D145" s="29" t="str">
        <v/>
      </c>
      <c r="E145" s="30" t="str">
        <v>ACUMULADO</v>
      </c>
      <c r="F145" s="31">
        <f>SUM(F141:F144)</f>
      </c>
      <c r="G145" s="32">
        <f>$AU$2*G141+$AU$3*G142+$AU$4*G143+$AU$5*G144</f>
      </c>
      <c r="H145" s="29" t="str">
        <v/>
      </c>
      <c r="I145" s="29" t="str">
        <v/>
      </c>
      <c r="J145" s="29" t="str">
        <v/>
      </c>
      <c r="K145" s="29" t="str">
        <v/>
      </c>
      <c r="L145" s="29" t="str">
        <v/>
      </c>
      <c r="M145" s="29" t="str">
        <v/>
      </c>
      <c r="N145" s="29" t="str">
        <v/>
      </c>
      <c r="O145" s="29" t="str">
        <v/>
      </c>
      <c r="P145" s="29" t="str">
        <v/>
      </c>
      <c r="Q145" s="29" t="str">
        <v/>
      </c>
      <c r="R145" s="29" t="str">
        <v/>
      </c>
      <c r="S145" s="29" t="str">
        <v/>
      </c>
      <c r="T145" s="29" t="str">
        <v/>
      </c>
      <c r="U145" s="29" t="str">
        <v/>
      </c>
      <c r="V145" s="29" t="str">
        <v/>
      </c>
      <c r="W145" s="29" t="str">
        <v/>
      </c>
      <c r="X145" s="29" t="str">
        <v/>
      </c>
      <c r="Y145" s="29" t="str">
        <v/>
      </c>
      <c r="Z145" s="29" t="str">
        <v/>
      </c>
      <c r="AA145" s="29" t="str">
        <v/>
      </c>
      <c r="AB145" s="29" t="str">
        <v/>
      </c>
      <c r="AC145" s="29" t="str">
        <v/>
      </c>
      <c r="AD145" s="29" t="str">
        <v/>
      </c>
      <c r="AE145" s="29" t="str">
        <v/>
      </c>
      <c r="AF145" s="29" t="str">
        <v/>
      </c>
      <c r="AG145" s="29" t="str">
        <v/>
      </c>
      <c r="AH145" s="29" t="str">
        <v/>
      </c>
      <c r="AI145" s="29" t="str">
        <v/>
      </c>
      <c r="AJ145" s="29" t="str">
        <v/>
      </c>
      <c r="AK145" s="29" t="str">
        <v/>
      </c>
      <c r="AL145" s="29" t="str">
        <v/>
      </c>
      <c r="AM145" s="29" t="str">
        <v/>
      </c>
      <c r="AN145" s="29" t="str">
        <v/>
      </c>
      <c r="AO145" s="29" t="str">
        <v/>
      </c>
      <c r="AP145" s="29" t="str">
        <v/>
      </c>
    </row>
    <row r="146" xml:space="preserve">
      <c r="C146" s="8">
        <v>0.16799999999999998</v>
      </c>
      <c r="D146" s="23" t="str" xml:space="preserve">
        <v xml:space="preserve">BE 24
1ª eq. D / 2ª eq. D
pavimentos ímpares</v>
      </c>
      <c r="E146" s="24" t="str">
        <v>MONTAGEM</v>
      </c>
      <c r="I146" s="22" t="str">
        <v/>
      </c>
      <c r="J146" s="22" t="str">
        <v/>
      </c>
      <c r="K146" s="22" t="str">
        <v/>
      </c>
      <c r="L146" s="22" t="str">
        <v/>
      </c>
      <c r="M146" s="22" t="str">
        <v/>
      </c>
      <c r="N146" s="22" t="str">
        <v/>
      </c>
      <c r="O146" s="22" t="str">
        <v/>
      </c>
      <c r="P146" s="22" t="str">
        <v/>
      </c>
      <c r="Q146" s="22" t="str">
        <v/>
      </c>
      <c r="R146" s="22" t="str">
        <v/>
      </c>
      <c r="S146" s="22" t="str">
        <v/>
      </c>
      <c r="T146" s="22" t="str">
        <v/>
      </c>
      <c r="U146" s="22" t="str">
        <v/>
      </c>
      <c r="V146" s="22" t="str">
        <v/>
      </c>
      <c r="W146" s="22" t="str">
        <v/>
      </c>
      <c r="X146" s="22" t="str">
        <v/>
      </c>
      <c r="Y146" s="22" t="str">
        <v/>
      </c>
      <c r="Z146" s="22" t="str">
        <v/>
      </c>
      <c r="AA146" s="22" t="str">
        <v/>
      </c>
      <c r="AB146" s="22" t="str">
        <v/>
      </c>
      <c r="AC146" s="22" t="str">
        <v/>
      </c>
      <c r="AD146" s="22" t="str">
        <v/>
      </c>
      <c r="AE146" s="22" t="str">
        <v/>
      </c>
      <c r="AF146" s="22" t="str">
        <v/>
      </c>
      <c r="AG146" s="22" t="str">
        <v/>
      </c>
      <c r="AH146" s="25">
        <v>46519</v>
      </c>
      <c r="AI146" s="25">
        <v>46522</v>
      </c>
      <c r="AL146" s="25">
        <v>46683</v>
      </c>
      <c r="AM146" s="25">
        <v>46687</v>
      </c>
      <c r="AP146" s="26" t="str">
        <v>Não iniciado</v>
      </c>
    </row>
    <row r="147">
      <c r="B147" s="27">
        <f>$B$133*$AU$2</f>
      </c>
      <c r="E147" s="24" t="str">
        <v>LIMPEZA</v>
      </c>
      <c r="F147" s="8">
        <f>B147*$C$146*G147</f>
      </c>
      <c r="G147" s="28">
        <f>H147/12</f>
      </c>
      <c r="H147" s="24">
        <f>COUNTIF(I147:AG147,"x")</f>
      </c>
      <c r="I147" s="16" t="str">
        <v/>
      </c>
      <c r="K147" s="16" t="str">
        <v/>
      </c>
      <c r="M147" s="16" t="str">
        <v/>
      </c>
      <c r="O147" s="16" t="str">
        <v/>
      </c>
      <c r="Q147" s="16" t="str">
        <v/>
      </c>
      <c r="S147" s="16" t="str">
        <v/>
      </c>
      <c r="U147" s="16" t="str">
        <v/>
      </c>
      <c r="W147" s="16" t="str">
        <v/>
      </c>
      <c r="Y147" s="16" t="str">
        <v/>
      </c>
      <c r="AA147" s="16" t="str">
        <v/>
      </c>
      <c r="AC147" s="16" t="str">
        <v/>
      </c>
      <c r="AE147" s="16" t="str">
        <v/>
      </c>
      <c r="AG147" s="16" t="str">
        <v/>
      </c>
      <c r="AH147" s="25">
        <v>46522</v>
      </c>
      <c r="AI147" s="25">
        <v>46574</v>
      </c>
      <c r="AL147" s="25">
        <v>46687</v>
      </c>
      <c r="AM147" s="25">
        <v>46777</v>
      </c>
      <c r="AP147" s="26" t="str">
        <v>Não iniciado</v>
      </c>
    </row>
    <row r="148">
      <c r="B148" s="27">
        <f>$B$133*$AU$3</f>
      </c>
      <c r="E148" s="24" t="str">
        <v>PANO</v>
      </c>
      <c r="F148" s="8">
        <f>B148*$C$146*G148</f>
      </c>
      <c r="G148" s="28">
        <f>H148/12</f>
      </c>
      <c r="H148" s="24">
        <f>COUNTIF(I148:AG148,"x")</f>
      </c>
      <c r="I148" s="16" t="str">
        <v/>
      </c>
      <c r="K148" s="16" t="str">
        <v/>
      </c>
      <c r="M148" s="16" t="str">
        <v/>
      </c>
      <c r="O148" s="16" t="str">
        <v/>
      </c>
      <c r="Q148" s="16" t="str">
        <v/>
      </c>
      <c r="S148" s="16" t="str">
        <v/>
      </c>
      <c r="U148" s="16" t="str">
        <v/>
      </c>
      <c r="W148" s="16" t="str">
        <v/>
      </c>
      <c r="Y148" s="16" t="str">
        <v/>
      </c>
      <c r="AA148" s="16" t="str">
        <v/>
      </c>
      <c r="AC148" s="16" t="str">
        <v/>
      </c>
      <c r="AE148" s="16" t="str">
        <v/>
      </c>
      <c r="AG148" s="16" t="str">
        <v/>
      </c>
      <c r="AH148" s="25">
        <v>46522</v>
      </c>
      <c r="AI148" s="25">
        <v>46574</v>
      </c>
      <c r="AL148" s="25">
        <v>46687</v>
      </c>
      <c r="AM148" s="25">
        <v>46777</v>
      </c>
      <c r="AP148" s="26" t="str">
        <v>Não iniciado</v>
      </c>
    </row>
    <row r="149">
      <c r="B149" s="27">
        <f>$B$133*$AU$4</f>
      </c>
      <c r="E149" s="24" t="str">
        <v>REQUADRO</v>
      </c>
      <c r="F149" s="8">
        <f>B149*$C$146*G149</f>
      </c>
      <c r="G149" s="28">
        <f>H149/12</f>
      </c>
      <c r="H149" s="24">
        <f>COUNTIF(I149:AG149,"x")</f>
      </c>
      <c r="I149" s="16" t="str">
        <v/>
      </c>
      <c r="K149" s="16" t="str">
        <v/>
      </c>
      <c r="M149" s="16" t="str">
        <v/>
      </c>
      <c r="O149" s="16" t="str">
        <v/>
      </c>
      <c r="Q149" s="16" t="str">
        <v/>
      </c>
      <c r="S149" s="16" t="str">
        <v/>
      </c>
      <c r="U149" s="16" t="str">
        <v/>
      </c>
      <c r="W149" s="16" t="str">
        <v/>
      </c>
      <c r="Y149" s="16" t="str">
        <v/>
      </c>
      <c r="AA149" s="16" t="str">
        <v/>
      </c>
      <c r="AC149" s="16" t="str">
        <v/>
      </c>
      <c r="AE149" s="16" t="str">
        <v/>
      </c>
      <c r="AG149" s="16" t="str">
        <v/>
      </c>
      <c r="AH149" s="25">
        <v>46522</v>
      </c>
      <c r="AI149" s="25">
        <v>46574</v>
      </c>
      <c r="AL149" s="25">
        <v>46687</v>
      </c>
      <c r="AM149" s="25">
        <v>46777</v>
      </c>
      <c r="AP149" s="26" t="str">
        <v>Não iniciado</v>
      </c>
    </row>
    <row r="150">
      <c r="B150" s="27">
        <f>$B$133*$AU$5</f>
      </c>
      <c r="E150" s="24" t="str">
        <v>REJUNTE</v>
      </c>
      <c r="F150" s="8">
        <f>B150*$C$146*G150</f>
      </c>
      <c r="G150" s="28">
        <f>H150/12</f>
      </c>
      <c r="H150" s="24">
        <f>COUNTIF(I150:AG150,"x")</f>
      </c>
      <c r="I150" s="16" t="str">
        <v/>
      </c>
      <c r="K150" s="16" t="str">
        <v/>
      </c>
      <c r="M150" s="16" t="str">
        <v/>
      </c>
      <c r="O150" s="16" t="str">
        <v/>
      </c>
      <c r="Q150" s="16" t="str">
        <v/>
      </c>
      <c r="S150" s="16" t="str">
        <v/>
      </c>
      <c r="U150" s="16" t="str">
        <v/>
      </c>
      <c r="W150" s="16" t="str">
        <v/>
      </c>
      <c r="Y150" s="16" t="str">
        <v/>
      </c>
      <c r="AA150" s="16" t="str">
        <v/>
      </c>
      <c r="AC150" s="16" t="str">
        <v/>
      </c>
      <c r="AE150" s="16" t="str">
        <v/>
      </c>
      <c r="AG150" s="16" t="str">
        <v/>
      </c>
      <c r="AH150" s="25">
        <v>46522</v>
      </c>
      <c r="AI150" s="25">
        <v>46574</v>
      </c>
      <c r="AL150" s="25">
        <v>46687</v>
      </c>
      <c r="AM150" s="25">
        <v>46777</v>
      </c>
      <c r="AP150" s="26" t="str">
        <v>Não iniciado</v>
      </c>
    </row>
    <row r="151">
      <c r="A151" s="29" t="str">
        <v/>
      </c>
      <c r="B151" s="29" t="str">
        <v/>
      </c>
      <c r="C151" s="29" t="str">
        <v/>
      </c>
      <c r="D151" s="29" t="str">
        <v/>
      </c>
      <c r="E151" s="30" t="str">
        <v>ACUMULADO</v>
      </c>
      <c r="F151" s="31">
        <f>SUM(F147:F150)</f>
      </c>
      <c r="G151" s="32">
        <f>$AU$2*G147+$AU$3*G148+$AU$4*G149+$AU$5*G150</f>
      </c>
      <c r="H151" s="29" t="str">
        <v/>
      </c>
      <c r="I151" s="29" t="str">
        <v/>
      </c>
      <c r="J151" s="29" t="str">
        <v/>
      </c>
      <c r="K151" s="29" t="str">
        <v/>
      </c>
      <c r="L151" s="29" t="str">
        <v/>
      </c>
      <c r="M151" s="29" t="str">
        <v/>
      </c>
      <c r="N151" s="29" t="str">
        <v/>
      </c>
      <c r="O151" s="29" t="str">
        <v/>
      </c>
      <c r="P151" s="29" t="str">
        <v/>
      </c>
      <c r="Q151" s="29" t="str">
        <v/>
      </c>
      <c r="R151" s="29" t="str">
        <v/>
      </c>
      <c r="S151" s="29" t="str">
        <v/>
      </c>
      <c r="T151" s="29" t="str">
        <v/>
      </c>
      <c r="U151" s="29" t="str">
        <v/>
      </c>
      <c r="V151" s="29" t="str">
        <v/>
      </c>
      <c r="W151" s="29" t="str">
        <v/>
      </c>
      <c r="X151" s="29" t="str">
        <v/>
      </c>
      <c r="Y151" s="29" t="str">
        <v/>
      </c>
      <c r="Z151" s="29" t="str">
        <v/>
      </c>
      <c r="AA151" s="29" t="str">
        <v/>
      </c>
      <c r="AB151" s="29" t="str">
        <v/>
      </c>
      <c r="AC151" s="29" t="str">
        <v/>
      </c>
      <c r="AD151" s="29" t="str">
        <v/>
      </c>
      <c r="AE151" s="29" t="str">
        <v/>
      </c>
      <c r="AF151" s="29" t="str">
        <v/>
      </c>
      <c r="AG151" s="29" t="str">
        <v/>
      </c>
      <c r="AH151" s="29" t="str">
        <v/>
      </c>
      <c r="AI151" s="29" t="str">
        <v/>
      </c>
      <c r="AJ151" s="29" t="str">
        <v/>
      </c>
      <c r="AK151" s="29" t="str">
        <v/>
      </c>
      <c r="AL151" s="29" t="str">
        <v/>
      </c>
      <c r="AM151" s="29" t="str">
        <v/>
      </c>
      <c r="AN151" s="29" t="str">
        <v/>
      </c>
      <c r="AO151" s="29" t="str">
        <v/>
      </c>
      <c r="AP151" s="29" t="str">
        <v/>
      </c>
    </row>
    <row r="152" xml:space="preserve">
      <c r="C152" s="8">
        <v>0.35</v>
      </c>
      <c r="D152" s="23" t="str" xml:space="preserve">
        <v xml:space="preserve">BE 18
1ª eq. F / 2ª eq. G</v>
      </c>
      <c r="E152" s="24" t="str">
        <v>MONTAGEM</v>
      </c>
      <c r="I152" s="22" t="str">
        <v/>
      </c>
      <c r="J152" s="22" t="str">
        <v/>
      </c>
      <c r="K152" s="22" t="str">
        <v/>
      </c>
      <c r="L152" s="22" t="str">
        <v/>
      </c>
      <c r="M152" s="22" t="str">
        <v/>
      </c>
      <c r="N152" s="22" t="str">
        <v/>
      </c>
      <c r="O152" s="22" t="str">
        <v/>
      </c>
      <c r="P152" s="22" t="str">
        <v/>
      </c>
      <c r="Q152" s="22" t="str">
        <v/>
      </c>
      <c r="R152" s="22" t="str">
        <v/>
      </c>
      <c r="S152" s="22" t="str">
        <v/>
      </c>
      <c r="T152" s="22" t="str">
        <v/>
      </c>
      <c r="U152" s="22" t="str">
        <v/>
      </c>
      <c r="V152" s="22" t="str">
        <v/>
      </c>
      <c r="W152" s="22" t="str">
        <v/>
      </c>
      <c r="X152" s="22" t="str">
        <v/>
      </c>
      <c r="Y152" s="22" t="str">
        <v/>
      </c>
      <c r="Z152" s="22" t="str">
        <v/>
      </c>
      <c r="AA152" s="22" t="str">
        <v/>
      </c>
      <c r="AB152" s="22" t="str">
        <v/>
      </c>
      <c r="AC152" s="22" t="str">
        <v/>
      </c>
      <c r="AD152" s="22" t="str">
        <v/>
      </c>
      <c r="AE152" s="22" t="str">
        <v/>
      </c>
      <c r="AF152" s="22" t="str">
        <v/>
      </c>
      <c r="AG152" s="22" t="str">
        <v/>
      </c>
      <c r="AH152" s="25">
        <v>46459</v>
      </c>
      <c r="AI152" s="25">
        <v>46463</v>
      </c>
      <c r="AL152" s="25">
        <v>46598</v>
      </c>
      <c r="AM152" s="25">
        <v>46602</v>
      </c>
      <c r="AP152" s="26" t="str">
        <v>Não iniciado</v>
      </c>
    </row>
    <row r="153">
      <c r="B153" s="27">
        <f>$B$133*$AU$2</f>
      </c>
      <c r="E153" s="24" t="str">
        <v>LIMPEZA</v>
      </c>
      <c r="F153" s="8">
        <f>B153*$C$152*G153</f>
      </c>
      <c r="G153" s="28">
        <f>H153/25</f>
      </c>
      <c r="H153" s="24">
        <f>COUNTIF(I153:AG153,"x")</f>
      </c>
      <c r="AH153" s="25">
        <v>46463</v>
      </c>
      <c r="AI153" s="25">
        <v>46569</v>
      </c>
      <c r="AL153" s="25">
        <v>46602</v>
      </c>
      <c r="AM153" s="25">
        <v>46776</v>
      </c>
      <c r="AP153" s="26" t="str">
        <v>Não iniciado</v>
      </c>
    </row>
    <row r="154">
      <c r="B154" s="27">
        <f>$B$133*$AU$3</f>
      </c>
      <c r="E154" s="24" t="str">
        <v>PANO</v>
      </c>
      <c r="F154" s="8">
        <f>B154*$C$152*G154</f>
      </c>
      <c r="G154" s="28">
        <f>H154/25</f>
      </c>
      <c r="H154" s="24">
        <f>COUNTIF(I154:AG154,"x")</f>
      </c>
      <c r="AH154" s="25">
        <v>46463</v>
      </c>
      <c r="AI154" s="25">
        <v>46569</v>
      </c>
      <c r="AL154" s="25">
        <v>46602</v>
      </c>
      <c r="AM154" s="25">
        <v>46776</v>
      </c>
      <c r="AP154" s="26" t="str">
        <v>Não iniciado</v>
      </c>
    </row>
    <row r="155">
      <c r="B155" s="27">
        <f>$B$133*$AU$4</f>
      </c>
      <c r="E155" s="24" t="str">
        <v>REQUADRO</v>
      </c>
      <c r="F155" s="8">
        <f>B155*$C$152*G155</f>
      </c>
      <c r="G155" s="28">
        <f>H155/25</f>
      </c>
      <c r="H155" s="24">
        <f>COUNTIF(I155:AG155,"x")</f>
      </c>
      <c r="AH155" s="25">
        <v>46463</v>
      </c>
      <c r="AI155" s="25">
        <v>46569</v>
      </c>
      <c r="AL155" s="25">
        <v>46602</v>
      </c>
      <c r="AM155" s="25">
        <v>46776</v>
      </c>
      <c r="AP155" s="26" t="str">
        <v>Não iniciado</v>
      </c>
    </row>
    <row r="156">
      <c r="B156" s="27">
        <f>$B$133*$AU$5</f>
      </c>
      <c r="E156" s="24" t="str">
        <v>REJUNTE</v>
      </c>
      <c r="F156" s="8">
        <f>B156*$C$152*G156</f>
      </c>
      <c r="G156" s="28">
        <f>H156/25</f>
      </c>
      <c r="H156" s="24">
        <f>COUNTIF(I156:AG156,"x")</f>
      </c>
      <c r="AH156" s="25">
        <v>46463</v>
      </c>
      <c r="AI156" s="25">
        <v>46569</v>
      </c>
      <c r="AL156" s="25">
        <v>46602</v>
      </c>
      <c r="AM156" s="25">
        <v>46776</v>
      </c>
      <c r="AP156" s="26" t="str">
        <v>Não iniciado</v>
      </c>
    </row>
    <row r="157">
      <c r="A157" s="29" t="str">
        <v/>
      </c>
      <c r="B157" s="29" t="str">
        <v/>
      </c>
      <c r="C157" s="29" t="str">
        <v/>
      </c>
      <c r="D157" s="29" t="str">
        <v/>
      </c>
      <c r="E157" s="30" t="str">
        <v>ACUMULADO</v>
      </c>
      <c r="F157" s="31">
        <f>SUM(F153:F156)</f>
      </c>
      <c r="G157" s="32">
        <f>$AU$2*G153+$AU$3*G154+$AU$4*G155+$AU$5*G156</f>
      </c>
      <c r="H157" s="29" t="str">
        <v/>
      </c>
      <c r="I157" s="29" t="str">
        <v/>
      </c>
      <c r="J157" s="29" t="str">
        <v/>
      </c>
      <c r="K157" s="29" t="str">
        <v/>
      </c>
      <c r="L157" s="29" t="str">
        <v/>
      </c>
      <c r="M157" s="29" t="str">
        <v/>
      </c>
      <c r="N157" s="29" t="str">
        <v/>
      </c>
      <c r="O157" s="29" t="str">
        <v/>
      </c>
      <c r="P157" s="29" t="str">
        <v/>
      </c>
      <c r="Q157" s="29" t="str">
        <v/>
      </c>
      <c r="R157" s="29" t="str">
        <v/>
      </c>
      <c r="S157" s="29" t="str">
        <v/>
      </c>
      <c r="T157" s="29" t="str">
        <v/>
      </c>
      <c r="U157" s="29" t="str">
        <v/>
      </c>
      <c r="V157" s="29" t="str">
        <v/>
      </c>
      <c r="W157" s="29" t="str">
        <v/>
      </c>
      <c r="X157" s="29" t="str">
        <v/>
      </c>
      <c r="Y157" s="29" t="str">
        <v/>
      </c>
      <c r="Z157" s="29" t="str">
        <v/>
      </c>
      <c r="AA157" s="29" t="str">
        <v/>
      </c>
      <c r="AB157" s="29" t="str">
        <v/>
      </c>
      <c r="AC157" s="29" t="str">
        <v/>
      </c>
      <c r="AD157" s="29" t="str">
        <v/>
      </c>
      <c r="AE157" s="29" t="str">
        <v/>
      </c>
      <c r="AF157" s="29" t="str">
        <v/>
      </c>
      <c r="AG157" s="29" t="str">
        <v/>
      </c>
      <c r="AH157" s="29" t="str">
        <v/>
      </c>
      <c r="AI157" s="29" t="str">
        <v/>
      </c>
      <c r="AJ157" s="29" t="str">
        <v/>
      </c>
      <c r="AK157" s="29" t="str">
        <v/>
      </c>
      <c r="AL157" s="29" t="str">
        <v/>
      </c>
      <c r="AM157" s="29" t="str">
        <v/>
      </c>
      <c r="AN157" s="29" t="str">
        <v/>
      </c>
      <c r="AO157" s="29" t="str">
        <v/>
      </c>
      <c r="AP157" s="29" t="str">
        <v/>
      </c>
    </row>
    <row r="158" xml:space="preserve">
      <c r="C158" s="8">
        <v>0.3</v>
      </c>
      <c r="D158" s="23" t="str" xml:space="preserve">
        <v xml:space="preserve">BE 19
1ª eq. E / 2ª eq. C</v>
      </c>
      <c r="E158" s="24" t="str">
        <v>MONTAGEM</v>
      </c>
      <c r="I158" s="22" t="str">
        <v/>
      </c>
      <c r="J158" s="22" t="str">
        <v/>
      </c>
      <c r="K158" s="22" t="str">
        <v/>
      </c>
      <c r="L158" s="22" t="str">
        <v/>
      </c>
      <c r="M158" s="22" t="str">
        <v/>
      </c>
      <c r="N158" s="22" t="str">
        <v/>
      </c>
      <c r="O158" s="22" t="str">
        <v/>
      </c>
      <c r="P158" s="22" t="str">
        <v/>
      </c>
      <c r="Q158" s="22" t="str">
        <v/>
      </c>
      <c r="R158" s="22" t="str">
        <v/>
      </c>
      <c r="S158" s="22" t="str">
        <v/>
      </c>
      <c r="T158" s="22" t="str">
        <v/>
      </c>
      <c r="U158" s="22" t="str">
        <v/>
      </c>
      <c r="V158" s="22" t="str">
        <v/>
      </c>
      <c r="W158" s="22" t="str">
        <v/>
      </c>
      <c r="X158" s="22" t="str">
        <v/>
      </c>
      <c r="Y158" s="22" t="str">
        <v/>
      </c>
      <c r="Z158" s="22" t="str">
        <v/>
      </c>
      <c r="AA158" s="22" t="str">
        <v/>
      </c>
      <c r="AB158" s="22" t="str">
        <v/>
      </c>
      <c r="AC158" s="22" t="str">
        <v/>
      </c>
      <c r="AD158" s="22" t="str">
        <v/>
      </c>
      <c r="AE158" s="22" t="str">
        <v/>
      </c>
      <c r="AF158" s="22" t="str">
        <v/>
      </c>
      <c r="AG158" s="22" t="str">
        <v/>
      </c>
      <c r="AH158" s="25">
        <v>46471</v>
      </c>
      <c r="AI158" s="25">
        <v>46476</v>
      </c>
      <c r="AL158" s="25">
        <v>46611</v>
      </c>
      <c r="AM158" s="25">
        <v>46615</v>
      </c>
      <c r="AP158" s="26" t="str">
        <v>Não iniciado</v>
      </c>
    </row>
    <row r="159">
      <c r="B159" s="27">
        <f>$B$133*$AU$2</f>
      </c>
      <c r="E159" s="24" t="str">
        <v>LIMPEZA</v>
      </c>
      <c r="F159" s="8">
        <f>B159*$C$158*G159</f>
      </c>
      <c r="G159" s="28">
        <f>H159/25</f>
      </c>
      <c r="H159" s="24">
        <f>COUNTIF(I159:AG159,"x")</f>
      </c>
      <c r="AH159" s="25">
        <v>46476</v>
      </c>
      <c r="AI159" s="25">
        <v>46567</v>
      </c>
      <c r="AL159" s="25">
        <v>46615</v>
      </c>
      <c r="AM159" s="25">
        <v>46766</v>
      </c>
      <c r="AP159" s="26" t="str">
        <v>Não iniciado</v>
      </c>
    </row>
    <row r="160">
      <c r="B160" s="27">
        <f>$B$133*$AU$3</f>
      </c>
      <c r="E160" s="24" t="str">
        <v>PANO</v>
      </c>
      <c r="F160" s="8">
        <f>B160*$C$158*G160</f>
      </c>
      <c r="G160" s="28">
        <f>H160/25</f>
      </c>
      <c r="H160" s="24">
        <f>COUNTIF(I160:AG160,"x")</f>
      </c>
      <c r="AH160" s="25">
        <v>46476</v>
      </c>
      <c r="AI160" s="25">
        <v>46567</v>
      </c>
      <c r="AL160" s="25">
        <v>46615</v>
      </c>
      <c r="AM160" s="25">
        <v>46766</v>
      </c>
      <c r="AP160" s="26" t="str">
        <v>Não iniciado</v>
      </c>
    </row>
    <row r="161">
      <c r="B161" s="27">
        <f>$B$133*$AU$4</f>
      </c>
      <c r="E161" s="24" t="str">
        <v>REQUADRO</v>
      </c>
      <c r="F161" s="8">
        <f>B161*$C$158*G161</f>
      </c>
      <c r="G161" s="28">
        <f>H161/25</f>
      </c>
      <c r="H161" s="24">
        <f>COUNTIF(I161:AG161,"x")</f>
      </c>
      <c r="AH161" s="25">
        <v>46476</v>
      </c>
      <c r="AI161" s="25">
        <v>46567</v>
      </c>
      <c r="AL161" s="25">
        <v>46615</v>
      </c>
      <c r="AM161" s="25">
        <v>46766</v>
      </c>
      <c r="AP161" s="26" t="str">
        <v>Não iniciado</v>
      </c>
    </row>
    <row r="162">
      <c r="B162" s="27">
        <f>$B$133*$AU$5</f>
      </c>
      <c r="E162" s="24" t="str">
        <v>REJUNTE</v>
      </c>
      <c r="F162" s="8">
        <f>B162*$C$158*G162</f>
      </c>
      <c r="G162" s="28">
        <f>H162/25</f>
      </c>
      <c r="H162" s="24">
        <f>COUNTIF(I162:AG162,"x")</f>
      </c>
      <c r="AH162" s="25">
        <v>46476</v>
      </c>
      <c r="AI162" s="25">
        <v>46567</v>
      </c>
      <c r="AL162" s="25">
        <v>46615</v>
      </c>
      <c r="AM162" s="25">
        <v>46766</v>
      </c>
      <c r="AP162" s="26" t="str">
        <v>Não iniciado</v>
      </c>
    </row>
    <row r="163">
      <c r="A163" s="29" t="str">
        <v/>
      </c>
      <c r="B163" s="29" t="str">
        <v/>
      </c>
      <c r="C163" s="29" t="str">
        <v/>
      </c>
      <c r="D163" s="29" t="str">
        <v/>
      </c>
      <c r="E163" s="30" t="str">
        <v>ACUMULADO</v>
      </c>
      <c r="F163" s="31">
        <f>SUM(F159:F162)</f>
      </c>
      <c r="G163" s="32">
        <f>$AU$2*G159+$AU$3*G160+$AU$4*G161+$AU$5*G162</f>
      </c>
      <c r="H163" s="29" t="str">
        <v/>
      </c>
      <c r="I163" s="29" t="str">
        <v/>
      </c>
      <c r="J163" s="29" t="str">
        <v/>
      </c>
      <c r="K163" s="29" t="str">
        <v/>
      </c>
      <c r="L163" s="29" t="str">
        <v/>
      </c>
      <c r="M163" s="29" t="str">
        <v/>
      </c>
      <c r="N163" s="29" t="str">
        <v/>
      </c>
      <c r="O163" s="29" t="str">
        <v/>
      </c>
      <c r="P163" s="29" t="str">
        <v/>
      </c>
      <c r="Q163" s="29" t="str">
        <v/>
      </c>
      <c r="R163" s="29" t="str">
        <v/>
      </c>
      <c r="S163" s="29" t="str">
        <v/>
      </c>
      <c r="T163" s="29" t="str">
        <v/>
      </c>
      <c r="U163" s="29" t="str">
        <v/>
      </c>
      <c r="V163" s="29" t="str">
        <v/>
      </c>
      <c r="W163" s="29" t="str">
        <v/>
      </c>
      <c r="X163" s="29" t="str">
        <v/>
      </c>
      <c r="Y163" s="29" t="str">
        <v/>
      </c>
      <c r="Z163" s="29" t="str">
        <v/>
      </c>
      <c r="AA163" s="29" t="str">
        <v/>
      </c>
      <c r="AB163" s="29" t="str">
        <v/>
      </c>
      <c r="AC163" s="29" t="str">
        <v/>
      </c>
      <c r="AD163" s="29" t="str">
        <v/>
      </c>
      <c r="AE163" s="29" t="str">
        <v/>
      </c>
      <c r="AF163" s="29" t="str">
        <v/>
      </c>
      <c r="AG163" s="29" t="str">
        <v/>
      </c>
      <c r="AH163" s="29" t="str">
        <v/>
      </c>
      <c r="AI163" s="29" t="str">
        <v/>
      </c>
      <c r="AJ163" s="29" t="str">
        <v/>
      </c>
      <c r="AK163" s="29" t="str">
        <v/>
      </c>
      <c r="AL163" s="29" t="str">
        <v/>
      </c>
      <c r="AM163" s="29" t="str">
        <v/>
      </c>
      <c r="AN163" s="29" t="str">
        <v/>
      </c>
      <c r="AO163" s="29" t="str">
        <v/>
      </c>
      <c r="AP163" s="29" t="str">
        <v/>
      </c>
    </row>
    <row r="164">
      <c r="A164" s="29" t="str">
        <v/>
      </c>
      <c r="B164" s="33" t="str">
        <v>ACUMULADO FACHADA LATERAL ESQUERDA</v>
      </c>
      <c r="C164" s="29" t="str">
        <v/>
      </c>
      <c r="D164" s="29" t="str">
        <v/>
      </c>
      <c r="E164" s="29" t="str">
        <v/>
      </c>
      <c r="F164" s="31">
        <f>F139+F145+F151+F157+F163</f>
      </c>
      <c r="G164" s="32">
        <f>C134*G139+C140*G145+C146*G151+C152*G157+C158*G163</f>
      </c>
      <c r="H164" s="29" t="str">
        <v/>
      </c>
      <c r="I164" s="29" t="str">
        <v/>
      </c>
      <c r="J164" s="29" t="str">
        <v/>
      </c>
      <c r="K164" s="29" t="str">
        <v/>
      </c>
      <c r="L164" s="29" t="str">
        <v/>
      </c>
      <c r="M164" s="29" t="str">
        <v/>
      </c>
      <c r="N164" s="29" t="str">
        <v/>
      </c>
      <c r="O164" s="29" t="str">
        <v/>
      </c>
      <c r="P164" s="29" t="str">
        <v/>
      </c>
      <c r="Q164" s="29" t="str">
        <v/>
      </c>
      <c r="R164" s="29" t="str">
        <v/>
      </c>
      <c r="S164" s="29" t="str">
        <v/>
      </c>
      <c r="T164" s="29" t="str">
        <v/>
      </c>
      <c r="U164" s="29" t="str">
        <v/>
      </c>
      <c r="V164" s="29" t="str">
        <v/>
      </c>
      <c r="W164" s="29" t="str">
        <v/>
      </c>
      <c r="X164" s="29" t="str">
        <v/>
      </c>
      <c r="Y164" s="29" t="str">
        <v/>
      </c>
      <c r="Z164" s="29" t="str">
        <v/>
      </c>
      <c r="AA164" s="29" t="str">
        <v/>
      </c>
      <c r="AB164" s="29" t="str">
        <v/>
      </c>
      <c r="AC164" s="29" t="str">
        <v/>
      </c>
      <c r="AD164" s="29" t="str">
        <v/>
      </c>
      <c r="AE164" s="29" t="str">
        <v/>
      </c>
      <c r="AF164" s="29" t="str">
        <v/>
      </c>
      <c r="AG164" s="29" t="str">
        <v/>
      </c>
      <c r="AH164" s="29" t="str">
        <v/>
      </c>
      <c r="AI164" s="29" t="str">
        <v/>
      </c>
      <c r="AJ164" s="29" t="str">
        <v/>
      </c>
      <c r="AK164" s="29" t="str">
        <v/>
      </c>
      <c r="AL164" s="29" t="str">
        <v/>
      </c>
      <c r="AM164" s="29" t="str">
        <v/>
      </c>
      <c r="AN164" s="29" t="str">
        <v/>
      </c>
      <c r="AO164" s="29" t="str">
        <v/>
      </c>
      <c r="AP164" s="29" t="str">
        <v/>
      </c>
    </row>
    <row r="167">
      <c r="A167" s="34" t="str">
        <v>PREVISION - TORRE (ED. JARDIM)</v>
      </c>
      <c r="B167" s="35" t="str">
        <v/>
      </c>
      <c r="C167" s="18" t="str">
        <v>PESO</v>
      </c>
      <c r="D167" s="17" t="str">
        <v>AVANÇO</v>
      </c>
      <c r="E167" s="17" t="str">
        <v>PREVISTO NA DATA</v>
      </c>
    </row>
    <row r="168">
      <c r="A168" s="7" t="str">
        <v>FACHADA POSTERIOR</v>
      </c>
      <c r="C168" s="8">
        <f>B10</f>
      </c>
      <c r="D168" s="8">
        <f>G47</f>
      </c>
      <c r="E168" s="8">
        <v>0</v>
      </c>
    </row>
    <row r="169">
      <c r="A169" s="7" t="str">
        <v>FACHADA LATERAL DIREITA</v>
      </c>
      <c r="C169" s="8">
        <f>B49</f>
      </c>
      <c r="D169" s="8">
        <f>G68</f>
      </c>
      <c r="E169" s="8">
        <v>0</v>
      </c>
    </row>
    <row r="170">
      <c r="A170" s="7" t="str">
        <v>FACHADA FRONTAL</v>
      </c>
      <c r="C170" s="8">
        <f>B70</f>
      </c>
      <c r="D170" s="8">
        <f>G131</f>
      </c>
      <c r="E170" s="8">
        <v>0</v>
      </c>
    </row>
    <row r="171">
      <c r="A171" s="7" t="str">
        <v>FACHADA LATERAL ESQUERDA</v>
      </c>
      <c r="C171" s="8">
        <f>B133</f>
      </c>
      <c r="D171" s="8">
        <f>G164</f>
      </c>
      <c r="E171" s="8">
        <v>0</v>
      </c>
    </row>
    <row r="172">
      <c r="A172" s="36" t="str">
        <v>AVANÇO ACUMULADO</v>
      </c>
      <c r="B172" s="37" t="str">
        <v/>
      </c>
      <c r="C172" s="31">
        <f>SUM(C168:C171)</f>
      </c>
      <c r="D172" s="31">
        <f>SUMPRODUCT(C168:C171,D168:D171)</f>
      </c>
      <c r="E172" s="31">
        <f>SUMPRODUCT(C168:C171,E168:E171)</f>
      </c>
    </row>
    <row r="174">
      <c r="A174" s="38" t="str">
        <v>Pesos das fachadas: aba "Aux. Dados JARDIM" (pano sem Verde Ubatuba). Peso do balancim = comprimento ÷ soma da fachada; nas zonas par/ímpar, proporcional aos pavimentos executados. Previsto na data: cronograma do Estudo de Fachada (R12), avanço linear em dias úteis.</v>
      </c>
    </row>
  </sheetData>
  <mergeCells count="101">
    <mergeCell ref="A1:H1"/>
    <mergeCell ref="A3:H3"/>
    <mergeCell ref="A7:A9"/>
    <mergeCell ref="B7:B9"/>
    <mergeCell ref="C7:C9"/>
    <mergeCell ref="D7:D9"/>
    <mergeCell ref="E7:E9"/>
    <mergeCell ref="F7:F9"/>
    <mergeCell ref="G7:G9"/>
    <mergeCell ref="H7:H9"/>
    <mergeCell ref="I7:AG8"/>
    <mergeCell ref="AH7:AK7"/>
    <mergeCell ref="AH8:AI8"/>
    <mergeCell ref="AJ8:AK8"/>
    <mergeCell ref="AL7:AO7"/>
    <mergeCell ref="AL8:AM8"/>
    <mergeCell ref="AN8:AO8"/>
    <mergeCell ref="AP7:AP9"/>
    <mergeCell ref="C11:C16"/>
    <mergeCell ref="D11:D16"/>
    <mergeCell ref="A11:A16"/>
    <mergeCell ref="C17:C22"/>
    <mergeCell ref="D17:D22"/>
    <mergeCell ref="A17:A22"/>
    <mergeCell ref="C23:C28"/>
    <mergeCell ref="D23:D28"/>
    <mergeCell ref="A23:A28"/>
    <mergeCell ref="C29:C34"/>
    <mergeCell ref="D29:D34"/>
    <mergeCell ref="A29:A34"/>
    <mergeCell ref="C35:C40"/>
    <mergeCell ref="D35:D40"/>
    <mergeCell ref="A35:A40"/>
    <mergeCell ref="C41:C46"/>
    <mergeCell ref="D41:D46"/>
    <mergeCell ref="A41:A46"/>
    <mergeCell ref="B47:E47"/>
    <mergeCell ref="C50:C55"/>
    <mergeCell ref="D50:D55"/>
    <mergeCell ref="A50:A55"/>
    <mergeCell ref="C56:C61"/>
    <mergeCell ref="D56:D61"/>
    <mergeCell ref="A56:A61"/>
    <mergeCell ref="C62:C67"/>
    <mergeCell ref="D62:D67"/>
    <mergeCell ref="A62:A67"/>
    <mergeCell ref="B68:E68"/>
    <mergeCell ref="C71:C76"/>
    <mergeCell ref="D71:D76"/>
    <mergeCell ref="A71:A76"/>
    <mergeCell ref="C77:C82"/>
    <mergeCell ref="D77:D82"/>
    <mergeCell ref="A77:A82"/>
    <mergeCell ref="C83:C88"/>
    <mergeCell ref="D83:D88"/>
    <mergeCell ref="A83:A88"/>
    <mergeCell ref="C89:C94"/>
    <mergeCell ref="D89:D94"/>
    <mergeCell ref="A89:A94"/>
    <mergeCell ref="C95:C100"/>
    <mergeCell ref="D95:D100"/>
    <mergeCell ref="A95:A100"/>
    <mergeCell ref="C101:C106"/>
    <mergeCell ref="D101:D106"/>
    <mergeCell ref="A101:A106"/>
    <mergeCell ref="C107:C112"/>
    <mergeCell ref="D107:D112"/>
    <mergeCell ref="A107:A112"/>
    <mergeCell ref="C113:C118"/>
    <mergeCell ref="D113:D118"/>
    <mergeCell ref="A113:A118"/>
    <mergeCell ref="C119:C124"/>
    <mergeCell ref="D119:D124"/>
    <mergeCell ref="A119:A124"/>
    <mergeCell ref="C125:C130"/>
    <mergeCell ref="D125:D130"/>
    <mergeCell ref="A125:A130"/>
    <mergeCell ref="B131:E131"/>
    <mergeCell ref="C134:C139"/>
    <mergeCell ref="D134:D139"/>
    <mergeCell ref="A134:A139"/>
    <mergeCell ref="C140:C145"/>
    <mergeCell ref="D140:D145"/>
    <mergeCell ref="A140:A145"/>
    <mergeCell ref="C146:C151"/>
    <mergeCell ref="D146:D151"/>
    <mergeCell ref="A146:A151"/>
    <mergeCell ref="C152:C157"/>
    <mergeCell ref="D152:D157"/>
    <mergeCell ref="A152:A157"/>
    <mergeCell ref="C158:C163"/>
    <mergeCell ref="D158:D163"/>
    <mergeCell ref="A158:A163"/>
    <mergeCell ref="B164:E164"/>
    <mergeCell ref="A167:B167"/>
    <mergeCell ref="A168:B168"/>
    <mergeCell ref="A169:B169"/>
    <mergeCell ref="A170:B170"/>
    <mergeCell ref="A171:B171"/>
    <mergeCell ref="A172:B172"/>
    <mergeCell ref="A174:AG174"/>
  </mergeCells>
  <conditionalFormatting sqref="I10:AG173">
    <cfRule type="cellIs" dxfId="0" priority="1" operator="equal">
      <formula>"x"</formula>
    </cfRule>
  </conditionalFormatting>
  <ignoredErrors>
    <ignoredError numberStoredAsText="1" sqref="A1:AU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6.83203125" customWidth="1"/>
    <col min="2" max="2" width="22.83203125" customWidth="1"/>
    <col min="3" max="3" width="15.83203125" customWidth="1"/>
    <col min="4" max="4" width="11.83203125" customWidth="1"/>
    <col min="5" max="5" width="13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10.83203125" customWidth="1"/>
  </cols>
  <sheetData>
    <row r="1">
      <c r="A1" s="39" t="str">
        <v>Fachada</v>
      </c>
      <c r="B1" s="39" t="str">
        <v>Peso</v>
      </c>
    </row>
    <row r="2">
      <c r="A2" s="40" t="str">
        <v>Fachada Posterior</v>
      </c>
      <c r="B2" s="41">
        <v>0.39218578340775806</v>
      </c>
    </row>
    <row r="3">
      <c r="A3" s="40" t="str">
        <v>Fachada Lateral Direita</v>
      </c>
      <c r="B3" s="41">
        <v>0.1573448291262336</v>
      </c>
    </row>
    <row r="4">
      <c r="A4" s="40" t="str">
        <v>Fachada Frontal</v>
      </c>
      <c r="B4" s="41">
        <v>0.1767069852218012</v>
      </c>
    </row>
    <row r="5">
      <c r="A5" s="40" t="str">
        <v>Fachada Lateral Esquerda</v>
      </c>
      <c r="B5" s="41">
        <v>0.27376240224420717</v>
      </c>
    </row>
    <row r="7">
      <c r="A7" s="39" t="str">
        <v>Balancim</v>
      </c>
      <c r="B7" s="39" t="str">
        <v>Fachada</v>
      </c>
      <c r="C7" s="39" t="str">
        <v>Comprimento (m)</v>
      </c>
      <c r="D7" s="39" t="str">
        <v>Pavimentos</v>
      </c>
      <c r="E7" s="39" t="str">
        <v>Peso balancim</v>
      </c>
      <c r="F7" s="39" t="str">
        <v>1ª etapa início</v>
      </c>
      <c r="G7" s="39" t="str">
        <v>1ª etapa fim</v>
      </c>
      <c r="H7" s="39" t="str">
        <v>2ª etapa início</v>
      </c>
      <c r="I7" s="39" t="str">
        <v>2ª etapa fim</v>
      </c>
      <c r="J7" s="39" t="str">
        <v>Equipe 1ª</v>
      </c>
      <c r="K7" s="39" t="str">
        <v>Equipe 2ª</v>
      </c>
    </row>
    <row r="8">
      <c r="A8" s="40" t="str">
        <v>BE 01</v>
      </c>
      <c r="B8" s="40" t="str">
        <v>Posterior</v>
      </c>
      <c r="C8" s="40">
        <v>3</v>
      </c>
      <c r="D8" s="40">
        <v>25</v>
      </c>
      <c r="E8" s="41">
        <v>0.0967741935483871</v>
      </c>
      <c r="F8" s="42">
        <v>46300</v>
      </c>
      <c r="G8" s="42">
        <v>46342</v>
      </c>
      <c r="H8" s="42">
        <v>46770</v>
      </c>
      <c r="I8" s="42">
        <v>46830</v>
      </c>
      <c r="J8" s="40" t="str">
        <v>A</v>
      </c>
      <c r="K8" s="40" t="str">
        <v>C</v>
      </c>
    </row>
    <row r="9">
      <c r="A9" s="40" t="str">
        <v>BE 02</v>
      </c>
      <c r="B9" s="40" t="str">
        <v>Posterior</v>
      </c>
      <c r="C9" s="40">
        <v>7</v>
      </c>
      <c r="D9" s="40">
        <v>25</v>
      </c>
      <c r="E9" s="41">
        <v>0.2258064516129032</v>
      </c>
      <c r="F9" s="42">
        <v>46300</v>
      </c>
      <c r="G9" s="42">
        <v>46410</v>
      </c>
      <c r="H9" s="42">
        <v>46652</v>
      </c>
      <c r="I9" s="42">
        <v>46808</v>
      </c>
      <c r="J9" s="40" t="str">
        <v>B</v>
      </c>
      <c r="K9" s="40" t="str">
        <v>F</v>
      </c>
    </row>
    <row r="10">
      <c r="A10" s="40" t="str">
        <v>BE 03</v>
      </c>
      <c r="B10" s="40" t="str">
        <v>Posterior</v>
      </c>
      <c r="C10" s="40">
        <v>6</v>
      </c>
      <c r="D10" s="40">
        <v>25</v>
      </c>
      <c r="E10" s="41">
        <v>0.1935483870967742</v>
      </c>
      <c r="F10" s="42">
        <v>46314</v>
      </c>
      <c r="G10" s="42">
        <v>46409</v>
      </c>
      <c r="H10" s="42">
        <v>46664</v>
      </c>
      <c r="I10" s="42">
        <v>46800</v>
      </c>
      <c r="J10" s="40" t="str">
        <v>C</v>
      </c>
      <c r="K10" s="40" t="str">
        <v>E</v>
      </c>
    </row>
    <row r="11">
      <c r="A11" s="40" t="str">
        <v>BE 04</v>
      </c>
      <c r="B11" s="40" t="str">
        <v>Posterior</v>
      </c>
      <c r="C11" s="40">
        <v>6</v>
      </c>
      <c r="D11" s="40">
        <v>25</v>
      </c>
      <c r="E11" s="41">
        <v>0.1935483870967742</v>
      </c>
      <c r="F11" s="42">
        <v>46321</v>
      </c>
      <c r="G11" s="42">
        <v>46416</v>
      </c>
      <c r="H11" s="42">
        <v>46687</v>
      </c>
      <c r="I11" s="42">
        <v>46825</v>
      </c>
      <c r="J11" s="40" t="str">
        <v>D</v>
      </c>
      <c r="K11" s="40" t="str">
        <v>A</v>
      </c>
    </row>
    <row r="12">
      <c r="A12" s="40" t="str">
        <v>BE 05</v>
      </c>
      <c r="B12" s="40" t="str">
        <v>Posterior</v>
      </c>
      <c r="C12" s="40">
        <v>7</v>
      </c>
      <c r="D12" s="40">
        <v>25</v>
      </c>
      <c r="E12" s="41">
        <v>0.2258064516129032</v>
      </c>
      <c r="F12" s="42">
        <v>46345</v>
      </c>
      <c r="G12" s="42">
        <v>46492</v>
      </c>
      <c r="H12" s="42">
        <v>46651</v>
      </c>
      <c r="I12" s="42">
        <v>46867</v>
      </c>
      <c r="J12" s="40" t="str">
        <v>A</v>
      </c>
      <c r="K12" s="40" t="str">
        <v>B</v>
      </c>
    </row>
    <row r="13">
      <c r="A13" s="40" t="str">
        <v>BE 06</v>
      </c>
      <c r="B13" s="40" t="str">
        <v>Posterior</v>
      </c>
      <c r="C13" s="40">
        <v>2</v>
      </c>
      <c r="D13" s="40">
        <v>25</v>
      </c>
      <c r="E13" s="41">
        <v>0.06451612903225806</v>
      </c>
      <c r="F13" s="42">
        <v>46405</v>
      </c>
      <c r="G13" s="42">
        <v>46443</v>
      </c>
      <c r="H13" s="42">
        <v>46779</v>
      </c>
      <c r="I13" s="42">
        <v>46835</v>
      </c>
      <c r="J13" s="40" t="str">
        <v>E</v>
      </c>
      <c r="K13" s="40" t="str">
        <v>G</v>
      </c>
    </row>
    <row r="14">
      <c r="A14" s="40" t="str">
        <v>BE 07</v>
      </c>
      <c r="B14" s="40" t="str">
        <v>Lat. Direita</v>
      </c>
      <c r="C14" s="40">
        <v>4</v>
      </c>
      <c r="D14" s="40">
        <v>25</v>
      </c>
      <c r="E14" s="41">
        <v>0.2857142857142857</v>
      </c>
      <c r="F14" s="42">
        <v>46515</v>
      </c>
      <c r="G14" s="42">
        <v>46554</v>
      </c>
      <c r="H14" s="42">
        <v>46804</v>
      </c>
      <c r="I14" s="42">
        <v>46863</v>
      </c>
      <c r="J14" s="40" t="str">
        <v>B</v>
      </c>
      <c r="K14" s="40" t="str">
        <v>E</v>
      </c>
    </row>
    <row r="15">
      <c r="A15" s="40" t="str">
        <v>BE 08</v>
      </c>
      <c r="B15" s="40" t="str">
        <v>Lat. Direita</v>
      </c>
      <c r="C15" s="40">
        <v>4</v>
      </c>
      <c r="D15" s="40">
        <v>25</v>
      </c>
      <c r="E15" s="41">
        <v>0.2857142857142857</v>
      </c>
      <c r="F15" s="42">
        <v>46515</v>
      </c>
      <c r="G15" s="42">
        <v>46554</v>
      </c>
      <c r="H15" s="42">
        <v>46814</v>
      </c>
      <c r="I15" s="42">
        <v>46872</v>
      </c>
      <c r="J15" s="40" t="str">
        <v>A</v>
      </c>
      <c r="K15" s="40" t="str">
        <v>F</v>
      </c>
    </row>
    <row r="16">
      <c r="A16" s="40" t="str">
        <v>BE 09</v>
      </c>
      <c r="B16" s="40" t="str">
        <v>Lat. Direita</v>
      </c>
      <c r="C16" s="40">
        <v>6</v>
      </c>
      <c r="D16" s="40">
        <v>25</v>
      </c>
      <c r="E16" s="41">
        <v>0.42857142857142855</v>
      </c>
      <c r="F16" s="42">
        <v>46511</v>
      </c>
      <c r="G16" s="42">
        <v>46568</v>
      </c>
      <c r="H16" s="42">
        <v>46780</v>
      </c>
      <c r="I16" s="42">
        <v>46869</v>
      </c>
      <c r="J16" s="40" t="str">
        <v>C</v>
      </c>
      <c r="K16" s="40" t="str">
        <v>D</v>
      </c>
    </row>
    <row r="17">
      <c r="A17" s="40" t="str">
        <v>BE 10</v>
      </c>
      <c r="B17" s="40" t="str">
        <v>Frontal</v>
      </c>
      <c r="C17" s="40">
        <v>6</v>
      </c>
      <c r="D17" s="40">
        <v>25</v>
      </c>
      <c r="E17" s="41">
        <v>0.14634146341463414</v>
      </c>
      <c r="F17" s="42">
        <v>46398</v>
      </c>
      <c r="G17" s="42">
        <v>46459</v>
      </c>
      <c r="H17" s="42">
        <v>46522</v>
      </c>
      <c r="I17" s="42">
        <v>46598</v>
      </c>
      <c r="J17" s="40" t="str">
        <v>F</v>
      </c>
      <c r="K17" s="40" t="str">
        <v>G</v>
      </c>
    </row>
    <row r="18">
      <c r="A18" s="40" t="str">
        <v>BE 11</v>
      </c>
      <c r="B18" s="40" t="str">
        <v>Frontal</v>
      </c>
      <c r="C18" s="40">
        <v>5</v>
      </c>
      <c r="D18" s="40">
        <v>25</v>
      </c>
      <c r="E18" s="41">
        <v>0.12195121951219512</v>
      </c>
      <c r="F18" s="42">
        <v>46413</v>
      </c>
      <c r="G18" s="42">
        <v>46464</v>
      </c>
      <c r="H18" s="42">
        <v>46557</v>
      </c>
      <c r="I18" s="42">
        <v>46619</v>
      </c>
      <c r="J18" s="40" t="str">
        <v>C</v>
      </c>
      <c r="K18" s="40" t="str">
        <v>B</v>
      </c>
    </row>
    <row r="19">
      <c r="A19" s="40" t="str">
        <v>BE 12</v>
      </c>
      <c r="B19" s="40" t="str">
        <v>Frontal</v>
      </c>
      <c r="C19" s="40">
        <v>5</v>
      </c>
      <c r="D19" s="40">
        <v>25</v>
      </c>
      <c r="E19" s="41">
        <v>0.12195121951219512</v>
      </c>
      <c r="F19" s="42">
        <v>46414</v>
      </c>
      <c r="G19" s="42">
        <v>46465</v>
      </c>
      <c r="H19" s="42">
        <v>46557</v>
      </c>
      <c r="I19" s="42">
        <v>46619</v>
      </c>
      <c r="J19" s="40" t="str">
        <v>B</v>
      </c>
      <c r="K19" s="40" t="str">
        <v>A</v>
      </c>
    </row>
    <row r="20">
      <c r="A20" s="40" t="str">
        <v>BE 13</v>
      </c>
      <c r="B20" s="40" t="str">
        <v>Frontal</v>
      </c>
      <c r="C20" s="40">
        <v>7</v>
      </c>
      <c r="D20" s="40">
        <v>13</v>
      </c>
      <c r="E20" s="41">
        <v>0.08878048780487806</v>
      </c>
      <c r="F20" s="42">
        <v>46420</v>
      </c>
      <c r="G20" s="42">
        <v>46456</v>
      </c>
      <c r="H20" s="42">
        <v>46570</v>
      </c>
      <c r="I20" s="42">
        <v>46616</v>
      </c>
      <c r="J20" s="40" t="str">
        <v>D</v>
      </c>
      <c r="K20" s="40" t="str">
        <v>E</v>
      </c>
    </row>
    <row r="21">
      <c r="A21" s="40" t="str">
        <v>BE 21</v>
      </c>
      <c r="B21" s="40" t="str">
        <v>Frontal</v>
      </c>
      <c r="C21" s="40">
        <v>7</v>
      </c>
      <c r="D21" s="40">
        <v>12</v>
      </c>
      <c r="E21" s="41">
        <v>0.08195121951219513</v>
      </c>
      <c r="F21" s="42">
        <v>46480</v>
      </c>
      <c r="G21" s="42">
        <v>46517</v>
      </c>
      <c r="H21" s="42">
        <v>46619</v>
      </c>
      <c r="I21" s="42">
        <v>46660</v>
      </c>
      <c r="J21" s="40" t="str">
        <v>D</v>
      </c>
      <c r="K21" s="40" t="str">
        <v>E</v>
      </c>
    </row>
    <row r="22">
      <c r="A22" s="40" t="str">
        <v>BE 14</v>
      </c>
      <c r="B22" s="40" t="str">
        <v>Frontal</v>
      </c>
      <c r="C22" s="40">
        <v>6</v>
      </c>
      <c r="D22" s="40">
        <v>13</v>
      </c>
      <c r="E22" s="41">
        <v>0.07609756097560975</v>
      </c>
      <c r="F22" s="42">
        <v>46447</v>
      </c>
      <c r="G22" s="42">
        <v>46477</v>
      </c>
      <c r="H22" s="42">
        <v>46571</v>
      </c>
      <c r="I22" s="42">
        <v>46611</v>
      </c>
      <c r="J22" s="40" t="str">
        <v>G</v>
      </c>
      <c r="K22" s="40" t="str">
        <v>C</v>
      </c>
    </row>
    <row r="23">
      <c r="A23" s="40" t="str">
        <v>BE 22</v>
      </c>
      <c r="B23" s="40" t="str">
        <v>Frontal</v>
      </c>
      <c r="C23" s="40">
        <v>6</v>
      </c>
      <c r="D23" s="40">
        <v>12</v>
      </c>
      <c r="E23" s="41">
        <v>0.07024390243902438</v>
      </c>
      <c r="F23" s="42">
        <v>46480</v>
      </c>
      <c r="G23" s="42">
        <v>46512</v>
      </c>
      <c r="H23" s="42">
        <v>46619</v>
      </c>
      <c r="I23" s="42">
        <v>46654</v>
      </c>
      <c r="J23" s="40" t="str">
        <v>B</v>
      </c>
      <c r="K23" s="40" t="str">
        <v>D</v>
      </c>
    </row>
    <row r="24">
      <c r="A24" s="40" t="str">
        <v>BE 15</v>
      </c>
      <c r="B24" s="40" t="str">
        <v>Frontal</v>
      </c>
      <c r="C24" s="40">
        <v>5</v>
      </c>
      <c r="D24" s="40">
        <v>13</v>
      </c>
      <c r="E24" s="41">
        <v>0.06341463414634146</v>
      </c>
      <c r="F24" s="42">
        <v>46447</v>
      </c>
      <c r="G24" s="42">
        <v>46471</v>
      </c>
      <c r="H24" s="42">
        <v>46573</v>
      </c>
      <c r="I24" s="42">
        <v>46605</v>
      </c>
      <c r="J24" s="40" t="str">
        <v>E</v>
      </c>
      <c r="K24" s="40" t="str">
        <v>F</v>
      </c>
    </row>
    <row r="25">
      <c r="A25" s="40" t="str">
        <v>BE 23</v>
      </c>
      <c r="B25" s="40" t="str">
        <v>Frontal</v>
      </c>
      <c r="C25" s="40">
        <v>5</v>
      </c>
      <c r="D25" s="40">
        <v>12</v>
      </c>
      <c r="E25" s="41">
        <v>0.058536585365853655</v>
      </c>
      <c r="F25" s="42">
        <v>46480</v>
      </c>
      <c r="G25" s="42">
        <v>46506</v>
      </c>
      <c r="H25" s="42">
        <v>46619</v>
      </c>
      <c r="I25" s="42">
        <v>46648</v>
      </c>
      <c r="J25" s="40" t="str">
        <v>C</v>
      </c>
      <c r="K25" s="40" t="str">
        <v>F</v>
      </c>
    </row>
    <row r="26">
      <c r="A26" s="40" t="str">
        <v>CR 20</v>
      </c>
      <c r="B26" s="40" t="str">
        <v>Frontal</v>
      </c>
      <c r="C26" s="40">
        <v>7</v>
      </c>
      <c r="D26" s="40">
        <v>25</v>
      </c>
      <c r="E26" s="41">
        <v>0.17073170731707318</v>
      </c>
      <c r="F26" s="42">
        <v>46757</v>
      </c>
      <c r="G26" s="42">
        <v>46870</v>
      </c>
      <c r="H26" s="40" t="str">
        <v/>
      </c>
      <c r="I26" s="40" t="str">
        <v/>
      </c>
      <c r="J26" s="40" t="str">
        <v>CREMALHEIRA</v>
      </c>
      <c r="K26" s="40" t="str">
        <v/>
      </c>
    </row>
    <row r="27">
      <c r="A27" s="40" t="str">
        <v>BE 16</v>
      </c>
      <c r="B27" s="40" t="str">
        <v>Lat. Esquerda</v>
      </c>
      <c r="C27" s="40">
        <v>5</v>
      </c>
      <c r="D27" s="40">
        <v>13</v>
      </c>
      <c r="E27" s="41">
        <v>0.13</v>
      </c>
      <c r="F27" s="42">
        <v>46480</v>
      </c>
      <c r="G27" s="42">
        <v>46519</v>
      </c>
      <c r="H27" s="42">
        <v>46623</v>
      </c>
      <c r="I27" s="42">
        <v>46683</v>
      </c>
      <c r="J27" s="40" t="str">
        <v>G</v>
      </c>
      <c r="K27" s="40" t="str">
        <v>A</v>
      </c>
    </row>
    <row r="28">
      <c r="A28" s="40" t="str">
        <v>BE 17</v>
      </c>
      <c r="B28" s="40" t="str">
        <v>Lat. Esquerda</v>
      </c>
      <c r="C28" s="40">
        <v>2</v>
      </c>
      <c r="D28" s="40">
        <v>13</v>
      </c>
      <c r="E28" s="41">
        <v>0.052000000000000005</v>
      </c>
      <c r="F28" s="42">
        <v>46496</v>
      </c>
      <c r="G28" s="42">
        <v>46512</v>
      </c>
      <c r="H28" s="42">
        <v>46623</v>
      </c>
      <c r="I28" s="42">
        <v>46647</v>
      </c>
      <c r="J28" s="40" t="str">
        <v>A</v>
      </c>
      <c r="K28" s="40" t="str">
        <v>B</v>
      </c>
    </row>
    <row r="29">
      <c r="A29" s="40" t="str">
        <v>BE 24</v>
      </c>
      <c r="B29" s="40" t="str">
        <v>Lat. Esquerda</v>
      </c>
      <c r="C29" s="40">
        <v>7</v>
      </c>
      <c r="D29" s="40">
        <v>12</v>
      </c>
      <c r="E29" s="41">
        <v>0.16799999999999998</v>
      </c>
      <c r="F29" s="42">
        <v>46522</v>
      </c>
      <c r="G29" s="42">
        <v>46574</v>
      </c>
      <c r="H29" s="42">
        <v>46687</v>
      </c>
      <c r="I29" s="42">
        <v>46777</v>
      </c>
      <c r="J29" s="40" t="str">
        <v>D</v>
      </c>
      <c r="K29" s="40" t="str">
        <v>D</v>
      </c>
    </row>
    <row r="30">
      <c r="A30" s="40" t="str">
        <v>BE 18</v>
      </c>
      <c r="B30" s="40" t="str">
        <v>Lat. Esquerda</v>
      </c>
      <c r="C30" s="40">
        <v>7</v>
      </c>
      <c r="D30" s="40">
        <v>25</v>
      </c>
      <c r="E30" s="41">
        <v>0.35</v>
      </c>
      <c r="F30" s="42">
        <v>46463</v>
      </c>
      <c r="G30" s="42">
        <v>46569</v>
      </c>
      <c r="H30" s="42">
        <v>46602</v>
      </c>
      <c r="I30" s="42">
        <v>46776</v>
      </c>
      <c r="J30" s="40" t="str">
        <v>F</v>
      </c>
      <c r="K30" s="40" t="str">
        <v>G</v>
      </c>
    </row>
    <row r="31">
      <c r="A31" s="40" t="str">
        <v>BE 19</v>
      </c>
      <c r="B31" s="40" t="str">
        <v>Lat. Esquerda</v>
      </c>
      <c r="C31" s="40">
        <v>6</v>
      </c>
      <c r="D31" s="40">
        <v>25</v>
      </c>
      <c r="E31" s="41">
        <v>0.3</v>
      </c>
      <c r="F31" s="42">
        <v>46476</v>
      </c>
      <c r="G31" s="42">
        <v>46567</v>
      </c>
      <c r="H31" s="42">
        <v>46615</v>
      </c>
      <c r="I31" s="42">
        <v>46766</v>
      </c>
      <c r="J31" s="40" t="str">
        <v>E</v>
      </c>
      <c r="K31" s="40" t="str">
        <v>C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TORRE JARDIM</vt:lpstr>
      <vt:lpstr>Aux. Dados JARDIM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