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" sheetId="1" r:id="rId1"/>
    <sheet name="POR FACE" sheetId="2" r:id="rId2"/>
  </sheets>
  <calcPr calcId="19102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0.0%"/>
    <numFmt numFmtId="166" formatCode="dd/mm/yyyy"/>
    <numFmt numFmtId="167" formatCode="0.0%"/>
    <numFmt numFmtId="168" formatCode="dd/mm/yyyy"/>
    <numFmt numFmtId="169" formatCode="0.0%"/>
  </numFmts>
  <fonts count="22" x14ac:knownFonts="1">
    <font>
      <sz val="11"/>
      <name val="Calibri"/>
    </font>
    <font>
      <sz val="11"/>
      <name val="Calibri"/>
    </font>
    <font>
      <sz val="14"/>
      <name val="Aptos Narrow"/>
      <b/>
      <color rgb="FFFFFF"/>
    </font>
    <font>
      <sz val="10"/>
      <name val="Aptos Narrow"/>
    </font>
    <font>
      <sz val="11"/>
      <name val="Aptos Narrow"/>
      <b/>
      <color rgb="FFFFFF"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595959"/>
        <bgColor/>
      </patternFill>
    </fill>
    <fill>
      <patternFill patternType="solid">
        <fgColor rgb="FF595959"/>
        <bgColor/>
      </patternFill>
    </fill>
    <fill>
      <patternFill patternType="solid">
        <fgColor rgb="FFD6E4DD"/>
        <bgColor/>
      </patternFill>
    </fill>
    <fill>
      <patternFill patternType="solid">
        <fgColor rgb="FFD6E4DD"/>
        <bgColor/>
      </patternFill>
    </fill>
    <fill>
      <patternFill patternType="solid">
        <fgColor rgb="FFA6A6A6"/>
        <bgColor/>
      </patternFill>
    </fill>
    <fill>
      <patternFill patternType="solid">
        <fgColor rgb="FFD6E4DD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A6A6A6"/>
        <bgColor/>
      </patternFill>
    </fill>
    <fill>
      <patternFill patternType="solid">
        <fgColor rgb="FFE6E9E6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165" fontId="8" fillId="7" borderId="4" xfId="0" applyFont="1" applyFill="1" applyBorder="1" applyNumberFormat="1" applyAlignment="1">
      <alignment horizontal="center" vertical="center"/>
    </xf>
    <xf numFmtId="4" fontId="9" fillId="0" borderId="5" xfId="0" applyFont="1" applyBorder="1" applyNumberFormat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true"/>
    </xf>
    <xf numFmtId="0" fontId="11" fillId="9" borderId="7" xfId="0" applyFont="1" applyFill="1" applyBorder="1" applyAlignment="1">
      <alignment horizontal="center" vertical="center" wrapText="true"/>
    </xf>
    <xf numFmtId="0" fontId="12" fillId="0" borderId="8" xfId="0" applyFont="1" applyBorder="1" applyAlignment="1">
      <alignment horizontal="center" vertical="center"/>
    </xf>
    <xf numFmtId="166" fontId="13" fillId="0" borderId="9" xfId="0" applyFont="1" applyBorder="1" applyNumberFormat="1" applyAlignment="1">
      <alignment horizontal="center" vertical="center"/>
    </xf>
    <xf numFmtId="167" fontId="14" fillId="0" borderId="10" xfId="0" applyFont="1" applyBorder="1" applyNumberFormat="1" applyAlignment="1">
      <alignment horizontal="center" vertical="center"/>
    </xf>
    <xf numFmtId="4" fontId="15" fillId="0" borderId="11" xfId="0" applyFont="1" applyBorder="1" applyNumberFormat="1" applyAlignment="1">
      <alignment horizontal="center" vertical="center"/>
    </xf>
    <xf numFmtId="168" fontId="16" fillId="0" borderId="12" xfId="0" applyFont="1" applyBorder="1" applyNumberFormat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4" fontId="18" fillId="11" borderId="14" xfId="0" applyFont="1" applyFill="1" applyBorder="1" applyNumberFormat="1" applyAlignment="1">
      <alignment horizontal="center" vertical="center"/>
    </xf>
    <xf numFmtId="169" fontId="19" fillId="12" borderId="15" xfId="0" applyFont="1" applyFill="1" applyBorder="1" applyNumberFormat="1" applyAlignment="1">
      <alignment horizontal="center" vertical="center"/>
    </xf>
    <xf numFmtId="0" fontId="20" fillId="13" borderId="16" xfId="0" applyFont="1" applyFill="1" applyBorder="1" applyAlignment="1">
      <alignment horizontal="center" vertical="center"/>
    </xf>
    <xf numFmtId="0" fontId="21" fillId="14" borderId="1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showGridLines="0" workbookViewId="0"/>
  </sheetViews>
  <cols>
    <col min="1" max="1" width="24.83203125" customWidth="1"/>
    <col min="2" max="2" width="13.83203125" customWidth="1"/>
    <col min="3" max="3" width="10.83203125" customWidth="1"/>
    <col min="4" max="4" width="12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</cols>
  <sheetData>
    <row r="1" ht="22" customHeight="1">
      <c r="A1" s="3" t="str">
        <v>CRONOGRAMA DE COMPRA · GRANITO BRANCO SIENA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5" t="str">
        <v>TORRE CATHARINA · 4.027,46 m² (levantamento v03) · curva do físico-financeiro 32.01.03.01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4">
      <c r="A4" s="7" t="str">
        <v>Prazo do fornecedor (dias)</v>
      </c>
      <c r="B4" s="8">
        <v>60</v>
      </c>
    </row>
    <row r="5">
      <c r="A5" s="7" t="str">
        <v>Entrega antes do uso (dias)</v>
      </c>
      <c r="B5" s="8">
        <v>15</v>
      </c>
    </row>
    <row r="6">
      <c r="A6" s="7" t="str">
        <v>Perda e quebra</v>
      </c>
      <c r="B6" s="9">
        <v>0.05</v>
      </c>
    </row>
    <row r="7">
      <c r="A7" s="7" t="str">
        <v>Área total (m²)</v>
      </c>
      <c r="B7" s="10">
        <v>4027.46</v>
      </c>
    </row>
    <row r="8">
      <c r="A8" s="7" t="str">
        <v>Valor orçado (R$)</v>
      </c>
      <c r="B8" s="10">
        <v>2251192.27</v>
      </c>
    </row>
    <row r="10">
      <c r="A10" s="11" t="str">
        <v>MÊS</v>
      </c>
      <c r="B10" s="11" t="str">
        <v>INÍCIO DO USO</v>
      </c>
      <c r="C10" s="11" t="str">
        <v>% NO MÊS</v>
      </c>
      <c r="D10" s="11" t="str">
        <v>% ACUMULADO</v>
      </c>
      <c r="E10" s="11" t="str">
        <v>m² A INSTALAR</v>
      </c>
      <c r="F10" s="12" t="str">
        <v>m² A COMPRAR</v>
      </c>
      <c r="G10" s="11" t="str">
        <v>ENTREGA ATÉ</v>
      </c>
      <c r="H10" s="12" t="str">
        <v>PEDIDO ATÉ</v>
      </c>
      <c r="I10" s="11" t="str">
        <v>VALOR (R$)</v>
      </c>
    </row>
    <row r="11">
      <c r="A11" s="13" t="str">
        <v>ago/27</v>
      </c>
      <c r="B11" s="14">
        <v>46625</v>
      </c>
      <c r="C11" s="15">
        <v>0.0248</v>
      </c>
      <c r="D11" s="15">
        <v>0.0248</v>
      </c>
      <c r="E11" s="16">
        <f>C11*$B$7</f>
        <v>99.88100800000002</v>
      </c>
      <c r="F11" s="10">
        <f>E11*(1+$B$6)</f>
        <v>104.87505840000003</v>
      </c>
      <c r="G11" s="14">
        <f>B11-$B$5</f>
      </c>
      <c r="H11" s="17">
        <f>G11-$B$4</f>
      </c>
      <c r="I11" s="16">
        <f>C11*$B$8</f>
        <v>55829.56821559736</v>
      </c>
    </row>
    <row r="12">
      <c r="A12" s="13" t="str">
        <v>set/27</v>
      </c>
      <c r="B12" s="14">
        <v>46631</v>
      </c>
      <c r="C12" s="15">
        <v>0.13</v>
      </c>
      <c r="D12" s="15">
        <v>0.1548</v>
      </c>
      <c r="E12" s="16">
        <f>C12*$B$7</f>
        <v>523.5698000000001</v>
      </c>
      <c r="F12" s="10">
        <f>E12*(1+$B$6)</f>
        <v>549.7482900000001</v>
      </c>
      <c r="G12" s="14">
        <f>B12-$B$5</f>
      </c>
      <c r="H12" s="17">
        <f>G12-$B$4</f>
      </c>
      <c r="I12" s="16">
        <f>C12*$B$8</f>
        <v>292654.99467853457</v>
      </c>
    </row>
    <row r="13">
      <c r="A13" s="13" t="str">
        <v>out/27</v>
      </c>
      <c r="B13" s="14">
        <v>46661</v>
      </c>
      <c r="C13" s="15">
        <v>0.12390000000000001</v>
      </c>
      <c r="D13" s="15">
        <v>0.2787</v>
      </c>
      <c r="E13" s="16">
        <f>C13*$B$7</f>
        <v>499.0022940000001</v>
      </c>
      <c r="F13" s="10">
        <f>E13*(1+$B$6)</f>
        <v>523.9524087000001</v>
      </c>
      <c r="G13" s="14">
        <f>B13-$B$5</f>
      </c>
      <c r="H13" s="17">
        <f>G13-$B$4</f>
      </c>
      <c r="I13" s="16">
        <f>C13*$B$8</f>
        <v>278922.72185131104</v>
      </c>
    </row>
    <row r="14">
      <c r="A14" s="13" t="str">
        <v>nov/27</v>
      </c>
      <c r="B14" s="14">
        <v>46692</v>
      </c>
      <c r="C14" s="15">
        <v>0.04330000000000002</v>
      </c>
      <c r="D14" s="15">
        <v>0.322</v>
      </c>
      <c r="E14" s="16">
        <f>C14*$B$7</f>
        <v>174.3890180000001</v>
      </c>
      <c r="F14" s="10">
        <f>E14*(1+$B$6)</f>
        <v>183.10846890000013</v>
      </c>
      <c r="G14" s="14">
        <f>B14-$B$5</f>
      </c>
      <c r="H14" s="17">
        <f>G14-$B$4</f>
      </c>
      <c r="I14" s="16">
        <f>C14*$B$8</f>
        <v>97476.62515061963</v>
      </c>
    </row>
    <row r="15">
      <c r="A15" s="13" t="str">
        <v>jan/28</v>
      </c>
      <c r="B15" s="14">
        <v>46753</v>
      </c>
      <c r="C15" s="15">
        <v>0.06199999999999996</v>
      </c>
      <c r="D15" s="15">
        <v>0.384</v>
      </c>
      <c r="E15" s="16">
        <f>C15*$B$7</f>
        <v>249.7025199999999</v>
      </c>
      <c r="F15" s="10">
        <f>E15*(1+$B$6)</f>
        <v>262.1876459999999</v>
      </c>
      <c r="G15" s="14">
        <f>B15-$B$5</f>
      </c>
      <c r="H15" s="17">
        <f>G15-$B$4</f>
      </c>
      <c r="I15" s="16">
        <f>C15*$B$8</f>
        <v>139573.92053899332</v>
      </c>
    </row>
    <row r="16">
      <c r="A16" s="13" t="str">
        <v>fev/28</v>
      </c>
      <c r="B16" s="14">
        <v>46784</v>
      </c>
      <c r="C16" s="15">
        <v>0.02289999999999999</v>
      </c>
      <c r="D16" s="15">
        <v>0.4069</v>
      </c>
      <c r="E16" s="16">
        <f>C16*$B$7</f>
        <v>92.22883399999999</v>
      </c>
      <c r="F16" s="10">
        <f>E16*(1+$B$6)</f>
        <v>96.84027569999999</v>
      </c>
      <c r="G16" s="14">
        <f>B16-$B$5</f>
      </c>
      <c r="H16" s="17">
        <f>G16-$B$4</f>
      </c>
      <c r="I16" s="16">
        <f>C16*$B$8</f>
        <v>51552.302908757214</v>
      </c>
    </row>
    <row r="17">
      <c r="A17" s="13" t="str">
        <v>mar/28</v>
      </c>
      <c r="B17" s="14">
        <v>46813</v>
      </c>
      <c r="C17" s="15">
        <v>0.06039999999999999</v>
      </c>
      <c r="D17" s="15">
        <v>0.4673</v>
      </c>
      <c r="E17" s="16">
        <f>C17*$B$7</f>
        <v>243.258584</v>
      </c>
      <c r="F17" s="10">
        <f>E17*(1+$B$6)</f>
        <v>255.42151320000002</v>
      </c>
      <c r="G17" s="14">
        <f>B17-$B$5</f>
      </c>
      <c r="H17" s="17">
        <f>G17-$B$4</f>
      </c>
      <c r="I17" s="16">
        <f>C17*$B$8</f>
        <v>135972.01291218065</v>
      </c>
    </row>
    <row r="18">
      <c r="A18" s="13" t="str">
        <v>abr/28</v>
      </c>
      <c r="B18" s="14">
        <v>46844</v>
      </c>
      <c r="C18" s="15">
        <v>0.2107</v>
      </c>
      <c r="D18" s="15">
        <v>0.6779999999999999</v>
      </c>
      <c r="E18" s="16">
        <f>C18*$B$7</f>
        <v>848.5858220000002</v>
      </c>
      <c r="F18" s="10">
        <f>E18*(1+$B$6)</f>
        <v>891.0151131000002</v>
      </c>
      <c r="G18" s="14">
        <f>B18-$B$5</f>
      </c>
      <c r="H18" s="17">
        <f>G18-$B$4</f>
      </c>
      <c r="I18" s="16">
        <f>C18*$B$8</f>
        <v>474326.2106059018</v>
      </c>
    </row>
    <row r="19">
      <c r="A19" s="13" t="str">
        <v>mai/28</v>
      </c>
      <c r="B19" s="14">
        <v>46874</v>
      </c>
      <c r="C19" s="15">
        <v>0.12219999999999999</v>
      </c>
      <c r="D19" s="15">
        <v>0.8001999999999999</v>
      </c>
      <c r="E19" s="16">
        <f>C19*$B$7</f>
        <v>492.155612</v>
      </c>
      <c r="F19" s="10">
        <f>E19*(1+$B$6)</f>
        <v>516.7633926000001</v>
      </c>
      <c r="G19" s="14">
        <f>B19-$B$5</f>
      </c>
      <c r="H19" s="17">
        <f>G19-$B$4</f>
      </c>
      <c r="I19" s="16">
        <f>C19*$B$8</f>
        <v>275095.69499782246</v>
      </c>
    </row>
    <row r="20">
      <c r="A20" s="13" t="str">
        <v>jun/28</v>
      </c>
      <c r="B20" s="14">
        <v>46905</v>
      </c>
      <c r="C20" s="15">
        <v>0.11650000000000006</v>
      </c>
      <c r="D20" s="15">
        <v>0.9167000000000001</v>
      </c>
      <c r="E20" s="16">
        <f>C20*$B$7</f>
        <v>469.19909000000035</v>
      </c>
      <c r="F20" s="10">
        <f>E20*(1+$B$6)</f>
        <v>492.6590445000004</v>
      </c>
      <c r="G20" s="14">
        <f>B20-$B$5</f>
      </c>
      <c r="H20" s="17">
        <f>G20-$B$4</f>
      </c>
      <c r="I20" s="16">
        <f>C20*$B$8</f>
        <v>262263.89907730225</v>
      </c>
    </row>
    <row r="21">
      <c r="A21" s="13" t="str">
        <v>jul/28</v>
      </c>
      <c r="B21" s="14">
        <v>46935</v>
      </c>
      <c r="C21" s="15">
        <v>0.08329999999999999</v>
      </c>
      <c r="D21" s="15">
        <v>1</v>
      </c>
      <c r="E21" s="16">
        <f>C21*$B$7</f>
        <v>335.48741800000005</v>
      </c>
      <c r="F21" s="10">
        <f>E21*(1+$B$6)</f>
        <v>352.26178890000006</v>
      </c>
      <c r="G21" s="14">
        <f>B21-$B$5</f>
      </c>
      <c r="H21" s="17">
        <f>G21-$B$4</f>
      </c>
      <c r="I21" s="16">
        <f>C21*$B$8</f>
        <v>187524.31582093786</v>
      </c>
    </row>
    <row r="22">
      <c r="A22" s="18" t="str">
        <v>TOTAL</v>
      </c>
      <c r="B22" s="19" t="str">
        <v/>
      </c>
      <c r="C22" s="20">
        <f>SUM(C11:C21)</f>
      </c>
      <c r="D22" s="19" t="str">
        <v/>
      </c>
      <c r="E22" s="19">
        <f>SUM(E11:E21)</f>
      </c>
      <c r="F22" s="19">
        <f>SUM(F11:F21)</f>
      </c>
      <c r="G22" s="19" t="str">
        <v/>
      </c>
      <c r="H22" s="19" t="str">
        <v/>
      </c>
      <c r="I22" s="19">
        <f>SUM(I11:I21)</f>
      </c>
    </row>
  </sheetData>
  <mergeCells count="2">
    <mergeCell ref="A1:I1"/>
    <mergeCell ref="A2:I2"/>
  </mergeCells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showGridLines="0" workbookViewId="0"/>
  </sheetViews>
  <cols>
    <col min="1" max="1" width="13.83203125" customWidth="1"/>
    <col min="2" max="2" width="3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2.83203125" customWidth="1"/>
  </cols>
  <sheetData>
    <row r="1">
      <c r="A1" s="3" t="str">
        <v>GRANITO POR PAVIMENTO E FACE (m²)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3">
      <c r="A3" s="21" t="str">
        <v>TRECHO</v>
      </c>
      <c r="B3" s="21" t="str">
        <v>PAVIMENTO</v>
      </c>
      <c r="C3" s="11" t="str">
        <v>FRONTAL · ALAMEDA</v>
      </c>
      <c r="D3" s="11" t="str">
        <v>LAT. ESQUERDA</v>
      </c>
      <c r="E3" s="11" t="str">
        <v>POSTERIOR · ACÁCIAS</v>
      </c>
      <c r="F3" s="11" t="str">
        <v>LAT. DIREITA</v>
      </c>
      <c r="G3" s="11" t="str">
        <v>ÁREA EXTERNA</v>
      </c>
      <c r="H3" s="21" t="str">
        <v>TOTAL</v>
      </c>
    </row>
    <row r="4">
      <c r="A4" s="13" t="str">
        <v>Torre</v>
      </c>
      <c r="B4" s="7" t="str">
        <v>30º · Técnico</v>
      </c>
      <c r="C4" s="16" t="str">
        <v/>
      </c>
      <c r="D4" s="16" t="str">
        <v/>
      </c>
      <c r="E4" s="16" t="str">
        <v/>
      </c>
      <c r="F4" s="16">
        <v>421.5</v>
      </c>
      <c r="G4" s="16" t="str">
        <v/>
      </c>
      <c r="H4" s="10">
        <f>SUM(C4:G4)</f>
      </c>
    </row>
    <row r="5">
      <c r="A5" s="13" t="str">
        <v>Torre</v>
      </c>
      <c r="B5" s="7" t="str">
        <v>29º · Cobertura 2</v>
      </c>
      <c r="C5" s="16">
        <v>19.64</v>
      </c>
      <c r="D5" s="16">
        <v>4.93</v>
      </c>
      <c r="E5" s="16">
        <v>14.01</v>
      </c>
      <c r="F5" s="16">
        <v>4.93</v>
      </c>
      <c r="G5" s="16" t="str">
        <v/>
      </c>
      <c r="H5" s="10">
        <f>SUM(C5:G5)</f>
      </c>
    </row>
    <row r="6">
      <c r="A6" s="13" t="str">
        <v>Torre</v>
      </c>
      <c r="B6" s="7" t="str">
        <v>28º · Cobertura 1</v>
      </c>
      <c r="C6" s="16">
        <v>19.64</v>
      </c>
      <c r="D6" s="16">
        <v>5.14</v>
      </c>
      <c r="E6" s="16">
        <v>26.68</v>
      </c>
      <c r="F6" s="16">
        <v>5.14</v>
      </c>
      <c r="G6" s="16" t="str">
        <v/>
      </c>
      <c r="H6" s="10">
        <f>SUM(C6:G6)</f>
      </c>
    </row>
    <row r="7">
      <c r="A7" s="13" t="str">
        <v>Torre</v>
      </c>
      <c r="B7" s="7" t="str">
        <v>27º · Tipo</v>
      </c>
      <c r="C7" s="16">
        <v>18.54</v>
      </c>
      <c r="D7" s="16">
        <v>4.85</v>
      </c>
      <c r="E7" s="16">
        <v>25.19</v>
      </c>
      <c r="F7" s="16">
        <v>4.85</v>
      </c>
      <c r="G7" s="16" t="str">
        <v/>
      </c>
      <c r="H7" s="10">
        <f>SUM(C7:G7)</f>
      </c>
    </row>
    <row r="8">
      <c r="A8" s="13" t="str">
        <v>Torre</v>
      </c>
      <c r="B8" s="7" t="str">
        <v>26º · Tipo</v>
      </c>
      <c r="C8" s="16">
        <v>18.54</v>
      </c>
      <c r="D8" s="16">
        <v>4.85</v>
      </c>
      <c r="E8" s="16">
        <v>25.19</v>
      </c>
      <c r="F8" s="16">
        <v>4.85</v>
      </c>
      <c r="G8" s="16" t="str">
        <v/>
      </c>
      <c r="H8" s="10">
        <f>SUM(C8:G8)</f>
      </c>
    </row>
    <row r="9">
      <c r="A9" s="13" t="str">
        <v>Torre</v>
      </c>
      <c r="B9" s="7" t="str">
        <v>25º · Tipo</v>
      </c>
      <c r="C9" s="16">
        <v>18.54</v>
      </c>
      <c r="D9" s="16">
        <v>4.85</v>
      </c>
      <c r="E9" s="16">
        <v>25.19</v>
      </c>
      <c r="F9" s="16">
        <v>4.85</v>
      </c>
      <c r="G9" s="16" t="str">
        <v/>
      </c>
      <c r="H9" s="10">
        <f>SUM(C9:G9)</f>
      </c>
    </row>
    <row r="10">
      <c r="A10" s="13" t="str">
        <v>Torre</v>
      </c>
      <c r="B10" s="7" t="str">
        <v>24º · Tipo</v>
      </c>
      <c r="C10" s="16">
        <v>18.54</v>
      </c>
      <c r="D10" s="16">
        <v>4.85</v>
      </c>
      <c r="E10" s="16">
        <v>25.19</v>
      </c>
      <c r="F10" s="16">
        <v>4.85</v>
      </c>
      <c r="G10" s="16" t="str">
        <v/>
      </c>
      <c r="H10" s="10">
        <f>SUM(C10:G10)</f>
      </c>
    </row>
    <row r="11">
      <c r="A11" s="13" t="str">
        <v>Torre</v>
      </c>
      <c r="B11" s="7" t="str">
        <v>23º · Tipo</v>
      </c>
      <c r="C11" s="16">
        <v>18.54</v>
      </c>
      <c r="D11" s="16">
        <v>4.85</v>
      </c>
      <c r="E11" s="16">
        <v>25.19</v>
      </c>
      <c r="F11" s="16">
        <v>4.85</v>
      </c>
      <c r="G11" s="16" t="str">
        <v/>
      </c>
      <c r="H11" s="10">
        <f>SUM(C11:G11)</f>
      </c>
    </row>
    <row r="12">
      <c r="A12" s="13" t="str">
        <v>Torre</v>
      </c>
      <c r="B12" s="7" t="str">
        <v>22º · Tipo</v>
      </c>
      <c r="C12" s="16">
        <v>18.54</v>
      </c>
      <c r="D12" s="16">
        <v>4.85</v>
      </c>
      <c r="E12" s="16">
        <v>25.19</v>
      </c>
      <c r="F12" s="16">
        <v>4.85</v>
      </c>
      <c r="G12" s="16" t="str">
        <v/>
      </c>
      <c r="H12" s="10">
        <f>SUM(C12:G12)</f>
      </c>
    </row>
    <row r="13">
      <c r="A13" s="13" t="str">
        <v>Torre</v>
      </c>
      <c r="B13" s="7" t="str">
        <v>21º · Tipo</v>
      </c>
      <c r="C13" s="16">
        <v>18.54</v>
      </c>
      <c r="D13" s="16">
        <v>4.85</v>
      </c>
      <c r="E13" s="16">
        <v>25.19</v>
      </c>
      <c r="F13" s="16">
        <v>4.85</v>
      </c>
      <c r="G13" s="16" t="str">
        <v/>
      </c>
      <c r="H13" s="10">
        <f>SUM(C13:G13)</f>
      </c>
    </row>
    <row r="14">
      <c r="A14" s="13" t="str">
        <v>Torre</v>
      </c>
      <c r="B14" s="7" t="str">
        <v>20º · Tipo</v>
      </c>
      <c r="C14" s="16">
        <v>18.54</v>
      </c>
      <c r="D14" s="16">
        <v>4.85</v>
      </c>
      <c r="E14" s="16">
        <v>25.19</v>
      </c>
      <c r="F14" s="16">
        <v>4.85</v>
      </c>
      <c r="G14" s="16" t="str">
        <v/>
      </c>
      <c r="H14" s="10">
        <f>SUM(C14:G14)</f>
      </c>
    </row>
    <row r="15">
      <c r="A15" s="13" t="str">
        <v>Torre</v>
      </c>
      <c r="B15" s="7" t="str">
        <v>19º · Tipo</v>
      </c>
      <c r="C15" s="16">
        <v>18.54</v>
      </c>
      <c r="D15" s="16">
        <v>4.85</v>
      </c>
      <c r="E15" s="16">
        <v>25.19</v>
      </c>
      <c r="F15" s="16">
        <v>4.85</v>
      </c>
      <c r="G15" s="16" t="str">
        <v/>
      </c>
      <c r="H15" s="10">
        <f>SUM(C15:G15)</f>
      </c>
    </row>
    <row r="16">
      <c r="A16" s="13" t="str">
        <v>Torre</v>
      </c>
      <c r="B16" s="7" t="str">
        <v>18º · Tipo</v>
      </c>
      <c r="C16" s="16">
        <v>18.54</v>
      </c>
      <c r="D16" s="16">
        <v>4.85</v>
      </c>
      <c r="E16" s="16">
        <v>25.19</v>
      </c>
      <c r="F16" s="16">
        <v>4.85</v>
      </c>
      <c r="G16" s="16" t="str">
        <v/>
      </c>
      <c r="H16" s="10">
        <f>SUM(C16:G16)</f>
      </c>
    </row>
    <row r="17">
      <c r="A17" s="13" t="str">
        <v>Torre</v>
      </c>
      <c r="B17" s="7" t="str">
        <v>17º · Tipo</v>
      </c>
      <c r="C17" s="16">
        <v>18.54</v>
      </c>
      <c r="D17" s="16">
        <v>4.85</v>
      </c>
      <c r="E17" s="16">
        <v>25.19</v>
      </c>
      <c r="F17" s="16">
        <v>4.85</v>
      </c>
      <c r="G17" s="16" t="str">
        <v/>
      </c>
      <c r="H17" s="10">
        <f>SUM(C17:G17)</f>
      </c>
    </row>
    <row r="18">
      <c r="A18" s="13" t="str">
        <v>Torre</v>
      </c>
      <c r="B18" s="7" t="str">
        <v>16º · Tipo</v>
      </c>
      <c r="C18" s="16">
        <v>18.54</v>
      </c>
      <c r="D18" s="16">
        <v>4.85</v>
      </c>
      <c r="E18" s="16">
        <v>25.19</v>
      </c>
      <c r="F18" s="16">
        <v>4.85</v>
      </c>
      <c r="G18" s="16" t="str">
        <v/>
      </c>
      <c r="H18" s="10">
        <f>SUM(C18:G18)</f>
      </c>
    </row>
    <row r="19">
      <c r="A19" s="13" t="str">
        <v>Torre</v>
      </c>
      <c r="B19" s="7" t="str">
        <v>15º · Tipo</v>
      </c>
      <c r="C19" s="16">
        <v>18.54</v>
      </c>
      <c r="D19" s="16">
        <v>4.85</v>
      </c>
      <c r="E19" s="16">
        <v>25.19</v>
      </c>
      <c r="F19" s="16">
        <v>4.85</v>
      </c>
      <c r="G19" s="16" t="str">
        <v/>
      </c>
      <c r="H19" s="10">
        <f>SUM(C19:G19)</f>
      </c>
    </row>
    <row r="20">
      <c r="A20" s="13" t="str">
        <v>Torre</v>
      </c>
      <c r="B20" s="7" t="str">
        <v>14º · Tipo</v>
      </c>
      <c r="C20" s="16">
        <v>18.54</v>
      </c>
      <c r="D20" s="16">
        <v>4.85</v>
      </c>
      <c r="E20" s="16">
        <v>25.19</v>
      </c>
      <c r="F20" s="16">
        <v>4.85</v>
      </c>
      <c r="G20" s="16" t="str">
        <v/>
      </c>
      <c r="H20" s="10">
        <f>SUM(C20:G20)</f>
      </c>
    </row>
    <row r="21">
      <c r="A21" s="13" t="str">
        <v>Torre</v>
      </c>
      <c r="B21" s="7" t="str">
        <v>13º · Tipo</v>
      </c>
      <c r="C21" s="16">
        <v>18.54</v>
      </c>
      <c r="D21" s="16">
        <v>4.85</v>
      </c>
      <c r="E21" s="16">
        <v>25.19</v>
      </c>
      <c r="F21" s="16">
        <v>4.85</v>
      </c>
      <c r="G21" s="16" t="str">
        <v/>
      </c>
      <c r="H21" s="10">
        <f>SUM(C21:G21)</f>
      </c>
    </row>
    <row r="22">
      <c r="A22" s="13" t="str">
        <v>Torre</v>
      </c>
      <c r="B22" s="7" t="str">
        <v>12º · Tipo</v>
      </c>
      <c r="C22" s="16">
        <v>18.54</v>
      </c>
      <c r="D22" s="16">
        <v>4.85</v>
      </c>
      <c r="E22" s="16">
        <v>25.19</v>
      </c>
      <c r="F22" s="16">
        <v>4.85</v>
      </c>
      <c r="G22" s="16" t="str">
        <v/>
      </c>
      <c r="H22" s="10">
        <f>SUM(C22:G22)</f>
      </c>
    </row>
    <row r="23">
      <c r="A23" s="13" t="str">
        <v>Torre</v>
      </c>
      <c r="B23" s="7" t="str">
        <v>11º · Tipo</v>
      </c>
      <c r="C23" s="16">
        <v>18.54</v>
      </c>
      <c r="D23" s="16">
        <v>4.85</v>
      </c>
      <c r="E23" s="16">
        <v>25.19</v>
      </c>
      <c r="F23" s="16">
        <v>4.85</v>
      </c>
      <c r="G23" s="16" t="str">
        <v/>
      </c>
      <c r="H23" s="10">
        <f>SUM(C23:G23)</f>
      </c>
    </row>
    <row r="24">
      <c r="A24" s="13" t="str">
        <v>Torre</v>
      </c>
      <c r="B24" s="7" t="str">
        <v>10º · Tipo</v>
      </c>
      <c r="C24" s="16">
        <v>18.54</v>
      </c>
      <c r="D24" s="16">
        <v>4.85</v>
      </c>
      <c r="E24" s="16">
        <v>25.19</v>
      </c>
      <c r="F24" s="16">
        <v>4.85</v>
      </c>
      <c r="G24" s="16" t="str">
        <v/>
      </c>
      <c r="H24" s="10">
        <f>SUM(C24:G24)</f>
      </c>
    </row>
    <row r="25">
      <c r="A25" s="13" t="str">
        <v>Torre</v>
      </c>
      <c r="B25" s="7" t="str">
        <v>9º · Tipo</v>
      </c>
      <c r="C25" s="16">
        <v>18.54</v>
      </c>
      <c r="D25" s="16">
        <v>4.85</v>
      </c>
      <c r="E25" s="16">
        <v>25.19</v>
      </c>
      <c r="F25" s="16">
        <v>4.85</v>
      </c>
      <c r="G25" s="16" t="str">
        <v/>
      </c>
      <c r="H25" s="10">
        <f>SUM(C25:G25)</f>
      </c>
    </row>
    <row r="26">
      <c r="A26" s="13" t="str">
        <v>Torre</v>
      </c>
      <c r="B26" s="7" t="str">
        <v>8º · Tipo</v>
      </c>
      <c r="C26" s="16">
        <v>18.54</v>
      </c>
      <c r="D26" s="16">
        <v>4.85</v>
      </c>
      <c r="E26" s="16">
        <v>25.19</v>
      </c>
      <c r="F26" s="16">
        <v>4.85</v>
      </c>
      <c r="G26" s="16" t="str">
        <v/>
      </c>
      <c r="H26" s="10">
        <f>SUM(C26:G26)</f>
      </c>
    </row>
    <row r="27">
      <c r="A27" s="13" t="str">
        <v>Torre</v>
      </c>
      <c r="B27" s="7" t="str">
        <v>7º · Tipo</v>
      </c>
      <c r="C27" s="16">
        <v>18.54</v>
      </c>
      <c r="D27" s="16">
        <v>4.85</v>
      </c>
      <c r="E27" s="16">
        <v>25.19</v>
      </c>
      <c r="F27" s="16">
        <v>4.85</v>
      </c>
      <c r="G27" s="16" t="str">
        <v/>
      </c>
      <c r="H27" s="10">
        <f>SUM(C27:G27)</f>
      </c>
    </row>
    <row r="28">
      <c r="A28" s="13" t="str">
        <v>Torre</v>
      </c>
      <c r="B28" s="7" t="str">
        <v>6º · Tipo</v>
      </c>
      <c r="C28" s="16">
        <v>18.54</v>
      </c>
      <c r="D28" s="16">
        <v>4.85</v>
      </c>
      <c r="E28" s="16">
        <v>25.19</v>
      </c>
      <c r="F28" s="16">
        <v>4.85</v>
      </c>
      <c r="G28" s="16" t="str">
        <v/>
      </c>
      <c r="H28" s="10">
        <f>SUM(C28:G28)</f>
      </c>
    </row>
    <row r="29">
      <c r="A29" s="13" t="str">
        <v>Torre</v>
      </c>
      <c r="B29" s="7" t="str">
        <v>5º · Tipo</v>
      </c>
      <c r="C29" s="16">
        <v>18.54</v>
      </c>
      <c r="D29" s="16">
        <v>4.85</v>
      </c>
      <c r="E29" s="16">
        <v>25.19</v>
      </c>
      <c r="F29" s="16">
        <v>4.85</v>
      </c>
      <c r="G29" s="16" t="str">
        <v/>
      </c>
      <c r="H29" s="10">
        <f>SUM(C29:G29)</f>
      </c>
    </row>
    <row r="30">
      <c r="A30" s="13" t="str">
        <v>Torre</v>
      </c>
      <c r="B30" s="7" t="str">
        <v>4º · Tipo (LPI pilotis)</v>
      </c>
      <c r="C30" s="16">
        <v>18.54</v>
      </c>
      <c r="D30" s="16">
        <v>4.85</v>
      </c>
      <c r="E30" s="16">
        <v>25.19</v>
      </c>
      <c r="F30" s="16">
        <v>4.85</v>
      </c>
      <c r="G30" s="16" t="str">
        <v/>
      </c>
      <c r="H30" s="10">
        <f>SUM(C30:G30)</f>
      </c>
    </row>
    <row r="31">
      <c r="A31" s="13" t="str">
        <v>Embasamento</v>
      </c>
      <c r="B31" s="7" t="str">
        <v>3º · Pilotis</v>
      </c>
      <c r="C31" s="16">
        <v>70.13</v>
      </c>
      <c r="D31" s="16" t="str">
        <v/>
      </c>
      <c r="E31" s="16">
        <v>50.22</v>
      </c>
      <c r="F31" s="16" t="str">
        <v/>
      </c>
      <c r="G31" s="16">
        <v>368.66</v>
      </c>
      <c r="H31" s="10">
        <f>SUM(C31:G31)</f>
      </c>
    </row>
    <row r="32">
      <c r="A32" s="13" t="str">
        <v>Embasamento</v>
      </c>
      <c r="B32" s="7" t="str">
        <v>2º · Lojas</v>
      </c>
      <c r="C32" s="16">
        <v>435.76</v>
      </c>
      <c r="D32" s="16">
        <v>178.06</v>
      </c>
      <c r="E32" s="16">
        <v>64.67</v>
      </c>
      <c r="F32" s="16">
        <v>71.69</v>
      </c>
      <c r="G32" s="16" t="str">
        <v/>
      </c>
      <c r="H32" s="10">
        <f>SUM(C32:G32)</f>
      </c>
    </row>
    <row r="33">
      <c r="A33" s="13" t="str">
        <v>Embasamento</v>
      </c>
      <c r="B33" s="7" t="str">
        <v>1º · Térreo Alameda · Lojas</v>
      </c>
      <c r="C33" s="16">
        <v>255.51</v>
      </c>
      <c r="D33" s="16">
        <v>172.01</v>
      </c>
      <c r="E33" s="16">
        <v>58.2</v>
      </c>
      <c r="F33" s="16">
        <v>42.6</v>
      </c>
      <c r="G33" s="16" t="str">
        <v/>
      </c>
      <c r="H33" s="10">
        <f>SUM(C33:G33)</f>
      </c>
    </row>
    <row r="34">
      <c r="A34" s="13" t="str">
        <v>Embasamento</v>
      </c>
      <c r="B34" s="7" t="str">
        <v>Mezanino</v>
      </c>
      <c r="C34" s="16" t="str">
        <v/>
      </c>
      <c r="D34" s="16">
        <v>83.07</v>
      </c>
      <c r="E34" s="16">
        <v>28.41</v>
      </c>
      <c r="F34" s="16" t="str">
        <v/>
      </c>
      <c r="G34" s="16" t="str">
        <v/>
      </c>
      <c r="H34" s="10">
        <f>SUM(C34:G34)</f>
      </c>
    </row>
    <row r="35">
      <c r="A35" s="13" t="str">
        <v>Embasamento</v>
      </c>
      <c r="B35" s="7" t="str">
        <v>1º subsolo</v>
      </c>
      <c r="C35" s="16" t="str">
        <v/>
      </c>
      <c r="D35" s="16">
        <v>19.98</v>
      </c>
      <c r="E35" s="16">
        <v>32.15</v>
      </c>
      <c r="F35" s="16" t="str">
        <v/>
      </c>
      <c r="G35" s="16" t="str">
        <v/>
      </c>
      <c r="H35" s="10">
        <f>SUM(C35:G35)</f>
      </c>
    </row>
    <row r="36">
      <c r="A36" s="13" t="str">
        <v>Embasamento</v>
      </c>
      <c r="B36" s="7" t="str">
        <v>2º subsolo</v>
      </c>
      <c r="C36" s="16" t="str">
        <v/>
      </c>
      <c r="D36" s="16" t="str">
        <v/>
      </c>
      <c r="E36" s="16">
        <v>36.17</v>
      </c>
      <c r="F36" s="16" t="str">
        <v/>
      </c>
      <c r="G36" s="16" t="str">
        <v/>
      </c>
      <c r="H36" s="10">
        <f>SUM(C36:G36)</f>
      </c>
    </row>
    <row r="37">
      <c r="A37" s="13" t="str">
        <v>Embasamento</v>
      </c>
      <c r="B37" s="7" t="str">
        <v>3º subsolo</v>
      </c>
      <c r="C37" s="16" t="str">
        <v/>
      </c>
      <c r="D37" s="16" t="str">
        <v/>
      </c>
      <c r="E37" s="16">
        <v>36.17</v>
      </c>
      <c r="F37" s="16" t="str">
        <v/>
      </c>
      <c r="G37" s="16" t="str">
        <v/>
      </c>
      <c r="H37" s="10">
        <f>SUM(C37:G37)</f>
      </c>
    </row>
    <row r="38">
      <c r="A38" s="13" t="str">
        <v>Embasamento</v>
      </c>
      <c r="B38" s="7" t="str">
        <v>4º subsolo</v>
      </c>
      <c r="C38" s="16" t="str">
        <v/>
      </c>
      <c r="D38" s="16" t="str">
        <v/>
      </c>
      <c r="E38" s="16">
        <v>36.17</v>
      </c>
      <c r="F38" s="16" t="str">
        <v/>
      </c>
      <c r="G38" s="16" t="str">
        <v/>
      </c>
      <c r="H38" s="10">
        <f>SUM(C38:G38)</f>
      </c>
    </row>
    <row r="39">
      <c r="A39" s="13" t="str">
        <v>Embasamento</v>
      </c>
      <c r="B39" s="7" t="str">
        <v>5º subsolo</v>
      </c>
      <c r="C39" s="16" t="str">
        <v/>
      </c>
      <c r="D39" s="16" t="str">
        <v/>
      </c>
      <c r="E39" s="16">
        <v>36.17</v>
      </c>
      <c r="F39" s="16" t="str">
        <v/>
      </c>
      <c r="G39" s="16" t="str">
        <v/>
      </c>
      <c r="H39" s="10">
        <f>SUM(C39:G39)</f>
      </c>
    </row>
    <row r="40">
      <c r="A40" s="13" t="str">
        <v>Embasamento</v>
      </c>
      <c r="B40" s="7" t="str">
        <v>6º subsolo · Lojas (Térreo Acácias)</v>
      </c>
      <c r="C40" s="16" t="str">
        <v/>
      </c>
      <c r="D40" s="16" t="str">
        <v/>
      </c>
      <c r="E40" s="16">
        <v>147.73</v>
      </c>
      <c r="F40" s="16" t="str">
        <v/>
      </c>
      <c r="G40" s="16" t="str">
        <v/>
      </c>
      <c r="H40" s="10">
        <f>SUM(C40:G40)</f>
      </c>
    </row>
    <row r="41">
      <c r="A41" s="18" t="str">
        <v>TOTAL</v>
      </c>
      <c r="B41" s="22" t="str">
        <v/>
      </c>
      <c r="C41" s="19">
        <f>SUM(C4:C40)</f>
      </c>
      <c r="D41" s="19">
        <f>SUM(D4:D40)</f>
      </c>
      <c r="E41" s="19">
        <f>SUM(E4:E40)</f>
      </c>
      <c r="F41" s="19">
        <f>SUM(F4:F40)</f>
      </c>
      <c r="G41" s="19">
        <f>SUM(G4:G40)</f>
      </c>
      <c r="H41" s="19">
        <f>SUM(H4:H40)</f>
      </c>
    </row>
  </sheetData>
  <mergeCells count="1">
    <mergeCell ref="A1:H1"/>
  </mergeCells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</vt:lpstr>
      <vt:lpstr>POR 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