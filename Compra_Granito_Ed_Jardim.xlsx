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RESUMO" sheetId="1" r:id="rId1"/>
    <sheet name="GRANITO CINZA" sheetId="2" r:id="rId2"/>
    <sheet name="VERDE UBATUBA" sheetId="3" r:id="rId3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8">
    <numFmt numFmtId="165" formatCode="mmm/yyyy"/>
    <numFmt numFmtId="166" formatCode="dd/mm/yyyy"/>
    <numFmt numFmtId="167" formatCode="&quot;R$&quot; #,##0"/>
    <numFmt numFmtId="168" formatCode="dd/mm/yyyy"/>
    <numFmt numFmtId="169" formatCode="&quot;R$&quot; #,##0"/>
    <numFmt numFmtId="170" formatCode="0.0%"/>
    <numFmt numFmtId="171" formatCode="&quot;R$&quot; #,##0.00"/>
    <numFmt numFmtId="172" formatCode="dd/mm/yyyy"/>
  </numFmts>
  <fonts count="31" x14ac:knownFonts="1">
    <font>
      <sz val="11"/>
      <name val="Calibri"/>
    </font>
    <font>
      <sz val="11"/>
      <name val="Calibri"/>
    </font>
    <font>
      <sz val="14"/>
      <name val="Aptos Narrow"/>
      <b/>
      <color rgb="FFFFFF"/>
    </font>
    <font>
      <sz val="10"/>
      <name val="Aptos Narrow"/>
    </font>
    <font>
      <sz val="11"/>
      <name val="Aptos Narrow"/>
      <b/>
      <color rgb="FFFFFF"/>
    </font>
    <font>
      <sz val="10"/>
      <name val="Aptos Narrow"/>
    </font>
    <font>
      <sz val="10"/>
      <name val="Aptos Narrow"/>
      <b/>
    </font>
    <font>
      <sz val="10"/>
      <name val="Aptos Narrow"/>
      <b/>
    </font>
    <font>
      <sz val="10"/>
      <name val="Aptos Narrow"/>
      <b/>
    </font>
    <font>
      <sz val="10"/>
      <name val="Aptos Narrow"/>
    </font>
    <font>
      <sz val="10"/>
      <name val="Aptos Narrow"/>
      <b/>
    </font>
    <font>
      <sz val="10"/>
      <name val="Aptos Narrow"/>
    </font>
    <font>
      <sz val="10"/>
      <name val="Aptos Narrow"/>
      <b/>
    </font>
    <font>
      <sz val="10"/>
      <name val="Aptos Narrow"/>
    </font>
    <font>
      <sz val="10"/>
      <name val="Aptos Narrow"/>
      <b/>
    </font>
    <font>
      <sz val="10"/>
      <name val="Aptos Narrow"/>
      <b/>
    </font>
    <font>
      <sz val="10"/>
      <name val="Aptos Narrow"/>
    </font>
    <font>
      <sz val="10"/>
      <name val="Aptos Narrow"/>
      <b/>
    </font>
    <font>
      <sz val="10"/>
      <name val="Aptos Narrow"/>
      <b/>
    </font>
    <font>
      <sz val="10"/>
      <name val="Aptos Narrow"/>
      <i/>
      <color rgb="555555"/>
    </font>
    <font>
      <sz val="10"/>
      <name val="Aptos Narrow"/>
      <b/>
    </font>
    <font>
      <sz val="10"/>
      <name val="Aptos Narrow"/>
      <b/>
    </font>
    <font>
      <sz val="10"/>
      <name val="Aptos Narrow"/>
    </font>
    <font>
      <sz val="10"/>
      <name val="Aptos Narrow"/>
      <color rgb="0000FF"/>
    </font>
    <font>
      <sz val="10"/>
      <name val="Aptos Narrow"/>
      <color rgb="0000FF"/>
    </font>
    <font>
      <sz val="10"/>
      <name val="Aptos Narrow"/>
      <color rgb="0000FF"/>
    </font>
    <font>
      <sz val="10"/>
      <name val="Aptos Narrow"/>
      <color rgb="0000FF"/>
    </font>
    <font>
      <sz val="10"/>
      <name val="Aptos Narrow"/>
    </font>
    <font>
      <sz val="10"/>
      <name val="Aptos Narrow"/>
    </font>
    <font>
      <sz val="10"/>
      <name val="Aptos Narrow"/>
      <b/>
    </font>
    <font>
      <sz val="10"/>
      <name val="Aptos Narrow"/>
      <b/>
    </font>
  </fonts>
  <fills count="21">
    <fill>
      <patternFill patternType="none">
        <bgColor/>
      </patternFill>
    </fill>
    <fill>
      <patternFill patternType="gray125">
        <bgColor/>
      </patternFill>
    </fill>
    <fill>
      <patternFill patternType="solid">
        <fgColor rgb="FF232623"/>
        <bgColor/>
      </patternFill>
    </fill>
    <fill>
      <patternFill patternType="solid">
        <fgColor rgb="FF232623"/>
        <bgColor/>
      </patternFill>
    </fill>
    <fill>
      <patternFill patternType="solid">
        <fgColor rgb="FF595959"/>
        <bgColor/>
      </patternFill>
    </fill>
    <fill>
      <patternFill patternType="solid">
        <fgColor rgb="FF595959"/>
        <bgColor/>
      </patternFill>
    </fill>
    <fill>
      <patternFill patternType="solid">
        <fgColor rgb="FFA6A6A6"/>
        <bgColor/>
      </patternFill>
    </fill>
    <fill>
      <patternFill patternType="solid">
        <fgColor rgb="FFD6E4DD"/>
        <bgColor/>
      </patternFill>
    </fill>
    <fill>
      <patternFill patternType="solid">
        <fgColor rgb="FFD6E4DD"/>
        <bgColor/>
      </patternFill>
    </fill>
    <fill>
      <patternFill patternType="solid">
        <fgColor rgb="FFE6E9E6"/>
        <bgColor/>
      </patternFill>
    </fill>
    <fill>
      <patternFill patternType="solid">
        <fgColor rgb="FFE6E9E6"/>
        <bgColor/>
      </patternFill>
    </fill>
    <fill>
      <patternFill patternType="solid">
        <fgColor rgb="FFE6E9E6"/>
        <bgColor/>
      </patternFill>
    </fill>
    <fill>
      <patternFill patternType="solid">
        <fgColor rgb="FFE6E9E6"/>
        <bgColor/>
      </patternFill>
    </fill>
    <fill>
      <patternFill patternType="solid">
        <fgColor rgb="FFE6E9E6"/>
        <bgColor/>
      </patternFill>
    </fill>
    <fill>
      <patternFill patternType="solid">
        <fgColor rgb="FFA6A6A6"/>
        <bgColor/>
      </patternFill>
    </fill>
    <fill>
      <patternFill patternType="solid">
        <fgColor rgb="FFA6A6A6"/>
        <bgColor/>
      </patternFill>
    </fill>
    <fill>
      <patternFill patternType="solid">
        <fgColor rgb="FFFFF2CC"/>
        <bgColor/>
      </patternFill>
    </fill>
    <fill>
      <patternFill patternType="solid">
        <fgColor rgb="FFFFF2CC"/>
        <bgColor/>
      </patternFill>
    </fill>
    <fill>
      <patternFill patternType="solid">
        <fgColor rgb="FFFFF2CC"/>
        <bgColor/>
      </patternFill>
    </fill>
    <fill>
      <patternFill patternType="solid">
        <fgColor rgb="FFFFF2CC"/>
        <bgColor/>
      </patternFill>
    </fill>
    <fill>
      <patternFill patternType="solid">
        <fgColor rgb="FFD6E4DD"/>
        <bgColor/>
      </patternFill>
    </fill>
  </fills>
  <borders count="25">
    <border>
      <left/>
      <right/>
      <top/>
      <bottom/>
      <diagonal/>
    </border>
    <border>
      <left/>
      <right/>
      <top/>
      <bottom/>
      <diagonal/>
    </border>
    <border>
      <left style="thin">
        <color rgb="D0D5D8"/>
      </left>
      <right style="thin">
        <color rgb="D0D5D8"/>
      </right>
      <top style="thin">
        <color rgb="D0D5D8"/>
      </top>
      <bottom style="thin">
        <color rgb="D0D5D8"/>
      </bottom>
      <diagonal/>
    </border>
    <border>
      <left style="thin">
        <color rgb="D0D5D8"/>
      </left>
      <right style="thin">
        <color rgb="D0D5D8"/>
      </right>
      <top style="thin">
        <color rgb="D0D5D8"/>
      </top>
      <bottom style="thin">
        <color rgb="D0D5D8"/>
      </bottom>
      <diagonal/>
    </border>
    <border>
      <left style="thin">
        <color rgb="D0D5D8"/>
      </left>
      <right style="thin">
        <color rgb="D0D5D8"/>
      </right>
      <top style="thin">
        <color rgb="D0D5D8"/>
      </top>
      <bottom style="thin">
        <color rgb="D0D5D8"/>
      </bottom>
      <diagonal/>
    </border>
    <border>
      <left style="thin">
        <color rgb="D0D5D8"/>
      </left>
      <right style="thin">
        <color rgb="D0D5D8"/>
      </right>
      <top style="thin">
        <color rgb="D0D5D8"/>
      </top>
      <bottom style="thin">
        <color rgb="D0D5D8"/>
      </bottom>
      <diagonal/>
    </border>
    <border>
      <left style="thin">
        <color rgb="D0D5D8"/>
      </left>
      <right style="thin">
        <color rgb="D0D5D8"/>
      </right>
      <top style="thin">
        <color rgb="D0D5D8"/>
      </top>
      <bottom style="thin">
        <color rgb="D0D5D8"/>
      </bottom>
      <diagonal/>
    </border>
    <border>
      <left style="thin">
        <color rgb="D0D5D8"/>
      </left>
      <right style="thin">
        <color rgb="D0D5D8"/>
      </right>
      <top style="thin">
        <color rgb="D0D5D8"/>
      </top>
      <bottom style="thin">
        <color rgb="D0D5D8"/>
      </bottom>
      <diagonal/>
    </border>
    <border>
      <left style="thin">
        <color rgb="D0D5D8"/>
      </left>
      <right style="thin">
        <color rgb="D0D5D8"/>
      </right>
      <top style="thin">
        <color rgb="D0D5D8"/>
      </top>
      <bottom style="thin">
        <color rgb="D0D5D8"/>
      </bottom>
      <diagonal/>
    </border>
    <border>
      <left style="thin">
        <color rgb="D0D5D8"/>
      </left>
      <right style="thin">
        <color rgb="D0D5D8"/>
      </right>
      <top style="thin">
        <color rgb="D0D5D8"/>
      </top>
      <bottom style="thin">
        <color rgb="D0D5D8"/>
      </bottom>
      <diagonal/>
    </border>
    <border>
      <left style="thin">
        <color rgb="D0D5D8"/>
      </left>
      <right style="thin">
        <color rgb="D0D5D8"/>
      </right>
      <top style="thin">
        <color rgb="D0D5D8"/>
      </top>
      <bottom style="thin">
        <color rgb="D0D5D8"/>
      </bottom>
      <diagonal/>
    </border>
    <border>
      <left style="thin">
        <color rgb="D0D5D8"/>
      </left>
      <right style="thin">
        <color rgb="D0D5D8"/>
      </right>
      <top style="thin">
        <color rgb="D0D5D8"/>
      </top>
      <bottom style="thin">
        <color rgb="D0D5D8"/>
      </bottom>
      <diagonal/>
    </border>
    <border>
      <left style="thin">
        <color rgb="D0D5D8"/>
      </left>
      <right style="thin">
        <color rgb="D0D5D8"/>
      </right>
      <top style="thin">
        <color rgb="D0D5D8"/>
      </top>
      <bottom style="thin">
        <color rgb="D0D5D8"/>
      </bottom>
      <diagonal/>
    </border>
    <border>
      <left style="thin">
        <color rgb="D0D5D8"/>
      </left>
      <right style="thin">
        <color rgb="D0D5D8"/>
      </right>
      <top style="thin">
        <color rgb="D0D5D8"/>
      </top>
      <bottom style="thin">
        <color rgb="D0D5D8"/>
      </bottom>
      <diagonal/>
    </border>
    <border>
      <left style="thin">
        <color rgb="D0D5D8"/>
      </left>
      <right style="thin">
        <color rgb="D0D5D8"/>
      </right>
      <top style="thin">
        <color rgb="D0D5D8"/>
      </top>
      <bottom style="thin">
        <color rgb="D0D5D8"/>
      </bottom>
      <diagonal/>
    </border>
    <border>
      <left style="thin">
        <color rgb="D0D5D8"/>
      </left>
      <right style="thin">
        <color rgb="D0D5D8"/>
      </right>
      <top style="thin">
        <color rgb="D0D5D8"/>
      </top>
      <bottom style="thin">
        <color rgb="D0D5D8"/>
      </bottom>
      <diagonal/>
    </border>
    <border>
      <left style="thin">
        <color rgb="D0D5D8"/>
      </left>
      <right style="thin">
        <color rgb="D0D5D8"/>
      </right>
      <top style="thin">
        <color rgb="D0D5D8"/>
      </top>
      <bottom style="thin">
        <color rgb="D0D5D8"/>
      </bottom>
      <diagonal/>
    </border>
    <border>
      <left style="thin">
        <color rgb="D0D5D8"/>
      </left>
      <right style="thin">
        <color rgb="D0D5D8"/>
      </right>
      <top style="thin">
        <color rgb="D0D5D8"/>
      </top>
      <bottom style="thin">
        <color rgb="D0D5D8"/>
      </bottom>
      <diagonal/>
    </border>
    <border>
      <left style="thin">
        <color rgb="D0D5D8"/>
      </left>
      <right style="thin">
        <color rgb="D0D5D8"/>
      </right>
      <top style="thin">
        <color rgb="D0D5D8"/>
      </top>
      <bottom style="thin">
        <color rgb="D0D5D8"/>
      </bottom>
      <diagonal/>
    </border>
    <border>
      <left style="thin">
        <color rgb="D0D5D8"/>
      </left>
      <right style="thin">
        <color rgb="D0D5D8"/>
      </right>
      <top style="thin">
        <color rgb="D0D5D8"/>
      </top>
      <bottom style="thin">
        <color rgb="D0D5D8"/>
      </bottom>
      <diagonal/>
    </border>
    <border>
      <left style="thin">
        <color rgb="D0D5D8"/>
      </left>
      <right style="thin">
        <color rgb="D0D5D8"/>
      </right>
      <top style="thin">
        <color rgb="D0D5D8"/>
      </top>
      <bottom style="thin">
        <color rgb="D0D5D8"/>
      </bottom>
      <diagonal/>
    </border>
    <border>
      <left style="thin">
        <color rgb="D0D5D8"/>
      </left>
      <right style="thin">
        <color rgb="D0D5D8"/>
      </right>
      <top style="thin">
        <color rgb="D0D5D8"/>
      </top>
      <bottom style="thin">
        <color rgb="D0D5D8"/>
      </bottom>
      <diagonal/>
    </border>
    <border>
      <left style="thin">
        <color rgb="D0D5D8"/>
      </left>
      <right style="thin">
        <color rgb="D0D5D8"/>
      </right>
      <top style="thin">
        <color rgb="D0D5D8"/>
      </top>
      <bottom style="thin">
        <color rgb="D0D5D8"/>
      </bottom>
      <diagonal/>
    </border>
    <border>
      <left style="thin">
        <color rgb="D0D5D8"/>
      </left>
      <right style="thin">
        <color rgb="D0D5D8"/>
      </right>
      <top style="thin">
        <color rgb="D0D5D8"/>
      </top>
      <bottom style="thin">
        <color rgb="D0D5D8"/>
      </bottom>
      <diagonal/>
    </border>
    <border>
      <left style="thin">
        <color rgb="D0D5D8"/>
      </left>
      <right style="thin">
        <color rgb="D0D5D8"/>
      </right>
      <top style="thin">
        <color rgb="D0D5D8"/>
      </top>
      <bottom style="thin">
        <color rgb="D0D5D8"/>
      </bottom>
      <diagonal/>
    </border>
  </borders>
  <cellStyleXfs>
    <xf numFmtId="0" fontId="0" fillId="0" borderId="0"/>
  </cellStyleXfs>
  <cellXfs count="32">
    <xf numFmtId="0" fontId="0" fillId="0" borderId="0" xfId="0"/>
    <xf numFmtId="0" fontId="1" fillId="1" borderId="1" xfId="0" applyFont="1" applyFill="1" applyBorder="1"/>
    <xf numFmtId="0" fontId="0" fillId="0" borderId="0" xfId="0"/>
    <xf numFmtId="0" fontId="2" fillId="2" borderId="0" xfId="0" applyFont="1" applyFill="1" applyAlignment="1">
      <alignment horizontal="left" vertical="center"/>
    </xf>
    <xf numFmtId="0" fontId="3" fillId="3" borderId="0" xfId="0" applyFont="1" applyFill="1" applyAlignment="1">
      <alignment horizontal="center" vertical="center"/>
    </xf>
    <xf numFmtId="0" fontId="4" fillId="4" borderId="0" xfId="0" applyFont="1" applyFill="1" applyAlignment="1">
      <alignment horizontal="left" vertical="center"/>
    </xf>
    <xf numFmtId="0" fontId="5" fillId="5" borderId="0" xfId="0" applyFont="1" applyFill="1" applyAlignment="1">
      <alignment horizontal="center" vertical="center"/>
    </xf>
    <xf numFmtId="0" fontId="6" fillId="6" borderId="2" xfId="0" applyFont="1" applyFill="1" applyBorder="1" applyAlignment="1">
      <alignment horizontal="center" vertical="center" wrapText="true"/>
    </xf>
    <xf numFmtId="0" fontId="7" fillId="7" borderId="3" xfId="0" applyFont="1" applyFill="1" applyBorder="1" applyAlignment="1">
      <alignment horizontal="center" vertical="center" wrapText="true"/>
    </xf>
    <xf numFmtId="0" fontId="8" fillId="0" borderId="4" xfId="0" applyFont="1" applyBorder="1" applyAlignment="1">
      <alignment horizontal="left" vertical="center"/>
    </xf>
    <xf numFmtId="4" fontId="9" fillId="0" borderId="5" xfId="0" applyFont="1" applyBorder="1" applyNumberFormat="1" applyAlignment="1">
      <alignment horizontal="center" vertical="center"/>
    </xf>
    <xf numFmtId="4" fontId="10" fillId="8" borderId="6" xfId="0" applyFont="1" applyFill="1" applyBorder="1" applyNumberFormat="1" applyAlignment="1">
      <alignment horizontal="center" vertical="center"/>
    </xf>
    <xf numFmtId="165" fontId="11" fillId="0" borderId="7" xfId="0" applyFont="1" applyBorder="1" applyNumberFormat="1" applyAlignment="1">
      <alignment horizontal="center" vertical="center"/>
    </xf>
    <xf numFmtId="166" fontId="12" fillId="0" borderId="8" xfId="0" applyFont="1" applyBorder="1" applyNumberFormat="1" applyAlignment="1">
      <alignment horizontal="center" vertical="center"/>
    </xf>
    <xf numFmtId="167" fontId="13" fillId="0" borderId="9" xfId="0" applyFont="1" applyBorder="1" applyNumberFormat="1" applyAlignment="1">
      <alignment horizontal="center" vertical="center"/>
    </xf>
    <xf numFmtId="0" fontId="14" fillId="9" borderId="10" xfId="0" applyFont="1" applyFill="1" applyBorder="1" applyAlignment="1">
      <alignment horizontal="center" vertical="center"/>
    </xf>
    <xf numFmtId="4" fontId="15" fillId="10" borderId="11" xfId="0" applyFont="1" applyFill="1" applyBorder="1" applyNumberFormat="1" applyAlignment="1">
      <alignment horizontal="center" vertical="center"/>
    </xf>
    <xf numFmtId="0" fontId="16" fillId="11" borderId="12" xfId="0" applyFont="1" applyFill="1" applyBorder="1" applyAlignment="1">
      <alignment horizontal="center" vertical="center"/>
    </xf>
    <xf numFmtId="168" fontId="17" fillId="12" borderId="13" xfId="0" applyFont="1" applyFill="1" applyBorder="1" applyNumberFormat="1" applyAlignment="1">
      <alignment horizontal="center" vertical="center"/>
    </xf>
    <xf numFmtId="169" fontId="18" fillId="13" borderId="14" xfId="0" applyFont="1" applyFill="1" applyBorder="1" applyNumberFormat="1" applyAlignment="1">
      <alignment horizontal="center" vertical="center"/>
    </xf>
    <xf numFmtId="0" fontId="19" fillId="0" borderId="0" xfId="0" applyFont="1" applyAlignment="1">
      <alignment horizontal="left" vertical="center" wrapText="true"/>
    </xf>
    <xf numFmtId="0" fontId="20" fillId="14" borderId="15" xfId="0" applyFont="1" applyFill="1" applyBorder="1" applyAlignment="1">
      <alignment horizontal="left" vertical="center"/>
    </xf>
    <xf numFmtId="0" fontId="21" fillId="15" borderId="16" xfId="0" applyFont="1" applyFill="1" applyBorder="1" applyAlignment="1">
      <alignment horizontal="center" vertical="center"/>
    </xf>
    <xf numFmtId="0" fontId="22" fillId="0" borderId="17" xfId="0" applyFont="1" applyBorder="1" applyAlignment="1">
      <alignment horizontal="left" vertical="center"/>
    </xf>
    <xf numFmtId="170" fontId="23" fillId="16" borderId="18" xfId="0" applyFont="1" applyFill="1" applyBorder="1" applyNumberFormat="1" applyAlignment="1">
      <alignment horizontal="center" vertical="center"/>
    </xf>
    <xf numFmtId="2" fontId="24" fillId="17" borderId="19" xfId="0" applyFont="1" applyFill="1" applyBorder="1" applyNumberFormat="1" applyAlignment="1">
      <alignment horizontal="center" vertical="center"/>
    </xf>
    <xf numFmtId="1" fontId="25" fillId="18" borderId="20" xfId="0" applyFont="1" applyFill="1" applyBorder="1" applyNumberFormat="1" applyAlignment="1">
      <alignment horizontal="center" vertical="center"/>
    </xf>
    <xf numFmtId="171" fontId="26" fillId="19" borderId="21" xfId="0" applyFont="1" applyFill="1" applyBorder="1" applyNumberFormat="1" applyAlignment="1">
      <alignment horizontal="center" vertical="center"/>
    </xf>
    <xf numFmtId="3" fontId="27" fillId="0" borderId="22" xfId="0" applyFont="1" applyBorder="1" applyNumberFormat="1" applyAlignment="1">
      <alignment horizontal="center" vertical="center"/>
    </xf>
    <xf numFmtId="172" fontId="28" fillId="0" borderId="23" xfId="0" applyFont="1" applyBorder="1" applyNumberFormat="1" applyAlignment="1">
      <alignment horizontal="center" vertical="center"/>
    </xf>
    <xf numFmtId="0" fontId="29" fillId="0" borderId="0" xfId="0" applyFont="1" applyAlignment="1">
      <alignment horizontal="left" vertical="center"/>
    </xf>
    <xf numFmtId="0" fontId="30" fillId="20" borderId="24" xfId="0" applyFont="1" applyFill="1" applyBorder="1" applyAlignment="1">
      <alignment horizontal="center" vertical="center"/>
    </xf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9"/>
  <sheetViews>
    <sheetView showGridLines="0" workbookViewId="0"/>
  </sheetViews>
  <cols>
    <col min="1" max="1" width="30.83203125" customWidth="1"/>
    <col min="2" max="2" width="15.83203125" customWidth="1"/>
    <col min="3" max="3" width="15.83203125" customWidth="1"/>
    <col min="4" max="4" width="14.83203125" customWidth="1"/>
    <col min="5" max="5" width="18.83203125" customWidth="1"/>
    <col min="6" max="6" width="18.83203125" customWidth="1"/>
  </cols>
  <sheetData>
    <row r="1" ht="22" customHeight="1">
      <c r="A1" s="3" t="str">
        <v>COMPRA DE GRANITO · RESUMO</v>
      </c>
      <c r="B1" s="4" t="str">
        <v/>
      </c>
      <c r="C1" s="4" t="str">
        <v/>
      </c>
      <c r="D1" s="4" t="str">
        <v/>
      </c>
      <c r="E1" s="4" t="str">
        <v/>
      </c>
      <c r="F1" s="4" t="str">
        <v/>
      </c>
    </row>
    <row r="2" ht="18" customHeight="1">
      <c r="A2" s="5" t="str">
        <v>ED. JARDIM · cronograma do Estudo de Fachada (R12)</v>
      </c>
      <c r="B2" s="6" t="str">
        <v/>
      </c>
      <c r="C2" s="6" t="str">
        <v/>
      </c>
      <c r="D2" s="6" t="str">
        <v/>
      </c>
      <c r="E2" s="6" t="str">
        <v/>
      </c>
      <c r="F2" s="6" t="str">
        <v/>
      </c>
    </row>
    <row r="3"/>
    <row r="4" ht="30" customHeight="1">
      <c r="A4" s="7" t="str">
        <v>MATERIAL</v>
      </c>
      <c r="B4" s="7" t="str">
        <v>SEM PERDA (m²)</v>
      </c>
      <c r="C4" s="8" t="str">
        <v>A COMPRAR (m²)</v>
      </c>
      <c r="D4" s="7" t="str">
        <v>PRIMEIRO USO</v>
      </c>
      <c r="E4" s="7" t="str">
        <v>PRIMEIRO PEDIDO ATÉ</v>
      </c>
      <c r="F4" s="7" t="str">
        <v>CUSTO ESTIMADO (R$)</v>
      </c>
    </row>
    <row r="5">
      <c r="A5" s="9" t="str">
        <v>Granito Cinza Santa Rosa</v>
      </c>
      <c r="B5" s="10">
        <f>'GRANITO CINZA'!E33</f>
      </c>
      <c r="C5" s="11">
        <f>'GRANITO CINZA'!F33</f>
      </c>
      <c r="D5" s="12">
        <f>'GRANITO CINZA'!A14</f>
      </c>
      <c r="E5" s="13">
        <f>'GRANITO CINZA'!H14</f>
      </c>
      <c r="F5" s="14">
        <f>'GRANITO CINZA'!J33</f>
      </c>
    </row>
    <row r="6">
      <c r="A6" s="9" t="str">
        <v>Granito Verde Ubatuba</v>
      </c>
      <c r="B6" s="10">
        <f>'VERDE UBATUBA'!C29</f>
      </c>
      <c r="C6" s="11">
        <f>'VERDE UBATUBA'!D29</f>
      </c>
      <c r="D6" s="12">
        <f>'VERDE UBATUBA'!A13</f>
      </c>
      <c r="E6" s="13">
        <f>'VERDE UBATUBA'!F13</f>
      </c>
      <c r="F6" s="14">
        <f>'VERDE UBATUBA'!H29</f>
      </c>
    </row>
    <row r="7">
      <c r="A7" s="15" t="str">
        <v>TOTAL</v>
      </c>
      <c r="B7" s="16">
        <f>SUM(B5:B6)</f>
      </c>
      <c r="C7" s="16">
        <f>SUM(C5:C6)</f>
      </c>
      <c r="D7" s="17" t="str">
        <v/>
      </c>
      <c r="E7" s="18">
        <f>MIN(E5:E6)</f>
      </c>
      <c r="F7" s="19">
        <f>SUM(F5:F6)</f>
      </c>
    </row>
    <row r="9">
      <c r="A9" s="20" t="str">
        <v>Os parâmetros (perda, prazos, preços) são definidos em cada aba de material. Custo do Verde Ubatuba = 0 enquanto o preço não for informado.</v>
      </c>
    </row>
  </sheetData>
  <mergeCells count="3">
    <mergeCell ref="A1:F1"/>
    <mergeCell ref="A2:F2"/>
    <mergeCell ref="A9:F9"/>
  </mergeCells>
  <ignoredErrors>
    <ignoredError numberStoredAsText="1" sqref="A1:F9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K58"/>
  <sheetViews>
    <sheetView showGridLines="0" workbookViewId="0"/>
  </sheetViews>
  <cols>
    <col min="1" max="1" width="32.83203125" customWidth="1"/>
    <col min="2" max="2" width="13.83203125" customWidth="1"/>
    <col min="3" max="3" width="13.83203125" customWidth="1"/>
    <col min="4" max="4" width="13.83203125" customWidth="1"/>
    <col min="5" max="5" width="13.83203125" customWidth="1"/>
    <col min="6" max="6" width="13.83203125" customWidth="1"/>
    <col min="7" max="7" width="13.83203125" customWidth="1"/>
    <col min="8" max="8" width="13.83203125" customWidth="1"/>
    <col min="9" max="9" width="13.83203125" customWidth="1"/>
    <col min="10" max="10" width="13.83203125" customWidth="1"/>
    <col min="11" max="11" width="34.83203125" customWidth="1"/>
  </cols>
  <sheetData>
    <row r="1" ht="22" customHeight="1">
      <c r="A1" s="3" t="str">
        <v>COMPRA DE GRANITO · CINZA SANTA ROSA</v>
      </c>
      <c r="B1" s="4" t="str">
        <v/>
      </c>
      <c r="C1" s="4" t="str">
        <v/>
      </c>
      <c r="D1" s="4" t="str">
        <v/>
      </c>
      <c r="E1" s="4" t="str">
        <v/>
      </c>
      <c r="F1" s="4" t="str">
        <v/>
      </c>
      <c r="G1" s="4" t="str">
        <v/>
      </c>
      <c r="H1" s="4" t="str">
        <v/>
      </c>
      <c r="I1" s="4" t="str">
        <v/>
      </c>
      <c r="J1" s="4" t="str">
        <v/>
      </c>
      <c r="K1" s="4" t="str">
        <v/>
      </c>
    </row>
    <row r="2" ht="18" customHeight="1">
      <c r="A2" s="5" t="str">
        <v>ED. JARDIM · cronograma do Estudo de Fachada (R12)</v>
      </c>
      <c r="B2" s="6" t="str">
        <v/>
      </c>
      <c r="C2" s="6" t="str">
        <v/>
      </c>
      <c r="D2" s="6" t="str">
        <v/>
      </c>
      <c r="E2" s="6" t="str">
        <v/>
      </c>
      <c r="F2" s="6" t="str">
        <v/>
      </c>
      <c r="G2" s="6" t="str">
        <v/>
      </c>
      <c r="H2" s="6" t="str">
        <v/>
      </c>
      <c r="I2" s="6" t="str">
        <v/>
      </c>
      <c r="J2" s="6" t="str">
        <v/>
      </c>
      <c r="K2" s="6" t="str">
        <v/>
      </c>
    </row>
    <row r="4">
      <c r="A4" s="21" t="str">
        <v>PARÂMETROS</v>
      </c>
      <c r="B4" s="22" t="str">
        <v>VALOR</v>
      </c>
    </row>
    <row r="5">
      <c r="A5" s="23" t="str">
        <v>Perda / quebra</v>
      </c>
      <c r="B5" s="24">
        <v>0.05</v>
      </c>
    </row>
    <row r="6">
      <c r="A6" s="23" t="str">
        <v>Largura média da espala (m)</v>
      </c>
      <c r="B6" s="25">
        <v>0.4</v>
      </c>
    </row>
    <row r="7">
      <c r="A7" s="23" t="str">
        <v>Entrega antes do mês de uso (dias)</v>
      </c>
      <c r="B7" s="26">
        <v>15</v>
      </c>
    </row>
    <row r="8">
      <c r="A8" s="23" t="str">
        <v>Prazo do fornecedor (dias)</v>
      </c>
      <c r="B8" s="26">
        <v>30</v>
      </c>
    </row>
    <row r="9">
      <c r="A9" s="23" t="str">
        <v>Preço (R$/m²)</v>
      </c>
      <c r="B9" s="27">
        <v>120</v>
      </c>
    </row>
    <row r="10">
      <c r="A10" s="23" t="str">
        <v>Frete (R$/m²)</v>
      </c>
      <c r="B10" s="27">
        <v>24</v>
      </c>
    </row>
    <row r="13" ht="30" customHeight="1">
      <c r="A13" s="7" t="str">
        <v>MÊS DE USO</v>
      </c>
      <c r="B13" s="7" t="str">
        <v>PANO (m²)</v>
      </c>
      <c r="C13" s="7" t="str">
        <v>ESPALAS (m)</v>
      </c>
      <c r="D13" s="7" t="str">
        <v>ESPALAS (m²)</v>
      </c>
      <c r="E13" s="7" t="str">
        <v>TOTAL (m²)</v>
      </c>
      <c r="F13" s="8" t="str">
        <v>COM PERDA (m²)</v>
      </c>
      <c r="G13" s="7" t="str">
        <v>ACUMULADO (m²)</v>
      </c>
      <c r="H13" s="7" t="str">
        <v>PEDIDO ATÉ</v>
      </c>
      <c r="I13" s="7" t="str">
        <v>ENTREGA ATÉ</v>
      </c>
      <c r="J13" s="7" t="str">
        <v>CUSTO ESTIMADO (R$)</v>
      </c>
      <c r="K13" s="7" t="str">
        <v>FACHADAS</v>
      </c>
    </row>
    <row r="14">
      <c r="A14" s="12">
        <v>46296</v>
      </c>
      <c r="B14" s="10">
        <v>199.96</v>
      </c>
      <c r="C14" s="10">
        <v>112.15</v>
      </c>
      <c r="D14" s="10">
        <f>C14*$B$6</f>
      </c>
      <c r="E14" s="10">
        <f>B14+D14</f>
      </c>
      <c r="F14" s="11">
        <f>E14*(1+$B$5)</f>
      </c>
      <c r="G14" s="28">
        <f>F14</f>
      </c>
      <c r="H14" s="13">
        <f>I14-$B$8</f>
      </c>
      <c r="I14" s="29">
        <f>A14-$B$7</f>
      </c>
      <c r="J14" s="14">
        <f>F14*($B$9+$B$10)*($B$9&gt;0)</f>
      </c>
      <c r="K14" s="23" t="str">
        <v>Posterior</v>
      </c>
    </row>
    <row r="15">
      <c r="A15" s="12">
        <v>46327</v>
      </c>
      <c r="B15" s="10">
        <v>275.8</v>
      </c>
      <c r="C15" s="10">
        <v>154.66</v>
      </c>
      <c r="D15" s="10">
        <f>C15*$B$6</f>
      </c>
      <c r="E15" s="10">
        <f>B15+D15</f>
      </c>
      <c r="F15" s="11">
        <f>E15*(1+$B$5)</f>
      </c>
      <c r="G15" s="28">
        <f>G14+F15</f>
      </c>
      <c r="H15" s="13">
        <f>I15-$B$8</f>
      </c>
      <c r="I15" s="29">
        <f>A15-$B$7</f>
      </c>
      <c r="J15" s="14">
        <f>F15*($B$9+$B$10)*($B$9&gt;0)</f>
      </c>
      <c r="K15" s="23" t="str">
        <v>Posterior</v>
      </c>
    </row>
    <row r="16">
      <c r="A16" s="12">
        <v>46357</v>
      </c>
      <c r="B16" s="10">
        <v>210.24</v>
      </c>
      <c r="C16" s="10">
        <v>117.89</v>
      </c>
      <c r="D16" s="10">
        <f>C16*$B$6</f>
      </c>
      <c r="E16" s="10">
        <f>B16+D16</f>
      </c>
      <c r="F16" s="11">
        <f>E16*(1+$B$5)</f>
      </c>
      <c r="G16" s="28">
        <f>G15+F16</f>
      </c>
      <c r="H16" s="13">
        <f>I16-$B$8</f>
      </c>
      <c r="I16" s="29">
        <f>A16-$B$7</f>
      </c>
      <c r="J16" s="14">
        <f>F16*($B$9+$B$10)*($B$9&gt;0)</f>
      </c>
      <c r="K16" s="23" t="str">
        <v>Posterior</v>
      </c>
    </row>
    <row r="17">
      <c r="A17" s="12">
        <v>46388</v>
      </c>
      <c r="B17" s="10">
        <v>297.04</v>
      </c>
      <c r="C17" s="10">
        <v>170.45</v>
      </c>
      <c r="D17" s="10">
        <f>C17*$B$6</f>
      </c>
      <c r="E17" s="10">
        <f>B17+D17</f>
      </c>
      <c r="F17" s="11">
        <f>E17*(1+$B$5)</f>
      </c>
      <c r="G17" s="28">
        <f>G16+F17</f>
      </c>
      <c r="H17" s="13">
        <f>I17-$B$8</f>
      </c>
      <c r="I17" s="29">
        <f>A17-$B$7</f>
      </c>
      <c r="J17" s="14">
        <f>F17*($B$9+$B$10)*($B$9&gt;0)</f>
      </c>
      <c r="K17" s="23" t="str">
        <v>Posterior, Frontal</v>
      </c>
    </row>
    <row r="18">
      <c r="A18" s="12">
        <v>46419</v>
      </c>
      <c r="B18" s="10">
        <v>219.11</v>
      </c>
      <c r="C18" s="10">
        <v>136.91</v>
      </c>
      <c r="D18" s="10">
        <f>C18*$B$6</f>
      </c>
      <c r="E18" s="10">
        <f>B18+D18</f>
      </c>
      <c r="F18" s="11">
        <f>E18*(1+$B$5)</f>
      </c>
      <c r="G18" s="28">
        <f>G17+F18</f>
      </c>
      <c r="H18" s="13">
        <f>I18-$B$8</f>
      </c>
      <c r="I18" s="29">
        <f>A18-$B$7</f>
      </c>
      <c r="J18" s="14">
        <f>F18*($B$9+$B$10)*($B$9&gt;0)</f>
      </c>
      <c r="K18" s="23" t="str">
        <v>Posterior, Frontal</v>
      </c>
    </row>
    <row r="19">
      <c r="A19" s="12">
        <v>46447</v>
      </c>
      <c r="B19" s="10">
        <v>214.65</v>
      </c>
      <c r="C19" s="10">
        <v>165.37</v>
      </c>
      <c r="D19" s="10">
        <f>C19*$B$6</f>
      </c>
      <c r="E19" s="10">
        <f>B19+D19</f>
      </c>
      <c r="F19" s="11">
        <f>E19*(1+$B$5)</f>
      </c>
      <c r="G19" s="28">
        <f>G18+F19</f>
      </c>
      <c r="H19" s="13">
        <f>I19-$B$8</f>
      </c>
      <c r="I19" s="29">
        <f>A19-$B$7</f>
      </c>
      <c r="J19" s="14">
        <f>F19*($B$9+$B$10)*($B$9&gt;0)</f>
      </c>
      <c r="K19" s="23" t="str">
        <v>Posterior, Frontal, Lat. Esquerda</v>
      </c>
    </row>
    <row r="20">
      <c r="A20" s="12">
        <v>46478</v>
      </c>
      <c r="B20" s="10">
        <v>216.16</v>
      </c>
      <c r="C20" s="10">
        <v>326.03</v>
      </c>
      <c r="D20" s="10">
        <f>C20*$B$6</f>
      </c>
      <c r="E20" s="10">
        <f>B20+D20</f>
      </c>
      <c r="F20" s="11">
        <f>E20*(1+$B$5)</f>
      </c>
      <c r="G20" s="28">
        <f>G19+F20</f>
      </c>
      <c r="H20" s="13">
        <f>I20-$B$8</f>
      </c>
      <c r="I20" s="29">
        <f>A20-$B$7</f>
      </c>
      <c r="J20" s="14">
        <f>F20*($B$9+$B$10)*($B$9&gt;0)</f>
      </c>
      <c r="K20" s="23" t="str">
        <v>Posterior, Frontal, Lat. Esquerda</v>
      </c>
    </row>
    <row r="21">
      <c r="A21" s="12">
        <v>46508</v>
      </c>
      <c r="B21" s="10">
        <v>446.52</v>
      </c>
      <c r="C21" s="10">
        <v>283.64</v>
      </c>
      <c r="D21" s="10">
        <f>C21*$B$6</f>
      </c>
      <c r="E21" s="10">
        <f>B21+D21</f>
      </c>
      <c r="F21" s="11">
        <f>E21*(1+$B$5)</f>
      </c>
      <c r="G21" s="28">
        <f>G20+F21</f>
      </c>
      <c r="H21" s="13">
        <f>I21-$B$8</f>
      </c>
      <c r="I21" s="29">
        <f>A21-$B$7</f>
      </c>
      <c r="J21" s="14">
        <f>F21*($B$9+$B$10)*($B$9&gt;0)</f>
      </c>
      <c r="K21" s="23" t="str">
        <v>Lat. Direita, Frontal, Lat. Esquerda</v>
      </c>
    </row>
    <row r="22">
      <c r="A22" s="12">
        <v>46539</v>
      </c>
      <c r="B22" s="10">
        <v>468.28</v>
      </c>
      <c r="C22" s="10">
        <v>322.27</v>
      </c>
      <c r="D22" s="10">
        <f>C22*$B$6</f>
      </c>
      <c r="E22" s="10">
        <f>B22+D22</f>
      </c>
      <c r="F22" s="11">
        <f>E22*(1+$B$5)</f>
      </c>
      <c r="G22" s="28">
        <f>G21+F22</f>
      </c>
      <c r="H22" s="13">
        <f>I22-$B$8</f>
      </c>
      <c r="I22" s="29">
        <f>A22-$B$7</f>
      </c>
      <c r="J22" s="14">
        <f>F22*($B$9+$B$10)*($B$9&gt;0)</f>
      </c>
      <c r="K22" s="23" t="str">
        <v>Lat. Direita, Frontal, Lat. Esquerda</v>
      </c>
    </row>
    <row r="23">
      <c r="A23" s="12">
        <v>46569</v>
      </c>
      <c r="B23" s="10">
        <v>258.66</v>
      </c>
      <c r="C23" s="10">
        <v>188.95</v>
      </c>
      <c r="D23" s="10">
        <f>C23*$B$6</f>
      </c>
      <c r="E23" s="10">
        <f>B23+D23</f>
      </c>
      <c r="F23" s="11">
        <f>E23*(1+$B$5)</f>
      </c>
      <c r="G23" s="28">
        <f>G22+F23</f>
      </c>
      <c r="H23" s="13">
        <f>I23-$B$8</f>
      </c>
      <c r="I23" s="29">
        <f>A23-$B$7</f>
      </c>
      <c r="J23" s="14">
        <f>F23*($B$9+$B$10)*($B$9&gt;0)</f>
      </c>
      <c r="K23" s="23" t="str">
        <v>Frontal, Lat. Esquerda</v>
      </c>
    </row>
    <row r="24">
      <c r="A24" s="12">
        <v>46600</v>
      </c>
      <c r="B24" s="10">
        <v>206.81</v>
      </c>
      <c r="C24" s="10">
        <v>250.25</v>
      </c>
      <c r="D24" s="10">
        <f>C24*$B$6</f>
      </c>
      <c r="E24" s="10">
        <f>B24+D24</f>
      </c>
      <c r="F24" s="11">
        <f>E24*(1+$B$5)</f>
      </c>
      <c r="G24" s="28">
        <f>G23+F24</f>
      </c>
      <c r="H24" s="13">
        <f>I24-$B$8</f>
      </c>
      <c r="I24" s="29">
        <f>A24-$B$7</f>
      </c>
      <c r="J24" s="14">
        <f>F24*($B$9+$B$10)*($B$9&gt;0)</f>
      </c>
      <c r="K24" s="23" t="str">
        <v>Frontal, Lat. Esquerda</v>
      </c>
    </row>
    <row r="25">
      <c r="A25" s="12">
        <v>46631</v>
      </c>
      <c r="B25" s="10">
        <v>246.39</v>
      </c>
      <c r="C25" s="10">
        <v>361.97</v>
      </c>
      <c r="D25" s="10">
        <f>C25*$B$6</f>
      </c>
      <c r="E25" s="10">
        <f>B25+D25</f>
      </c>
      <c r="F25" s="11">
        <f>E25*(1+$B$5)</f>
      </c>
      <c r="G25" s="28">
        <f>G24+F25</f>
      </c>
      <c r="H25" s="13">
        <f>I25-$B$8</f>
      </c>
      <c r="I25" s="29">
        <f>A25-$B$7</f>
      </c>
      <c r="J25" s="14">
        <f>F25*($B$9+$B$10)*($B$9&gt;0)</f>
      </c>
      <c r="K25" s="23" t="str">
        <v>Posterior, Frontal, Lat. Esquerda</v>
      </c>
    </row>
    <row r="26">
      <c r="A26" s="12">
        <v>46661</v>
      </c>
      <c r="B26" s="10">
        <v>307.79</v>
      </c>
      <c r="C26" s="10">
        <v>344.18</v>
      </c>
      <c r="D26" s="10">
        <f>C26*$B$6</f>
      </c>
      <c r="E26" s="10">
        <f>B26+D26</f>
      </c>
      <c r="F26" s="11">
        <f>E26*(1+$B$5)</f>
      </c>
      <c r="G26" s="28">
        <f>G25+F26</f>
      </c>
      <c r="H26" s="13">
        <f>I26-$B$8</f>
      </c>
      <c r="I26" s="29">
        <f>A26-$B$7</f>
      </c>
      <c r="J26" s="14">
        <f>F26*($B$9+$B$10)*($B$9&gt;0)</f>
      </c>
      <c r="K26" s="23" t="str">
        <v>Posterior, Lat. Esquerda</v>
      </c>
    </row>
    <row r="27">
      <c r="A27" s="12">
        <v>46692</v>
      </c>
      <c r="B27" s="10">
        <v>362.68</v>
      </c>
      <c r="C27" s="10">
        <v>368.02</v>
      </c>
      <c r="D27" s="10">
        <f>C27*$B$6</f>
      </c>
      <c r="E27" s="10">
        <f>B27+D27</f>
      </c>
      <c r="F27" s="11">
        <f>E27*(1+$B$5)</f>
      </c>
      <c r="G27" s="28">
        <f>G26+F27</f>
      </c>
      <c r="H27" s="13">
        <f>I27-$B$8</f>
      </c>
      <c r="I27" s="29">
        <f>A27-$B$7</f>
      </c>
      <c r="J27" s="14">
        <f>F27*($B$9+$B$10)*($B$9&gt;0)</f>
      </c>
      <c r="K27" s="23" t="str">
        <v>Posterior, Lat. Esquerda</v>
      </c>
    </row>
    <row r="28">
      <c r="A28" s="12">
        <v>46722</v>
      </c>
      <c r="B28" s="10">
        <v>252.3</v>
      </c>
      <c r="C28" s="10">
        <v>256.02</v>
      </c>
      <c r="D28" s="10">
        <f>C28*$B$6</f>
      </c>
      <c r="E28" s="10">
        <f>B28+D28</f>
      </c>
      <c r="F28" s="11">
        <f>E28*(1+$B$5)</f>
      </c>
      <c r="G28" s="28">
        <f>G27+F28</f>
      </c>
      <c r="H28" s="13">
        <f>I28-$B$8</f>
      </c>
      <c r="I28" s="29">
        <f>A28-$B$7</f>
      </c>
      <c r="J28" s="14">
        <f>F28*($B$9+$B$10)*($B$9&gt;0)</f>
      </c>
      <c r="K28" s="23" t="str">
        <v>Posterior, Lat. Esquerda</v>
      </c>
    </row>
    <row r="29">
      <c r="A29" s="12">
        <v>46753</v>
      </c>
      <c r="B29" s="10">
        <v>452.77</v>
      </c>
      <c r="C29" s="10">
        <v>366.79</v>
      </c>
      <c r="D29" s="10">
        <f>C29*$B$6</f>
      </c>
      <c r="E29" s="10">
        <f>B29+D29</f>
      </c>
      <c r="F29" s="11">
        <f>E29*(1+$B$5)</f>
      </c>
      <c r="G29" s="28">
        <f>G28+F29</f>
      </c>
      <c r="H29" s="13">
        <f>I29-$B$8</f>
      </c>
      <c r="I29" s="29">
        <f>A29-$B$7</f>
      </c>
      <c r="J29" s="14">
        <f>F29*($B$9+$B$10)*($B$9&gt;0)</f>
      </c>
      <c r="K29" s="23" t="str">
        <v>Posterior, Lat. Direita, Frontal, Lat. Esquerda</v>
      </c>
    </row>
    <row r="30">
      <c r="A30" s="12">
        <v>46784</v>
      </c>
      <c r="B30" s="10">
        <v>593.64</v>
      </c>
      <c r="C30" s="10">
        <v>269.78</v>
      </c>
      <c r="D30" s="10">
        <f>C30*$B$6</f>
      </c>
      <c r="E30" s="10">
        <f>B30+D30</f>
      </c>
      <c r="F30" s="11">
        <f>E30*(1+$B$5)</f>
      </c>
      <c r="G30" s="28">
        <f>G29+F30</f>
      </c>
      <c r="H30" s="13">
        <f>I30-$B$8</f>
      </c>
      <c r="I30" s="29">
        <f>A30-$B$7</f>
      </c>
      <c r="J30" s="14">
        <f>F30*($B$9+$B$10)*($B$9&gt;0)</f>
      </c>
      <c r="K30" s="23" t="str">
        <v>Posterior, Lat. Direita, Frontal</v>
      </c>
    </row>
    <row r="31">
      <c r="A31" s="12">
        <v>46813</v>
      </c>
      <c r="B31" s="10">
        <v>708.47</v>
      </c>
      <c r="C31" s="10">
        <v>209.34</v>
      </c>
      <c r="D31" s="10">
        <f>C31*$B$6</f>
      </c>
      <c r="E31" s="10">
        <f>B31+D31</f>
      </c>
      <c r="F31" s="11">
        <f>E31*(1+$B$5)</f>
      </c>
      <c r="G31" s="28">
        <f>G30+F31</f>
      </c>
      <c r="H31" s="13">
        <f>I31-$B$8</f>
      </c>
      <c r="I31" s="29">
        <f>A31-$B$7</f>
      </c>
      <c r="J31" s="14">
        <f>F31*($B$9+$B$10)*($B$9&gt;0)</f>
      </c>
      <c r="K31" s="23" t="str">
        <v>Posterior, Lat. Direita, Frontal</v>
      </c>
    </row>
    <row r="32">
      <c r="A32" s="12">
        <v>46844</v>
      </c>
      <c r="B32" s="10">
        <v>423.13</v>
      </c>
      <c r="C32" s="10">
        <v>97.12</v>
      </c>
      <c r="D32" s="10">
        <f>C32*$B$6</f>
      </c>
      <c r="E32" s="10">
        <f>B32+D32</f>
      </c>
      <c r="F32" s="11">
        <f>E32*(1+$B$5)</f>
      </c>
      <c r="G32" s="28">
        <f>G31+F32</f>
      </c>
      <c r="H32" s="13">
        <f>I32-$B$8</f>
      </c>
      <c r="I32" s="29">
        <f>A32-$B$7</f>
      </c>
      <c r="J32" s="14">
        <f>F32*($B$9+$B$10)*($B$9&gt;0)</f>
      </c>
      <c r="K32" s="23" t="str">
        <v>Posterior, Lat. Direita, Frontal</v>
      </c>
    </row>
    <row r="33">
      <c r="A33" s="15" t="str">
        <v>TOTAL</v>
      </c>
      <c r="B33" s="16">
        <f>SUM(B14:B32)</f>
      </c>
      <c r="C33" s="16">
        <f>SUM(C14:C32)</f>
      </c>
      <c r="D33" s="16">
        <f>SUM(D14:D32)</f>
      </c>
      <c r="E33" s="16">
        <f>SUM(E14:E32)</f>
      </c>
      <c r="F33" s="16">
        <f>SUM(F14:F32)</f>
      </c>
      <c r="G33" s="16" t="str">
        <v/>
      </c>
      <c r="H33" s="16" t="str">
        <v/>
      </c>
      <c r="I33" s="16" t="str">
        <v/>
      </c>
      <c r="J33" s="19">
        <f>SUM(J14:J32)</f>
      </c>
      <c r="K33" s="16" t="str">
        <v/>
      </c>
    </row>
    <row r="35">
      <c r="A35" s="30" t="str">
        <v>QUANTIDADE POR FACHADA (m², com perda)</v>
      </c>
    </row>
    <row r="36">
      <c r="A36" s="22" t="str">
        <v>MÊS DE USO</v>
      </c>
      <c r="B36" s="7" t="str">
        <v>POSTERIOR</v>
      </c>
      <c r="C36" s="7" t="str">
        <v>LAT. DIREITA</v>
      </c>
      <c r="D36" s="7" t="str">
        <v>FRONTAL</v>
      </c>
      <c r="E36" s="7" t="str">
        <v>LAT. ESQUERDA</v>
      </c>
      <c r="F36" s="31" t="str">
        <v>TOTAL</v>
      </c>
    </row>
    <row r="37">
      <c r="A37" s="12">
        <v>46296</v>
      </c>
      <c r="B37" s="10">
        <f>(199.955+112.154*$B$6)*(1+$B$5)</f>
      </c>
      <c r="C37" s="10">
        <f>(0+0*$B$6)*(1+$B$5)</f>
      </c>
      <c r="D37" s="10">
        <f>(0+0*$B$6)*(1+$B$5)</f>
      </c>
      <c r="E37" s="10">
        <f>(0+0*$B$6)*(1+$B$5)</f>
      </c>
      <c r="F37" s="11">
        <f>SUM(B37:E37)</f>
      </c>
    </row>
    <row r="38">
      <c r="A38" s="12">
        <v>46327</v>
      </c>
      <c r="B38" s="10">
        <f>(275.801+154.664*$B$6)*(1+$B$5)</f>
      </c>
      <c r="C38" s="10">
        <f>(0+0*$B$6)*(1+$B$5)</f>
      </c>
      <c r="D38" s="10">
        <f>(0+0*$B$6)*(1+$B$5)</f>
      </c>
      <c r="E38" s="10">
        <f>(0+0*$B$6)*(1+$B$5)</f>
      </c>
      <c r="F38" s="11">
        <f>SUM(B38:E38)</f>
      </c>
    </row>
    <row r="39">
      <c r="A39" s="12">
        <v>46357</v>
      </c>
      <c r="B39" s="10">
        <f>(210.243+117.895*$B$6)*(1+$B$5)</f>
      </c>
      <c r="C39" s="10">
        <f>(0+0*$B$6)*(1+$B$5)</f>
      </c>
      <c r="D39" s="10">
        <f>(0+0*$B$6)*(1+$B$5)</f>
      </c>
      <c r="E39" s="10">
        <f>(0+0*$B$6)*(1+$B$5)</f>
      </c>
      <c r="F39" s="11">
        <f>SUM(B39:E39)</f>
      </c>
    </row>
    <row r="40">
      <c r="A40" s="12">
        <v>46388</v>
      </c>
      <c r="B40" s="10">
        <f>(263.979+148.019*$B$6)*(1+$B$5)</f>
      </c>
      <c r="C40" s="10">
        <f>(0+0*$B$6)*(1+$B$5)</f>
      </c>
      <c r="D40" s="10">
        <f>(33.062+22.433*$B$6)*(1+$B$5)</f>
      </c>
      <c r="E40" s="10">
        <f>(0+0*$B$6)*(1+$B$5)</f>
      </c>
      <c r="F40" s="11">
        <f>SUM(B40:E40)</f>
      </c>
    </row>
    <row r="41">
      <c r="A41" s="12">
        <v>46419</v>
      </c>
      <c r="B41" s="10">
        <f>(99.581+55.83*$B$6)*(1+$B$5)</f>
      </c>
      <c r="C41" s="10">
        <f>(0+0*$B$6)*(1+$B$5)</f>
      </c>
      <c r="D41" s="10">
        <f>(119.524+81.079*$B$6)*(1+$B$5)</f>
      </c>
      <c r="E41" s="10">
        <f>(0+0*$B$6)*(1+$B$5)</f>
      </c>
      <c r="F41" s="11">
        <f>SUM(B41:E41)</f>
      </c>
    </row>
    <row r="42">
      <c r="A42" s="12">
        <v>46447</v>
      </c>
      <c r="B42" s="10">
        <f>(61.494+34.492*$B$6)*(1+$B$5)</f>
      </c>
      <c r="C42" s="10">
        <f>(0+0*$B$6)*(1+$B$5)</f>
      </c>
      <c r="D42" s="10">
        <f>(139.22+94.387*$B$6)*(1+$B$5)</f>
      </c>
      <c r="E42" s="10">
        <f>(13.937+36.493*$B$6)*(1+$B$5)</f>
      </c>
      <c r="F42" s="11">
        <f>SUM(B42:E42)</f>
      </c>
    </row>
    <row r="43">
      <c r="A43" s="12">
        <v>46478</v>
      </c>
      <c r="B43" s="10">
        <f>(30.747+17.246*$B$6)*(1+$B$5)</f>
      </c>
      <c r="C43" s="10">
        <f>(0+0*$B$6)*(1+$B$5)</f>
      </c>
      <c r="D43" s="10">
        <f>(91.001+61.67*$B$6)*(1+$B$5)</f>
      </c>
      <c r="E43" s="10">
        <f>(94.408+247.111*$B$6)*(1+$B$5)</f>
      </c>
      <c r="F43" s="11">
        <f>SUM(B43:E43)</f>
      </c>
    </row>
    <row r="44">
      <c r="A44" s="12">
        <v>46508</v>
      </c>
      <c r="B44" s="10">
        <f>(0+0*$B$6)*(1+$B$5)</f>
      </c>
      <c r="C44" s="10">
        <f>(328.946+41.325*$B$6)*(1+$B$5)</f>
      </c>
      <c r="D44" s="10">
        <f>(33.757+22.88*$B$6)*(1+$B$5)</f>
      </c>
      <c r="E44" s="10">
        <f>(83.814+219.435*$B$6)*(1+$B$5)</f>
      </c>
      <c r="F44" s="11">
        <f>SUM(B44:E44)</f>
      </c>
    </row>
    <row r="45">
      <c r="A45" s="12">
        <v>46539</v>
      </c>
      <c r="B45" s="10">
        <f>(0+0*$B$6)*(1+$B$5)</f>
      </c>
      <c r="C45" s="10">
        <f>(306.254+38.475*$B$6)*(1+$B$5)</f>
      </c>
      <c r="D45" s="10">
        <f>(72.386+49.065*$B$6)*(1+$B$5)</f>
      </c>
      <c r="E45" s="10">
        <f>(89.64+234.734*$B$6)*(1+$B$5)</f>
      </c>
      <c r="F45" s="11">
        <f>SUM(B45:E45)</f>
      </c>
    </row>
    <row r="46">
      <c r="A46" s="12">
        <v>46569</v>
      </c>
      <c r="B46" s="10">
        <f>(0+0*$B$6)*(1+$B$5)</f>
      </c>
      <c r="C46" s="10">
        <f>(0+0*$B$6)*(1+$B$5)</f>
      </c>
      <c r="D46" s="10">
        <f>(251.619+170.522*$B$6)*(1+$B$5)</f>
      </c>
      <c r="E46" s="10">
        <f>(7.036+18.426*$B$6)*(1+$B$5)</f>
      </c>
      <c r="F46" s="11">
        <f>SUM(B46:E46)</f>
      </c>
    </row>
    <row r="47">
      <c r="A47" s="12">
        <v>46600</v>
      </c>
      <c r="B47" s="10">
        <f>(0+0*$B$6)*(1+$B$5)</f>
      </c>
      <c r="C47" s="10">
        <f>(0+0*$B$6)*(1+$B$5)</f>
      </c>
      <c r="D47" s="10">
        <f>(150.092+101.725*$B$6)*(1+$B$5)</f>
      </c>
      <c r="E47" s="10">
        <f>(56.717+148.526*$B$6)*(1+$B$5)</f>
      </c>
      <c r="F47" s="11">
        <f>SUM(B47:E47)</f>
      </c>
    </row>
    <row r="48">
      <c r="A48" s="12">
        <v>46631</v>
      </c>
      <c r="B48" s="10">
        <f>(41.999+23.557*$B$6)*(1+$B$5)</f>
      </c>
      <c r="C48" s="10">
        <f>(0+0*$B$6)*(1+$B$5)</f>
      </c>
      <c r="D48" s="10">
        <f>(101.412+68.738*$B$6)*(1+$B$5)</f>
      </c>
      <c r="E48" s="10">
        <f>(102.978+269.673*$B$6)*(1+$B$5)</f>
      </c>
      <c r="F48" s="11">
        <f>SUM(B48:E48)</f>
      </c>
    </row>
    <row r="49">
      <c r="A49" s="12">
        <v>46661</v>
      </c>
      <c r="B49" s="10">
        <f>(224.426+125.885*$B$6)*(1+$B$5)</f>
      </c>
      <c r="C49" s="10">
        <f>(0+0*$B$6)*(1+$B$5)</f>
      </c>
      <c r="D49" s="10">
        <f>(0+0*$B$6)*(1+$B$5)</f>
      </c>
      <c r="E49" s="10">
        <f>(83.361+218.292*$B$6)*(1+$B$5)</f>
      </c>
      <c r="F49" s="11">
        <f>SUM(B49:E49)</f>
      </c>
    </row>
    <row r="50">
      <c r="A50" s="12">
        <v>46692</v>
      </c>
      <c r="B50" s="10">
        <f>(282.694+158.571*$B$6)*(1+$B$5)</f>
      </c>
      <c r="C50" s="10">
        <f>(0+0*$B$6)*(1+$B$5)</f>
      </c>
      <c r="D50" s="10">
        <f>(0+0*$B$6)*(1+$B$5)</f>
      </c>
      <c r="E50" s="10">
        <f>(79.988+209.453*$B$6)*(1+$B$5)</f>
      </c>
      <c r="F50" s="11">
        <f>SUM(B50:E50)</f>
      </c>
    </row>
    <row r="51">
      <c r="A51" s="12">
        <v>46722</v>
      </c>
      <c r="B51" s="10">
        <f>(196.657+110.311*$B$6)*(1+$B$5)</f>
      </c>
      <c r="C51" s="10">
        <f>(0+0*$B$6)*(1+$B$5)</f>
      </c>
      <c r="D51" s="10">
        <f>(0+0*$B$6)*(1+$B$5)</f>
      </c>
      <c r="E51" s="10">
        <f>(55.644+145.706*$B$6)*(1+$B$5)</f>
      </c>
      <c r="F51" s="11">
        <f>SUM(B51:E51)</f>
      </c>
    </row>
    <row r="52">
      <c r="A52" s="12">
        <v>46753</v>
      </c>
      <c r="B52" s="10">
        <f>(338.646+189.947*$B$6)*(1+$B$5)</f>
      </c>
      <c r="C52" s="10">
        <f>(11.342+1.425*$B$6)*(1+$B$5)</f>
      </c>
      <c r="D52" s="10">
        <f>(48.307+32.763*$B$6)*(1+$B$5)</f>
      </c>
      <c r="E52" s="10">
        <f>(54.478+142.65*$B$6)*(1+$B$5)</f>
      </c>
      <c r="F52" s="11">
        <f>SUM(B52:E52)</f>
      </c>
    </row>
    <row r="53">
      <c r="A53" s="12">
        <v>46784</v>
      </c>
      <c r="B53" s="10">
        <f>(384.349+215.58*$B$6)*(1+$B$5)</f>
      </c>
      <c r="C53" s="10">
        <f>(158.783+19.95*$B$6)*(1+$B$5)</f>
      </c>
      <c r="D53" s="10">
        <f>(50.503+34.253*$B$6)*(1+$B$5)</f>
      </c>
      <c r="E53" s="10">
        <f>(0+0*$B$6)*(1+$B$5)</f>
      </c>
      <c r="F53" s="11">
        <f>SUM(B53:E53)</f>
      </c>
    </row>
    <row r="54">
      <c r="A54" s="12">
        <v>46813</v>
      </c>
      <c r="B54" s="10">
        <f>(201.186+112.843*$B$6)*(1+$B$5)</f>
      </c>
      <c r="C54" s="10">
        <f>(447.996+56.287*$B$6)*(1+$B$5)</f>
      </c>
      <c r="D54" s="10">
        <f>(59.286+40.21*$B$6)*(1+$B$5)</f>
      </c>
      <c r="E54" s="10">
        <f>(0+0*$B$6)*(1+$B$5)</f>
      </c>
      <c r="F54" s="11">
        <f>SUM(B54:E54)</f>
      </c>
    </row>
    <row r="55">
      <c r="A55" s="12">
        <v>46844</v>
      </c>
      <c r="B55" s="10">
        <f>(42.443+23.806*$B$6)*(1+$B$5)</f>
      </c>
      <c r="C55" s="10">
        <f>(334.579+42.037*$B$6)*(1+$B$5)</f>
      </c>
      <c r="D55" s="10">
        <f>(46.112+31.274*$B$6)*(1+$B$5)</f>
      </c>
      <c r="E55" s="10">
        <f>(0+0*$B$6)*(1+$B$5)</f>
      </c>
      <c r="F55" s="11">
        <f>SUM(B55:E55)</f>
      </c>
    </row>
    <row r="56">
      <c r="A56" s="15" t="str">
        <v>TOTAL</v>
      </c>
      <c r="B56" s="16">
        <f>SUM(B37:B55)</f>
      </c>
      <c r="C56" s="16">
        <f>SUM(C37:C55)</f>
      </c>
      <c r="D56" s="16">
        <f>SUM(D37:D55)</f>
      </c>
      <c r="E56" s="16">
        <f>SUM(E37:E55)</f>
      </c>
      <c r="F56" s="16">
        <f>SUM(F37:F55)</f>
      </c>
    </row>
    <row r="58">
      <c r="A58" s="20" t="str">
        <v>Cinza Santa Rosa: pano + espalas (faixas até 50 cm) convertidas em m² pela largura média. Quantidades distribuídas pelos dias úteis de execução do cronograma R12. Células amarelas são editáveis.</v>
      </c>
    </row>
  </sheetData>
  <mergeCells count="3">
    <mergeCell ref="A1:K1"/>
    <mergeCell ref="A2:K2"/>
    <mergeCell ref="A58:K58"/>
  </mergeCells>
  <ignoredErrors>
    <ignoredError numberStoredAsText="1" sqref="A1:K58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I51"/>
  <sheetViews>
    <sheetView showGridLines="0" workbookViewId="0"/>
  </sheetViews>
  <cols>
    <col min="1" max="1" width="32.83203125" customWidth="1"/>
    <col min="2" max="2" width="13.83203125" customWidth="1"/>
    <col min="3" max="3" width="13.83203125" customWidth="1"/>
    <col min="4" max="4" width="13.83203125" customWidth="1"/>
    <col min="5" max="5" width="13.83203125" customWidth="1"/>
    <col min="6" max="6" width="13.83203125" customWidth="1"/>
    <col min="7" max="7" width="13.83203125" customWidth="1"/>
    <col min="8" max="8" width="13.83203125" customWidth="1"/>
    <col min="9" max="9" width="34.83203125" customWidth="1"/>
  </cols>
  <sheetData>
    <row r="1" ht="22" customHeight="1">
      <c r="A1" s="3" t="str">
        <v>COMPRA DE GRANITO · VERDE UBATUBA</v>
      </c>
      <c r="B1" s="4" t="str">
        <v/>
      </c>
      <c r="C1" s="4" t="str">
        <v/>
      </c>
      <c r="D1" s="4" t="str">
        <v/>
      </c>
      <c r="E1" s="4" t="str">
        <v/>
      </c>
      <c r="F1" s="4" t="str">
        <v/>
      </c>
      <c r="G1" s="4" t="str">
        <v/>
      </c>
      <c r="H1" s="4" t="str">
        <v/>
      </c>
      <c r="I1" s="4" t="str">
        <v/>
      </c>
    </row>
    <row r="2" ht="18" customHeight="1">
      <c r="A2" s="5" t="str">
        <v>ED. JARDIM · cronograma do Estudo de Fachada (R12)</v>
      </c>
      <c r="B2" s="6" t="str">
        <v/>
      </c>
      <c r="C2" s="6" t="str">
        <v/>
      </c>
      <c r="D2" s="6" t="str">
        <v/>
      </c>
      <c r="E2" s="6" t="str">
        <v/>
      </c>
      <c r="F2" s="6" t="str">
        <v/>
      </c>
      <c r="G2" s="6" t="str">
        <v/>
      </c>
      <c r="H2" s="6" t="str">
        <v/>
      </c>
      <c r="I2" s="6" t="str">
        <v/>
      </c>
    </row>
    <row r="4">
      <c r="A4" s="21" t="str">
        <v>PARÂMETROS</v>
      </c>
      <c r="B4" s="22" t="str">
        <v>VALOR</v>
      </c>
    </row>
    <row r="5">
      <c r="A5" s="23" t="str">
        <v>Perda / quebra</v>
      </c>
      <c r="B5" s="24">
        <v>0.05</v>
      </c>
    </row>
    <row r="6">
      <c r="A6" s="23" t="str">
        <v>Entrega antes do mês de uso (dias)</v>
      </c>
      <c r="B6" s="26">
        <v>15</v>
      </c>
    </row>
    <row r="7">
      <c r="A7" s="23" t="str">
        <v>Prazo do fornecedor (dias)</v>
      </c>
      <c r="B7" s="26">
        <v>30</v>
      </c>
    </row>
    <row r="8">
      <c r="A8" s="23" t="str">
        <v>Preço (R$/m²)</v>
      </c>
      <c r="B8" s="27">
        <v>0</v>
      </c>
    </row>
    <row r="9">
      <c r="A9" s="23" t="str">
        <v>Frete (R$/m²)</v>
      </c>
      <c r="B9" s="27">
        <v>24</v>
      </c>
    </row>
    <row r="12" ht="30" customHeight="1">
      <c r="A12" s="7" t="str">
        <v>MÊS DE USO</v>
      </c>
      <c r="B12" s="7" t="str">
        <v>PANO (m²)</v>
      </c>
      <c r="C12" s="7" t="str">
        <v>TOTAL (m²)</v>
      </c>
      <c r="D12" s="8" t="str">
        <v>COM PERDA (m²)</v>
      </c>
      <c r="E12" s="7" t="str">
        <v>ACUMULADO (m²)</v>
      </c>
      <c r="F12" s="7" t="str">
        <v>PEDIDO ATÉ</v>
      </c>
      <c r="G12" s="7" t="str">
        <v>ENTREGA ATÉ</v>
      </c>
      <c r="H12" s="7" t="str">
        <v>CUSTO ESTIMADO (R$)</v>
      </c>
      <c r="I12" s="7" t="str">
        <v>FACHADAS</v>
      </c>
    </row>
    <row r="13">
      <c r="A13" s="12">
        <v>46388</v>
      </c>
      <c r="B13" s="10">
        <v>43.4</v>
      </c>
      <c r="C13" s="10">
        <f>B13</f>
      </c>
      <c r="D13" s="11">
        <f>C13*(1+$B$5)</f>
      </c>
      <c r="E13" s="28">
        <f>D13</f>
      </c>
      <c r="F13" s="13">
        <f>G13-$B$7</f>
      </c>
      <c r="G13" s="29">
        <f>A13-$B$6</f>
      </c>
      <c r="H13" s="14">
        <f>D13*($B$8+$B$9)*($B$8&gt;0)</f>
      </c>
      <c r="I13" s="23" t="str">
        <v>Frontal</v>
      </c>
    </row>
    <row r="14">
      <c r="A14" s="12">
        <v>46419</v>
      </c>
      <c r="B14" s="10">
        <v>156.92</v>
      </c>
      <c r="C14" s="10">
        <f>B14</f>
      </c>
      <c r="D14" s="11">
        <f>C14*(1+$B$5)</f>
      </c>
      <c r="E14" s="28">
        <f>E13+D14</f>
      </c>
      <c r="F14" s="13">
        <f>G14-$B$7</f>
      </c>
      <c r="G14" s="29">
        <f>A14-$B$6</f>
      </c>
      <c r="H14" s="14">
        <f>D14*($B$8+$B$9)*($B$8&gt;0)</f>
      </c>
      <c r="I14" s="23" t="str">
        <v>Frontal</v>
      </c>
    </row>
    <row r="15">
      <c r="A15" s="12">
        <v>46447</v>
      </c>
      <c r="B15" s="10">
        <v>192.37</v>
      </c>
      <c r="C15" s="10">
        <f>B15</f>
      </c>
      <c r="D15" s="11">
        <f>C15*(1+$B$5)</f>
      </c>
      <c r="E15" s="28">
        <f>E14+D15</f>
      </c>
      <c r="F15" s="13">
        <f>G15-$B$7</f>
      </c>
      <c r="G15" s="29">
        <f>A15-$B$6</f>
      </c>
      <c r="H15" s="14">
        <f>D15*($B$8+$B$9)*($B$8&gt;0)</f>
      </c>
      <c r="I15" s="23" t="str">
        <v>Frontal, Lat. Esquerda</v>
      </c>
    </row>
    <row r="16">
      <c r="A16" s="12">
        <v>46478</v>
      </c>
      <c r="B16" s="10">
        <v>184.47</v>
      </c>
      <c r="C16" s="10">
        <f>B16</f>
      </c>
      <c r="D16" s="11">
        <f>C16*(1+$B$5)</f>
      </c>
      <c r="E16" s="28">
        <f>E15+D16</f>
      </c>
      <c r="F16" s="13">
        <f>G16-$B$7</f>
      </c>
      <c r="G16" s="29">
        <f>A16-$B$6</f>
      </c>
      <c r="H16" s="14">
        <f>D16*($B$8+$B$9)*($B$8&gt;0)</f>
      </c>
      <c r="I16" s="23" t="str">
        <v>Frontal, Lat. Esquerda</v>
      </c>
    </row>
    <row r="17">
      <c r="A17" s="12">
        <v>46508</v>
      </c>
      <c r="B17" s="10">
        <v>102.02</v>
      </c>
      <c r="C17" s="10">
        <f>B17</f>
      </c>
      <c r="D17" s="11">
        <f>C17*(1+$B$5)</f>
      </c>
      <c r="E17" s="28">
        <f>E16+D17</f>
      </c>
      <c r="F17" s="13">
        <f>G17-$B$7</f>
      </c>
      <c r="G17" s="29">
        <f>A17-$B$6</f>
      </c>
      <c r="H17" s="14">
        <f>D17*($B$8+$B$9)*($B$8&gt;0)</f>
      </c>
      <c r="I17" s="23" t="str">
        <v>Frontal, Lat. Esquerda</v>
      </c>
    </row>
    <row r="18">
      <c r="A18" s="12">
        <v>46539</v>
      </c>
      <c r="B18" s="10">
        <v>156.75</v>
      </c>
      <c r="C18" s="10">
        <f>B18</f>
      </c>
      <c r="D18" s="11">
        <f>C18*(1+$B$5)</f>
      </c>
      <c r="E18" s="28">
        <f>E17+D18</f>
      </c>
      <c r="F18" s="13">
        <f>G18-$B$7</f>
      </c>
      <c r="G18" s="29">
        <f>A18-$B$6</f>
      </c>
      <c r="H18" s="14">
        <f>D18*($B$8+$B$9)*($B$8&gt;0)</f>
      </c>
      <c r="I18" s="23" t="str">
        <v>Frontal, Lat. Esquerda</v>
      </c>
    </row>
    <row r="19">
      <c r="A19" s="12">
        <v>46569</v>
      </c>
      <c r="B19" s="10">
        <v>335.18</v>
      </c>
      <c r="C19" s="10">
        <f>B19</f>
      </c>
      <c r="D19" s="11">
        <f>C19*(1+$B$5)</f>
      </c>
      <c r="E19" s="28">
        <f>E18+D19</f>
      </c>
      <c r="F19" s="13">
        <f>G19-$B$7</f>
      </c>
      <c r="G19" s="29">
        <f>A19-$B$6</f>
      </c>
      <c r="H19" s="14">
        <f>D19*($B$8+$B$9)*($B$8&gt;0)</f>
      </c>
      <c r="I19" s="23" t="str">
        <v>Frontal, Lat. Esquerda</v>
      </c>
    </row>
    <row r="20">
      <c r="A20" s="12">
        <v>46600</v>
      </c>
      <c r="B20" s="10">
        <v>236.1</v>
      </c>
      <c r="C20" s="10">
        <f>B20</f>
      </c>
      <c r="D20" s="11">
        <f>C20*(1+$B$5)</f>
      </c>
      <c r="E20" s="28">
        <f>E19+D20</f>
      </c>
      <c r="F20" s="13">
        <f>G20-$B$7</f>
      </c>
      <c r="G20" s="29">
        <f>A20-$B$6</f>
      </c>
      <c r="H20" s="14">
        <f>D20*($B$8+$B$9)*($B$8&gt;0)</f>
      </c>
      <c r="I20" s="23" t="str">
        <v>Frontal, Lat. Esquerda</v>
      </c>
    </row>
    <row r="21">
      <c r="A21" s="12">
        <v>46631</v>
      </c>
      <c r="B21" s="10">
        <v>204.04</v>
      </c>
      <c r="C21" s="10">
        <f>B21</f>
      </c>
      <c r="D21" s="11">
        <f>C21*(1+$B$5)</f>
      </c>
      <c r="E21" s="28">
        <f>E20+D21</f>
      </c>
      <c r="F21" s="13">
        <f>G21-$B$7</f>
      </c>
      <c r="G21" s="29">
        <f>A21-$B$6</f>
      </c>
      <c r="H21" s="14">
        <f>D21*($B$8+$B$9)*($B$8&gt;0)</f>
      </c>
      <c r="I21" s="23" t="str">
        <v>Frontal, Lat. Esquerda</v>
      </c>
    </row>
    <row r="22">
      <c r="A22" s="12">
        <v>46661</v>
      </c>
      <c r="B22" s="10">
        <v>57.39</v>
      </c>
      <c r="C22" s="10">
        <f>B22</f>
      </c>
      <c r="D22" s="11">
        <f>C22*(1+$B$5)</f>
      </c>
      <c r="E22" s="28">
        <f>E21+D22</f>
      </c>
      <c r="F22" s="13">
        <f>G22-$B$7</f>
      </c>
      <c r="G22" s="29">
        <f>A22-$B$6</f>
      </c>
      <c r="H22" s="14">
        <f>D22*($B$8+$B$9)*($B$8&gt;0)</f>
      </c>
      <c r="I22" s="23" t="str">
        <v>Lat. Esquerda</v>
      </c>
    </row>
    <row r="23">
      <c r="A23" s="12">
        <v>46692</v>
      </c>
      <c r="B23" s="10">
        <v>55.07</v>
      </c>
      <c r="C23" s="10">
        <f>B23</f>
      </c>
      <c r="D23" s="11">
        <f>C23*(1+$B$5)</f>
      </c>
      <c r="E23" s="28">
        <f>E22+D23</f>
      </c>
      <c r="F23" s="13">
        <f>G23-$B$7</f>
      </c>
      <c r="G23" s="29">
        <f>A23-$B$6</f>
      </c>
      <c r="H23" s="14">
        <f>D23*($B$8+$B$9)*($B$8&gt;0)</f>
      </c>
      <c r="I23" s="23" t="str">
        <v>Lat. Esquerda</v>
      </c>
    </row>
    <row r="24">
      <c r="A24" s="12">
        <v>46722</v>
      </c>
      <c r="B24" s="10">
        <v>38.31</v>
      </c>
      <c r="C24" s="10">
        <f>B24</f>
      </c>
      <c r="D24" s="11">
        <f>C24*(1+$B$5)</f>
      </c>
      <c r="E24" s="28">
        <f>E23+D24</f>
      </c>
      <c r="F24" s="13">
        <f>G24-$B$7</f>
      </c>
      <c r="G24" s="29">
        <f>A24-$B$6</f>
      </c>
      <c r="H24" s="14">
        <f>D24*($B$8+$B$9)*($B$8&gt;0)</f>
      </c>
      <c r="I24" s="23" t="str">
        <v>Lat. Esquerda</v>
      </c>
    </row>
    <row r="25">
      <c r="A25" s="12">
        <v>46753</v>
      </c>
      <c r="B25" s="10">
        <v>100.93</v>
      </c>
      <c r="C25" s="10">
        <f>B25</f>
      </c>
      <c r="D25" s="11">
        <f>C25*(1+$B$5)</f>
      </c>
      <c r="E25" s="28">
        <f>E24+D25</f>
      </c>
      <c r="F25" s="13">
        <f>G25-$B$7</f>
      </c>
      <c r="G25" s="29">
        <f>A25-$B$6</f>
      </c>
      <c r="H25" s="14">
        <f>D25*($B$8+$B$9)*($B$8&gt;0)</f>
      </c>
      <c r="I25" s="23" t="str">
        <v>Frontal, Lat. Esquerda</v>
      </c>
    </row>
    <row r="26">
      <c r="A26" s="12">
        <v>46784</v>
      </c>
      <c r="B26" s="10">
        <v>66.3</v>
      </c>
      <c r="C26" s="10">
        <f>B26</f>
      </c>
      <c r="D26" s="11">
        <f>C26*(1+$B$5)</f>
      </c>
      <c r="E26" s="28">
        <f>E25+D26</f>
      </c>
      <c r="F26" s="13">
        <f>G26-$B$7</f>
      </c>
      <c r="G26" s="29">
        <f>A26-$B$6</f>
      </c>
      <c r="H26" s="14">
        <f>D26*($B$8+$B$9)*($B$8&gt;0)</f>
      </c>
      <c r="I26" s="23" t="str">
        <v>Frontal</v>
      </c>
    </row>
    <row r="27">
      <c r="A27" s="12">
        <v>46813</v>
      </c>
      <c r="B27" s="10">
        <v>77.83</v>
      </c>
      <c r="C27" s="10">
        <f>B27</f>
      </c>
      <c r="D27" s="11">
        <f>C27*(1+$B$5)</f>
      </c>
      <c r="E27" s="28">
        <f>E26+D27</f>
      </c>
      <c r="F27" s="13">
        <f>G27-$B$7</f>
      </c>
      <c r="G27" s="29">
        <f>A27-$B$6</f>
      </c>
      <c r="H27" s="14">
        <f>D27*($B$8+$B$9)*($B$8&gt;0)</f>
      </c>
      <c r="I27" s="23" t="str">
        <v>Frontal</v>
      </c>
    </row>
    <row r="28">
      <c r="A28" s="12">
        <v>46844</v>
      </c>
      <c r="B28" s="10">
        <v>60.54</v>
      </c>
      <c r="C28" s="10">
        <f>B28</f>
      </c>
      <c r="D28" s="11">
        <f>C28*(1+$B$5)</f>
      </c>
      <c r="E28" s="28">
        <f>E27+D28</f>
      </c>
      <c r="F28" s="13">
        <f>G28-$B$7</f>
      </c>
      <c r="G28" s="29">
        <f>A28-$B$6</f>
      </c>
      <c r="H28" s="14">
        <f>D28*($B$8+$B$9)*($B$8&gt;0)</f>
      </c>
      <c r="I28" s="23" t="str">
        <v>Frontal</v>
      </c>
    </row>
    <row r="29">
      <c r="A29" s="15" t="str">
        <v>TOTAL</v>
      </c>
      <c r="B29" s="16">
        <f>SUM(B13:B28)</f>
      </c>
      <c r="C29" s="16">
        <f>SUM(C13:C28)</f>
      </c>
      <c r="D29" s="16">
        <f>SUM(D13:D28)</f>
      </c>
      <c r="E29" s="16" t="str">
        <v/>
      </c>
      <c r="F29" s="16" t="str">
        <v/>
      </c>
      <c r="G29" s="16" t="str">
        <v/>
      </c>
      <c r="H29" s="19">
        <f>SUM(H13:H28)</f>
      </c>
      <c r="I29" s="16" t="str">
        <v/>
      </c>
    </row>
    <row r="31">
      <c r="A31" s="30" t="str">
        <v>QUANTIDADE POR FACHADA (m², com perda)</v>
      </c>
    </row>
    <row r="32">
      <c r="A32" s="22" t="str">
        <v>MÊS DE USO</v>
      </c>
      <c r="B32" s="7" t="str">
        <v>FRONTAL</v>
      </c>
      <c r="C32" s="7" t="str">
        <v>LAT. ESQUERDA</v>
      </c>
      <c r="D32" s="31" t="str">
        <v>TOTAL</v>
      </c>
    </row>
    <row r="33">
      <c r="A33" s="12">
        <v>46388</v>
      </c>
      <c r="B33" s="10">
        <f>43.405*(1+$B$5)</f>
      </c>
      <c r="C33" s="10">
        <f>0*(1+$B$5)</f>
      </c>
      <c r="D33" s="11">
        <f>SUM(B33:C33)</f>
      </c>
    </row>
    <row r="34">
      <c r="A34" s="12">
        <v>46419</v>
      </c>
      <c r="B34" s="10">
        <f>156.916*(1+$B$5)</f>
      </c>
      <c r="C34" s="10">
        <f>0*(1+$B$5)</f>
      </c>
      <c r="D34" s="11">
        <f>SUM(B34:C34)</f>
      </c>
    </row>
    <row r="35">
      <c r="A35" s="12">
        <v>46447</v>
      </c>
      <c r="B35" s="10">
        <f>182.773*(1+$B$5)</f>
      </c>
      <c r="C35" s="10">
        <f>9.596*(1+$B$5)</f>
      </c>
      <c r="D35" s="11">
        <f>SUM(B35:C35)</f>
      </c>
    </row>
    <row r="36">
      <c r="A36" s="12">
        <v>46478</v>
      </c>
      <c r="B36" s="10">
        <f>119.469*(1+$B$5)</f>
      </c>
      <c r="C36" s="10">
        <f>65*(1+$B$5)</f>
      </c>
      <c r="D36" s="11">
        <f>SUM(B36:C36)</f>
      </c>
    </row>
    <row r="37">
      <c r="A37" s="12">
        <v>46508</v>
      </c>
      <c r="B37" s="10">
        <f>44.317*(1+$B$5)</f>
      </c>
      <c r="C37" s="10">
        <f>57.706*(1+$B$5)</f>
      </c>
      <c r="D37" s="11">
        <f>SUM(B37:C37)</f>
      </c>
    </row>
    <row r="38">
      <c r="A38" s="12">
        <v>46539</v>
      </c>
      <c r="B38" s="10">
        <f>95.031*(1+$B$5)</f>
      </c>
      <c r="C38" s="10">
        <f>61.717*(1+$B$5)</f>
      </c>
      <c r="D38" s="11">
        <f>SUM(B38:C38)</f>
      </c>
    </row>
    <row r="39">
      <c r="A39" s="12">
        <v>46569</v>
      </c>
      <c r="B39" s="10">
        <f>330.334*(1+$B$5)</f>
      </c>
      <c r="C39" s="10">
        <f>4.844*(1+$B$5)</f>
      </c>
      <c r="D39" s="11">
        <f>SUM(B39:C39)</f>
      </c>
    </row>
    <row r="40">
      <c r="A40" s="12">
        <v>46600</v>
      </c>
      <c r="B40" s="10">
        <f>197.045*(1+$B$5)</f>
      </c>
      <c r="C40" s="10">
        <f>39.05*(1+$B$5)</f>
      </c>
      <c r="D40" s="11">
        <f>SUM(B40:C40)</f>
      </c>
    </row>
    <row r="41">
      <c r="A41" s="12">
        <v>46631</v>
      </c>
      <c r="B41" s="10">
        <f>133.137*(1+$B$5)</f>
      </c>
      <c r="C41" s="10">
        <f>70.9*(1+$B$5)</f>
      </c>
      <c r="D41" s="11">
        <f>SUM(B41:C41)</f>
      </c>
    </row>
    <row r="42">
      <c r="A42" s="12">
        <v>46661</v>
      </c>
      <c r="B42" s="10">
        <f>0*(1+$B$5)</f>
      </c>
      <c r="C42" s="10">
        <f>57.394*(1+$B$5)</f>
      </c>
      <c r="D42" s="11">
        <f>SUM(B42:C42)</f>
      </c>
    </row>
    <row r="43">
      <c r="A43" s="12">
        <v>46692</v>
      </c>
      <c r="B43" s="10">
        <f>0*(1+$B$5)</f>
      </c>
      <c r="C43" s="10">
        <f>55.072*(1+$B$5)</f>
      </c>
      <c r="D43" s="11">
        <f>SUM(B43:C43)</f>
      </c>
    </row>
    <row r="44">
      <c r="A44" s="12">
        <v>46722</v>
      </c>
      <c r="B44" s="10">
        <f>0*(1+$B$5)</f>
      </c>
      <c r="C44" s="10">
        <f>38.311*(1+$B$5)</f>
      </c>
      <c r="D44" s="11">
        <f>SUM(B44:C44)</f>
      </c>
    </row>
    <row r="45">
      <c r="A45" s="12">
        <v>46753</v>
      </c>
      <c r="B45" s="10">
        <f>63.42*(1+$B$5)</f>
      </c>
      <c r="C45" s="10">
        <f>37.508*(1+$B$5)</f>
      </c>
      <c r="D45" s="11">
        <f>SUM(B45:C45)</f>
      </c>
    </row>
    <row r="46">
      <c r="A46" s="12">
        <v>46784</v>
      </c>
      <c r="B46" s="10">
        <f>66.302*(1+$B$5)</f>
      </c>
      <c r="C46" s="10">
        <f>0*(1+$B$5)</f>
      </c>
      <c r="D46" s="11">
        <f>SUM(B46:C46)</f>
      </c>
    </row>
    <row r="47">
      <c r="A47" s="12">
        <v>46813</v>
      </c>
      <c r="B47" s="10">
        <f>77.833*(1+$B$5)</f>
      </c>
      <c r="C47" s="10">
        <f>0*(1+$B$5)</f>
      </c>
      <c r="D47" s="11">
        <f>SUM(B47:C47)</f>
      </c>
    </row>
    <row r="48">
      <c r="A48" s="12">
        <v>46844</v>
      </c>
      <c r="B48" s="10">
        <f>60.537*(1+$B$5)</f>
      </c>
      <c r="C48" s="10">
        <f>0*(1+$B$5)</f>
      </c>
      <c r="D48" s="11">
        <f>SUM(B48:C48)</f>
      </c>
    </row>
    <row r="49">
      <c r="A49" s="15" t="str">
        <v>TOTAL</v>
      </c>
      <c r="B49" s="16">
        <f>SUM(B33:B48)</f>
      </c>
      <c r="C49" s="16">
        <f>SUM(C33:C48)</f>
      </c>
      <c r="D49" s="16">
        <f>SUM(D33:D48)</f>
      </c>
    </row>
    <row r="51">
      <c r="A51" s="20" t="str">
        <v>Verde Ubatuba: pano da Frontal (57%) e da Lat. Esquerda (41%). Quantidades distribuídas pelos dias úteis de execução do cronograma R12. Células amarelas são editáveis.</v>
      </c>
    </row>
  </sheetData>
  <mergeCells count="3">
    <mergeCell ref="A1:I1"/>
    <mergeCell ref="A2:I2"/>
    <mergeCell ref="A51:I51"/>
  </mergeCells>
  <ignoredErrors>
    <ignoredError numberStoredAsText="1" sqref="A1:I5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RESUMO</vt:lpstr>
      <vt:lpstr>GRANITO CINZA</vt:lpstr>
      <vt:lpstr>VERDE UBATUBA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