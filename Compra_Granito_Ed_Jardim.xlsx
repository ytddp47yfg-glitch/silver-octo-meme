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OMPRA GRANITO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7">
    <numFmt numFmtId="165" formatCode="0.0%"/>
    <numFmt numFmtId="166" formatCode="&quot;R$&quot; #,##0.00"/>
    <numFmt numFmtId="167" formatCode="mmm/yyyy"/>
    <numFmt numFmtId="168" formatCode="dd/mm/yyyy"/>
    <numFmt numFmtId="169" formatCode="dd/mm/yyyy"/>
    <numFmt numFmtId="170" formatCode="&quot;R$&quot; #,##0"/>
    <numFmt numFmtId="171" formatCode="&quot;R$&quot; #,##0"/>
  </numFmts>
  <fonts count="29" x14ac:knownFonts="1">
    <font>
      <sz val="11"/>
      <name val="Calibri"/>
    </font>
    <font>
      <sz val="11"/>
      <name val="Calibri"/>
    </font>
    <font>
      <sz val="14"/>
      <name val="Aptos Narrow"/>
      <b/>
      <color rgb="FFFFFF"/>
    </font>
    <font>
      <sz val="10"/>
      <name val="Aptos Narrow"/>
    </font>
    <font>
      <sz val="10"/>
      <name val="Aptos Narrow"/>
      <b/>
      <color rgb="FFFFFF"/>
    </font>
    <font>
      <sz val="10"/>
      <name val="Aptos Narrow"/>
    </font>
    <font>
      <sz val="10"/>
      <name val="Aptos Narrow"/>
      <b/>
    </font>
    <font>
      <sz val="10"/>
      <name val="Aptos Narrow"/>
      <b/>
    </font>
    <font>
      <sz val="10"/>
      <name val="Aptos Narrow"/>
    </font>
    <font>
      <sz val="10"/>
      <name val="Aptos Narrow"/>
      <color rgb="0000FF"/>
    </font>
    <font>
      <sz val="10"/>
      <name val="Aptos Narrow"/>
      <color rgb="0000FF"/>
    </font>
    <font>
      <sz val="10"/>
      <name val="Aptos Narrow"/>
      <color rgb="0000FF"/>
    </font>
    <font>
      <sz val="10"/>
      <name val="Aptos Narrow"/>
      <color rgb="0000FF"/>
    </font>
    <font>
      <sz val="10"/>
      <name val="Aptos Narrow"/>
      <b/>
    </font>
    <font>
      <sz val="10"/>
      <name val="Aptos Narrow"/>
      <b/>
    </font>
    <font>
      <sz val="10"/>
      <name val="Aptos Narrow"/>
    </font>
    <font>
      <sz val="10"/>
      <name val="Aptos Narrow"/>
    </font>
    <font>
      <sz val="10"/>
      <name val="Aptos Narrow"/>
      <b/>
    </font>
    <font>
      <sz val="10"/>
      <name val="Aptos Narrow"/>
    </font>
    <font>
      <sz val="10"/>
      <name val="Aptos Narrow"/>
      <b/>
    </font>
    <font>
      <sz val="10"/>
      <name val="Aptos Narrow"/>
    </font>
    <font>
      <sz val="10"/>
      <name val="Aptos Narrow"/>
    </font>
    <font>
      <sz val="10"/>
      <name val="Aptos Narrow"/>
      <b/>
    </font>
    <font>
      <sz val="10"/>
      <name val="Aptos Narrow"/>
      <b/>
    </font>
    <font>
      <sz val="10"/>
      <name val="Aptos Narrow"/>
    </font>
    <font>
      <sz val="10"/>
      <name val="Aptos Narrow"/>
      <b/>
    </font>
    <font>
      <sz val="10"/>
      <name val="Aptos Narrow"/>
      <b/>
    </font>
    <font>
      <sz val="10"/>
      <name val="Aptos Narrow"/>
      <b/>
    </font>
    <font>
      <sz val="10"/>
      <name val="Aptos Narrow"/>
      <i/>
      <color rgb="555555"/>
    </font>
  </fonts>
  <fills count="20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232623"/>
        <bgColor/>
      </patternFill>
    </fill>
    <fill>
      <patternFill patternType="solid">
        <fgColor rgb="FF232623"/>
        <bgColor/>
      </patternFill>
    </fill>
    <fill>
      <patternFill patternType="solid">
        <fgColor rgb="FF595959"/>
        <bgColor/>
      </patternFill>
    </fill>
    <fill>
      <patternFill patternType="solid">
        <fgColor rgb="FF595959"/>
        <bgColor/>
      </patternFill>
    </fill>
    <fill>
      <patternFill patternType="solid">
        <fgColor rgb="FFA6A6A6"/>
        <bgColor/>
      </patternFill>
    </fill>
    <fill>
      <patternFill patternType="solid">
        <fgColor rgb="FFA6A6A6"/>
        <bgColor/>
      </patternFill>
    </fill>
    <fill>
      <patternFill patternType="solid">
        <fgColor rgb="FFFFF2CC"/>
        <bgColor/>
      </patternFill>
    </fill>
    <fill>
      <patternFill patternType="solid">
        <fgColor rgb="FFFFF2CC"/>
        <bgColor/>
      </patternFill>
    </fill>
    <fill>
      <patternFill patternType="solid">
        <fgColor rgb="FFFFF2CC"/>
        <bgColor/>
      </patternFill>
    </fill>
    <fill>
      <patternFill patternType="solid">
        <fgColor rgb="FFFFF2CC"/>
        <bgColor/>
      </patternFill>
    </fill>
    <fill>
      <patternFill patternType="solid">
        <fgColor rgb="FFA6A6A6"/>
        <bgColor/>
      </patternFill>
    </fill>
    <fill>
      <patternFill patternType="solid">
        <fgColor rgb="FFD6E4DD"/>
        <bgColor/>
      </patternFill>
    </fill>
    <fill>
      <patternFill patternType="solid">
        <fgColor rgb="FFD6E4DD"/>
        <bgColor/>
      </patternFill>
    </fill>
    <fill>
      <patternFill patternType="solid">
        <fgColor rgb="FFE6E9E6"/>
        <bgColor/>
      </patternFill>
    </fill>
    <fill>
      <patternFill patternType="solid">
        <fgColor rgb="FFE6E9E6"/>
        <bgColor/>
      </patternFill>
    </fill>
    <fill>
      <patternFill patternType="solid">
        <fgColor rgb="FFE6E9E6"/>
        <bgColor/>
      </patternFill>
    </fill>
    <fill>
      <patternFill patternType="solid">
        <fgColor rgb="FFE6E9E6"/>
        <bgColor/>
      </patternFill>
    </fill>
    <fill>
      <patternFill patternType="solid">
        <fgColor rgb="FFD6E4DD"/>
        <bgColor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</borders>
  <cellStyleXfs>
    <xf numFmtId="0" fontId="0" fillId="0" borderId="0"/>
  </cellStyleXfs>
  <cellXfs count="30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5" fillId="5" borderId="0" xfId="0" applyFont="1" applyFill="1" applyAlignment="1">
      <alignment horizontal="center" vertical="center"/>
    </xf>
    <xf numFmtId="0" fontId="6" fillId="6" borderId="2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left" vertical="center"/>
    </xf>
    <xf numFmtId="165" fontId="9" fillId="8" borderId="5" xfId="0" applyFont="1" applyFill="1" applyBorder="1" applyNumberFormat="1" applyAlignment="1">
      <alignment horizontal="center" vertical="center"/>
    </xf>
    <xf numFmtId="2" fontId="10" fillId="9" borderId="6" xfId="0" applyFont="1" applyFill="1" applyBorder="1" applyNumberFormat="1" applyAlignment="1">
      <alignment horizontal="center" vertical="center"/>
    </xf>
    <xf numFmtId="1" fontId="11" fillId="10" borderId="7" xfId="0" applyFont="1" applyFill="1" applyBorder="1" applyNumberFormat="1" applyAlignment="1">
      <alignment horizontal="center" vertical="center"/>
    </xf>
    <xf numFmtId="166" fontId="12" fillId="11" borderId="8" xfId="0" applyFont="1" applyFill="1" applyBorder="1" applyNumberFormat="1" applyAlignment="1">
      <alignment horizontal="center" vertical="center"/>
    </xf>
    <xf numFmtId="0" fontId="13" fillId="12" borderId="9" xfId="0" applyFont="1" applyFill="1" applyBorder="1" applyAlignment="1">
      <alignment horizontal="center" vertical="center" wrapText="true"/>
    </xf>
    <xf numFmtId="0" fontId="14" fillId="13" borderId="10" xfId="0" applyFont="1" applyFill="1" applyBorder="1" applyAlignment="1">
      <alignment horizontal="center" vertical="center" wrapText="true"/>
    </xf>
    <xf numFmtId="167" fontId="15" fillId="0" borderId="11" xfId="0" applyFont="1" applyBorder="1" applyNumberFormat="1" applyAlignment="1">
      <alignment horizontal="center" vertical="center"/>
    </xf>
    <xf numFmtId="4" fontId="16" fillId="0" borderId="12" xfId="0" applyFont="1" applyBorder="1" applyNumberFormat="1" applyAlignment="1">
      <alignment horizontal="center" vertical="center"/>
    </xf>
    <xf numFmtId="4" fontId="17" fillId="14" borderId="13" xfId="0" applyFont="1" applyFill="1" applyBorder="1" applyNumberFormat="1" applyAlignment="1">
      <alignment horizontal="center" vertical="center"/>
    </xf>
    <xf numFmtId="3" fontId="18" fillId="0" borderId="14" xfId="0" applyFont="1" applyBorder="1" applyNumberFormat="1" applyAlignment="1">
      <alignment horizontal="center" vertical="center"/>
    </xf>
    <xf numFmtId="168" fontId="19" fillId="0" borderId="15" xfId="0" applyFont="1" applyBorder="1" applyNumberFormat="1" applyAlignment="1">
      <alignment horizontal="center" vertical="center"/>
    </xf>
    <xf numFmtId="169" fontId="20" fillId="0" borderId="16" xfId="0" applyFont="1" applyBorder="1" applyNumberFormat="1" applyAlignment="1">
      <alignment horizontal="center" vertical="center"/>
    </xf>
    <xf numFmtId="170" fontId="21" fillId="0" borderId="17" xfId="0" applyFont="1" applyBorder="1" applyNumberFormat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4" fontId="23" fillId="16" borderId="19" xfId="0" applyFont="1" applyFill="1" applyBorder="1" applyNumberFormat="1" applyAlignment="1">
      <alignment horizontal="center" vertical="center"/>
    </xf>
    <xf numFmtId="0" fontId="24" fillId="17" borderId="20" xfId="0" applyFont="1" applyFill="1" applyBorder="1" applyAlignment="1">
      <alignment horizontal="center" vertical="center"/>
    </xf>
    <xf numFmtId="171" fontId="25" fillId="18" borderId="21" xfId="0" applyFont="1" applyFill="1" applyBorder="1" applyNumberForma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19" borderId="22" xfId="0" applyFont="1" applyFill="1" applyBorder="1" applyAlignment="1">
      <alignment horizontal="center" vertical="center"/>
    </xf>
    <xf numFmtId="0" fontId="28" fillId="0" borderId="0" xfId="0" applyFont="1" applyAlignment="1">
      <alignment horizontal="left" vertical="center" wrapText="true"/>
    </xf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9"/>
  <sheetViews>
    <sheetView showGridLines="0" workbookViewId="0"/>
  </sheetViews>
  <cols>
    <col min="1" max="1" width="32.83203125" customWidth="1"/>
    <col min="2" max="2" width="13.83203125" customWidth="1"/>
    <col min="3" max="3" width="12.83203125" customWidth="1"/>
    <col min="4" max="4" width="12.83203125" customWidth="1"/>
    <col min="5" max="5" width="13.83203125" customWidth="1"/>
    <col min="6" max="6" width="14.83203125" customWidth="1"/>
    <col min="7" max="7" width="12.83203125" customWidth="1"/>
    <col min="8" max="8" width="13.83203125" customWidth="1"/>
    <col min="9" max="9" width="13.83203125" customWidth="1"/>
    <col min="10" max="10" width="12.83203125" customWidth="1"/>
    <col min="11" max="11" width="12.83203125" customWidth="1"/>
    <col min="12" max="12" width="16.83203125" customWidth="1"/>
  </cols>
  <sheetData>
    <row r="1" ht="22" customHeight="1">
      <c r="A1" s="3" t="str">
        <v>COMPRA DE GRANITO</v>
      </c>
      <c r="B1" s="4" t="str">
        <v/>
      </c>
      <c r="C1" s="4" t="str">
        <v/>
      </c>
      <c r="D1" s="4" t="str">
        <v/>
      </c>
      <c r="E1" s="4" t="str">
        <v/>
      </c>
      <c r="F1" s="4" t="str">
        <v/>
      </c>
      <c r="G1" s="4" t="str">
        <v/>
      </c>
      <c r="H1" s="4" t="str">
        <v/>
      </c>
      <c r="I1" s="4" t="str">
        <v/>
      </c>
      <c r="J1" s="4" t="str">
        <v/>
      </c>
      <c r="K1" s="4" t="str">
        <v/>
      </c>
      <c r="L1" s="4" t="str">
        <v/>
      </c>
    </row>
    <row r="2" ht="18" customHeight="1">
      <c r="A2" s="5" t="str">
        <v>ED. JARDIM · cronograma do Estudo de Fachada (R12)</v>
      </c>
      <c r="B2" s="6" t="str">
        <v/>
      </c>
      <c r="C2" s="6" t="str">
        <v/>
      </c>
      <c r="D2" s="6" t="str">
        <v/>
      </c>
      <c r="E2" s="6" t="str">
        <v/>
      </c>
      <c r="F2" s="6" t="str">
        <v/>
      </c>
      <c r="G2" s="6" t="str">
        <v/>
      </c>
      <c r="H2" s="6" t="str">
        <v/>
      </c>
      <c r="I2" s="6" t="str">
        <v/>
      </c>
      <c r="J2" s="6" t="str">
        <v/>
      </c>
      <c r="K2" s="6" t="str">
        <v/>
      </c>
      <c r="L2" s="6" t="str">
        <v/>
      </c>
    </row>
    <row r="4">
      <c r="A4" s="7" t="str">
        <v>PARÂMETROS</v>
      </c>
      <c r="B4" s="8" t="str">
        <v>VALOR</v>
      </c>
    </row>
    <row r="5">
      <c r="A5" s="9" t="str">
        <v>Perda / quebra</v>
      </c>
      <c r="B5" s="10">
        <v>0.05</v>
      </c>
    </row>
    <row r="6">
      <c r="A6" s="9" t="str">
        <v>Largura média da espala (m)</v>
      </c>
      <c r="B6" s="11">
        <v>0.4</v>
      </c>
    </row>
    <row r="7">
      <c r="A7" s="9" t="str">
        <v>Entrega antes do mês de uso (dias)</v>
      </c>
      <c r="B7" s="12">
        <v>15</v>
      </c>
    </row>
    <row r="8">
      <c r="A8" s="9" t="str">
        <v>Prazo do fornecedor (dias)</v>
      </c>
      <c r="B8" s="12">
        <v>30</v>
      </c>
    </row>
    <row r="9">
      <c r="A9" s="9" t="str">
        <v>Cinza Santa Rosa (R$/m²)</v>
      </c>
      <c r="B9" s="13">
        <v>120</v>
      </c>
    </row>
    <row r="10">
      <c r="A10" s="9" t="str">
        <v>Verde Ubatuba (R$/m²)</v>
      </c>
      <c r="B10" s="13">
        <v>0</v>
      </c>
    </row>
    <row r="11">
      <c r="A11" s="9" t="str">
        <v>Frete (R$/m²)</v>
      </c>
      <c r="B11" s="13">
        <v>24</v>
      </c>
    </row>
    <row r="14" ht="30" customHeight="1">
      <c r="A14" s="14" t="str">
        <v>MÊS DE USO</v>
      </c>
      <c r="B14" s="14" t="str">
        <v>CINZA PANO (m²)</v>
      </c>
      <c r="C14" s="14" t="str">
        <v>ESPALAS (m)</v>
      </c>
      <c r="D14" s="14" t="str">
        <v>ESPALAS (m²)</v>
      </c>
      <c r="E14" s="14" t="str">
        <v>CINZA TOTAL (m²)</v>
      </c>
      <c r="F14" s="14" t="str">
        <v>VERDE UBATUBA (m²)</v>
      </c>
      <c r="G14" s="14" t="str">
        <v>TOTAL (m²)</v>
      </c>
      <c r="H14" s="15" t="str">
        <v>COM PERDA (m²)</v>
      </c>
      <c r="I14" s="14" t="str">
        <v>ACUMULADO (m²)</v>
      </c>
      <c r="J14" s="14" t="str">
        <v>PEDIDO ATÉ</v>
      </c>
      <c r="K14" s="14" t="str">
        <v>ENTREGA ATÉ</v>
      </c>
      <c r="L14" s="14" t="str">
        <v>CUSTO ESTIMADO (R$)</v>
      </c>
    </row>
    <row r="15">
      <c r="A15" s="16">
        <v>46296</v>
      </c>
      <c r="B15" s="17">
        <v>199.96</v>
      </c>
      <c r="C15" s="17">
        <v>112.15</v>
      </c>
      <c r="D15" s="17">
        <f>C15*$B$6</f>
      </c>
      <c r="E15" s="17">
        <f>B15+D15</f>
      </c>
      <c r="F15" s="17">
        <v>0</v>
      </c>
      <c r="G15" s="17">
        <f>E15+F15</f>
      </c>
      <c r="H15" s="18">
        <f>G15*(1+$B$5)</f>
      </c>
      <c r="I15" s="19">
        <f>H15</f>
      </c>
      <c r="J15" s="20">
        <f>K15-$B$8</f>
      </c>
      <c r="K15" s="21">
        <f>A15-$B$7</f>
      </c>
      <c r="L15" s="22">
        <f>E15*(1+$B$5)*($B$9+$B$11)+IF($B$10&gt;0,F15*(1+$B$5)*($B$10+$B$11),0)</f>
      </c>
    </row>
    <row r="16">
      <c r="A16" s="16">
        <v>46327</v>
      </c>
      <c r="B16" s="17">
        <v>275.8</v>
      </c>
      <c r="C16" s="17">
        <v>154.66</v>
      </c>
      <c r="D16" s="17">
        <f>C16*$B$6</f>
      </c>
      <c r="E16" s="17">
        <f>B16+D16</f>
      </c>
      <c r="F16" s="17">
        <v>0</v>
      </c>
      <c r="G16" s="17">
        <f>E16+F16</f>
      </c>
      <c r="H16" s="18">
        <f>G16*(1+$B$5)</f>
      </c>
      <c r="I16" s="19">
        <f>I15+H16</f>
      </c>
      <c r="J16" s="20">
        <f>K16-$B$8</f>
      </c>
      <c r="K16" s="21">
        <f>A16-$B$7</f>
      </c>
      <c r="L16" s="22">
        <f>E16*(1+$B$5)*($B$9+$B$11)+IF($B$10&gt;0,F16*(1+$B$5)*($B$10+$B$11),0)</f>
      </c>
    </row>
    <row r="17">
      <c r="A17" s="16">
        <v>46357</v>
      </c>
      <c r="B17" s="17">
        <v>210.24</v>
      </c>
      <c r="C17" s="17">
        <v>117.89</v>
      </c>
      <c r="D17" s="17">
        <f>C17*$B$6</f>
      </c>
      <c r="E17" s="17">
        <f>B17+D17</f>
      </c>
      <c r="F17" s="17">
        <v>0</v>
      </c>
      <c r="G17" s="17">
        <f>E17+F17</f>
      </c>
      <c r="H17" s="18">
        <f>G17*(1+$B$5)</f>
      </c>
      <c r="I17" s="19">
        <f>I16+H17</f>
      </c>
      <c r="J17" s="20">
        <f>K17-$B$8</f>
      </c>
      <c r="K17" s="21">
        <f>A17-$B$7</f>
      </c>
      <c r="L17" s="22">
        <f>E17*(1+$B$5)*($B$9+$B$11)+IF($B$10&gt;0,F17*(1+$B$5)*($B$10+$B$11),0)</f>
      </c>
    </row>
    <row r="18">
      <c r="A18" s="16">
        <v>46388</v>
      </c>
      <c r="B18" s="17">
        <v>297.04</v>
      </c>
      <c r="C18" s="17">
        <v>170.45</v>
      </c>
      <c r="D18" s="17">
        <f>C18*$B$6</f>
      </c>
      <c r="E18" s="17">
        <f>B18+D18</f>
      </c>
      <c r="F18" s="17">
        <v>43.4</v>
      </c>
      <c r="G18" s="17">
        <f>E18+F18</f>
      </c>
      <c r="H18" s="18">
        <f>G18*(1+$B$5)</f>
      </c>
      <c r="I18" s="19">
        <f>I17+H18</f>
      </c>
      <c r="J18" s="20">
        <f>K18-$B$8</f>
      </c>
      <c r="K18" s="21">
        <f>A18-$B$7</f>
      </c>
      <c r="L18" s="22">
        <f>E18*(1+$B$5)*($B$9+$B$11)+IF($B$10&gt;0,F18*(1+$B$5)*($B$10+$B$11),0)</f>
      </c>
    </row>
    <row r="19">
      <c r="A19" s="16">
        <v>46419</v>
      </c>
      <c r="B19" s="17">
        <v>219.11</v>
      </c>
      <c r="C19" s="17">
        <v>136.91</v>
      </c>
      <c r="D19" s="17">
        <f>C19*$B$6</f>
      </c>
      <c r="E19" s="17">
        <f>B19+D19</f>
      </c>
      <c r="F19" s="17">
        <v>156.92</v>
      </c>
      <c r="G19" s="17">
        <f>E19+F19</f>
      </c>
      <c r="H19" s="18">
        <f>G19*(1+$B$5)</f>
      </c>
      <c r="I19" s="19">
        <f>I18+H19</f>
      </c>
      <c r="J19" s="20">
        <f>K19-$B$8</f>
      </c>
      <c r="K19" s="21">
        <f>A19-$B$7</f>
      </c>
      <c r="L19" s="22">
        <f>E19*(1+$B$5)*($B$9+$B$11)+IF($B$10&gt;0,F19*(1+$B$5)*($B$10+$B$11),0)</f>
      </c>
    </row>
    <row r="20">
      <c r="A20" s="16">
        <v>46447</v>
      </c>
      <c r="B20" s="17">
        <v>214.65</v>
      </c>
      <c r="C20" s="17">
        <v>165.37</v>
      </c>
      <c r="D20" s="17">
        <f>C20*$B$6</f>
      </c>
      <c r="E20" s="17">
        <f>B20+D20</f>
      </c>
      <c r="F20" s="17">
        <v>192.37</v>
      </c>
      <c r="G20" s="17">
        <f>E20+F20</f>
      </c>
      <c r="H20" s="18">
        <f>G20*(1+$B$5)</f>
      </c>
      <c r="I20" s="19">
        <f>I19+H20</f>
      </c>
      <c r="J20" s="20">
        <f>K20-$B$8</f>
      </c>
      <c r="K20" s="21">
        <f>A20-$B$7</f>
      </c>
      <c r="L20" s="22">
        <f>E20*(1+$B$5)*($B$9+$B$11)+IF($B$10&gt;0,F20*(1+$B$5)*($B$10+$B$11),0)</f>
      </c>
    </row>
    <row r="21">
      <c r="A21" s="16">
        <v>46478</v>
      </c>
      <c r="B21" s="17">
        <v>216.16</v>
      </c>
      <c r="C21" s="17">
        <v>326.03</v>
      </c>
      <c r="D21" s="17">
        <f>C21*$B$6</f>
      </c>
      <c r="E21" s="17">
        <f>B21+D21</f>
      </c>
      <c r="F21" s="17">
        <v>184.47</v>
      </c>
      <c r="G21" s="17">
        <f>E21+F21</f>
      </c>
      <c r="H21" s="18">
        <f>G21*(1+$B$5)</f>
      </c>
      <c r="I21" s="19">
        <f>I20+H21</f>
      </c>
      <c r="J21" s="20">
        <f>K21-$B$8</f>
      </c>
      <c r="K21" s="21">
        <f>A21-$B$7</f>
      </c>
      <c r="L21" s="22">
        <f>E21*(1+$B$5)*($B$9+$B$11)+IF($B$10&gt;0,F21*(1+$B$5)*($B$10+$B$11),0)</f>
      </c>
    </row>
    <row r="22">
      <c r="A22" s="16">
        <v>46508</v>
      </c>
      <c r="B22" s="17">
        <v>446.52</v>
      </c>
      <c r="C22" s="17">
        <v>283.64</v>
      </c>
      <c r="D22" s="17">
        <f>C22*$B$6</f>
      </c>
      <c r="E22" s="17">
        <f>B22+D22</f>
      </c>
      <c r="F22" s="17">
        <v>102.02</v>
      </c>
      <c r="G22" s="17">
        <f>E22+F22</f>
      </c>
      <c r="H22" s="18">
        <f>G22*(1+$B$5)</f>
      </c>
      <c r="I22" s="19">
        <f>I21+H22</f>
      </c>
      <c r="J22" s="20">
        <f>K22-$B$8</f>
      </c>
      <c r="K22" s="21">
        <f>A22-$B$7</f>
      </c>
      <c r="L22" s="22">
        <f>E22*(1+$B$5)*($B$9+$B$11)+IF($B$10&gt;0,F22*(1+$B$5)*($B$10+$B$11),0)</f>
      </c>
    </row>
    <row r="23">
      <c r="A23" s="16">
        <v>46539</v>
      </c>
      <c r="B23" s="17">
        <v>468.28</v>
      </c>
      <c r="C23" s="17">
        <v>322.27</v>
      </c>
      <c r="D23" s="17">
        <f>C23*$B$6</f>
      </c>
      <c r="E23" s="17">
        <f>B23+D23</f>
      </c>
      <c r="F23" s="17">
        <v>156.75</v>
      </c>
      <c r="G23" s="17">
        <f>E23+F23</f>
      </c>
      <c r="H23" s="18">
        <f>G23*(1+$B$5)</f>
      </c>
      <c r="I23" s="19">
        <f>I22+H23</f>
      </c>
      <c r="J23" s="20">
        <f>K23-$B$8</f>
      </c>
      <c r="K23" s="21">
        <f>A23-$B$7</f>
      </c>
      <c r="L23" s="22">
        <f>E23*(1+$B$5)*($B$9+$B$11)+IF($B$10&gt;0,F23*(1+$B$5)*($B$10+$B$11),0)</f>
      </c>
    </row>
    <row r="24">
      <c r="A24" s="16">
        <v>46569</v>
      </c>
      <c r="B24" s="17">
        <v>258.66</v>
      </c>
      <c r="C24" s="17">
        <v>188.95</v>
      </c>
      <c r="D24" s="17">
        <f>C24*$B$6</f>
      </c>
      <c r="E24" s="17">
        <f>B24+D24</f>
      </c>
      <c r="F24" s="17">
        <v>335.18</v>
      </c>
      <c r="G24" s="17">
        <f>E24+F24</f>
      </c>
      <c r="H24" s="18">
        <f>G24*(1+$B$5)</f>
      </c>
      <c r="I24" s="19">
        <f>I23+H24</f>
      </c>
      <c r="J24" s="20">
        <f>K24-$B$8</f>
      </c>
      <c r="K24" s="21">
        <f>A24-$B$7</f>
      </c>
      <c r="L24" s="22">
        <f>E24*(1+$B$5)*($B$9+$B$11)+IF($B$10&gt;0,F24*(1+$B$5)*($B$10+$B$11),0)</f>
      </c>
    </row>
    <row r="25">
      <c r="A25" s="16">
        <v>46600</v>
      </c>
      <c r="B25" s="17">
        <v>206.81</v>
      </c>
      <c r="C25" s="17">
        <v>250.25</v>
      </c>
      <c r="D25" s="17">
        <f>C25*$B$6</f>
      </c>
      <c r="E25" s="17">
        <f>B25+D25</f>
      </c>
      <c r="F25" s="17">
        <v>236.1</v>
      </c>
      <c r="G25" s="17">
        <f>E25+F25</f>
      </c>
      <c r="H25" s="18">
        <f>G25*(1+$B$5)</f>
      </c>
      <c r="I25" s="19">
        <f>I24+H25</f>
      </c>
      <c r="J25" s="20">
        <f>K25-$B$8</f>
      </c>
      <c r="K25" s="21">
        <f>A25-$B$7</f>
      </c>
      <c r="L25" s="22">
        <f>E25*(1+$B$5)*($B$9+$B$11)+IF($B$10&gt;0,F25*(1+$B$5)*($B$10+$B$11),0)</f>
      </c>
    </row>
    <row r="26">
      <c r="A26" s="16">
        <v>46631</v>
      </c>
      <c r="B26" s="17">
        <v>246.39</v>
      </c>
      <c r="C26" s="17">
        <v>361.97</v>
      </c>
      <c r="D26" s="17">
        <f>C26*$B$6</f>
      </c>
      <c r="E26" s="17">
        <f>B26+D26</f>
      </c>
      <c r="F26" s="17">
        <v>204.04</v>
      </c>
      <c r="G26" s="17">
        <f>E26+F26</f>
      </c>
      <c r="H26" s="18">
        <f>G26*(1+$B$5)</f>
      </c>
      <c r="I26" s="19">
        <f>I25+H26</f>
      </c>
      <c r="J26" s="20">
        <f>K26-$B$8</f>
      </c>
      <c r="K26" s="21">
        <f>A26-$B$7</f>
      </c>
      <c r="L26" s="22">
        <f>E26*(1+$B$5)*($B$9+$B$11)+IF($B$10&gt;0,F26*(1+$B$5)*($B$10+$B$11),0)</f>
      </c>
    </row>
    <row r="27">
      <c r="A27" s="16">
        <v>46661</v>
      </c>
      <c r="B27" s="17">
        <v>307.79</v>
      </c>
      <c r="C27" s="17">
        <v>344.18</v>
      </c>
      <c r="D27" s="17">
        <f>C27*$B$6</f>
      </c>
      <c r="E27" s="17">
        <f>B27+D27</f>
      </c>
      <c r="F27" s="17">
        <v>57.39</v>
      </c>
      <c r="G27" s="17">
        <f>E27+F27</f>
      </c>
      <c r="H27" s="18">
        <f>G27*(1+$B$5)</f>
      </c>
      <c r="I27" s="19">
        <f>I26+H27</f>
      </c>
      <c r="J27" s="20">
        <f>K27-$B$8</f>
      </c>
      <c r="K27" s="21">
        <f>A27-$B$7</f>
      </c>
      <c r="L27" s="22">
        <f>E27*(1+$B$5)*($B$9+$B$11)+IF($B$10&gt;0,F27*(1+$B$5)*($B$10+$B$11),0)</f>
      </c>
    </row>
    <row r="28">
      <c r="A28" s="16">
        <v>46692</v>
      </c>
      <c r="B28" s="17">
        <v>362.68</v>
      </c>
      <c r="C28" s="17">
        <v>368.02</v>
      </c>
      <c r="D28" s="17">
        <f>C28*$B$6</f>
      </c>
      <c r="E28" s="17">
        <f>B28+D28</f>
      </c>
      <c r="F28" s="17">
        <v>55.07</v>
      </c>
      <c r="G28" s="17">
        <f>E28+F28</f>
      </c>
      <c r="H28" s="18">
        <f>G28*(1+$B$5)</f>
      </c>
      <c r="I28" s="19">
        <f>I27+H28</f>
      </c>
      <c r="J28" s="20">
        <f>K28-$B$8</f>
      </c>
      <c r="K28" s="21">
        <f>A28-$B$7</f>
      </c>
      <c r="L28" s="22">
        <f>E28*(1+$B$5)*($B$9+$B$11)+IF($B$10&gt;0,F28*(1+$B$5)*($B$10+$B$11),0)</f>
      </c>
    </row>
    <row r="29">
      <c r="A29" s="16">
        <v>46722</v>
      </c>
      <c r="B29" s="17">
        <v>252.3</v>
      </c>
      <c r="C29" s="17">
        <v>256.02</v>
      </c>
      <c r="D29" s="17">
        <f>C29*$B$6</f>
      </c>
      <c r="E29" s="17">
        <f>B29+D29</f>
      </c>
      <c r="F29" s="17">
        <v>38.31</v>
      </c>
      <c r="G29" s="17">
        <f>E29+F29</f>
      </c>
      <c r="H29" s="18">
        <f>G29*(1+$B$5)</f>
      </c>
      <c r="I29" s="19">
        <f>I28+H29</f>
      </c>
      <c r="J29" s="20">
        <f>K29-$B$8</f>
      </c>
      <c r="K29" s="21">
        <f>A29-$B$7</f>
      </c>
      <c r="L29" s="22">
        <f>E29*(1+$B$5)*($B$9+$B$11)+IF($B$10&gt;0,F29*(1+$B$5)*($B$10+$B$11),0)</f>
      </c>
    </row>
    <row r="30">
      <c r="A30" s="16">
        <v>46753</v>
      </c>
      <c r="B30" s="17">
        <v>452.77</v>
      </c>
      <c r="C30" s="17">
        <v>366.79</v>
      </c>
      <c r="D30" s="17">
        <f>C30*$B$6</f>
      </c>
      <c r="E30" s="17">
        <f>B30+D30</f>
      </c>
      <c r="F30" s="17">
        <v>100.93</v>
      </c>
      <c r="G30" s="17">
        <f>E30+F30</f>
      </c>
      <c r="H30" s="18">
        <f>G30*(1+$B$5)</f>
      </c>
      <c r="I30" s="19">
        <f>I29+H30</f>
      </c>
      <c r="J30" s="20">
        <f>K30-$B$8</f>
      </c>
      <c r="K30" s="21">
        <f>A30-$B$7</f>
      </c>
      <c r="L30" s="22">
        <f>E30*(1+$B$5)*($B$9+$B$11)+IF($B$10&gt;0,F30*(1+$B$5)*($B$10+$B$11),0)</f>
      </c>
    </row>
    <row r="31">
      <c r="A31" s="16">
        <v>46784</v>
      </c>
      <c r="B31" s="17">
        <v>593.64</v>
      </c>
      <c r="C31" s="17">
        <v>269.78</v>
      </c>
      <c r="D31" s="17">
        <f>C31*$B$6</f>
      </c>
      <c r="E31" s="17">
        <f>B31+D31</f>
      </c>
      <c r="F31" s="17">
        <v>66.3</v>
      </c>
      <c r="G31" s="17">
        <f>E31+F31</f>
      </c>
      <c r="H31" s="18">
        <f>G31*(1+$B$5)</f>
      </c>
      <c r="I31" s="19">
        <f>I30+H31</f>
      </c>
      <c r="J31" s="20">
        <f>K31-$B$8</f>
      </c>
      <c r="K31" s="21">
        <f>A31-$B$7</f>
      </c>
      <c r="L31" s="22">
        <f>E31*(1+$B$5)*($B$9+$B$11)+IF($B$10&gt;0,F31*(1+$B$5)*($B$10+$B$11),0)</f>
      </c>
    </row>
    <row r="32">
      <c r="A32" s="16">
        <v>46813</v>
      </c>
      <c r="B32" s="17">
        <v>708.47</v>
      </c>
      <c r="C32" s="17">
        <v>209.34</v>
      </c>
      <c r="D32" s="17">
        <f>C32*$B$6</f>
      </c>
      <c r="E32" s="17">
        <f>B32+D32</f>
      </c>
      <c r="F32" s="17">
        <v>77.83</v>
      </c>
      <c r="G32" s="17">
        <f>E32+F32</f>
      </c>
      <c r="H32" s="18">
        <f>G32*(1+$B$5)</f>
      </c>
      <c r="I32" s="19">
        <f>I31+H32</f>
      </c>
      <c r="J32" s="20">
        <f>K32-$B$8</f>
      </c>
      <c r="K32" s="21">
        <f>A32-$B$7</f>
      </c>
      <c r="L32" s="22">
        <f>E32*(1+$B$5)*($B$9+$B$11)+IF($B$10&gt;0,F32*(1+$B$5)*($B$10+$B$11),0)</f>
      </c>
    </row>
    <row r="33">
      <c r="A33" s="16">
        <v>46844</v>
      </c>
      <c r="B33" s="17">
        <v>423.13</v>
      </c>
      <c r="C33" s="17">
        <v>97.12</v>
      </c>
      <c r="D33" s="17">
        <f>C33*$B$6</f>
      </c>
      <c r="E33" s="17">
        <f>B33+D33</f>
      </c>
      <c r="F33" s="17">
        <v>60.54</v>
      </c>
      <c r="G33" s="17">
        <f>E33+F33</f>
      </c>
      <c r="H33" s="18">
        <f>G33*(1+$B$5)</f>
      </c>
      <c r="I33" s="19">
        <f>I32+H33</f>
      </c>
      <c r="J33" s="20">
        <f>K33-$B$8</f>
      </c>
      <c r="K33" s="21">
        <f>A33-$B$7</f>
      </c>
      <c r="L33" s="22">
        <f>E33*(1+$B$5)*($B$9+$B$11)+IF($B$10&gt;0,F33*(1+$B$5)*($B$10+$B$11),0)</f>
      </c>
    </row>
    <row r="34">
      <c r="A34" s="23" t="str">
        <v>TOTAL</v>
      </c>
      <c r="B34" s="24">
        <f>SUM(B15:B33)</f>
      </c>
      <c r="C34" s="24">
        <f>SUM(C15:C33)</f>
      </c>
      <c r="D34" s="24">
        <f>SUM(D15:D33)</f>
      </c>
      <c r="E34" s="24">
        <f>SUM(E15:E33)</f>
      </c>
      <c r="F34" s="24">
        <f>SUM(F15:F33)</f>
      </c>
      <c r="G34" s="24">
        <f>SUM(G15:G33)</f>
      </c>
      <c r="H34" s="24">
        <f>SUM(H15:H33)</f>
      </c>
      <c r="I34" s="25" t="str">
        <v/>
      </c>
      <c r="J34" s="25" t="str">
        <v/>
      </c>
      <c r="K34" s="25" t="str">
        <v/>
      </c>
      <c r="L34" s="26">
        <f>SUM(L15:L33)</f>
      </c>
    </row>
    <row r="36">
      <c r="A36" s="27" t="str">
        <v>QUANTIDADE POR FACHADA (m², com perda)</v>
      </c>
    </row>
    <row r="37">
      <c r="A37" s="8" t="str">
        <v>MÊS DE USO</v>
      </c>
      <c r="B37" s="14" t="str">
        <v>POSTERIOR</v>
      </c>
      <c r="C37" s="14" t="str">
        <v>LAT. DIREITA</v>
      </c>
      <c r="D37" s="14" t="str">
        <v>FRONTAL</v>
      </c>
      <c r="E37" s="14" t="str">
        <v>LAT. ESQUERDA</v>
      </c>
      <c r="F37" s="28" t="str">
        <v>TOTAL</v>
      </c>
    </row>
    <row r="38">
      <c r="A38" s="16">
        <v>46296</v>
      </c>
      <c r="B38" s="17">
        <f>(199.955+112.154*$B$6)*(1+$B$5)</f>
      </c>
      <c r="C38" s="17">
        <f>(0+0*$B$6)*(1+$B$5)</f>
      </c>
      <c r="D38" s="17">
        <f>(0+0*$B$6)*(1+$B$5)</f>
      </c>
      <c r="E38" s="17">
        <f>(0+0*$B$6)*(1+$B$5)</f>
      </c>
      <c r="F38" s="18">
        <f>SUM(B38:E38)</f>
      </c>
    </row>
    <row r="39">
      <c r="A39" s="16">
        <v>46327</v>
      </c>
      <c r="B39" s="17">
        <f>(275.801+154.664*$B$6)*(1+$B$5)</f>
      </c>
      <c r="C39" s="17">
        <f>(0+0*$B$6)*(1+$B$5)</f>
      </c>
      <c r="D39" s="17">
        <f>(0+0*$B$6)*(1+$B$5)</f>
      </c>
      <c r="E39" s="17">
        <f>(0+0*$B$6)*(1+$B$5)</f>
      </c>
      <c r="F39" s="18">
        <f>SUM(B39:E39)</f>
      </c>
    </row>
    <row r="40">
      <c r="A40" s="16">
        <v>46357</v>
      </c>
      <c r="B40" s="17">
        <f>(210.243+117.895*$B$6)*(1+$B$5)</f>
      </c>
      <c r="C40" s="17">
        <f>(0+0*$B$6)*(1+$B$5)</f>
      </c>
      <c r="D40" s="17">
        <f>(0+0*$B$6)*(1+$B$5)</f>
      </c>
      <c r="E40" s="17">
        <f>(0+0*$B$6)*(1+$B$5)</f>
      </c>
      <c r="F40" s="18">
        <f>SUM(B40:E40)</f>
      </c>
    </row>
    <row r="41">
      <c r="A41" s="16">
        <v>46388</v>
      </c>
      <c r="B41" s="17">
        <f>(263.979+148.019*$B$6)*(1+$B$5)</f>
      </c>
      <c r="C41" s="17">
        <f>(0+0*$B$6)*(1+$B$5)</f>
      </c>
      <c r="D41" s="17">
        <f>(76.467+22.433*$B$6)*(1+$B$5)</f>
      </c>
      <c r="E41" s="17">
        <f>(0+0*$B$6)*(1+$B$5)</f>
      </c>
      <c r="F41" s="18">
        <f>SUM(B41:E41)</f>
      </c>
    </row>
    <row r="42">
      <c r="A42" s="16">
        <v>46419</v>
      </c>
      <c r="B42" s="17">
        <f>(99.581+55.83*$B$6)*(1+$B$5)</f>
      </c>
      <c r="C42" s="17">
        <f>(0+0*$B$6)*(1+$B$5)</f>
      </c>
      <c r="D42" s="17">
        <f>(276.44+81.079*$B$6)*(1+$B$5)</f>
      </c>
      <c r="E42" s="17">
        <f>(0+0*$B$6)*(1+$B$5)</f>
      </c>
      <c r="F42" s="18">
        <f>SUM(B42:E42)</f>
      </c>
    </row>
    <row r="43">
      <c r="A43" s="16">
        <v>46447</v>
      </c>
      <c r="B43" s="17">
        <f>(61.494+34.492*$B$6)*(1+$B$5)</f>
      </c>
      <c r="C43" s="17">
        <f>(0+0*$B$6)*(1+$B$5)</f>
      </c>
      <c r="D43" s="17">
        <f>(321.993+94.387*$B$6)*(1+$B$5)</f>
      </c>
      <c r="E43" s="17">
        <f>(23.533+36.493*$B$6)*(1+$B$5)</f>
      </c>
      <c r="F43" s="18">
        <f>SUM(B43:E43)</f>
      </c>
    </row>
    <row r="44">
      <c r="A44" s="16">
        <v>46478</v>
      </c>
      <c r="B44" s="17">
        <f>(30.747+17.246*$B$6)*(1+$B$5)</f>
      </c>
      <c r="C44" s="17">
        <f>(0+0*$B$6)*(1+$B$5)</f>
      </c>
      <c r="D44" s="17">
        <f>(210.47+61.67*$B$6)*(1+$B$5)</f>
      </c>
      <c r="E44" s="17">
        <f>(159.409+247.111*$B$6)*(1+$B$5)</f>
      </c>
      <c r="F44" s="18">
        <f>SUM(B44:E44)</f>
      </c>
    </row>
    <row r="45">
      <c r="A45" s="16">
        <v>46508</v>
      </c>
      <c r="B45" s="17">
        <f>(0+0*$B$6)*(1+$B$5)</f>
      </c>
      <c r="C45" s="17">
        <f>(328.946+41.325*$B$6)*(1+$B$5)</f>
      </c>
      <c r="D45" s="17">
        <f>(78.074+22.88*$B$6)*(1+$B$5)</f>
      </c>
      <c r="E45" s="17">
        <f>(141.52+219.435*$B$6)*(1+$B$5)</f>
      </c>
      <c r="F45" s="18">
        <f>SUM(B45:E45)</f>
      </c>
    </row>
    <row r="46">
      <c r="A46" s="16">
        <v>46539</v>
      </c>
      <c r="B46" s="17">
        <f>(0+0*$B$6)*(1+$B$5)</f>
      </c>
      <c r="C46" s="17">
        <f>(306.254+38.475*$B$6)*(1+$B$5)</f>
      </c>
      <c r="D46" s="17">
        <f>(167.418+49.065*$B$6)*(1+$B$5)</f>
      </c>
      <c r="E46" s="17">
        <f>(151.357+234.734*$B$6)*(1+$B$5)</f>
      </c>
      <c r="F46" s="18">
        <f>SUM(B46:E46)</f>
      </c>
    </row>
    <row r="47">
      <c r="A47" s="16">
        <v>46569</v>
      </c>
      <c r="B47" s="17">
        <f>(0+0*$B$6)*(1+$B$5)</f>
      </c>
      <c r="C47" s="17">
        <f>(0+0*$B$6)*(1+$B$5)</f>
      </c>
      <c r="D47" s="17">
        <f>(581.953+170.522*$B$6)*(1+$B$5)</f>
      </c>
      <c r="E47" s="17">
        <f>(11.881+18.426*$B$6)*(1+$B$5)</f>
      </c>
      <c r="F47" s="18">
        <f>SUM(B47:E47)</f>
      </c>
    </row>
    <row r="48">
      <c r="A48" s="16">
        <v>46600</v>
      </c>
      <c r="B48" s="17">
        <f>(0+0*$B$6)*(1+$B$5)</f>
      </c>
      <c r="C48" s="17">
        <f>(0+0*$B$6)*(1+$B$5)</f>
      </c>
      <c r="D48" s="17">
        <f>(347.137+101.725*$B$6)*(1+$B$5)</f>
      </c>
      <c r="E48" s="17">
        <f>(95.767+148.526*$B$6)*(1+$B$5)</f>
      </c>
      <c r="F48" s="18">
        <f>SUM(B48:E48)</f>
      </c>
    </row>
    <row r="49">
      <c r="A49" s="16">
        <v>46631</v>
      </c>
      <c r="B49" s="17">
        <f>(41.999+23.557*$B$6)*(1+$B$5)</f>
      </c>
      <c r="C49" s="17">
        <f>(0+0*$B$6)*(1+$B$5)</f>
      </c>
      <c r="D49" s="17">
        <f>(234.549+68.738*$B$6)*(1+$B$5)</f>
      </c>
      <c r="E49" s="17">
        <f>(173.878+269.673*$B$6)*(1+$B$5)</f>
      </c>
      <c r="F49" s="18">
        <f>SUM(B49:E49)</f>
      </c>
    </row>
    <row r="50">
      <c r="A50" s="16">
        <v>46661</v>
      </c>
      <c r="B50" s="17">
        <f>(224.426+125.885*$B$6)*(1+$B$5)</f>
      </c>
      <c r="C50" s="17">
        <f>(0+0*$B$6)*(1+$B$5)</f>
      </c>
      <c r="D50" s="17">
        <f>(0+0*$B$6)*(1+$B$5)</f>
      </c>
      <c r="E50" s="17">
        <f>(140.755+218.292*$B$6)*(1+$B$5)</f>
      </c>
      <c r="F50" s="18">
        <f>SUM(B50:E50)</f>
      </c>
    </row>
    <row r="51">
      <c r="A51" s="16">
        <v>46692</v>
      </c>
      <c r="B51" s="17">
        <f>(282.694+158.571*$B$6)*(1+$B$5)</f>
      </c>
      <c r="C51" s="17">
        <f>(0+0*$B$6)*(1+$B$5)</f>
      </c>
      <c r="D51" s="17">
        <f>(0+0*$B$6)*(1+$B$5)</f>
      </c>
      <c r="E51" s="17">
        <f>(135.059+209.453*$B$6)*(1+$B$5)</f>
      </c>
      <c r="F51" s="18">
        <f>SUM(B51:E51)</f>
      </c>
    </row>
    <row r="52">
      <c r="A52" s="16">
        <v>46722</v>
      </c>
      <c r="B52" s="17">
        <f>(196.657+110.311*$B$6)*(1+$B$5)</f>
      </c>
      <c r="C52" s="17">
        <f>(0+0*$B$6)*(1+$B$5)</f>
      </c>
      <c r="D52" s="17">
        <f>(0+0*$B$6)*(1+$B$5)</f>
      </c>
      <c r="E52" s="17">
        <f>(93.954+145.706*$B$6)*(1+$B$5)</f>
      </c>
      <c r="F52" s="18">
        <f>SUM(B52:E52)</f>
      </c>
    </row>
    <row r="53">
      <c r="A53" s="16">
        <v>46753</v>
      </c>
      <c r="B53" s="17">
        <f>(338.646+189.947*$B$6)*(1+$B$5)</f>
      </c>
      <c r="C53" s="17">
        <f>(11.342+1.425*$B$6)*(1+$B$5)</f>
      </c>
      <c r="D53" s="17">
        <f>(111.727+32.763*$B$6)*(1+$B$5)</f>
      </c>
      <c r="E53" s="17">
        <f>(91.986+142.65*$B$6)*(1+$B$5)</f>
      </c>
      <c r="F53" s="18">
        <f>SUM(B53:E53)</f>
      </c>
    </row>
    <row r="54">
      <c r="A54" s="16">
        <v>46784</v>
      </c>
      <c r="B54" s="17">
        <f>(384.349+215.58*$B$6)*(1+$B$5)</f>
      </c>
      <c r="C54" s="17">
        <f>(158.783+19.95*$B$6)*(1+$B$5)</f>
      </c>
      <c r="D54" s="17">
        <f>(116.805+34.253*$B$6)*(1+$B$5)</f>
      </c>
      <c r="E54" s="17">
        <f>(0+0*$B$6)*(1+$B$5)</f>
      </c>
      <c r="F54" s="18">
        <f>SUM(B54:E54)</f>
      </c>
    </row>
    <row r="55">
      <c r="A55" s="16">
        <v>46813</v>
      </c>
      <c r="B55" s="17">
        <f>(201.186+112.843*$B$6)*(1+$B$5)</f>
      </c>
      <c r="C55" s="17">
        <f>(447.996+56.287*$B$6)*(1+$B$5)</f>
      </c>
      <c r="D55" s="17">
        <f>(137.119+40.21*$B$6)*(1+$B$5)</f>
      </c>
      <c r="E55" s="17">
        <f>(0+0*$B$6)*(1+$B$5)</f>
      </c>
      <c r="F55" s="18">
        <f>SUM(B55:E55)</f>
      </c>
    </row>
    <row r="56">
      <c r="A56" s="16">
        <v>46844</v>
      </c>
      <c r="B56" s="17">
        <f>(42.443+23.806*$B$6)*(1+$B$5)</f>
      </c>
      <c r="C56" s="17">
        <f>(334.579+42.037*$B$6)*(1+$B$5)</f>
      </c>
      <c r="D56" s="17">
        <f>(106.648+31.274*$B$6)*(1+$B$5)</f>
      </c>
      <c r="E56" s="17">
        <f>(0+0*$B$6)*(1+$B$5)</f>
      </c>
      <c r="F56" s="18">
        <f>SUM(B56:E56)</f>
      </c>
    </row>
    <row r="57">
      <c r="A57" s="23" t="str">
        <v>TOTAL</v>
      </c>
      <c r="B57" s="24">
        <f>SUM(B38:B56)</f>
      </c>
      <c r="C57" s="24">
        <f>SUM(C38:C56)</f>
      </c>
      <c r="D57" s="24">
        <f>SUM(D38:D56)</f>
      </c>
      <c r="E57" s="24">
        <f>SUM(E38:E56)</f>
      </c>
      <c r="F57" s="24">
        <f>SUM(F38:F56)</f>
      </c>
    </row>
    <row r="59">
      <c r="A59" s="29" t="str">
        <v>Quantidades distribuídas pelos dias úteis de execução de cada frente do cronograma R12. Verde Ubatuba: Frontal 57% e Lat. Esquerda 41% do pano (aba Aux. Dados JARDIM). Células em amarelo são parâmetros editáveis.</v>
      </c>
    </row>
  </sheetData>
  <mergeCells count="3">
    <mergeCell ref="A1:L1"/>
    <mergeCell ref="A2:L2"/>
    <mergeCell ref="A59:L59"/>
  </mergeCells>
  <ignoredErrors>
    <ignoredError numberStoredAsText="1" sqref="A1:L5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COMPRA GRANITO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