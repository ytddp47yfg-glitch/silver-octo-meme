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HISTOGRAMA" sheetId="2" state="visible" r:id="rId2"/>
    <sheet name="LANÇAMENTOS" sheetId="3" state="visible" r:id="rId3"/>
    <sheet name="FORNECEDORES" sheetId="4" state="visible" r:id="rId4"/>
    <sheet name="BASE" sheetId="5" state="visible" r:id="rId5"/>
    <sheet name="PARÂMETROS" sheetId="6" state="visible" r:id="rId6"/>
    <sheet name="LEIA-ME" sheetId="7" state="visible" r:id="rId7"/>
  </sheets>
  <definedNames>
    <definedName name="DataBase">PARÂMETROS!$B$3</definedName>
    <definedName name="_xlnm._FilterDatabase" localSheetId="2" hidden="1">'LANÇAMENTOS'!$A$4:$J$1323</definedName>
    <definedName name="_xlnm._FilterDatabase" localSheetId="3" hidden="1">'FORNECEDORES'!$A$4:$H$92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mmm/yy"/>
    <numFmt numFmtId="166" formatCode="#,##0.00;[Red]-#,##0.00;&quot;-&quot;"/>
    <numFmt numFmtId="167" formatCode="dd/mm/yy"/>
    <numFmt numFmtId="168" formatCode="#,##0;[Red]-#,##0;&quot;-&quot;"/>
    <numFmt numFmtId="169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</font>
    <font>
      <name val="Calibri"/>
    </font>
  </fonts>
  <fills count="7">
    <fill>
      <patternFill/>
    </fill>
    <fill>
      <patternFill patternType="gray125"/>
    </fill>
    <fill>
      <patternFill patternType="solid">
        <fgColor rgb="00243F2E"/>
      </patternFill>
    </fill>
    <fill>
      <patternFill patternType="solid">
        <fgColor rgb="00E2E2E2"/>
      </patternFill>
    </fill>
    <fill>
      <patternFill patternType="solid">
        <fgColor rgb="00F2F2F2"/>
      </patternFill>
    </fill>
    <fill>
      <patternFill patternType="solid">
        <fgColor rgb="00C5DFCE"/>
      </patternFill>
    </fill>
    <fill>
      <patternFill patternType="solid">
        <fgColor rgb="0099BCAB"/>
      </patternFill>
    </fill>
  </fills>
  <borders count="4">
    <border>
      <left/>
      <right/>
      <top/>
      <bottom/>
      <diagonal/>
    </border>
    <border>
      <left style="hair"/>
      <right style="hair"/>
      <top style="medium"/>
      <bottom style="medium"/>
    </border>
    <border>
      <left style="hair"/>
      <right style="hair"/>
      <top style="hair"/>
      <bottom style="hair"/>
    </border>
    <border/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0" borderId="0" pivotButton="0" quotePrefix="0" xfId="0"/>
    <xf numFmtId="0" fontId="3" fillId="0" borderId="3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2" pivotButton="0" quotePrefix="0" xfId="0"/>
    <xf numFmtId="166" fontId="4" fillId="0" borderId="2" pivotButton="0" quotePrefix="0" xfId="0"/>
    <xf numFmtId="2" fontId="4" fillId="0" borderId="2" pivotButton="0" quotePrefix="0" xfId="0"/>
    <xf numFmtId="169" fontId="4" fillId="0" borderId="2" pivotButton="0" quotePrefix="0" xfId="0"/>
    <xf numFmtId="0" fontId="3" fillId="5" borderId="2" pivotButton="0" quotePrefix="0" xfId="0"/>
    <xf numFmtId="0" fontId="4" fillId="5" borderId="2" pivotButton="0" quotePrefix="0" xfId="0"/>
    <xf numFmtId="166" fontId="3" fillId="5" borderId="2" pivotButton="0" quotePrefix="0" xfId="0"/>
    <xf numFmtId="2" fontId="3" fillId="5" borderId="2" pivotButton="0" quotePrefix="0" xfId="0"/>
    <xf numFmtId="169" fontId="3" fillId="5" borderId="2" pivotButton="0" quotePrefix="0" xfId="0"/>
    <xf numFmtId="0" fontId="3" fillId="6" borderId="0" pivotButton="0" quotePrefix="0" xfId="0"/>
    <xf numFmtId="0" fontId="0" fillId="6" borderId="0" pivotButton="0" quotePrefix="0" xfId="0"/>
    <xf numFmtId="0" fontId="3" fillId="0" borderId="2" applyAlignment="1" pivotButton="0" quotePrefix="0" xfId="0">
      <alignment horizontal="center"/>
    </xf>
    <xf numFmtId="165" fontId="3" fillId="3" borderId="1" applyAlignment="1" pivotButton="0" quotePrefix="0" xfId="0">
      <alignment horizontal="center" vertical="center" wrapText="1"/>
    </xf>
    <xf numFmtId="168" fontId="3" fillId="0" borderId="2" pivotButton="0" quotePrefix="0" xfId="0"/>
    <xf numFmtId="168" fontId="4" fillId="0" borderId="2" pivotButton="0" quotePrefix="0" xfId="0"/>
    <xf numFmtId="168" fontId="3" fillId="5" borderId="2" pivotButton="0" quotePrefix="0" xfId="0"/>
    <xf numFmtId="0" fontId="3" fillId="0" borderId="2" pivotButton="0" quotePrefix="0" xfId="0"/>
    <xf numFmtId="165" fontId="4" fillId="0" borderId="2" pivotButton="0" quotePrefix="0" xfId="0"/>
    <xf numFmtId="167" fontId="4" fillId="0" borderId="2" pivotButton="0" quotePrefix="0" xfId="0"/>
    <xf numFmtId="0" fontId="4" fillId="4" borderId="2" applyAlignment="1" pivotButton="0" quotePrefix="0" xfId="0">
      <alignment horizontal="center"/>
    </xf>
    <xf numFmtId="168" fontId="4" fillId="4" borderId="2" pivotButton="0" quotePrefix="0" xfId="0"/>
    <xf numFmtId="165" fontId="4" fillId="4" borderId="2" pivotButton="0" quotePrefix="0" xfId="0"/>
    <xf numFmtId="166" fontId="4" fillId="4" borderId="2" pivotButton="0" quotePrefix="0" xfId="0"/>
    <xf numFmtId="1" fontId="4" fillId="4" borderId="2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1E7B45"/>
      </font>
      <fill>
        <patternFill patternType="solid">
          <fgColor rgb="00E2F0D9"/>
        </patternFill>
      </fill>
    </dxf>
    <dxf>
      <font>
        <b val="1"/>
        <color rgb="009C0006"/>
      </font>
      <fill>
        <patternFill patternType="solid">
          <fgColor rgb="00FFE5E5"/>
        </patternFill>
      </fill>
    </dxf>
    <dxf>
      <font>
        <color rgb="00FFFF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Acumulado do grupo 11 (R$)</a:t>
            </a:r>
          </a:p>
        </rich>
      </tx>
    </title>
    <plotArea>
      <lineChart>
        <grouping val="standard"/>
        <ser>
          <idx val="0"/>
          <order val="0"/>
          <tx>
            <strRef>
              <f>'HISTOGRAMA'!B42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'HISTOGRAMA'!$D$4:$BL$4</f>
            </numRef>
          </cat>
          <val>
            <numRef>
              <f>'HISTOGRAMA'!$D$42:$BL$42</f>
            </numRef>
          </val>
          <smooth val="0"/>
        </ser>
        <ser>
          <idx val="1"/>
          <order val="1"/>
          <tx>
            <strRef>
              <f>'HISTOGRAMA'!B43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'HISTOGRAMA'!$D$4:$BL$4</f>
            </numRef>
          </cat>
          <val>
            <numRef>
              <f>'HISTOGRAMA'!$D$43:$BL$43</f>
            </numRef>
          </val>
          <smooth val="0"/>
        </ser>
        <ser>
          <idx val="2"/>
          <order val="2"/>
          <tx>
            <strRef>
              <f>'HISTOGRAMA'!B44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'HISTOGRAMA'!$D$4:$BL$4</f>
            </numRef>
          </cat>
          <val>
            <numRef>
              <f>'HISTOGRAMA'!$D$44:$BL$44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mmm/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Realizado pago por mês (R$)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'HISTOGRAMA'!$D$4:$BL$4</f>
            </numRef>
          </cat>
          <val>
            <numRef>
              <f>'HISTOGRAMA'!$D$27:$BL$27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936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42</row>
      <rowOff>0</rowOff>
    </from>
    <ext cx="936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446756"/>
    <outlinePr summaryBelow="1" summaryRight="1"/>
    <pageSetUpPr/>
  </sheetPr>
  <dimension ref="A1:J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8" customWidth="1" min="2" max="2"/>
    <col width="16" customWidth="1" min="3" max="3"/>
    <col width="16" customWidth="1" min="4" max="4"/>
    <col width="16" customWidth="1" min="5" max="5"/>
    <col width="16" customWidth="1" min="6" max="6"/>
    <col width="17" customWidth="1" min="7" max="7"/>
    <col width="16" customWidth="1" min="8" max="8"/>
    <col width="14" customWidth="1" min="9" max="9"/>
    <col width="13" customWidth="1" min="10" max="10"/>
  </cols>
  <sheetData>
    <row r="1" ht="39.6" customHeight="1">
      <c r="A1" s="1" t="inlineStr">
        <is>
          <t>Ed. Jardim · Equipamentos e Ferramentas (grupo 11) · R00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Data-base out/26 (pagamentos até 07/10/2026). Realizado pelo financeiro; projeção pendente da medição e dos contratos.</t>
        </is>
      </c>
    </row>
    <row r="3">
      <c r="A3" s="4" t="inlineStr">
        <is>
          <t>Projeção final: pendente (precisa da medição .xlsm, dos contratos e do cronograma)</t>
        </is>
      </c>
    </row>
    <row r="5" ht="45" customHeight="1">
      <c r="A5" s="5" t="inlineStr">
        <is>
          <t>Linha</t>
        </is>
      </c>
      <c r="B5" s="5" t="inlineStr">
        <is>
          <t>Descrição</t>
        </is>
      </c>
      <c r="C5" s="5" t="inlineStr">
        <is>
          <t>Orçado sem INCC</t>
        </is>
      </c>
      <c r="D5" s="5" t="inlineStr">
        <is>
          <t>Base até a data-base</t>
        </is>
      </c>
      <c r="E5" s="5" t="inlineStr">
        <is>
          <t>Realizado pago</t>
        </is>
      </c>
      <c r="F5" s="5" t="inlineStr">
        <is>
          <t>A pagar lançado</t>
        </is>
      </c>
      <c r="G5" s="5" t="inlineStr">
        <is>
          <t>Realizado + a pagar</t>
        </is>
      </c>
      <c r="H5" s="5" t="inlineStr">
        <is>
          <t>Saldo do orçado</t>
        </is>
      </c>
      <c r="I5" s="5" t="inlineStr">
        <is>
          <t>Realizado / base até a data-base</t>
        </is>
      </c>
      <c r="J5" s="5" t="inlineStr">
        <is>
          <t>% do orçado consumido</t>
        </is>
      </c>
    </row>
    <row r="6">
      <c r="A6" s="6" t="inlineStr">
        <is>
          <t>L01</t>
        </is>
      </c>
      <c r="B6" s="6" t="inlineStr">
        <is>
          <t>Ferramentas manuais e pequenos equipamentos</t>
        </is>
      </c>
      <c r="C6" s="7">
        <f>PARÂMETROS!D11</f>
        <v>0.0</v>
      </c>
      <c r="D6" s="7">
        <f>SUMIFS(HISTOGRAMA!$D6:$BL6,HISTOGRAMA!$D$4:$BL$4,"&lt;="&amp;DataBase)</f>
        <v>0.0</v>
      </c>
      <c r="E6" s="7">
        <f>HISTOGRAMA!C18</f>
        <v>299172.55928</v>
      </c>
      <c r="F6" s="7">
        <f>HISTOGRAMA!C30</f>
        <v>19511.1</v>
      </c>
      <c r="G6" s="7">
        <f>E6+F6</f>
        <v>318683.65927999996</v>
      </c>
      <c r="H6" s="7">
        <f>C6-G6</f>
        <v>-318683.65927999996</v>
      </c>
      <c r="I6" s="8" t="str">
        <f>IFERROR(E6/D6,"-")</f>
        <v>-</v>
      </c>
      <c r="J6" s="9" t="str">
        <f>IFERROR(G6/C6,"-")</f>
        <v>-</v>
      </c>
    </row>
    <row r="7">
      <c r="A7" s="6" t="inlineStr">
        <is>
          <t>L02</t>
        </is>
      </c>
      <c r="B7" s="6" t="inlineStr">
        <is>
          <t>Movimento de terra, manipulador e transporte vertical leve</t>
        </is>
      </c>
      <c r="C7" s="7">
        <f>PARÂMETROS!D12</f>
        <v>0.0</v>
      </c>
      <c r="D7" s="7">
        <f>SUMIFS(HISTOGRAMA!$D7:$BL7,HISTOGRAMA!$D$4:$BL$4,"&lt;="&amp;DataBase)</f>
        <v>0.0</v>
      </c>
      <c r="E7" s="7">
        <f>HISTOGRAMA!C19</f>
        <v>22059.950000000004</v>
      </c>
      <c r="F7" s="7">
        <f>HISTOGRAMA!C31</f>
        <v>0.0</v>
      </c>
      <c r="G7" s="7">
        <f>E7+F7</f>
        <v>22059.950000000004</v>
      </c>
      <c r="H7" s="7">
        <f>C7-G7</f>
        <v>-22059.950000000004</v>
      </c>
      <c r="I7" s="8" t="str">
        <f>IFERROR(E7/D7,"-")</f>
        <v>-</v>
      </c>
      <c r="J7" s="9" t="str">
        <f>IFERROR(G7/C7,"-")</f>
        <v>-</v>
      </c>
    </row>
    <row r="8">
      <c r="A8" s="6" t="inlineStr">
        <is>
          <t>L03</t>
        </is>
      </c>
      <c r="B8" s="6" t="inlineStr">
        <is>
          <t>Equipamentos de produção civil e locações</t>
        </is>
      </c>
      <c r="C8" s="7">
        <f>PARÂMETROS!D13</f>
        <v>0.0</v>
      </c>
      <c r="D8" s="7">
        <f>SUMIFS(HISTOGRAMA!$D8:$BL8,HISTOGRAMA!$D$4:$BL$4,"&lt;="&amp;DataBase)</f>
        <v>0.0</v>
      </c>
      <c r="E8" s="7">
        <f>HISTOGRAMA!C20</f>
        <v>363291.139998</v>
      </c>
      <c r="F8" s="7">
        <f>HISTOGRAMA!C32</f>
        <v>3648.6100000000006</v>
      </c>
      <c r="G8" s="7">
        <f>E8+F8</f>
        <v>366939.749998</v>
      </c>
      <c r="H8" s="7">
        <f>C8-G8</f>
        <v>-366939.749998</v>
      </c>
      <c r="I8" s="8" t="str">
        <f>IFERROR(E8/D8,"-")</f>
        <v>-</v>
      </c>
      <c r="J8" s="9" t="str">
        <f>IFERROR(G8/C8,"-")</f>
        <v>-</v>
      </c>
    </row>
    <row r="9">
      <c r="A9" s="6" t="inlineStr">
        <is>
          <t>L04</t>
        </is>
      </c>
      <c r="B9" s="6" t="inlineStr">
        <is>
          <t>Bandejas de proteção</t>
        </is>
      </c>
      <c r="C9" s="7">
        <f>PARÂMETROS!D14</f>
        <v>0.0</v>
      </c>
      <c r="D9" s="7">
        <f>SUMIFS(HISTOGRAMA!$D9:$BL9,HISTOGRAMA!$D$4:$BL$4,"&lt;="&amp;DataBase)</f>
        <v>0.0</v>
      </c>
      <c r="E9" s="7">
        <f>HISTOGRAMA!C21</f>
        <v>92228.20000000001</v>
      </c>
      <c r="F9" s="7">
        <f>HISTOGRAMA!C33</f>
        <v>0.0</v>
      </c>
      <c r="G9" s="7">
        <f>E9+F9</f>
        <v>92228.20000000001</v>
      </c>
      <c r="H9" s="7">
        <f>C9-G9</f>
        <v>-92228.20000000001</v>
      </c>
      <c r="I9" s="8" t="str">
        <f>IFERROR(E9/D9,"-")</f>
        <v>-</v>
      </c>
      <c r="J9" s="9" t="str">
        <f>IFERROR(G9/C9,"-")</f>
        <v>-</v>
      </c>
    </row>
    <row r="10">
      <c r="A10" s="6" t="inlineStr">
        <is>
          <t>L05</t>
        </is>
      </c>
      <c r="B10" s="6" t="inlineStr">
        <is>
          <t>Elevador cremalheira</t>
        </is>
      </c>
      <c r="C10" s="7">
        <f>PARÂMETROS!D15</f>
        <v>0.0</v>
      </c>
      <c r="D10" s="7">
        <f>SUMIFS(HISTOGRAMA!$D10:$BL10,HISTOGRAMA!$D$4:$BL$4,"&lt;="&amp;DataBase)</f>
        <v>0.0</v>
      </c>
      <c r="E10" s="7">
        <f>HISTOGRAMA!C22</f>
        <v>0.0</v>
      </c>
      <c r="F10" s="7">
        <f>HISTOGRAMA!C34</f>
        <v>0.0</v>
      </c>
      <c r="G10" s="7">
        <f>E10+F10</f>
        <v>0.0</v>
      </c>
      <c r="H10" s="7">
        <f>C10-G10</f>
        <v>0.0</v>
      </c>
      <c r="I10" s="8" t="str">
        <f>IFERROR(E10/D10,"-")</f>
        <v>-</v>
      </c>
      <c r="J10" s="9" t="str">
        <f>IFERROR(G10/C10,"-")</f>
        <v>-</v>
      </c>
    </row>
    <row r="11">
      <c r="A11" s="6" t="inlineStr">
        <is>
          <t>L06</t>
        </is>
      </c>
      <c r="B11" s="6" t="inlineStr">
        <is>
          <t>Grua</t>
        </is>
      </c>
      <c r="C11" s="7">
        <f>PARÂMETROS!D16</f>
        <v>0.0</v>
      </c>
      <c r="D11" s="7">
        <f>SUMIFS(HISTOGRAMA!$D11:$BL11,HISTOGRAMA!$D$4:$BL$4,"&lt;="&amp;DataBase)</f>
        <v>0.0</v>
      </c>
      <c r="E11" s="7">
        <f>HISTOGRAMA!C23</f>
        <v>0.0</v>
      </c>
      <c r="F11" s="7">
        <f>HISTOGRAMA!C35</f>
        <v>0.0</v>
      </c>
      <c r="G11" s="7">
        <f>E11+F11</f>
        <v>0.0</v>
      </c>
      <c r="H11" s="7">
        <f>C11-G11</f>
        <v>0.0</v>
      </c>
      <c r="I11" s="8" t="str">
        <f>IFERROR(E11/D11,"-")</f>
        <v>-</v>
      </c>
      <c r="J11" s="9" t="str">
        <f>IFERROR(G11/C11,"-")</f>
        <v>-</v>
      </c>
    </row>
    <row r="12">
      <c r="A12" s="6" t="inlineStr">
        <is>
          <t>L07</t>
        </is>
      </c>
      <c r="B12" s="6" t="inlineStr">
        <is>
          <t>Equipamentos de fachada (andaimes, balancins)</t>
        </is>
      </c>
      <c r="C12" s="7">
        <f>PARÂMETROS!D17</f>
        <v>0.0</v>
      </c>
      <c r="D12" s="7">
        <f>SUMIFS(HISTOGRAMA!$D12:$BL12,HISTOGRAMA!$D$4:$BL$4,"&lt;="&amp;DataBase)</f>
        <v>0.0</v>
      </c>
      <c r="E12" s="7">
        <f>HISTOGRAMA!C24</f>
        <v>7694.0650000000005</v>
      </c>
      <c r="F12" s="7">
        <f>HISTOGRAMA!C36</f>
        <v>4750.0</v>
      </c>
      <c r="G12" s="7">
        <f>E12+F12</f>
        <v>12444.065</v>
      </c>
      <c r="H12" s="7">
        <f>C12-G12</f>
        <v>-12444.065</v>
      </c>
      <c r="I12" s="8" t="str">
        <f>IFERROR(E12/D12,"-")</f>
        <v>-</v>
      </c>
      <c r="J12" s="9" t="str">
        <f>IFERROR(G12/C12,"-")</f>
        <v>-</v>
      </c>
    </row>
    <row r="13">
      <c r="A13" s="6" t="inlineStr">
        <is>
          <t>L08</t>
        </is>
      </c>
      <c r="B13" s="6" t="inlineStr">
        <is>
          <t>Equipamentos de proteção coletiva (telas, sinalização)</t>
        </is>
      </c>
      <c r="C13" s="7">
        <f>PARÂMETROS!D18</f>
        <v>0.0</v>
      </c>
      <c r="D13" s="7">
        <f>SUMIFS(HISTOGRAMA!$D13:$BL13,HISTOGRAMA!$D$4:$BL$4,"&lt;="&amp;DataBase)</f>
        <v>0.0</v>
      </c>
      <c r="E13" s="7">
        <f>HISTOGRAMA!C25</f>
        <v>303007.55042900005</v>
      </c>
      <c r="F13" s="7">
        <f>HISTOGRAMA!C37</f>
        <v>9913.29</v>
      </c>
      <c r="G13" s="7">
        <f>E13+F13</f>
        <v>312920.84042900003</v>
      </c>
      <c r="H13" s="7">
        <f>C13-G13</f>
        <v>-312920.84042900003</v>
      </c>
      <c r="I13" s="8" t="str">
        <f>IFERROR(E13/D13,"-")</f>
        <v>-</v>
      </c>
      <c r="J13" s="9" t="str">
        <f>IFERROR(G13/C13,"-")</f>
        <v>-</v>
      </c>
    </row>
    <row r="14">
      <c r="A14" s="6" t="inlineStr">
        <is>
          <t>L10</t>
        </is>
      </c>
      <c r="B14" s="6" t="inlineStr">
        <is>
          <t>A classificar (sem linha definida)</t>
        </is>
      </c>
      <c r="C14" s="7">
        <f>PARÂMETROS!D19</f>
        <v>0.0</v>
      </c>
      <c r="D14" s="7">
        <f>SUMIFS(HISTOGRAMA!$D14:$BL14,HISTOGRAMA!$D$4:$BL$4,"&lt;="&amp;DataBase)</f>
        <v>0.0</v>
      </c>
      <c r="E14" s="7">
        <f>HISTOGRAMA!C26</f>
        <v>947954.742659</v>
      </c>
      <c r="F14" s="7">
        <f>HISTOGRAMA!C38</f>
        <v>116739.48734099997</v>
      </c>
      <c r="G14" s="7">
        <f>E14+F14</f>
        <v>1064694.23</v>
      </c>
      <c r="H14" s="7">
        <f>C14-G14</f>
        <v>-1064694.23</v>
      </c>
      <c r="I14" s="8" t="str">
        <f>IFERROR(E14/D14,"-")</f>
        <v>-</v>
      </c>
      <c r="J14" s="9" t="str">
        <f>IFERROR(G14/C14,"-")</f>
        <v>-</v>
      </c>
    </row>
    <row r="15">
      <c r="A15" s="10" t="inlineStr">
        <is>
          <t>TOTAL</t>
        </is>
      </c>
      <c r="B15" s="11" t="n"/>
      <c r="C15" s="12">
        <f>SUM(C6:C14)</f>
        <v>0.0</v>
      </c>
      <c r="D15" s="12">
        <f>SUM(D6:D14)</f>
        <v>0.0</v>
      </c>
      <c r="E15" s="12">
        <f>SUM(E6:E14)</f>
        <v>2035408.207366</v>
      </c>
      <c r="F15" s="12">
        <f>SUM(F6:F14)</f>
        <v>154562.48734099997</v>
      </c>
      <c r="G15" s="12">
        <f>E15+F15</f>
        <v>2189970.6947069997</v>
      </c>
      <c r="H15" s="12">
        <f>C15-G15</f>
        <v>-2189970.6947069997</v>
      </c>
      <c r="I15" s="13" t="str">
        <f>IFERROR(E15/D15,"-")</f>
        <v>-</v>
      </c>
      <c r="J15" s="14" t="str">
        <f>IFERROR(G15/C15,"-")</f>
        <v>-</v>
      </c>
    </row>
    <row r="17">
      <c r="A17" s="15" t="inlineStr">
        <is>
          <t>CONFERÊNCIAS</t>
        </is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</row>
    <row r="18">
      <c r="A18" s="6" t="n">
        <v>1</v>
      </c>
      <c r="B18" s="6" t="inlineStr">
        <is>
          <t>Realizado pago = total PAGAS do financeiro</t>
        </is>
      </c>
      <c r="C18" s="17" t="str">
        <f>IF(ABS(E15-PARÂMETROS!B4)&lt;0.01,"OK","VERIFICAR")</f>
        <v>OK</v>
      </c>
    </row>
    <row r="19">
      <c r="A19" s="6" t="n">
        <v>2</v>
      </c>
      <c r="B19" s="6" t="inlineStr">
        <is>
          <t>A pagar = total A PAGAR do financeiro</t>
        </is>
      </c>
      <c r="C19" s="17" t="str">
        <f>IF(ABS(F15-PARÂMETROS!B5)&lt;0.01,"OK","VERIFICAR")</f>
        <v>OK</v>
      </c>
    </row>
    <row r="20">
      <c r="A20" s="6" t="n">
        <v>3</v>
      </c>
      <c r="B20" s="6" t="inlineStr">
        <is>
          <t>Base mensal = orçado sem INCC (ANÁLISE)</t>
        </is>
      </c>
      <c r="C20" s="17" t="str">
        <f>IF(PARÂMETROS!B7="","PENDENTE",IF(ABS(BASE!C14-PARÂMETROS!B7)&lt;1,"OK","VERIFICAR"))</f>
        <v>PENDENTE</v>
      </c>
    </row>
    <row r="21">
      <c r="A21" s="6" t="n">
        <v>4</v>
      </c>
      <c r="B21" s="6" t="inlineStr">
        <is>
          <t>Lançamentos sem linha (L10) = zero</t>
        </is>
      </c>
      <c r="C21" s="17" t="str">
        <f>IF(G14&lt;0.01,"OK","VERIFICAR")</f>
        <v>VERIFICAR</v>
      </c>
    </row>
    <row r="22">
      <c r="A22" s="6" t="n">
        <v>5</v>
      </c>
      <c r="B22" s="6" t="inlineStr">
        <is>
          <t>Realizado = ANÁLISE IEC (T) da medição</t>
        </is>
      </c>
      <c r="C22" s="17" t="inlineStr">
        <is>
          <t>PENDENTE</t>
        </is>
      </c>
    </row>
  </sheetData>
  <conditionalFormatting sqref="C18:C22">
    <cfRule type="expression" priority="1" dxfId="0">
      <formula>C18="OK"</formula>
    </cfRule>
    <cfRule type="expression" priority="2" dxfId="1">
      <formula>C18&lt;&gt;"OK"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446756"/>
    <outlinePr summaryBelow="1" summaryRight="1"/>
    <pageSetUpPr/>
  </sheetPr>
  <dimension ref="A1:BL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8" customWidth="1" min="2" max="2"/>
    <col width="13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  <col width="10.5" customWidth="1" min="39" max="39"/>
    <col width="10.5" customWidth="1" min="40" max="40"/>
    <col width="10.5" customWidth="1" min="41" max="41"/>
    <col width="10.5" customWidth="1" min="42" max="42"/>
    <col width="10.5" customWidth="1" min="43" max="43"/>
    <col width="10.5" customWidth="1" min="44" max="44"/>
    <col width="10.5" customWidth="1" min="45" max="45"/>
    <col width="10.5" customWidth="1" min="46" max="46"/>
    <col width="10.5" customWidth="1" min="47" max="47"/>
    <col width="10.5" customWidth="1" min="48" max="48"/>
    <col width="10.5" customWidth="1" min="49" max="49"/>
    <col width="10.5" customWidth="1" min="50" max="50"/>
    <col width="10.5" customWidth="1" min="51" max="51"/>
    <col width="10.5" customWidth="1" min="52" max="52"/>
    <col width="10.5" customWidth="1" min="53" max="53"/>
    <col width="10.5" customWidth="1" min="54" max="54"/>
    <col width="10.5" customWidth="1" min="55" max="55"/>
    <col width="10.5" customWidth="1" min="56" max="56"/>
    <col width="10.5" customWidth="1" min="57" max="57"/>
    <col width="10.5" customWidth="1" min="58" max="58"/>
    <col width="10.5" customWidth="1" min="59" max="59"/>
    <col width="10.5" customWidth="1" min="60" max="60"/>
    <col width="10.5" customWidth="1" min="61" max="61"/>
    <col width="10.5" customWidth="1" min="62" max="62"/>
    <col width="10.5" customWidth="1" min="63" max="63"/>
    <col width="10.5" customWidth="1" min="64" max="64"/>
  </cols>
  <sheetData>
    <row r="1" ht="39.6" customHeight="1">
      <c r="A1" s="1" t="inlineStr">
        <is>
          <t>Ed. Jardim · Histograma do grupo 11 (R$)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</row>
    <row r="2">
      <c r="A2" s="3" t="inlineStr">
        <is>
          <t>Realizado = pagamentos do financeiro no mês (SUMIFS em LANÇAMENTOS). A pagar = títulos em aberto lançados no financeiro, no mês de vencimento.</t>
        </is>
      </c>
    </row>
    <row r="4">
      <c r="A4" s="5" t="inlineStr">
        <is>
          <t>Linha</t>
        </is>
      </c>
      <c r="B4" s="5" t="inlineStr">
        <is>
          <t>Descrição</t>
        </is>
      </c>
      <c r="C4" s="5" t="inlineStr">
        <is>
          <t>Total</t>
        </is>
      </c>
      <c r="D4" s="18" t="n">
        <v>45444</v>
      </c>
      <c r="E4" s="18" t="n">
        <v>45474</v>
      </c>
      <c r="F4" s="18" t="n">
        <v>45505</v>
      </c>
      <c r="G4" s="18" t="n">
        <v>45536</v>
      </c>
      <c r="H4" s="18" t="n">
        <v>45566</v>
      </c>
      <c r="I4" s="18" t="n">
        <v>45597</v>
      </c>
      <c r="J4" s="18" t="n">
        <v>45627</v>
      </c>
      <c r="K4" s="18" t="n">
        <v>45658</v>
      </c>
      <c r="L4" s="18" t="n">
        <v>45689</v>
      </c>
      <c r="M4" s="18" t="n">
        <v>45717</v>
      </c>
      <c r="N4" s="18" t="n">
        <v>45748</v>
      </c>
      <c r="O4" s="18" t="n">
        <v>45778</v>
      </c>
      <c r="P4" s="18" t="n">
        <v>45809</v>
      </c>
      <c r="Q4" s="18" t="n">
        <v>45839</v>
      </c>
      <c r="R4" s="18" t="n">
        <v>45870</v>
      </c>
      <c r="S4" s="18" t="n">
        <v>45901</v>
      </c>
      <c r="T4" s="18" t="n">
        <v>45931</v>
      </c>
      <c r="U4" s="18" t="n">
        <v>45962</v>
      </c>
      <c r="V4" s="18" t="n">
        <v>45992</v>
      </c>
      <c r="W4" s="18" t="n">
        <v>46023</v>
      </c>
      <c r="X4" s="18" t="n">
        <v>46054</v>
      </c>
      <c r="Y4" s="18" t="n">
        <v>46082</v>
      </c>
      <c r="Z4" s="18" t="n">
        <v>46113</v>
      </c>
      <c r="AA4" s="18" t="n">
        <v>46143</v>
      </c>
      <c r="AB4" s="18" t="n">
        <v>46174</v>
      </c>
      <c r="AC4" s="18" t="n">
        <v>46204</v>
      </c>
      <c r="AD4" s="18" t="n">
        <v>46235</v>
      </c>
      <c r="AE4" s="18" t="n">
        <v>46266</v>
      </c>
      <c r="AF4" s="18" t="n">
        <v>46296</v>
      </c>
      <c r="AG4" s="18" t="n">
        <v>46327</v>
      </c>
      <c r="AH4" s="18" t="n">
        <v>46357</v>
      </c>
      <c r="AI4" s="18" t="n">
        <v>46388</v>
      </c>
      <c r="AJ4" s="18" t="n">
        <v>46419</v>
      </c>
      <c r="AK4" s="18" t="n">
        <v>46447</v>
      </c>
      <c r="AL4" s="18" t="n">
        <v>46478</v>
      </c>
      <c r="AM4" s="18" t="n">
        <v>46508</v>
      </c>
      <c r="AN4" s="18" t="n">
        <v>46539</v>
      </c>
      <c r="AO4" s="18" t="n">
        <v>46569</v>
      </c>
      <c r="AP4" s="18" t="n">
        <v>46600</v>
      </c>
      <c r="AQ4" s="18" t="n">
        <v>46631</v>
      </c>
      <c r="AR4" s="18" t="n">
        <v>46661</v>
      </c>
      <c r="AS4" s="18" t="n">
        <v>46692</v>
      </c>
      <c r="AT4" s="18" t="n">
        <v>46722</v>
      </c>
      <c r="AU4" s="18" t="n">
        <v>46753</v>
      </c>
      <c r="AV4" s="18" t="n">
        <v>46784</v>
      </c>
      <c r="AW4" s="18" t="n">
        <v>46813</v>
      </c>
      <c r="AX4" s="18" t="n">
        <v>46844</v>
      </c>
      <c r="AY4" s="18" t="n">
        <v>46874</v>
      </c>
      <c r="AZ4" s="18" t="n">
        <v>46905</v>
      </c>
      <c r="BA4" s="18" t="n">
        <v>46935</v>
      </c>
      <c r="BB4" s="18" t="n">
        <v>46966</v>
      </c>
      <c r="BC4" s="18" t="n">
        <v>46997</v>
      </c>
      <c r="BD4" s="18" t="n">
        <v>47027</v>
      </c>
      <c r="BE4" s="18" t="n">
        <v>47058</v>
      </c>
      <c r="BF4" s="18" t="n">
        <v>47088</v>
      </c>
      <c r="BG4" s="18" t="n">
        <v>47119</v>
      </c>
      <c r="BH4" s="18" t="n">
        <v>47150</v>
      </c>
      <c r="BI4" s="18" t="n">
        <v>47178</v>
      </c>
      <c r="BJ4" s="18" t="n">
        <v>47209</v>
      </c>
      <c r="BK4" s="18" t="n">
        <v>47239</v>
      </c>
      <c r="BL4" s="18" t="n">
        <v>47270</v>
      </c>
    </row>
    <row r="5">
      <c r="A5" s="15" t="inlineStr">
        <is>
          <t>BASE SEM INCC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16" t="n"/>
      <c r="AD5" s="16" t="n"/>
      <c r="AE5" s="16" t="n"/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  <c r="AP5" s="16" t="n"/>
      <c r="AQ5" s="16" t="n"/>
      <c r="AR5" s="16" t="n"/>
      <c r="AS5" s="16" t="n"/>
      <c r="AT5" s="16" t="n"/>
      <c r="AU5" s="16" t="n"/>
      <c r="AV5" s="16" t="n"/>
      <c r="AW5" s="16" t="n"/>
      <c r="AX5" s="16" t="n"/>
      <c r="AY5" s="16" t="n"/>
      <c r="AZ5" s="16" t="n"/>
      <c r="BA5" s="16" t="n"/>
      <c r="BB5" s="16" t="n"/>
      <c r="BC5" s="16" t="n"/>
      <c r="BD5" s="16" t="n"/>
      <c r="BE5" s="16" t="n"/>
      <c r="BF5" s="16" t="n"/>
      <c r="BG5" s="16" t="n"/>
      <c r="BH5" s="16" t="n"/>
      <c r="BI5" s="16" t="n"/>
      <c r="BJ5" s="16" t="n"/>
      <c r="BK5" s="16" t="n"/>
      <c r="BL5" s="16" t="n"/>
    </row>
    <row r="6">
      <c r="A6" s="6" t="inlineStr">
        <is>
          <t>L01</t>
        </is>
      </c>
      <c r="B6" s="6" t="inlineStr">
        <is>
          <t>Ferramentas manuais e pequenos equipamentos</t>
        </is>
      </c>
      <c r="C6" s="19">
        <f>SUM(D6:BL6)</f>
        <v>0.0</v>
      </c>
      <c r="D6" s="20">
        <f>BASE!D5</f>
        <v>0.0</v>
      </c>
      <c r="E6" s="20">
        <f>BASE!E5</f>
        <v>0.0</v>
      </c>
      <c r="F6" s="20">
        <f>BASE!F5</f>
        <v>0.0</v>
      </c>
      <c r="G6" s="20">
        <f>BASE!G5</f>
        <v>0.0</v>
      </c>
      <c r="H6" s="20">
        <f>BASE!H5</f>
        <v>0.0</v>
      </c>
      <c r="I6" s="20">
        <f>BASE!I5</f>
        <v>0.0</v>
      </c>
      <c r="J6" s="20">
        <f>BASE!J5</f>
        <v>0.0</v>
      </c>
      <c r="K6" s="20">
        <f>BASE!K5</f>
        <v>0.0</v>
      </c>
      <c r="L6" s="20">
        <f>BASE!L5</f>
        <v>0.0</v>
      </c>
      <c r="M6" s="20">
        <f>BASE!M5</f>
        <v>0.0</v>
      </c>
      <c r="N6" s="20">
        <f>BASE!N5</f>
        <v>0.0</v>
      </c>
      <c r="O6" s="20">
        <f>BASE!O5</f>
        <v>0.0</v>
      </c>
      <c r="P6" s="20">
        <f>BASE!P5</f>
        <v>0.0</v>
      </c>
      <c r="Q6" s="20">
        <f>BASE!Q5</f>
        <v>0.0</v>
      </c>
      <c r="R6" s="20">
        <f>BASE!R5</f>
        <v>0.0</v>
      </c>
      <c r="S6" s="20">
        <f>BASE!S5</f>
        <v>0.0</v>
      </c>
      <c r="T6" s="20">
        <f>BASE!T5</f>
        <v>0.0</v>
      </c>
      <c r="U6" s="20">
        <f>BASE!U5</f>
        <v>0.0</v>
      </c>
      <c r="V6" s="20">
        <f>BASE!V5</f>
        <v>0.0</v>
      </c>
      <c r="W6" s="20">
        <f>BASE!W5</f>
        <v>0.0</v>
      </c>
      <c r="X6" s="20">
        <f>BASE!X5</f>
        <v>0.0</v>
      </c>
      <c r="Y6" s="20">
        <f>BASE!Y5</f>
        <v>0.0</v>
      </c>
      <c r="Z6" s="20">
        <f>BASE!Z5</f>
        <v>0.0</v>
      </c>
      <c r="AA6" s="20">
        <f>BASE!AA5</f>
        <v>0.0</v>
      </c>
      <c r="AB6" s="20">
        <f>BASE!AB5</f>
        <v>0.0</v>
      </c>
      <c r="AC6" s="20">
        <f>BASE!AC5</f>
        <v>0.0</v>
      </c>
      <c r="AD6" s="20">
        <f>BASE!AD5</f>
        <v>0.0</v>
      </c>
      <c r="AE6" s="20">
        <f>BASE!AE5</f>
        <v>0.0</v>
      </c>
      <c r="AF6" s="20">
        <f>BASE!AF5</f>
        <v>0.0</v>
      </c>
      <c r="AG6" s="20">
        <f>BASE!AG5</f>
        <v>0.0</v>
      </c>
      <c r="AH6" s="20">
        <f>BASE!AH5</f>
        <v>0.0</v>
      </c>
      <c r="AI6" s="20">
        <f>BASE!AI5</f>
        <v>0.0</v>
      </c>
      <c r="AJ6" s="20">
        <f>BASE!AJ5</f>
        <v>0.0</v>
      </c>
      <c r="AK6" s="20">
        <f>BASE!AK5</f>
        <v>0.0</v>
      </c>
      <c r="AL6" s="20">
        <f>BASE!AL5</f>
        <v>0.0</v>
      </c>
      <c r="AM6" s="20">
        <f>BASE!AM5</f>
        <v>0.0</v>
      </c>
      <c r="AN6" s="20">
        <f>BASE!AN5</f>
        <v>0.0</v>
      </c>
      <c r="AO6" s="20">
        <f>BASE!AO5</f>
        <v>0.0</v>
      </c>
      <c r="AP6" s="20">
        <f>BASE!AP5</f>
        <v>0.0</v>
      </c>
      <c r="AQ6" s="20">
        <f>BASE!AQ5</f>
        <v>0.0</v>
      </c>
      <c r="AR6" s="20">
        <f>BASE!AR5</f>
        <v>0.0</v>
      </c>
      <c r="AS6" s="20">
        <f>BASE!AS5</f>
        <v>0.0</v>
      </c>
      <c r="AT6" s="20">
        <f>BASE!AT5</f>
        <v>0.0</v>
      </c>
      <c r="AU6" s="20">
        <f>BASE!AU5</f>
        <v>0.0</v>
      </c>
      <c r="AV6" s="20">
        <f>BASE!AV5</f>
        <v>0.0</v>
      </c>
      <c r="AW6" s="20">
        <f>BASE!AW5</f>
        <v>0.0</v>
      </c>
      <c r="AX6" s="20">
        <f>BASE!AX5</f>
        <v>0.0</v>
      </c>
      <c r="AY6" s="20">
        <f>BASE!AY5</f>
        <v>0.0</v>
      </c>
      <c r="AZ6" s="20">
        <f>BASE!AZ5</f>
        <v>0.0</v>
      </c>
      <c r="BA6" s="20">
        <f>BASE!BA5</f>
        <v>0.0</v>
      </c>
      <c r="BB6" s="20">
        <f>BASE!BB5</f>
        <v>0.0</v>
      </c>
      <c r="BC6" s="20">
        <f>BASE!BC5</f>
        <v>0.0</v>
      </c>
      <c r="BD6" s="20">
        <f>BASE!BD5</f>
        <v>0.0</v>
      </c>
      <c r="BE6" s="20">
        <f>BASE!BE5</f>
        <v>0.0</v>
      </c>
      <c r="BF6" s="20">
        <f>BASE!BF5</f>
        <v>0.0</v>
      </c>
      <c r="BG6" s="20">
        <f>BASE!BG5</f>
        <v>0.0</v>
      </c>
      <c r="BH6" s="20">
        <f>BASE!BH5</f>
        <v>0.0</v>
      </c>
      <c r="BI6" s="20">
        <f>BASE!BI5</f>
        <v>0.0</v>
      </c>
      <c r="BJ6" s="20">
        <f>BASE!BJ5</f>
        <v>0.0</v>
      </c>
      <c r="BK6" s="20">
        <f>BASE!BK5</f>
        <v>0.0</v>
      </c>
      <c r="BL6" s="20">
        <f>BASE!BL5</f>
        <v>0.0</v>
      </c>
    </row>
    <row r="7">
      <c r="A7" s="6" t="inlineStr">
        <is>
          <t>L02</t>
        </is>
      </c>
      <c r="B7" s="6" t="inlineStr">
        <is>
          <t>Movimento de terra, manipulador e transporte vertical leve</t>
        </is>
      </c>
      <c r="C7" s="19">
        <f>SUM(D7:BL7)</f>
        <v>0.0</v>
      </c>
      <c r="D7" s="20">
        <f>BASE!D6</f>
        <v>0.0</v>
      </c>
      <c r="E7" s="20">
        <f>BASE!E6</f>
        <v>0.0</v>
      </c>
      <c r="F7" s="20">
        <f>BASE!F6</f>
        <v>0.0</v>
      </c>
      <c r="G7" s="20">
        <f>BASE!G6</f>
        <v>0.0</v>
      </c>
      <c r="H7" s="20">
        <f>BASE!H6</f>
        <v>0.0</v>
      </c>
      <c r="I7" s="20">
        <f>BASE!I6</f>
        <v>0.0</v>
      </c>
      <c r="J7" s="20">
        <f>BASE!J6</f>
        <v>0.0</v>
      </c>
      <c r="K7" s="20">
        <f>BASE!K6</f>
        <v>0.0</v>
      </c>
      <c r="L7" s="20">
        <f>BASE!L6</f>
        <v>0.0</v>
      </c>
      <c r="M7" s="20">
        <f>BASE!M6</f>
        <v>0.0</v>
      </c>
      <c r="N7" s="20">
        <f>BASE!N6</f>
        <v>0.0</v>
      </c>
      <c r="O7" s="20">
        <f>BASE!O6</f>
        <v>0.0</v>
      </c>
      <c r="P7" s="20">
        <f>BASE!P6</f>
        <v>0.0</v>
      </c>
      <c r="Q7" s="20">
        <f>BASE!Q6</f>
        <v>0.0</v>
      </c>
      <c r="R7" s="20">
        <f>BASE!R6</f>
        <v>0.0</v>
      </c>
      <c r="S7" s="20">
        <f>BASE!S6</f>
        <v>0.0</v>
      </c>
      <c r="T7" s="20">
        <f>BASE!T6</f>
        <v>0.0</v>
      </c>
      <c r="U7" s="20">
        <f>BASE!U6</f>
        <v>0.0</v>
      </c>
      <c r="V7" s="20">
        <f>BASE!V6</f>
        <v>0.0</v>
      </c>
      <c r="W7" s="20">
        <f>BASE!W6</f>
        <v>0.0</v>
      </c>
      <c r="X7" s="20">
        <f>BASE!X6</f>
        <v>0.0</v>
      </c>
      <c r="Y7" s="20">
        <f>BASE!Y6</f>
        <v>0.0</v>
      </c>
      <c r="Z7" s="20">
        <f>BASE!Z6</f>
        <v>0.0</v>
      </c>
      <c r="AA7" s="20">
        <f>BASE!AA6</f>
        <v>0.0</v>
      </c>
      <c r="AB7" s="20">
        <f>BASE!AB6</f>
        <v>0.0</v>
      </c>
      <c r="AC7" s="20">
        <f>BASE!AC6</f>
        <v>0.0</v>
      </c>
      <c r="AD7" s="20">
        <f>BASE!AD6</f>
        <v>0.0</v>
      </c>
      <c r="AE7" s="20">
        <f>BASE!AE6</f>
        <v>0.0</v>
      </c>
      <c r="AF7" s="20">
        <f>BASE!AF6</f>
        <v>0.0</v>
      </c>
      <c r="AG7" s="20">
        <f>BASE!AG6</f>
        <v>0.0</v>
      </c>
      <c r="AH7" s="20">
        <f>BASE!AH6</f>
        <v>0.0</v>
      </c>
      <c r="AI7" s="20">
        <f>BASE!AI6</f>
        <v>0.0</v>
      </c>
      <c r="AJ7" s="20">
        <f>BASE!AJ6</f>
        <v>0.0</v>
      </c>
      <c r="AK7" s="20">
        <f>BASE!AK6</f>
        <v>0.0</v>
      </c>
      <c r="AL7" s="20">
        <f>BASE!AL6</f>
        <v>0.0</v>
      </c>
      <c r="AM7" s="20">
        <f>BASE!AM6</f>
        <v>0.0</v>
      </c>
      <c r="AN7" s="20">
        <f>BASE!AN6</f>
        <v>0.0</v>
      </c>
      <c r="AO7" s="20">
        <f>BASE!AO6</f>
        <v>0.0</v>
      </c>
      <c r="AP7" s="20">
        <f>BASE!AP6</f>
        <v>0.0</v>
      </c>
      <c r="AQ7" s="20">
        <f>BASE!AQ6</f>
        <v>0.0</v>
      </c>
      <c r="AR7" s="20">
        <f>BASE!AR6</f>
        <v>0.0</v>
      </c>
      <c r="AS7" s="20">
        <f>BASE!AS6</f>
        <v>0.0</v>
      </c>
      <c r="AT7" s="20">
        <f>BASE!AT6</f>
        <v>0.0</v>
      </c>
      <c r="AU7" s="20">
        <f>BASE!AU6</f>
        <v>0.0</v>
      </c>
      <c r="AV7" s="20">
        <f>BASE!AV6</f>
        <v>0.0</v>
      </c>
      <c r="AW7" s="20">
        <f>BASE!AW6</f>
        <v>0.0</v>
      </c>
      <c r="AX7" s="20">
        <f>BASE!AX6</f>
        <v>0.0</v>
      </c>
      <c r="AY7" s="20">
        <f>BASE!AY6</f>
        <v>0.0</v>
      </c>
      <c r="AZ7" s="20">
        <f>BASE!AZ6</f>
        <v>0.0</v>
      </c>
      <c r="BA7" s="20">
        <f>BASE!BA6</f>
        <v>0.0</v>
      </c>
      <c r="BB7" s="20">
        <f>BASE!BB6</f>
        <v>0.0</v>
      </c>
      <c r="BC7" s="20">
        <f>BASE!BC6</f>
        <v>0.0</v>
      </c>
      <c r="BD7" s="20">
        <f>BASE!BD6</f>
        <v>0.0</v>
      </c>
      <c r="BE7" s="20">
        <f>BASE!BE6</f>
        <v>0.0</v>
      </c>
      <c r="BF7" s="20">
        <f>BASE!BF6</f>
        <v>0.0</v>
      </c>
      <c r="BG7" s="20">
        <f>BASE!BG6</f>
        <v>0.0</v>
      </c>
      <c r="BH7" s="20">
        <f>BASE!BH6</f>
        <v>0.0</v>
      </c>
      <c r="BI7" s="20">
        <f>BASE!BI6</f>
        <v>0.0</v>
      </c>
      <c r="BJ7" s="20">
        <f>BASE!BJ6</f>
        <v>0.0</v>
      </c>
      <c r="BK7" s="20">
        <f>BASE!BK6</f>
        <v>0.0</v>
      </c>
      <c r="BL7" s="20">
        <f>BASE!BL6</f>
        <v>0.0</v>
      </c>
    </row>
    <row r="8">
      <c r="A8" s="6" t="inlineStr">
        <is>
          <t>L03</t>
        </is>
      </c>
      <c r="B8" s="6" t="inlineStr">
        <is>
          <t>Equipamentos de produção civil e locações</t>
        </is>
      </c>
      <c r="C8" s="19">
        <f>SUM(D8:BL8)</f>
        <v>0.0</v>
      </c>
      <c r="D8" s="20">
        <f>BASE!D7</f>
        <v>0.0</v>
      </c>
      <c r="E8" s="20">
        <f>BASE!E7</f>
        <v>0.0</v>
      </c>
      <c r="F8" s="20">
        <f>BASE!F7</f>
        <v>0.0</v>
      </c>
      <c r="G8" s="20">
        <f>BASE!G7</f>
        <v>0.0</v>
      </c>
      <c r="H8" s="20">
        <f>BASE!H7</f>
        <v>0.0</v>
      </c>
      <c r="I8" s="20">
        <f>BASE!I7</f>
        <v>0.0</v>
      </c>
      <c r="J8" s="20">
        <f>BASE!J7</f>
        <v>0.0</v>
      </c>
      <c r="K8" s="20">
        <f>BASE!K7</f>
        <v>0.0</v>
      </c>
      <c r="L8" s="20">
        <f>BASE!L7</f>
        <v>0.0</v>
      </c>
      <c r="M8" s="20">
        <f>BASE!M7</f>
        <v>0.0</v>
      </c>
      <c r="N8" s="20">
        <f>BASE!N7</f>
        <v>0.0</v>
      </c>
      <c r="O8" s="20">
        <f>BASE!O7</f>
        <v>0.0</v>
      </c>
      <c r="P8" s="20">
        <f>BASE!P7</f>
        <v>0.0</v>
      </c>
      <c r="Q8" s="20">
        <f>BASE!Q7</f>
        <v>0.0</v>
      </c>
      <c r="R8" s="20">
        <f>BASE!R7</f>
        <v>0.0</v>
      </c>
      <c r="S8" s="20">
        <f>BASE!S7</f>
        <v>0.0</v>
      </c>
      <c r="T8" s="20">
        <f>BASE!T7</f>
        <v>0.0</v>
      </c>
      <c r="U8" s="20">
        <f>BASE!U7</f>
        <v>0.0</v>
      </c>
      <c r="V8" s="20">
        <f>BASE!V7</f>
        <v>0.0</v>
      </c>
      <c r="W8" s="20">
        <f>BASE!W7</f>
        <v>0.0</v>
      </c>
      <c r="X8" s="20">
        <f>BASE!X7</f>
        <v>0.0</v>
      </c>
      <c r="Y8" s="20">
        <f>BASE!Y7</f>
        <v>0.0</v>
      </c>
      <c r="Z8" s="20">
        <f>BASE!Z7</f>
        <v>0.0</v>
      </c>
      <c r="AA8" s="20">
        <f>BASE!AA7</f>
        <v>0.0</v>
      </c>
      <c r="AB8" s="20">
        <f>BASE!AB7</f>
        <v>0.0</v>
      </c>
      <c r="AC8" s="20">
        <f>BASE!AC7</f>
        <v>0.0</v>
      </c>
      <c r="AD8" s="20">
        <f>BASE!AD7</f>
        <v>0.0</v>
      </c>
      <c r="AE8" s="20">
        <f>BASE!AE7</f>
        <v>0.0</v>
      </c>
      <c r="AF8" s="20">
        <f>BASE!AF7</f>
        <v>0.0</v>
      </c>
      <c r="AG8" s="20">
        <f>BASE!AG7</f>
        <v>0.0</v>
      </c>
      <c r="AH8" s="20">
        <f>BASE!AH7</f>
        <v>0.0</v>
      </c>
      <c r="AI8" s="20">
        <f>BASE!AI7</f>
        <v>0.0</v>
      </c>
      <c r="AJ8" s="20">
        <f>BASE!AJ7</f>
        <v>0.0</v>
      </c>
      <c r="AK8" s="20">
        <f>BASE!AK7</f>
        <v>0.0</v>
      </c>
      <c r="AL8" s="20">
        <f>BASE!AL7</f>
        <v>0.0</v>
      </c>
      <c r="AM8" s="20">
        <f>BASE!AM7</f>
        <v>0.0</v>
      </c>
      <c r="AN8" s="20">
        <f>BASE!AN7</f>
        <v>0.0</v>
      </c>
      <c r="AO8" s="20">
        <f>BASE!AO7</f>
        <v>0.0</v>
      </c>
      <c r="AP8" s="20">
        <f>BASE!AP7</f>
        <v>0.0</v>
      </c>
      <c r="AQ8" s="20">
        <f>BASE!AQ7</f>
        <v>0.0</v>
      </c>
      <c r="AR8" s="20">
        <f>BASE!AR7</f>
        <v>0.0</v>
      </c>
      <c r="AS8" s="20">
        <f>BASE!AS7</f>
        <v>0.0</v>
      </c>
      <c r="AT8" s="20">
        <f>BASE!AT7</f>
        <v>0.0</v>
      </c>
      <c r="AU8" s="20">
        <f>BASE!AU7</f>
        <v>0.0</v>
      </c>
      <c r="AV8" s="20">
        <f>BASE!AV7</f>
        <v>0.0</v>
      </c>
      <c r="AW8" s="20">
        <f>BASE!AW7</f>
        <v>0.0</v>
      </c>
      <c r="AX8" s="20">
        <f>BASE!AX7</f>
        <v>0.0</v>
      </c>
      <c r="AY8" s="20">
        <f>BASE!AY7</f>
        <v>0.0</v>
      </c>
      <c r="AZ8" s="20">
        <f>BASE!AZ7</f>
        <v>0.0</v>
      </c>
      <c r="BA8" s="20">
        <f>BASE!BA7</f>
        <v>0.0</v>
      </c>
      <c r="BB8" s="20">
        <f>BASE!BB7</f>
        <v>0.0</v>
      </c>
      <c r="BC8" s="20">
        <f>BASE!BC7</f>
        <v>0.0</v>
      </c>
      <c r="BD8" s="20">
        <f>BASE!BD7</f>
        <v>0.0</v>
      </c>
      <c r="BE8" s="20">
        <f>BASE!BE7</f>
        <v>0.0</v>
      </c>
      <c r="BF8" s="20">
        <f>BASE!BF7</f>
        <v>0.0</v>
      </c>
      <c r="BG8" s="20">
        <f>BASE!BG7</f>
        <v>0.0</v>
      </c>
      <c r="BH8" s="20">
        <f>BASE!BH7</f>
        <v>0.0</v>
      </c>
      <c r="BI8" s="20">
        <f>BASE!BI7</f>
        <v>0.0</v>
      </c>
      <c r="BJ8" s="20">
        <f>BASE!BJ7</f>
        <v>0.0</v>
      </c>
      <c r="BK8" s="20">
        <f>BASE!BK7</f>
        <v>0.0</v>
      </c>
      <c r="BL8" s="20">
        <f>BASE!BL7</f>
        <v>0.0</v>
      </c>
    </row>
    <row r="9">
      <c r="A9" s="6" t="inlineStr">
        <is>
          <t>L04</t>
        </is>
      </c>
      <c r="B9" s="6" t="inlineStr">
        <is>
          <t>Bandejas de proteção</t>
        </is>
      </c>
      <c r="C9" s="19">
        <f>SUM(D9:BL9)</f>
        <v>0.0</v>
      </c>
      <c r="D9" s="20">
        <f>BASE!D8</f>
        <v>0.0</v>
      </c>
      <c r="E9" s="20">
        <f>BASE!E8</f>
        <v>0.0</v>
      </c>
      <c r="F9" s="20">
        <f>BASE!F8</f>
        <v>0.0</v>
      </c>
      <c r="G9" s="20">
        <f>BASE!G8</f>
        <v>0.0</v>
      </c>
      <c r="H9" s="20">
        <f>BASE!H8</f>
        <v>0.0</v>
      </c>
      <c r="I9" s="20">
        <f>BASE!I8</f>
        <v>0.0</v>
      </c>
      <c r="J9" s="20">
        <f>BASE!J8</f>
        <v>0.0</v>
      </c>
      <c r="K9" s="20">
        <f>BASE!K8</f>
        <v>0.0</v>
      </c>
      <c r="L9" s="20">
        <f>BASE!L8</f>
        <v>0.0</v>
      </c>
      <c r="M9" s="20">
        <f>BASE!M8</f>
        <v>0.0</v>
      </c>
      <c r="N9" s="20">
        <f>BASE!N8</f>
        <v>0.0</v>
      </c>
      <c r="O9" s="20">
        <f>BASE!O8</f>
        <v>0.0</v>
      </c>
      <c r="P9" s="20">
        <f>BASE!P8</f>
        <v>0.0</v>
      </c>
      <c r="Q9" s="20">
        <f>BASE!Q8</f>
        <v>0.0</v>
      </c>
      <c r="R9" s="20">
        <f>BASE!R8</f>
        <v>0.0</v>
      </c>
      <c r="S9" s="20">
        <f>BASE!S8</f>
        <v>0.0</v>
      </c>
      <c r="T9" s="20">
        <f>BASE!T8</f>
        <v>0.0</v>
      </c>
      <c r="U9" s="20">
        <f>BASE!U8</f>
        <v>0.0</v>
      </c>
      <c r="V9" s="20">
        <f>BASE!V8</f>
        <v>0.0</v>
      </c>
      <c r="W9" s="20">
        <f>BASE!W8</f>
        <v>0.0</v>
      </c>
      <c r="X9" s="20">
        <f>BASE!X8</f>
        <v>0.0</v>
      </c>
      <c r="Y9" s="20">
        <f>BASE!Y8</f>
        <v>0.0</v>
      </c>
      <c r="Z9" s="20">
        <f>BASE!Z8</f>
        <v>0.0</v>
      </c>
      <c r="AA9" s="20">
        <f>BASE!AA8</f>
        <v>0.0</v>
      </c>
      <c r="AB9" s="20">
        <f>BASE!AB8</f>
        <v>0.0</v>
      </c>
      <c r="AC9" s="20">
        <f>BASE!AC8</f>
        <v>0.0</v>
      </c>
      <c r="AD9" s="20">
        <f>BASE!AD8</f>
        <v>0.0</v>
      </c>
      <c r="AE9" s="20">
        <f>BASE!AE8</f>
        <v>0.0</v>
      </c>
      <c r="AF9" s="20">
        <f>BASE!AF8</f>
        <v>0.0</v>
      </c>
      <c r="AG9" s="20">
        <f>BASE!AG8</f>
        <v>0.0</v>
      </c>
      <c r="AH9" s="20">
        <f>BASE!AH8</f>
        <v>0.0</v>
      </c>
      <c r="AI9" s="20">
        <f>BASE!AI8</f>
        <v>0.0</v>
      </c>
      <c r="AJ9" s="20">
        <f>BASE!AJ8</f>
        <v>0.0</v>
      </c>
      <c r="AK9" s="20">
        <f>BASE!AK8</f>
        <v>0.0</v>
      </c>
      <c r="AL9" s="20">
        <f>BASE!AL8</f>
        <v>0.0</v>
      </c>
      <c r="AM9" s="20">
        <f>BASE!AM8</f>
        <v>0.0</v>
      </c>
      <c r="AN9" s="20">
        <f>BASE!AN8</f>
        <v>0.0</v>
      </c>
      <c r="AO9" s="20">
        <f>BASE!AO8</f>
        <v>0.0</v>
      </c>
      <c r="AP9" s="20">
        <f>BASE!AP8</f>
        <v>0.0</v>
      </c>
      <c r="AQ9" s="20">
        <f>BASE!AQ8</f>
        <v>0.0</v>
      </c>
      <c r="AR9" s="20">
        <f>BASE!AR8</f>
        <v>0.0</v>
      </c>
      <c r="AS9" s="20">
        <f>BASE!AS8</f>
        <v>0.0</v>
      </c>
      <c r="AT9" s="20">
        <f>BASE!AT8</f>
        <v>0.0</v>
      </c>
      <c r="AU9" s="20">
        <f>BASE!AU8</f>
        <v>0.0</v>
      </c>
      <c r="AV9" s="20">
        <f>BASE!AV8</f>
        <v>0.0</v>
      </c>
      <c r="AW9" s="20">
        <f>BASE!AW8</f>
        <v>0.0</v>
      </c>
      <c r="AX9" s="20">
        <f>BASE!AX8</f>
        <v>0.0</v>
      </c>
      <c r="AY9" s="20">
        <f>BASE!AY8</f>
        <v>0.0</v>
      </c>
      <c r="AZ9" s="20">
        <f>BASE!AZ8</f>
        <v>0.0</v>
      </c>
      <c r="BA9" s="20">
        <f>BASE!BA8</f>
        <v>0.0</v>
      </c>
      <c r="BB9" s="20">
        <f>BASE!BB8</f>
        <v>0.0</v>
      </c>
      <c r="BC9" s="20">
        <f>BASE!BC8</f>
        <v>0.0</v>
      </c>
      <c r="BD9" s="20">
        <f>BASE!BD8</f>
        <v>0.0</v>
      </c>
      <c r="BE9" s="20">
        <f>BASE!BE8</f>
        <v>0.0</v>
      </c>
      <c r="BF9" s="20">
        <f>BASE!BF8</f>
        <v>0.0</v>
      </c>
      <c r="BG9" s="20">
        <f>BASE!BG8</f>
        <v>0.0</v>
      </c>
      <c r="BH9" s="20">
        <f>BASE!BH8</f>
        <v>0.0</v>
      </c>
      <c r="BI9" s="20">
        <f>BASE!BI8</f>
        <v>0.0</v>
      </c>
      <c r="BJ9" s="20">
        <f>BASE!BJ8</f>
        <v>0.0</v>
      </c>
      <c r="BK9" s="20">
        <f>BASE!BK8</f>
        <v>0.0</v>
      </c>
      <c r="BL9" s="20">
        <f>BASE!BL8</f>
        <v>0.0</v>
      </c>
    </row>
    <row r="10">
      <c r="A10" s="6" t="inlineStr">
        <is>
          <t>L05</t>
        </is>
      </c>
      <c r="B10" s="6" t="inlineStr">
        <is>
          <t>Elevador cremalheira</t>
        </is>
      </c>
      <c r="C10" s="19">
        <f>SUM(D10:BL10)</f>
        <v>0.0</v>
      </c>
      <c r="D10" s="20">
        <f>BASE!D9</f>
        <v>0.0</v>
      </c>
      <c r="E10" s="20">
        <f>BASE!E9</f>
        <v>0.0</v>
      </c>
      <c r="F10" s="20">
        <f>BASE!F9</f>
        <v>0.0</v>
      </c>
      <c r="G10" s="20">
        <f>BASE!G9</f>
        <v>0.0</v>
      </c>
      <c r="H10" s="20">
        <f>BASE!H9</f>
        <v>0.0</v>
      </c>
      <c r="I10" s="20">
        <f>BASE!I9</f>
        <v>0.0</v>
      </c>
      <c r="J10" s="20">
        <f>BASE!J9</f>
        <v>0.0</v>
      </c>
      <c r="K10" s="20">
        <f>BASE!K9</f>
        <v>0.0</v>
      </c>
      <c r="L10" s="20">
        <f>BASE!L9</f>
        <v>0.0</v>
      </c>
      <c r="M10" s="20">
        <f>BASE!M9</f>
        <v>0.0</v>
      </c>
      <c r="N10" s="20">
        <f>BASE!N9</f>
        <v>0.0</v>
      </c>
      <c r="O10" s="20">
        <f>BASE!O9</f>
        <v>0.0</v>
      </c>
      <c r="P10" s="20">
        <f>BASE!P9</f>
        <v>0.0</v>
      </c>
      <c r="Q10" s="20">
        <f>BASE!Q9</f>
        <v>0.0</v>
      </c>
      <c r="R10" s="20">
        <f>BASE!R9</f>
        <v>0.0</v>
      </c>
      <c r="S10" s="20">
        <f>BASE!S9</f>
        <v>0.0</v>
      </c>
      <c r="T10" s="20">
        <f>BASE!T9</f>
        <v>0.0</v>
      </c>
      <c r="U10" s="20">
        <f>BASE!U9</f>
        <v>0.0</v>
      </c>
      <c r="V10" s="20">
        <f>BASE!V9</f>
        <v>0.0</v>
      </c>
      <c r="W10" s="20">
        <f>BASE!W9</f>
        <v>0.0</v>
      </c>
      <c r="X10" s="20">
        <f>BASE!X9</f>
        <v>0.0</v>
      </c>
      <c r="Y10" s="20">
        <f>BASE!Y9</f>
        <v>0.0</v>
      </c>
      <c r="Z10" s="20">
        <f>BASE!Z9</f>
        <v>0.0</v>
      </c>
      <c r="AA10" s="20">
        <f>BASE!AA9</f>
        <v>0.0</v>
      </c>
      <c r="AB10" s="20">
        <f>BASE!AB9</f>
        <v>0.0</v>
      </c>
      <c r="AC10" s="20">
        <f>BASE!AC9</f>
        <v>0.0</v>
      </c>
      <c r="AD10" s="20">
        <f>BASE!AD9</f>
        <v>0.0</v>
      </c>
      <c r="AE10" s="20">
        <f>BASE!AE9</f>
        <v>0.0</v>
      </c>
      <c r="AF10" s="20">
        <f>BASE!AF9</f>
        <v>0.0</v>
      </c>
      <c r="AG10" s="20">
        <f>BASE!AG9</f>
        <v>0.0</v>
      </c>
      <c r="AH10" s="20">
        <f>BASE!AH9</f>
        <v>0.0</v>
      </c>
      <c r="AI10" s="20">
        <f>BASE!AI9</f>
        <v>0.0</v>
      </c>
      <c r="AJ10" s="20">
        <f>BASE!AJ9</f>
        <v>0.0</v>
      </c>
      <c r="AK10" s="20">
        <f>BASE!AK9</f>
        <v>0.0</v>
      </c>
      <c r="AL10" s="20">
        <f>BASE!AL9</f>
        <v>0.0</v>
      </c>
      <c r="AM10" s="20">
        <f>BASE!AM9</f>
        <v>0.0</v>
      </c>
      <c r="AN10" s="20">
        <f>BASE!AN9</f>
        <v>0.0</v>
      </c>
      <c r="AO10" s="20">
        <f>BASE!AO9</f>
        <v>0.0</v>
      </c>
      <c r="AP10" s="20">
        <f>BASE!AP9</f>
        <v>0.0</v>
      </c>
      <c r="AQ10" s="20">
        <f>BASE!AQ9</f>
        <v>0.0</v>
      </c>
      <c r="AR10" s="20">
        <f>BASE!AR9</f>
        <v>0.0</v>
      </c>
      <c r="AS10" s="20">
        <f>BASE!AS9</f>
        <v>0.0</v>
      </c>
      <c r="AT10" s="20">
        <f>BASE!AT9</f>
        <v>0.0</v>
      </c>
      <c r="AU10" s="20">
        <f>BASE!AU9</f>
        <v>0.0</v>
      </c>
      <c r="AV10" s="20">
        <f>BASE!AV9</f>
        <v>0.0</v>
      </c>
      <c r="AW10" s="20">
        <f>BASE!AW9</f>
        <v>0.0</v>
      </c>
      <c r="AX10" s="20">
        <f>BASE!AX9</f>
        <v>0.0</v>
      </c>
      <c r="AY10" s="20">
        <f>BASE!AY9</f>
        <v>0.0</v>
      </c>
      <c r="AZ10" s="20">
        <f>BASE!AZ9</f>
        <v>0.0</v>
      </c>
      <c r="BA10" s="20">
        <f>BASE!BA9</f>
        <v>0.0</v>
      </c>
      <c r="BB10" s="20">
        <f>BASE!BB9</f>
        <v>0.0</v>
      </c>
      <c r="BC10" s="20">
        <f>BASE!BC9</f>
        <v>0.0</v>
      </c>
      <c r="BD10" s="20">
        <f>BASE!BD9</f>
        <v>0.0</v>
      </c>
      <c r="BE10" s="20">
        <f>BASE!BE9</f>
        <v>0.0</v>
      </c>
      <c r="BF10" s="20">
        <f>BASE!BF9</f>
        <v>0.0</v>
      </c>
      <c r="BG10" s="20">
        <f>BASE!BG9</f>
        <v>0.0</v>
      </c>
      <c r="BH10" s="20">
        <f>BASE!BH9</f>
        <v>0.0</v>
      </c>
      <c r="BI10" s="20">
        <f>BASE!BI9</f>
        <v>0.0</v>
      </c>
      <c r="BJ10" s="20">
        <f>BASE!BJ9</f>
        <v>0.0</v>
      </c>
      <c r="BK10" s="20">
        <f>BASE!BK9</f>
        <v>0.0</v>
      </c>
      <c r="BL10" s="20">
        <f>BASE!BL9</f>
        <v>0.0</v>
      </c>
    </row>
    <row r="11">
      <c r="A11" s="6" t="inlineStr">
        <is>
          <t>L06</t>
        </is>
      </c>
      <c r="B11" s="6" t="inlineStr">
        <is>
          <t>Grua</t>
        </is>
      </c>
      <c r="C11" s="19">
        <f>SUM(D11:BL11)</f>
        <v>0.0</v>
      </c>
      <c r="D11" s="20">
        <f>BASE!D10</f>
        <v>0.0</v>
      </c>
      <c r="E11" s="20">
        <f>BASE!E10</f>
        <v>0.0</v>
      </c>
      <c r="F11" s="20">
        <f>BASE!F10</f>
        <v>0.0</v>
      </c>
      <c r="G11" s="20">
        <f>BASE!G10</f>
        <v>0.0</v>
      </c>
      <c r="H11" s="20">
        <f>BASE!H10</f>
        <v>0.0</v>
      </c>
      <c r="I11" s="20">
        <f>BASE!I10</f>
        <v>0.0</v>
      </c>
      <c r="J11" s="20">
        <f>BASE!J10</f>
        <v>0.0</v>
      </c>
      <c r="K11" s="20">
        <f>BASE!K10</f>
        <v>0.0</v>
      </c>
      <c r="L11" s="20">
        <f>BASE!L10</f>
        <v>0.0</v>
      </c>
      <c r="M11" s="20">
        <f>BASE!M10</f>
        <v>0.0</v>
      </c>
      <c r="N11" s="20">
        <f>BASE!N10</f>
        <v>0.0</v>
      </c>
      <c r="O11" s="20">
        <f>BASE!O10</f>
        <v>0.0</v>
      </c>
      <c r="P11" s="20">
        <f>BASE!P10</f>
        <v>0.0</v>
      </c>
      <c r="Q11" s="20">
        <f>BASE!Q10</f>
        <v>0.0</v>
      </c>
      <c r="R11" s="20">
        <f>BASE!R10</f>
        <v>0.0</v>
      </c>
      <c r="S11" s="20">
        <f>BASE!S10</f>
        <v>0.0</v>
      </c>
      <c r="T11" s="20">
        <f>BASE!T10</f>
        <v>0.0</v>
      </c>
      <c r="U11" s="20">
        <f>BASE!U10</f>
        <v>0.0</v>
      </c>
      <c r="V11" s="20">
        <f>BASE!V10</f>
        <v>0.0</v>
      </c>
      <c r="W11" s="20">
        <f>BASE!W10</f>
        <v>0.0</v>
      </c>
      <c r="X11" s="20">
        <f>BASE!X10</f>
        <v>0.0</v>
      </c>
      <c r="Y11" s="20">
        <f>BASE!Y10</f>
        <v>0.0</v>
      </c>
      <c r="Z11" s="20">
        <f>BASE!Z10</f>
        <v>0.0</v>
      </c>
      <c r="AA11" s="20">
        <f>BASE!AA10</f>
        <v>0.0</v>
      </c>
      <c r="AB11" s="20">
        <f>BASE!AB10</f>
        <v>0.0</v>
      </c>
      <c r="AC11" s="20">
        <f>BASE!AC10</f>
        <v>0.0</v>
      </c>
      <c r="AD11" s="20">
        <f>BASE!AD10</f>
        <v>0.0</v>
      </c>
      <c r="AE11" s="20">
        <f>BASE!AE10</f>
        <v>0.0</v>
      </c>
      <c r="AF11" s="20">
        <f>BASE!AF10</f>
        <v>0.0</v>
      </c>
      <c r="AG11" s="20">
        <f>BASE!AG10</f>
        <v>0.0</v>
      </c>
      <c r="AH11" s="20">
        <f>BASE!AH10</f>
        <v>0.0</v>
      </c>
      <c r="AI11" s="20">
        <f>BASE!AI10</f>
        <v>0.0</v>
      </c>
      <c r="AJ11" s="20">
        <f>BASE!AJ10</f>
        <v>0.0</v>
      </c>
      <c r="AK11" s="20">
        <f>BASE!AK10</f>
        <v>0.0</v>
      </c>
      <c r="AL11" s="20">
        <f>BASE!AL10</f>
        <v>0.0</v>
      </c>
      <c r="AM11" s="20">
        <f>BASE!AM10</f>
        <v>0.0</v>
      </c>
      <c r="AN11" s="20">
        <f>BASE!AN10</f>
        <v>0.0</v>
      </c>
      <c r="AO11" s="20">
        <f>BASE!AO10</f>
        <v>0.0</v>
      </c>
      <c r="AP11" s="20">
        <f>BASE!AP10</f>
        <v>0.0</v>
      </c>
      <c r="AQ11" s="20">
        <f>BASE!AQ10</f>
        <v>0.0</v>
      </c>
      <c r="AR11" s="20">
        <f>BASE!AR10</f>
        <v>0.0</v>
      </c>
      <c r="AS11" s="20">
        <f>BASE!AS10</f>
        <v>0.0</v>
      </c>
      <c r="AT11" s="20">
        <f>BASE!AT10</f>
        <v>0.0</v>
      </c>
      <c r="AU11" s="20">
        <f>BASE!AU10</f>
        <v>0.0</v>
      </c>
      <c r="AV11" s="20">
        <f>BASE!AV10</f>
        <v>0.0</v>
      </c>
      <c r="AW11" s="20">
        <f>BASE!AW10</f>
        <v>0.0</v>
      </c>
      <c r="AX11" s="20">
        <f>BASE!AX10</f>
        <v>0.0</v>
      </c>
      <c r="AY11" s="20">
        <f>BASE!AY10</f>
        <v>0.0</v>
      </c>
      <c r="AZ11" s="20">
        <f>BASE!AZ10</f>
        <v>0.0</v>
      </c>
      <c r="BA11" s="20">
        <f>BASE!BA10</f>
        <v>0.0</v>
      </c>
      <c r="BB11" s="20">
        <f>BASE!BB10</f>
        <v>0.0</v>
      </c>
      <c r="BC11" s="20">
        <f>BASE!BC10</f>
        <v>0.0</v>
      </c>
      <c r="BD11" s="20">
        <f>BASE!BD10</f>
        <v>0.0</v>
      </c>
      <c r="BE11" s="20">
        <f>BASE!BE10</f>
        <v>0.0</v>
      </c>
      <c r="BF11" s="20">
        <f>BASE!BF10</f>
        <v>0.0</v>
      </c>
      <c r="BG11" s="20">
        <f>BASE!BG10</f>
        <v>0.0</v>
      </c>
      <c r="BH11" s="20">
        <f>BASE!BH10</f>
        <v>0.0</v>
      </c>
      <c r="BI11" s="20">
        <f>BASE!BI10</f>
        <v>0.0</v>
      </c>
      <c r="BJ11" s="20">
        <f>BASE!BJ10</f>
        <v>0.0</v>
      </c>
      <c r="BK11" s="20">
        <f>BASE!BK10</f>
        <v>0.0</v>
      </c>
      <c r="BL11" s="20">
        <f>BASE!BL10</f>
        <v>0.0</v>
      </c>
    </row>
    <row r="12">
      <c r="A12" s="6" t="inlineStr">
        <is>
          <t>L07</t>
        </is>
      </c>
      <c r="B12" s="6" t="inlineStr">
        <is>
          <t>Equipamentos de fachada (andaimes, balancins)</t>
        </is>
      </c>
      <c r="C12" s="19">
        <f>SUM(D12:BL12)</f>
        <v>0.0</v>
      </c>
      <c r="D12" s="20">
        <f>BASE!D11</f>
        <v>0.0</v>
      </c>
      <c r="E12" s="20">
        <f>BASE!E11</f>
        <v>0.0</v>
      </c>
      <c r="F12" s="20">
        <f>BASE!F11</f>
        <v>0.0</v>
      </c>
      <c r="G12" s="20">
        <f>BASE!G11</f>
        <v>0.0</v>
      </c>
      <c r="H12" s="20">
        <f>BASE!H11</f>
        <v>0.0</v>
      </c>
      <c r="I12" s="20">
        <f>BASE!I11</f>
        <v>0.0</v>
      </c>
      <c r="J12" s="20">
        <f>BASE!J11</f>
        <v>0.0</v>
      </c>
      <c r="K12" s="20">
        <f>BASE!K11</f>
        <v>0.0</v>
      </c>
      <c r="L12" s="20">
        <f>BASE!L11</f>
        <v>0.0</v>
      </c>
      <c r="M12" s="20">
        <f>BASE!M11</f>
        <v>0.0</v>
      </c>
      <c r="N12" s="20">
        <f>BASE!N11</f>
        <v>0.0</v>
      </c>
      <c r="O12" s="20">
        <f>BASE!O11</f>
        <v>0.0</v>
      </c>
      <c r="P12" s="20">
        <f>BASE!P11</f>
        <v>0.0</v>
      </c>
      <c r="Q12" s="20">
        <f>BASE!Q11</f>
        <v>0.0</v>
      </c>
      <c r="R12" s="20">
        <f>BASE!R11</f>
        <v>0.0</v>
      </c>
      <c r="S12" s="20">
        <f>BASE!S11</f>
        <v>0.0</v>
      </c>
      <c r="T12" s="20">
        <f>BASE!T11</f>
        <v>0.0</v>
      </c>
      <c r="U12" s="20">
        <f>BASE!U11</f>
        <v>0.0</v>
      </c>
      <c r="V12" s="20">
        <f>BASE!V11</f>
        <v>0.0</v>
      </c>
      <c r="W12" s="20">
        <f>BASE!W11</f>
        <v>0.0</v>
      </c>
      <c r="X12" s="20">
        <f>BASE!X11</f>
        <v>0.0</v>
      </c>
      <c r="Y12" s="20">
        <f>BASE!Y11</f>
        <v>0.0</v>
      </c>
      <c r="Z12" s="20">
        <f>BASE!Z11</f>
        <v>0.0</v>
      </c>
      <c r="AA12" s="20">
        <f>BASE!AA11</f>
        <v>0.0</v>
      </c>
      <c r="AB12" s="20">
        <f>BASE!AB11</f>
        <v>0.0</v>
      </c>
      <c r="AC12" s="20">
        <f>BASE!AC11</f>
        <v>0.0</v>
      </c>
      <c r="AD12" s="20">
        <f>BASE!AD11</f>
        <v>0.0</v>
      </c>
      <c r="AE12" s="20">
        <f>BASE!AE11</f>
        <v>0.0</v>
      </c>
      <c r="AF12" s="20">
        <f>BASE!AF11</f>
        <v>0.0</v>
      </c>
      <c r="AG12" s="20">
        <f>BASE!AG11</f>
        <v>0.0</v>
      </c>
      <c r="AH12" s="20">
        <f>BASE!AH11</f>
        <v>0.0</v>
      </c>
      <c r="AI12" s="20">
        <f>BASE!AI11</f>
        <v>0.0</v>
      </c>
      <c r="AJ12" s="20">
        <f>BASE!AJ11</f>
        <v>0.0</v>
      </c>
      <c r="AK12" s="20">
        <f>BASE!AK11</f>
        <v>0.0</v>
      </c>
      <c r="AL12" s="20">
        <f>BASE!AL11</f>
        <v>0.0</v>
      </c>
      <c r="AM12" s="20">
        <f>BASE!AM11</f>
        <v>0.0</v>
      </c>
      <c r="AN12" s="20">
        <f>BASE!AN11</f>
        <v>0.0</v>
      </c>
      <c r="AO12" s="20">
        <f>BASE!AO11</f>
        <v>0.0</v>
      </c>
      <c r="AP12" s="20">
        <f>BASE!AP11</f>
        <v>0.0</v>
      </c>
      <c r="AQ12" s="20">
        <f>BASE!AQ11</f>
        <v>0.0</v>
      </c>
      <c r="AR12" s="20">
        <f>BASE!AR11</f>
        <v>0.0</v>
      </c>
      <c r="AS12" s="20">
        <f>BASE!AS11</f>
        <v>0.0</v>
      </c>
      <c r="AT12" s="20">
        <f>BASE!AT11</f>
        <v>0.0</v>
      </c>
      <c r="AU12" s="20">
        <f>BASE!AU11</f>
        <v>0.0</v>
      </c>
      <c r="AV12" s="20">
        <f>BASE!AV11</f>
        <v>0.0</v>
      </c>
      <c r="AW12" s="20">
        <f>BASE!AW11</f>
        <v>0.0</v>
      </c>
      <c r="AX12" s="20">
        <f>BASE!AX11</f>
        <v>0.0</v>
      </c>
      <c r="AY12" s="20">
        <f>BASE!AY11</f>
        <v>0.0</v>
      </c>
      <c r="AZ12" s="20">
        <f>BASE!AZ11</f>
        <v>0.0</v>
      </c>
      <c r="BA12" s="20">
        <f>BASE!BA11</f>
        <v>0.0</v>
      </c>
      <c r="BB12" s="20">
        <f>BASE!BB11</f>
        <v>0.0</v>
      </c>
      <c r="BC12" s="20">
        <f>BASE!BC11</f>
        <v>0.0</v>
      </c>
      <c r="BD12" s="20">
        <f>BASE!BD11</f>
        <v>0.0</v>
      </c>
      <c r="BE12" s="20">
        <f>BASE!BE11</f>
        <v>0.0</v>
      </c>
      <c r="BF12" s="20">
        <f>BASE!BF11</f>
        <v>0.0</v>
      </c>
      <c r="BG12" s="20">
        <f>BASE!BG11</f>
        <v>0.0</v>
      </c>
      <c r="BH12" s="20">
        <f>BASE!BH11</f>
        <v>0.0</v>
      </c>
      <c r="BI12" s="20">
        <f>BASE!BI11</f>
        <v>0.0</v>
      </c>
      <c r="BJ12" s="20">
        <f>BASE!BJ11</f>
        <v>0.0</v>
      </c>
      <c r="BK12" s="20">
        <f>BASE!BK11</f>
        <v>0.0</v>
      </c>
      <c r="BL12" s="20">
        <f>BASE!BL11</f>
        <v>0.0</v>
      </c>
    </row>
    <row r="13">
      <c r="A13" s="6" t="inlineStr">
        <is>
          <t>L08</t>
        </is>
      </c>
      <c r="B13" s="6" t="inlineStr">
        <is>
          <t>Equipamentos de proteção coletiva (telas, sinalização)</t>
        </is>
      </c>
      <c r="C13" s="19">
        <f>SUM(D13:BL13)</f>
        <v>0.0</v>
      </c>
      <c r="D13" s="20">
        <f>BASE!D12</f>
        <v>0.0</v>
      </c>
      <c r="E13" s="20">
        <f>BASE!E12</f>
        <v>0.0</v>
      </c>
      <c r="F13" s="20">
        <f>BASE!F12</f>
        <v>0.0</v>
      </c>
      <c r="G13" s="20">
        <f>BASE!G12</f>
        <v>0.0</v>
      </c>
      <c r="H13" s="20">
        <f>BASE!H12</f>
        <v>0.0</v>
      </c>
      <c r="I13" s="20">
        <f>BASE!I12</f>
        <v>0.0</v>
      </c>
      <c r="J13" s="20">
        <f>BASE!J12</f>
        <v>0.0</v>
      </c>
      <c r="K13" s="20">
        <f>BASE!K12</f>
        <v>0.0</v>
      </c>
      <c r="L13" s="20">
        <f>BASE!L12</f>
        <v>0.0</v>
      </c>
      <c r="M13" s="20">
        <f>BASE!M12</f>
        <v>0.0</v>
      </c>
      <c r="N13" s="20">
        <f>BASE!N12</f>
        <v>0.0</v>
      </c>
      <c r="O13" s="20">
        <f>BASE!O12</f>
        <v>0.0</v>
      </c>
      <c r="P13" s="20">
        <f>BASE!P12</f>
        <v>0.0</v>
      </c>
      <c r="Q13" s="20">
        <f>BASE!Q12</f>
        <v>0.0</v>
      </c>
      <c r="R13" s="20">
        <f>BASE!R12</f>
        <v>0.0</v>
      </c>
      <c r="S13" s="20">
        <f>BASE!S12</f>
        <v>0.0</v>
      </c>
      <c r="T13" s="20">
        <f>BASE!T12</f>
        <v>0.0</v>
      </c>
      <c r="U13" s="20">
        <f>BASE!U12</f>
        <v>0.0</v>
      </c>
      <c r="V13" s="20">
        <f>BASE!V12</f>
        <v>0.0</v>
      </c>
      <c r="W13" s="20">
        <f>BASE!W12</f>
        <v>0.0</v>
      </c>
      <c r="X13" s="20">
        <f>BASE!X12</f>
        <v>0.0</v>
      </c>
      <c r="Y13" s="20">
        <f>BASE!Y12</f>
        <v>0.0</v>
      </c>
      <c r="Z13" s="20">
        <f>BASE!Z12</f>
        <v>0.0</v>
      </c>
      <c r="AA13" s="20">
        <f>BASE!AA12</f>
        <v>0.0</v>
      </c>
      <c r="AB13" s="20">
        <f>BASE!AB12</f>
        <v>0.0</v>
      </c>
      <c r="AC13" s="20">
        <f>BASE!AC12</f>
        <v>0.0</v>
      </c>
      <c r="AD13" s="20">
        <f>BASE!AD12</f>
        <v>0.0</v>
      </c>
      <c r="AE13" s="20">
        <f>BASE!AE12</f>
        <v>0.0</v>
      </c>
      <c r="AF13" s="20">
        <f>BASE!AF12</f>
        <v>0.0</v>
      </c>
      <c r="AG13" s="20">
        <f>BASE!AG12</f>
        <v>0.0</v>
      </c>
      <c r="AH13" s="20">
        <f>BASE!AH12</f>
        <v>0.0</v>
      </c>
      <c r="AI13" s="20">
        <f>BASE!AI12</f>
        <v>0.0</v>
      </c>
      <c r="AJ13" s="20">
        <f>BASE!AJ12</f>
        <v>0.0</v>
      </c>
      <c r="AK13" s="20">
        <f>BASE!AK12</f>
        <v>0.0</v>
      </c>
      <c r="AL13" s="20">
        <f>BASE!AL12</f>
        <v>0.0</v>
      </c>
      <c r="AM13" s="20">
        <f>BASE!AM12</f>
        <v>0.0</v>
      </c>
      <c r="AN13" s="20">
        <f>BASE!AN12</f>
        <v>0.0</v>
      </c>
      <c r="AO13" s="20">
        <f>BASE!AO12</f>
        <v>0.0</v>
      </c>
      <c r="AP13" s="20">
        <f>BASE!AP12</f>
        <v>0.0</v>
      </c>
      <c r="AQ13" s="20">
        <f>BASE!AQ12</f>
        <v>0.0</v>
      </c>
      <c r="AR13" s="20">
        <f>BASE!AR12</f>
        <v>0.0</v>
      </c>
      <c r="AS13" s="20">
        <f>BASE!AS12</f>
        <v>0.0</v>
      </c>
      <c r="AT13" s="20">
        <f>BASE!AT12</f>
        <v>0.0</v>
      </c>
      <c r="AU13" s="20">
        <f>BASE!AU12</f>
        <v>0.0</v>
      </c>
      <c r="AV13" s="20">
        <f>BASE!AV12</f>
        <v>0.0</v>
      </c>
      <c r="AW13" s="20">
        <f>BASE!AW12</f>
        <v>0.0</v>
      </c>
      <c r="AX13" s="20">
        <f>BASE!AX12</f>
        <v>0.0</v>
      </c>
      <c r="AY13" s="20">
        <f>BASE!AY12</f>
        <v>0.0</v>
      </c>
      <c r="AZ13" s="20">
        <f>BASE!AZ12</f>
        <v>0.0</v>
      </c>
      <c r="BA13" s="20">
        <f>BASE!BA12</f>
        <v>0.0</v>
      </c>
      <c r="BB13" s="20">
        <f>BASE!BB12</f>
        <v>0.0</v>
      </c>
      <c r="BC13" s="20">
        <f>BASE!BC12</f>
        <v>0.0</v>
      </c>
      <c r="BD13" s="20">
        <f>BASE!BD12</f>
        <v>0.0</v>
      </c>
      <c r="BE13" s="20">
        <f>BASE!BE12</f>
        <v>0.0</v>
      </c>
      <c r="BF13" s="20">
        <f>BASE!BF12</f>
        <v>0.0</v>
      </c>
      <c r="BG13" s="20">
        <f>BASE!BG12</f>
        <v>0.0</v>
      </c>
      <c r="BH13" s="20">
        <f>BASE!BH12</f>
        <v>0.0</v>
      </c>
      <c r="BI13" s="20">
        <f>BASE!BI12</f>
        <v>0.0</v>
      </c>
      <c r="BJ13" s="20">
        <f>BASE!BJ12</f>
        <v>0.0</v>
      </c>
      <c r="BK13" s="20">
        <f>BASE!BK12</f>
        <v>0.0</v>
      </c>
      <c r="BL13" s="20">
        <f>BASE!BL12</f>
        <v>0.0</v>
      </c>
    </row>
    <row r="14">
      <c r="A14" s="6" t="inlineStr">
        <is>
          <t>L10</t>
        </is>
      </c>
      <c r="B14" s="6" t="inlineStr">
        <is>
          <t>A classificar (sem linha definida)</t>
        </is>
      </c>
      <c r="C14" s="19">
        <f>SUM(D14:BL14)</f>
        <v>0.0</v>
      </c>
      <c r="D14" s="20">
        <f>BASE!D13</f>
        <v>0.0</v>
      </c>
      <c r="E14" s="20">
        <f>BASE!E13</f>
        <v>0.0</v>
      </c>
      <c r="F14" s="20">
        <f>BASE!F13</f>
        <v>0.0</v>
      </c>
      <c r="G14" s="20">
        <f>BASE!G13</f>
        <v>0.0</v>
      </c>
      <c r="H14" s="20">
        <f>BASE!H13</f>
        <v>0.0</v>
      </c>
      <c r="I14" s="20">
        <f>BASE!I13</f>
        <v>0.0</v>
      </c>
      <c r="J14" s="20">
        <f>BASE!J13</f>
        <v>0.0</v>
      </c>
      <c r="K14" s="20">
        <f>BASE!K13</f>
        <v>0.0</v>
      </c>
      <c r="L14" s="20">
        <f>BASE!L13</f>
        <v>0.0</v>
      </c>
      <c r="M14" s="20">
        <f>BASE!M13</f>
        <v>0.0</v>
      </c>
      <c r="N14" s="20">
        <f>BASE!N13</f>
        <v>0.0</v>
      </c>
      <c r="O14" s="20">
        <f>BASE!O13</f>
        <v>0.0</v>
      </c>
      <c r="P14" s="20">
        <f>BASE!P13</f>
        <v>0.0</v>
      </c>
      <c r="Q14" s="20">
        <f>BASE!Q13</f>
        <v>0.0</v>
      </c>
      <c r="R14" s="20">
        <f>BASE!R13</f>
        <v>0.0</v>
      </c>
      <c r="S14" s="20">
        <f>BASE!S13</f>
        <v>0.0</v>
      </c>
      <c r="T14" s="20">
        <f>BASE!T13</f>
        <v>0.0</v>
      </c>
      <c r="U14" s="20">
        <f>BASE!U13</f>
        <v>0.0</v>
      </c>
      <c r="V14" s="20">
        <f>BASE!V13</f>
        <v>0.0</v>
      </c>
      <c r="W14" s="20">
        <f>BASE!W13</f>
        <v>0.0</v>
      </c>
      <c r="X14" s="20">
        <f>BASE!X13</f>
        <v>0.0</v>
      </c>
      <c r="Y14" s="20">
        <f>BASE!Y13</f>
        <v>0.0</v>
      </c>
      <c r="Z14" s="20">
        <f>BASE!Z13</f>
        <v>0.0</v>
      </c>
      <c r="AA14" s="20">
        <f>BASE!AA13</f>
        <v>0.0</v>
      </c>
      <c r="AB14" s="20">
        <f>BASE!AB13</f>
        <v>0.0</v>
      </c>
      <c r="AC14" s="20">
        <f>BASE!AC13</f>
        <v>0.0</v>
      </c>
      <c r="AD14" s="20">
        <f>BASE!AD13</f>
        <v>0.0</v>
      </c>
      <c r="AE14" s="20">
        <f>BASE!AE13</f>
        <v>0.0</v>
      </c>
      <c r="AF14" s="20">
        <f>BASE!AF13</f>
        <v>0.0</v>
      </c>
      <c r="AG14" s="20">
        <f>BASE!AG13</f>
        <v>0.0</v>
      </c>
      <c r="AH14" s="20">
        <f>BASE!AH13</f>
        <v>0.0</v>
      </c>
      <c r="AI14" s="20">
        <f>BASE!AI13</f>
        <v>0.0</v>
      </c>
      <c r="AJ14" s="20">
        <f>BASE!AJ13</f>
        <v>0.0</v>
      </c>
      <c r="AK14" s="20">
        <f>BASE!AK13</f>
        <v>0.0</v>
      </c>
      <c r="AL14" s="20">
        <f>BASE!AL13</f>
        <v>0.0</v>
      </c>
      <c r="AM14" s="20">
        <f>BASE!AM13</f>
        <v>0.0</v>
      </c>
      <c r="AN14" s="20">
        <f>BASE!AN13</f>
        <v>0.0</v>
      </c>
      <c r="AO14" s="20">
        <f>BASE!AO13</f>
        <v>0.0</v>
      </c>
      <c r="AP14" s="20">
        <f>BASE!AP13</f>
        <v>0.0</v>
      </c>
      <c r="AQ14" s="20">
        <f>BASE!AQ13</f>
        <v>0.0</v>
      </c>
      <c r="AR14" s="20">
        <f>BASE!AR13</f>
        <v>0.0</v>
      </c>
      <c r="AS14" s="20">
        <f>BASE!AS13</f>
        <v>0.0</v>
      </c>
      <c r="AT14" s="20">
        <f>BASE!AT13</f>
        <v>0.0</v>
      </c>
      <c r="AU14" s="20">
        <f>BASE!AU13</f>
        <v>0.0</v>
      </c>
      <c r="AV14" s="20">
        <f>BASE!AV13</f>
        <v>0.0</v>
      </c>
      <c r="AW14" s="20">
        <f>BASE!AW13</f>
        <v>0.0</v>
      </c>
      <c r="AX14" s="20">
        <f>BASE!AX13</f>
        <v>0.0</v>
      </c>
      <c r="AY14" s="20">
        <f>BASE!AY13</f>
        <v>0.0</v>
      </c>
      <c r="AZ14" s="20">
        <f>BASE!AZ13</f>
        <v>0.0</v>
      </c>
      <c r="BA14" s="20">
        <f>BASE!BA13</f>
        <v>0.0</v>
      </c>
      <c r="BB14" s="20">
        <f>BASE!BB13</f>
        <v>0.0</v>
      </c>
      <c r="BC14" s="20">
        <f>BASE!BC13</f>
        <v>0.0</v>
      </c>
      <c r="BD14" s="20">
        <f>BASE!BD13</f>
        <v>0.0</v>
      </c>
      <c r="BE14" s="20">
        <f>BASE!BE13</f>
        <v>0.0</v>
      </c>
      <c r="BF14" s="20">
        <f>BASE!BF13</f>
        <v>0.0</v>
      </c>
      <c r="BG14" s="20">
        <f>BASE!BG13</f>
        <v>0.0</v>
      </c>
      <c r="BH14" s="20">
        <f>BASE!BH13</f>
        <v>0.0</v>
      </c>
      <c r="BI14" s="20">
        <f>BASE!BI13</f>
        <v>0.0</v>
      </c>
      <c r="BJ14" s="20">
        <f>BASE!BJ13</f>
        <v>0.0</v>
      </c>
      <c r="BK14" s="20">
        <f>BASE!BK13</f>
        <v>0.0</v>
      </c>
      <c r="BL14" s="20">
        <f>BASE!BL13</f>
        <v>0.0</v>
      </c>
    </row>
    <row r="15">
      <c r="A15" s="10" t="inlineStr">
        <is>
          <t>TOTAL</t>
        </is>
      </c>
      <c r="B15" s="11" t="n"/>
      <c r="C15" s="21">
        <f>SUM(C6:C14)</f>
        <v>0.0</v>
      </c>
      <c r="D15" s="21">
        <f>SUM(D6:D14)</f>
        <v>0.0</v>
      </c>
      <c r="E15" s="21">
        <f>SUM(E6:E14)</f>
        <v>0.0</v>
      </c>
      <c r="F15" s="21">
        <f>SUM(F6:F14)</f>
        <v>0.0</v>
      </c>
      <c r="G15" s="21">
        <f>SUM(G6:G14)</f>
        <v>0.0</v>
      </c>
      <c r="H15" s="21">
        <f>SUM(H6:H14)</f>
        <v>0.0</v>
      </c>
      <c r="I15" s="21">
        <f>SUM(I6:I14)</f>
        <v>0.0</v>
      </c>
      <c r="J15" s="21">
        <f>SUM(J6:J14)</f>
        <v>0.0</v>
      </c>
      <c r="K15" s="21">
        <f>SUM(K6:K14)</f>
        <v>0.0</v>
      </c>
      <c r="L15" s="21">
        <f>SUM(L6:L14)</f>
        <v>0.0</v>
      </c>
      <c r="M15" s="21">
        <f>SUM(M6:M14)</f>
        <v>0.0</v>
      </c>
      <c r="N15" s="21">
        <f>SUM(N6:N14)</f>
        <v>0.0</v>
      </c>
      <c r="O15" s="21">
        <f>SUM(O6:O14)</f>
        <v>0.0</v>
      </c>
      <c r="P15" s="21">
        <f>SUM(P6:P14)</f>
        <v>0.0</v>
      </c>
      <c r="Q15" s="21">
        <f>SUM(Q6:Q14)</f>
        <v>0.0</v>
      </c>
      <c r="R15" s="21">
        <f>SUM(R6:R14)</f>
        <v>0.0</v>
      </c>
      <c r="S15" s="21">
        <f>SUM(S6:S14)</f>
        <v>0.0</v>
      </c>
      <c r="T15" s="21">
        <f>SUM(T6:T14)</f>
        <v>0.0</v>
      </c>
      <c r="U15" s="21">
        <f>SUM(U6:U14)</f>
        <v>0.0</v>
      </c>
      <c r="V15" s="21">
        <f>SUM(V6:V14)</f>
        <v>0.0</v>
      </c>
      <c r="W15" s="21">
        <f>SUM(W6:W14)</f>
        <v>0.0</v>
      </c>
      <c r="X15" s="21">
        <f>SUM(X6:X14)</f>
        <v>0.0</v>
      </c>
      <c r="Y15" s="21">
        <f>SUM(Y6:Y14)</f>
        <v>0.0</v>
      </c>
      <c r="Z15" s="21">
        <f>SUM(Z6:Z14)</f>
        <v>0.0</v>
      </c>
      <c r="AA15" s="21">
        <f>SUM(AA6:AA14)</f>
        <v>0.0</v>
      </c>
      <c r="AB15" s="21">
        <f>SUM(AB6:AB14)</f>
        <v>0.0</v>
      </c>
      <c r="AC15" s="21">
        <f>SUM(AC6:AC14)</f>
        <v>0.0</v>
      </c>
      <c r="AD15" s="21">
        <f>SUM(AD6:AD14)</f>
        <v>0.0</v>
      </c>
      <c r="AE15" s="21">
        <f>SUM(AE6:AE14)</f>
        <v>0.0</v>
      </c>
      <c r="AF15" s="21">
        <f>SUM(AF6:AF14)</f>
        <v>0.0</v>
      </c>
      <c r="AG15" s="21">
        <f>SUM(AG6:AG14)</f>
        <v>0.0</v>
      </c>
      <c r="AH15" s="21">
        <f>SUM(AH6:AH14)</f>
        <v>0.0</v>
      </c>
      <c r="AI15" s="21">
        <f>SUM(AI6:AI14)</f>
        <v>0.0</v>
      </c>
      <c r="AJ15" s="21">
        <f>SUM(AJ6:AJ14)</f>
        <v>0.0</v>
      </c>
      <c r="AK15" s="21">
        <f>SUM(AK6:AK14)</f>
        <v>0.0</v>
      </c>
      <c r="AL15" s="21">
        <f>SUM(AL6:AL14)</f>
        <v>0.0</v>
      </c>
      <c r="AM15" s="21">
        <f>SUM(AM6:AM14)</f>
        <v>0.0</v>
      </c>
      <c r="AN15" s="21">
        <f>SUM(AN6:AN14)</f>
        <v>0.0</v>
      </c>
      <c r="AO15" s="21">
        <f>SUM(AO6:AO14)</f>
        <v>0.0</v>
      </c>
      <c r="AP15" s="21">
        <f>SUM(AP6:AP14)</f>
        <v>0.0</v>
      </c>
      <c r="AQ15" s="21">
        <f>SUM(AQ6:AQ14)</f>
        <v>0.0</v>
      </c>
      <c r="AR15" s="21">
        <f>SUM(AR6:AR14)</f>
        <v>0.0</v>
      </c>
      <c r="AS15" s="21">
        <f>SUM(AS6:AS14)</f>
        <v>0.0</v>
      </c>
      <c r="AT15" s="21">
        <f>SUM(AT6:AT14)</f>
        <v>0.0</v>
      </c>
      <c r="AU15" s="21">
        <f>SUM(AU6:AU14)</f>
        <v>0.0</v>
      </c>
      <c r="AV15" s="21">
        <f>SUM(AV6:AV14)</f>
        <v>0.0</v>
      </c>
      <c r="AW15" s="21">
        <f>SUM(AW6:AW14)</f>
        <v>0.0</v>
      </c>
      <c r="AX15" s="21">
        <f>SUM(AX6:AX14)</f>
        <v>0.0</v>
      </c>
      <c r="AY15" s="21">
        <f>SUM(AY6:AY14)</f>
        <v>0.0</v>
      </c>
      <c r="AZ15" s="21">
        <f>SUM(AZ6:AZ14)</f>
        <v>0.0</v>
      </c>
      <c r="BA15" s="21">
        <f>SUM(BA6:BA14)</f>
        <v>0.0</v>
      </c>
      <c r="BB15" s="21">
        <f>SUM(BB6:BB14)</f>
        <v>0.0</v>
      </c>
      <c r="BC15" s="21">
        <f>SUM(BC6:BC14)</f>
        <v>0.0</v>
      </c>
      <c r="BD15" s="21">
        <f>SUM(BD6:BD14)</f>
        <v>0.0</v>
      </c>
      <c r="BE15" s="21">
        <f>SUM(BE6:BE14)</f>
        <v>0.0</v>
      </c>
      <c r="BF15" s="21">
        <f>SUM(BF6:BF14)</f>
        <v>0.0</v>
      </c>
      <c r="BG15" s="21">
        <f>SUM(BG6:BG14)</f>
        <v>0.0</v>
      </c>
      <c r="BH15" s="21">
        <f>SUM(BH6:BH14)</f>
        <v>0.0</v>
      </c>
      <c r="BI15" s="21">
        <f>SUM(BI6:BI14)</f>
        <v>0.0</v>
      </c>
      <c r="BJ15" s="21">
        <f>SUM(BJ6:BJ14)</f>
        <v>0.0</v>
      </c>
      <c r="BK15" s="21">
        <f>SUM(BK6:BK14)</f>
        <v>0.0</v>
      </c>
      <c r="BL15" s="21">
        <f>SUM(BL6:BL14)</f>
        <v>0.0</v>
      </c>
    </row>
    <row r="17">
      <c r="A17" s="15" t="inlineStr">
        <is>
          <t>REALIZADO (PAGO NO MÊS)</t>
        </is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  <c r="AW17" s="16" t="n"/>
      <c r="AX17" s="16" t="n"/>
      <c r="AY17" s="16" t="n"/>
      <c r="AZ17" s="16" t="n"/>
      <c r="BA17" s="16" t="n"/>
      <c r="BB17" s="16" t="n"/>
      <c r="BC17" s="16" t="n"/>
      <c r="BD17" s="16" t="n"/>
      <c r="BE17" s="16" t="n"/>
      <c r="BF17" s="16" t="n"/>
      <c r="BG17" s="16" t="n"/>
      <c r="BH17" s="16" t="n"/>
      <c r="BI17" s="16" t="n"/>
      <c r="BJ17" s="16" t="n"/>
      <c r="BK17" s="16" t="n"/>
      <c r="BL17" s="16" t="n"/>
    </row>
    <row r="18">
      <c r="A18" s="6" t="inlineStr">
        <is>
          <t>L01</t>
        </is>
      </c>
      <c r="B18" s="6" t="inlineStr">
        <is>
          <t>Ferramentas manuais e pequenos equipamentos</t>
        </is>
      </c>
      <c r="C18" s="19">
        <f>SUM(D18:BL18)</f>
        <v>299172.55928</v>
      </c>
      <c r="D18" s="20">
        <f>SUMIFS(LANÇAMENTOS!$F$5:$F$1323,LANÇAMENTOS!$D$5:$D$1323,$A18,LANÇAMENTOS!$A$5:$A$1323,D$4,LANÇAMENTOS!$B$5:$B$1323,"Pago")</f>
        <v>0.0</v>
      </c>
      <c r="E18" s="20">
        <f>SUMIFS(LANÇAMENTOS!$F$5:$F$1323,LANÇAMENTOS!$D$5:$D$1323,$A18,LANÇAMENTOS!$A$5:$A$1323,E$4,LANÇAMENTOS!$B$5:$B$1323,"Pago")</f>
        <v>0.0</v>
      </c>
      <c r="F18" s="20">
        <f>SUMIFS(LANÇAMENTOS!$F$5:$F$1323,LANÇAMENTOS!$D$5:$D$1323,$A18,LANÇAMENTOS!$A$5:$A$1323,F$4,LANÇAMENTOS!$B$5:$B$1323,"Pago")</f>
        <v>0.0</v>
      </c>
      <c r="G18" s="20">
        <f>SUMIFS(LANÇAMENTOS!$F$5:$F$1323,LANÇAMENTOS!$D$5:$D$1323,$A18,LANÇAMENTOS!$A$5:$A$1323,G$4,LANÇAMENTOS!$B$5:$B$1323,"Pago")</f>
        <v>543.38</v>
      </c>
      <c r="H18" s="20">
        <f>SUMIFS(LANÇAMENTOS!$F$5:$F$1323,LANÇAMENTOS!$D$5:$D$1323,$A18,LANÇAMENTOS!$A$5:$A$1323,H$4,LANÇAMENTOS!$B$5:$B$1323,"Pago")</f>
        <v>1482.981591</v>
      </c>
      <c r="I18" s="20">
        <f>SUMIFS(LANÇAMENTOS!$F$5:$F$1323,LANÇAMENTOS!$D$5:$D$1323,$A18,LANÇAMENTOS!$A$5:$A$1323,I$4,LANÇAMENTOS!$B$5:$B$1323,"Pago")</f>
        <v>1092.25</v>
      </c>
      <c r="J18" s="20">
        <f>SUMIFS(LANÇAMENTOS!$F$5:$F$1323,LANÇAMENTOS!$D$5:$D$1323,$A18,LANÇAMENTOS!$A$5:$A$1323,J$4,LANÇAMENTOS!$B$5:$B$1323,"Pago")</f>
        <v>225.79</v>
      </c>
      <c r="K18" s="20">
        <f>SUMIFS(LANÇAMENTOS!$F$5:$F$1323,LANÇAMENTOS!$D$5:$D$1323,$A18,LANÇAMENTOS!$A$5:$A$1323,K$4,LANÇAMENTOS!$B$5:$B$1323,"Pago")</f>
        <v>260.1</v>
      </c>
      <c r="L18" s="20">
        <f>SUMIFS(LANÇAMENTOS!$F$5:$F$1323,LANÇAMENTOS!$D$5:$D$1323,$A18,LANÇAMENTOS!$A$5:$A$1323,L$4,LANÇAMENTOS!$B$5:$B$1323,"Pago")</f>
        <v>1836.65</v>
      </c>
      <c r="M18" s="20">
        <f>SUMIFS(LANÇAMENTOS!$F$5:$F$1323,LANÇAMENTOS!$D$5:$D$1323,$A18,LANÇAMENTOS!$A$5:$A$1323,M$4,LANÇAMENTOS!$B$5:$B$1323,"Pago")</f>
        <v>3103.86</v>
      </c>
      <c r="N18" s="20">
        <f>SUMIFS(LANÇAMENTOS!$F$5:$F$1323,LANÇAMENTOS!$D$5:$D$1323,$A18,LANÇAMENTOS!$A$5:$A$1323,N$4,LANÇAMENTOS!$B$5:$B$1323,"Pago")</f>
        <v>459.53</v>
      </c>
      <c r="O18" s="20">
        <f>SUMIFS(LANÇAMENTOS!$F$5:$F$1323,LANÇAMENTOS!$D$5:$D$1323,$A18,LANÇAMENTOS!$A$5:$A$1323,O$4,LANÇAMENTOS!$B$5:$B$1323,"Pago")</f>
        <v>0.0</v>
      </c>
      <c r="P18" s="20">
        <f>SUMIFS(LANÇAMENTOS!$F$5:$F$1323,LANÇAMENTOS!$D$5:$D$1323,$A18,LANÇAMENTOS!$A$5:$A$1323,P$4,LANÇAMENTOS!$B$5:$B$1323,"Pago")</f>
        <v>5404.83</v>
      </c>
      <c r="Q18" s="20">
        <f>SUMIFS(LANÇAMENTOS!$F$5:$F$1323,LANÇAMENTOS!$D$5:$D$1323,$A18,LANÇAMENTOS!$A$5:$A$1323,Q$4,LANÇAMENTOS!$B$5:$B$1323,"Pago")</f>
        <v>4840.5199999999995</v>
      </c>
      <c r="R18" s="20">
        <f>SUMIFS(LANÇAMENTOS!$F$5:$F$1323,LANÇAMENTOS!$D$5:$D$1323,$A18,LANÇAMENTOS!$A$5:$A$1323,R$4,LANÇAMENTOS!$B$5:$B$1323,"Pago")</f>
        <v>173.86</v>
      </c>
      <c r="S18" s="20">
        <f>SUMIFS(LANÇAMENTOS!$F$5:$F$1323,LANÇAMENTOS!$D$5:$D$1323,$A18,LANÇAMENTOS!$A$5:$A$1323,S$4,LANÇAMENTOS!$B$5:$B$1323,"Pago")</f>
        <v>4360.909996</v>
      </c>
      <c r="T18" s="20">
        <f>SUMIFS(LANÇAMENTOS!$F$5:$F$1323,LANÇAMENTOS!$D$5:$D$1323,$A18,LANÇAMENTOS!$A$5:$A$1323,T$4,LANÇAMENTOS!$B$5:$B$1323,"Pago")</f>
        <v>1134.589998</v>
      </c>
      <c r="U18" s="20">
        <f>SUMIFS(LANÇAMENTOS!$F$5:$F$1323,LANÇAMENTOS!$D$5:$D$1323,$A18,LANÇAMENTOS!$A$5:$A$1323,U$4,LANÇAMENTOS!$B$5:$B$1323,"Pago")</f>
        <v>3092.3999999999996</v>
      </c>
      <c r="V18" s="20">
        <f>SUMIFS(LANÇAMENTOS!$F$5:$F$1323,LANÇAMENTOS!$D$5:$D$1323,$A18,LANÇAMENTOS!$A$5:$A$1323,V$4,LANÇAMENTOS!$B$5:$B$1323,"Pago")</f>
        <v>14074.939998999998</v>
      </c>
      <c r="W18" s="20">
        <f>SUMIFS(LANÇAMENTOS!$F$5:$F$1323,LANÇAMENTOS!$D$5:$D$1323,$A18,LANÇAMENTOS!$A$5:$A$1323,W$4,LANÇAMENTOS!$B$5:$B$1323,"Pago")</f>
        <v>5180.097583000001</v>
      </c>
      <c r="X18" s="20">
        <f>SUMIFS(LANÇAMENTOS!$F$5:$F$1323,LANÇAMENTOS!$D$5:$D$1323,$A18,LANÇAMENTOS!$A$5:$A$1323,X$4,LANÇAMENTOS!$B$5:$B$1323,"Pago")</f>
        <v>111588.81603700001</v>
      </c>
      <c r="Y18" s="20">
        <f>SUMIFS(LANÇAMENTOS!$F$5:$F$1323,LANÇAMENTOS!$D$5:$D$1323,$A18,LANÇAMENTOS!$A$5:$A$1323,Y$4,LANÇAMENTOS!$B$5:$B$1323,"Pago")</f>
        <v>24048.763252</v>
      </c>
      <c r="Z18" s="20">
        <f>SUMIFS(LANÇAMENTOS!$F$5:$F$1323,LANÇAMENTOS!$D$5:$D$1323,$A18,LANÇAMENTOS!$A$5:$A$1323,Z$4,LANÇAMENTOS!$B$5:$B$1323,"Pago")</f>
        <v>31267.899564999992</v>
      </c>
      <c r="AA18" s="20">
        <f>SUMIFS(LANÇAMENTOS!$F$5:$F$1323,LANÇAMENTOS!$D$5:$D$1323,$A18,LANÇAMENTOS!$A$5:$A$1323,AA$4,LANÇAMENTOS!$B$5:$B$1323,"Pago")</f>
        <v>19009.547317</v>
      </c>
      <c r="AB18" s="20">
        <f>SUMIFS(LANÇAMENTOS!$F$5:$F$1323,LANÇAMENTOS!$D$5:$D$1323,$A18,LANÇAMENTOS!$A$5:$A$1323,AB$4,LANÇAMENTOS!$B$5:$B$1323,"Pago")</f>
        <v>15511.457286999997</v>
      </c>
      <c r="AC18" s="20">
        <f>SUMIFS(LANÇAMENTOS!$F$5:$F$1323,LANÇAMENTOS!$D$5:$D$1323,$A18,LANÇAMENTOS!$A$5:$A$1323,AC$4,LANÇAMENTOS!$B$5:$B$1323,"Pago")</f>
        <v>19041.566655</v>
      </c>
      <c r="AD18" s="20">
        <f>SUMIFS(LANÇAMENTOS!$F$5:$F$1323,LANÇAMENTOS!$D$5:$D$1323,$A18,LANÇAMENTOS!$A$5:$A$1323,AD$4,LANÇAMENTOS!$B$5:$B$1323,"Pago")</f>
        <v>14178.759999999997</v>
      </c>
      <c r="AE18" s="20">
        <f>SUMIFS(LANÇAMENTOS!$F$5:$F$1323,LANÇAMENTOS!$D$5:$D$1323,$A18,LANÇAMENTOS!$A$5:$A$1323,AE$4,LANÇAMENTOS!$B$5:$B$1323,"Pago")</f>
        <v>11584.059999999998</v>
      </c>
      <c r="AF18" s="20">
        <f>SUMIFS(LANÇAMENTOS!$F$5:$F$1323,LANÇAMENTOS!$D$5:$D$1323,$A18,LANÇAMENTOS!$A$5:$A$1323,AF$4,LANÇAMENTOS!$B$5:$B$1323,"Pago")</f>
        <v>5675.0</v>
      </c>
      <c r="AG18" s="20">
        <f>SUMIFS(LANÇAMENTOS!$F$5:$F$1323,LANÇAMENTOS!$D$5:$D$1323,$A18,LANÇAMENTOS!$A$5:$A$1323,AG$4,LANÇAMENTOS!$B$5:$B$1323,"Pago")</f>
        <v>0.0</v>
      </c>
      <c r="AH18" s="20">
        <f>SUMIFS(LANÇAMENTOS!$F$5:$F$1323,LANÇAMENTOS!$D$5:$D$1323,$A18,LANÇAMENTOS!$A$5:$A$1323,AH$4,LANÇAMENTOS!$B$5:$B$1323,"Pago")</f>
        <v>0.0</v>
      </c>
      <c r="AI18" s="20">
        <f>SUMIFS(LANÇAMENTOS!$F$5:$F$1323,LANÇAMENTOS!$D$5:$D$1323,$A18,LANÇAMENTOS!$A$5:$A$1323,AI$4,LANÇAMENTOS!$B$5:$B$1323,"Pago")</f>
        <v>0.0</v>
      </c>
      <c r="AJ18" s="20">
        <f>SUMIFS(LANÇAMENTOS!$F$5:$F$1323,LANÇAMENTOS!$D$5:$D$1323,$A18,LANÇAMENTOS!$A$5:$A$1323,AJ$4,LANÇAMENTOS!$B$5:$B$1323,"Pago")</f>
        <v>0.0</v>
      </c>
      <c r="AK18" s="20">
        <f>SUMIFS(LANÇAMENTOS!$F$5:$F$1323,LANÇAMENTOS!$D$5:$D$1323,$A18,LANÇAMENTOS!$A$5:$A$1323,AK$4,LANÇAMENTOS!$B$5:$B$1323,"Pago")</f>
        <v>0.0</v>
      </c>
      <c r="AL18" s="20">
        <f>SUMIFS(LANÇAMENTOS!$F$5:$F$1323,LANÇAMENTOS!$D$5:$D$1323,$A18,LANÇAMENTOS!$A$5:$A$1323,AL$4,LANÇAMENTOS!$B$5:$B$1323,"Pago")</f>
        <v>0.0</v>
      </c>
      <c r="AM18" s="20">
        <f>SUMIFS(LANÇAMENTOS!$F$5:$F$1323,LANÇAMENTOS!$D$5:$D$1323,$A18,LANÇAMENTOS!$A$5:$A$1323,AM$4,LANÇAMENTOS!$B$5:$B$1323,"Pago")</f>
        <v>0.0</v>
      </c>
      <c r="AN18" s="20">
        <f>SUMIFS(LANÇAMENTOS!$F$5:$F$1323,LANÇAMENTOS!$D$5:$D$1323,$A18,LANÇAMENTOS!$A$5:$A$1323,AN$4,LANÇAMENTOS!$B$5:$B$1323,"Pago")</f>
        <v>0.0</v>
      </c>
      <c r="AO18" s="20">
        <f>SUMIFS(LANÇAMENTOS!$F$5:$F$1323,LANÇAMENTOS!$D$5:$D$1323,$A18,LANÇAMENTOS!$A$5:$A$1323,AO$4,LANÇAMENTOS!$B$5:$B$1323,"Pago")</f>
        <v>0.0</v>
      </c>
      <c r="AP18" s="20">
        <f>SUMIFS(LANÇAMENTOS!$F$5:$F$1323,LANÇAMENTOS!$D$5:$D$1323,$A18,LANÇAMENTOS!$A$5:$A$1323,AP$4,LANÇAMENTOS!$B$5:$B$1323,"Pago")</f>
        <v>0.0</v>
      </c>
      <c r="AQ18" s="20">
        <f>SUMIFS(LANÇAMENTOS!$F$5:$F$1323,LANÇAMENTOS!$D$5:$D$1323,$A18,LANÇAMENTOS!$A$5:$A$1323,AQ$4,LANÇAMENTOS!$B$5:$B$1323,"Pago")</f>
        <v>0.0</v>
      </c>
      <c r="AR18" s="20">
        <f>SUMIFS(LANÇAMENTOS!$F$5:$F$1323,LANÇAMENTOS!$D$5:$D$1323,$A18,LANÇAMENTOS!$A$5:$A$1323,AR$4,LANÇAMENTOS!$B$5:$B$1323,"Pago")</f>
        <v>0.0</v>
      </c>
      <c r="AS18" s="20">
        <f>SUMIFS(LANÇAMENTOS!$F$5:$F$1323,LANÇAMENTOS!$D$5:$D$1323,$A18,LANÇAMENTOS!$A$5:$A$1323,AS$4,LANÇAMENTOS!$B$5:$B$1323,"Pago")</f>
        <v>0.0</v>
      </c>
      <c r="AT18" s="20">
        <f>SUMIFS(LANÇAMENTOS!$F$5:$F$1323,LANÇAMENTOS!$D$5:$D$1323,$A18,LANÇAMENTOS!$A$5:$A$1323,AT$4,LANÇAMENTOS!$B$5:$B$1323,"Pago")</f>
        <v>0.0</v>
      </c>
      <c r="AU18" s="20">
        <f>SUMIFS(LANÇAMENTOS!$F$5:$F$1323,LANÇAMENTOS!$D$5:$D$1323,$A18,LANÇAMENTOS!$A$5:$A$1323,AU$4,LANÇAMENTOS!$B$5:$B$1323,"Pago")</f>
        <v>0.0</v>
      </c>
      <c r="AV18" s="20">
        <f>SUMIFS(LANÇAMENTOS!$F$5:$F$1323,LANÇAMENTOS!$D$5:$D$1323,$A18,LANÇAMENTOS!$A$5:$A$1323,AV$4,LANÇAMENTOS!$B$5:$B$1323,"Pago")</f>
        <v>0.0</v>
      </c>
      <c r="AW18" s="20">
        <f>SUMIFS(LANÇAMENTOS!$F$5:$F$1323,LANÇAMENTOS!$D$5:$D$1323,$A18,LANÇAMENTOS!$A$5:$A$1323,AW$4,LANÇAMENTOS!$B$5:$B$1323,"Pago")</f>
        <v>0.0</v>
      </c>
      <c r="AX18" s="20">
        <f>SUMIFS(LANÇAMENTOS!$F$5:$F$1323,LANÇAMENTOS!$D$5:$D$1323,$A18,LANÇAMENTOS!$A$5:$A$1323,AX$4,LANÇAMENTOS!$B$5:$B$1323,"Pago")</f>
        <v>0.0</v>
      </c>
      <c r="AY18" s="20">
        <f>SUMIFS(LANÇAMENTOS!$F$5:$F$1323,LANÇAMENTOS!$D$5:$D$1323,$A18,LANÇAMENTOS!$A$5:$A$1323,AY$4,LANÇAMENTOS!$B$5:$B$1323,"Pago")</f>
        <v>0.0</v>
      </c>
      <c r="AZ18" s="20">
        <f>SUMIFS(LANÇAMENTOS!$F$5:$F$1323,LANÇAMENTOS!$D$5:$D$1323,$A18,LANÇAMENTOS!$A$5:$A$1323,AZ$4,LANÇAMENTOS!$B$5:$B$1323,"Pago")</f>
        <v>0.0</v>
      </c>
      <c r="BA18" s="20">
        <f>SUMIFS(LANÇAMENTOS!$F$5:$F$1323,LANÇAMENTOS!$D$5:$D$1323,$A18,LANÇAMENTOS!$A$5:$A$1323,BA$4,LANÇAMENTOS!$B$5:$B$1323,"Pago")</f>
        <v>0.0</v>
      </c>
      <c r="BB18" s="20">
        <f>SUMIFS(LANÇAMENTOS!$F$5:$F$1323,LANÇAMENTOS!$D$5:$D$1323,$A18,LANÇAMENTOS!$A$5:$A$1323,BB$4,LANÇAMENTOS!$B$5:$B$1323,"Pago")</f>
        <v>0.0</v>
      </c>
      <c r="BC18" s="20">
        <f>SUMIFS(LANÇAMENTOS!$F$5:$F$1323,LANÇAMENTOS!$D$5:$D$1323,$A18,LANÇAMENTOS!$A$5:$A$1323,BC$4,LANÇAMENTOS!$B$5:$B$1323,"Pago")</f>
        <v>0.0</v>
      </c>
      <c r="BD18" s="20">
        <f>SUMIFS(LANÇAMENTOS!$F$5:$F$1323,LANÇAMENTOS!$D$5:$D$1323,$A18,LANÇAMENTOS!$A$5:$A$1323,BD$4,LANÇAMENTOS!$B$5:$B$1323,"Pago")</f>
        <v>0.0</v>
      </c>
      <c r="BE18" s="20">
        <f>SUMIFS(LANÇAMENTOS!$F$5:$F$1323,LANÇAMENTOS!$D$5:$D$1323,$A18,LANÇAMENTOS!$A$5:$A$1323,BE$4,LANÇAMENTOS!$B$5:$B$1323,"Pago")</f>
        <v>0.0</v>
      </c>
      <c r="BF18" s="20">
        <f>SUMIFS(LANÇAMENTOS!$F$5:$F$1323,LANÇAMENTOS!$D$5:$D$1323,$A18,LANÇAMENTOS!$A$5:$A$1323,BF$4,LANÇAMENTOS!$B$5:$B$1323,"Pago")</f>
        <v>0.0</v>
      </c>
      <c r="BG18" s="20">
        <f>SUMIFS(LANÇAMENTOS!$F$5:$F$1323,LANÇAMENTOS!$D$5:$D$1323,$A18,LANÇAMENTOS!$A$5:$A$1323,BG$4,LANÇAMENTOS!$B$5:$B$1323,"Pago")</f>
        <v>0.0</v>
      </c>
      <c r="BH18" s="20">
        <f>SUMIFS(LANÇAMENTOS!$F$5:$F$1323,LANÇAMENTOS!$D$5:$D$1323,$A18,LANÇAMENTOS!$A$5:$A$1323,BH$4,LANÇAMENTOS!$B$5:$B$1323,"Pago")</f>
        <v>0.0</v>
      </c>
      <c r="BI18" s="20">
        <f>SUMIFS(LANÇAMENTOS!$F$5:$F$1323,LANÇAMENTOS!$D$5:$D$1323,$A18,LANÇAMENTOS!$A$5:$A$1323,BI$4,LANÇAMENTOS!$B$5:$B$1323,"Pago")</f>
        <v>0.0</v>
      </c>
      <c r="BJ18" s="20">
        <f>SUMIFS(LANÇAMENTOS!$F$5:$F$1323,LANÇAMENTOS!$D$5:$D$1323,$A18,LANÇAMENTOS!$A$5:$A$1323,BJ$4,LANÇAMENTOS!$B$5:$B$1323,"Pago")</f>
        <v>0.0</v>
      </c>
      <c r="BK18" s="20">
        <f>SUMIFS(LANÇAMENTOS!$F$5:$F$1323,LANÇAMENTOS!$D$5:$D$1323,$A18,LANÇAMENTOS!$A$5:$A$1323,BK$4,LANÇAMENTOS!$B$5:$B$1323,"Pago")</f>
        <v>0.0</v>
      </c>
      <c r="BL18" s="20">
        <f>SUMIFS(LANÇAMENTOS!$F$5:$F$1323,LANÇAMENTOS!$D$5:$D$1323,$A18,LANÇAMENTOS!$A$5:$A$1323,BL$4,LANÇAMENTOS!$B$5:$B$1323,"Pago")</f>
        <v>0.0</v>
      </c>
    </row>
    <row r="19">
      <c r="A19" s="6" t="inlineStr">
        <is>
          <t>L02</t>
        </is>
      </c>
      <c r="B19" s="6" t="inlineStr">
        <is>
          <t>Movimento de terra, manipulador e transporte vertical leve</t>
        </is>
      </c>
      <c r="C19" s="19">
        <f>SUM(D19:BL19)</f>
        <v>22059.950000000004</v>
      </c>
      <c r="D19" s="20">
        <f>SUMIFS(LANÇAMENTOS!$F$5:$F$1323,LANÇAMENTOS!$D$5:$D$1323,$A19,LANÇAMENTOS!$A$5:$A$1323,D$4,LANÇAMENTOS!$B$5:$B$1323,"Pago")</f>
        <v>0.0</v>
      </c>
      <c r="E19" s="20">
        <f>SUMIFS(LANÇAMENTOS!$F$5:$F$1323,LANÇAMENTOS!$D$5:$D$1323,$A19,LANÇAMENTOS!$A$5:$A$1323,E$4,LANÇAMENTOS!$B$5:$B$1323,"Pago")</f>
        <v>0.0</v>
      </c>
      <c r="F19" s="20">
        <f>SUMIFS(LANÇAMENTOS!$F$5:$F$1323,LANÇAMENTOS!$D$5:$D$1323,$A19,LANÇAMENTOS!$A$5:$A$1323,F$4,LANÇAMENTOS!$B$5:$B$1323,"Pago")</f>
        <v>0.0</v>
      </c>
      <c r="G19" s="20">
        <f>SUMIFS(LANÇAMENTOS!$F$5:$F$1323,LANÇAMENTOS!$D$5:$D$1323,$A19,LANÇAMENTOS!$A$5:$A$1323,G$4,LANÇAMENTOS!$B$5:$B$1323,"Pago")</f>
        <v>0.0</v>
      </c>
      <c r="H19" s="20">
        <f>SUMIFS(LANÇAMENTOS!$F$5:$F$1323,LANÇAMENTOS!$D$5:$D$1323,$A19,LANÇAMENTOS!$A$5:$A$1323,H$4,LANÇAMENTOS!$B$5:$B$1323,"Pago")</f>
        <v>0.0</v>
      </c>
      <c r="I19" s="20">
        <f>SUMIFS(LANÇAMENTOS!$F$5:$F$1323,LANÇAMENTOS!$D$5:$D$1323,$A19,LANÇAMENTOS!$A$5:$A$1323,I$4,LANÇAMENTOS!$B$5:$B$1323,"Pago")</f>
        <v>0.0</v>
      </c>
      <c r="J19" s="20">
        <f>SUMIFS(LANÇAMENTOS!$F$5:$F$1323,LANÇAMENTOS!$D$5:$D$1323,$A19,LANÇAMENTOS!$A$5:$A$1323,J$4,LANÇAMENTOS!$B$5:$B$1323,"Pago")</f>
        <v>0.0</v>
      </c>
      <c r="K19" s="20">
        <f>SUMIFS(LANÇAMENTOS!$F$5:$F$1323,LANÇAMENTOS!$D$5:$D$1323,$A19,LANÇAMENTOS!$A$5:$A$1323,K$4,LANÇAMENTOS!$B$5:$B$1323,"Pago")</f>
        <v>0.0</v>
      </c>
      <c r="L19" s="20">
        <f>SUMIFS(LANÇAMENTOS!$F$5:$F$1323,LANÇAMENTOS!$D$5:$D$1323,$A19,LANÇAMENTOS!$A$5:$A$1323,L$4,LANÇAMENTOS!$B$5:$B$1323,"Pago")</f>
        <v>0.0</v>
      </c>
      <c r="M19" s="20">
        <f>SUMIFS(LANÇAMENTOS!$F$5:$F$1323,LANÇAMENTOS!$D$5:$D$1323,$A19,LANÇAMENTOS!$A$5:$A$1323,M$4,LANÇAMENTOS!$B$5:$B$1323,"Pago")</f>
        <v>0.0</v>
      </c>
      <c r="N19" s="20">
        <f>SUMIFS(LANÇAMENTOS!$F$5:$F$1323,LANÇAMENTOS!$D$5:$D$1323,$A19,LANÇAMENTOS!$A$5:$A$1323,N$4,LANÇAMENTOS!$B$5:$B$1323,"Pago")</f>
        <v>0.0</v>
      </c>
      <c r="O19" s="20">
        <f>SUMIFS(LANÇAMENTOS!$F$5:$F$1323,LANÇAMENTOS!$D$5:$D$1323,$A19,LANÇAMENTOS!$A$5:$A$1323,O$4,LANÇAMENTOS!$B$5:$B$1323,"Pago")</f>
        <v>0.0</v>
      </c>
      <c r="P19" s="20">
        <f>SUMIFS(LANÇAMENTOS!$F$5:$F$1323,LANÇAMENTOS!$D$5:$D$1323,$A19,LANÇAMENTOS!$A$5:$A$1323,P$4,LANÇAMENTOS!$B$5:$B$1323,"Pago")</f>
        <v>9496.550000000001</v>
      </c>
      <c r="Q19" s="20">
        <f>SUMIFS(LANÇAMENTOS!$F$5:$F$1323,LANÇAMENTOS!$D$5:$D$1323,$A19,LANÇAMENTOS!$A$5:$A$1323,Q$4,LANÇAMENTOS!$B$5:$B$1323,"Pago")</f>
        <v>0.0</v>
      </c>
      <c r="R19" s="20">
        <f>SUMIFS(LANÇAMENTOS!$F$5:$F$1323,LANÇAMENTOS!$D$5:$D$1323,$A19,LANÇAMENTOS!$A$5:$A$1323,R$4,LANÇAMENTOS!$B$5:$B$1323,"Pago")</f>
        <v>0.0</v>
      </c>
      <c r="S19" s="20">
        <f>SUMIFS(LANÇAMENTOS!$F$5:$F$1323,LANÇAMENTOS!$D$5:$D$1323,$A19,LANÇAMENTOS!$A$5:$A$1323,S$4,LANÇAMENTOS!$B$5:$B$1323,"Pago")</f>
        <v>0.0</v>
      </c>
      <c r="T19" s="20">
        <f>SUMIFS(LANÇAMENTOS!$F$5:$F$1323,LANÇAMENTOS!$D$5:$D$1323,$A19,LANÇAMENTOS!$A$5:$A$1323,T$4,LANÇAMENTOS!$B$5:$B$1323,"Pago")</f>
        <v>0.0</v>
      </c>
      <c r="U19" s="20">
        <f>SUMIFS(LANÇAMENTOS!$F$5:$F$1323,LANÇAMENTOS!$D$5:$D$1323,$A19,LANÇAMENTOS!$A$5:$A$1323,U$4,LANÇAMENTOS!$B$5:$B$1323,"Pago")</f>
        <v>0.0</v>
      </c>
      <c r="V19" s="20">
        <f>SUMIFS(LANÇAMENTOS!$F$5:$F$1323,LANÇAMENTOS!$D$5:$D$1323,$A19,LANÇAMENTOS!$A$5:$A$1323,V$4,LANÇAMENTOS!$B$5:$B$1323,"Pago")</f>
        <v>0.0</v>
      </c>
      <c r="W19" s="20">
        <f>SUMIFS(LANÇAMENTOS!$F$5:$F$1323,LANÇAMENTOS!$D$5:$D$1323,$A19,LANÇAMENTOS!$A$5:$A$1323,W$4,LANÇAMENTOS!$B$5:$B$1323,"Pago")</f>
        <v>0.0</v>
      </c>
      <c r="X19" s="20">
        <f>SUMIFS(LANÇAMENTOS!$F$5:$F$1323,LANÇAMENTOS!$D$5:$D$1323,$A19,LANÇAMENTOS!$A$5:$A$1323,X$4,LANÇAMENTOS!$B$5:$B$1323,"Pago")</f>
        <v>6982.5</v>
      </c>
      <c r="Y19" s="20">
        <f>SUMIFS(LANÇAMENTOS!$F$5:$F$1323,LANÇAMENTOS!$D$5:$D$1323,$A19,LANÇAMENTOS!$A$5:$A$1323,Y$4,LANÇAMENTOS!$B$5:$B$1323,"Pago")</f>
        <v>3867.5</v>
      </c>
      <c r="Z19" s="20">
        <f>SUMIFS(LANÇAMENTOS!$F$5:$F$1323,LANÇAMENTOS!$D$5:$D$1323,$A19,LANÇAMENTOS!$A$5:$A$1323,Z$4,LANÇAMENTOS!$B$5:$B$1323,"Pago")</f>
        <v>0.0</v>
      </c>
      <c r="AA19" s="20">
        <f>SUMIFS(LANÇAMENTOS!$F$5:$F$1323,LANÇAMENTOS!$D$5:$D$1323,$A19,LANÇAMENTOS!$A$5:$A$1323,AA$4,LANÇAMENTOS!$B$5:$B$1323,"Pago")</f>
        <v>1300.0</v>
      </c>
      <c r="AB19" s="20">
        <f>SUMIFS(LANÇAMENTOS!$F$5:$F$1323,LANÇAMENTOS!$D$5:$D$1323,$A19,LANÇAMENTOS!$A$5:$A$1323,AB$4,LANÇAMENTOS!$B$5:$B$1323,"Pago")</f>
        <v>0.0</v>
      </c>
      <c r="AC19" s="20">
        <f>SUMIFS(LANÇAMENTOS!$F$5:$F$1323,LANÇAMENTOS!$D$5:$D$1323,$A19,LANÇAMENTOS!$A$5:$A$1323,AC$4,LANÇAMENTOS!$B$5:$B$1323,"Pago")</f>
        <v>0.0</v>
      </c>
      <c r="AD19" s="20">
        <f>SUMIFS(LANÇAMENTOS!$F$5:$F$1323,LANÇAMENTOS!$D$5:$D$1323,$A19,LANÇAMENTOS!$A$5:$A$1323,AD$4,LANÇAMENTOS!$B$5:$B$1323,"Pago")</f>
        <v>0.0</v>
      </c>
      <c r="AE19" s="20">
        <f>SUMIFS(LANÇAMENTOS!$F$5:$F$1323,LANÇAMENTOS!$D$5:$D$1323,$A19,LANÇAMENTOS!$A$5:$A$1323,AE$4,LANÇAMENTOS!$B$5:$B$1323,"Pago")</f>
        <v>413.4</v>
      </c>
      <c r="AF19" s="20">
        <f>SUMIFS(LANÇAMENTOS!$F$5:$F$1323,LANÇAMENTOS!$D$5:$D$1323,$A19,LANÇAMENTOS!$A$5:$A$1323,AF$4,LANÇAMENTOS!$B$5:$B$1323,"Pago")</f>
        <v>0.0</v>
      </c>
      <c r="AG19" s="20">
        <f>SUMIFS(LANÇAMENTOS!$F$5:$F$1323,LANÇAMENTOS!$D$5:$D$1323,$A19,LANÇAMENTOS!$A$5:$A$1323,AG$4,LANÇAMENTOS!$B$5:$B$1323,"Pago")</f>
        <v>0.0</v>
      </c>
      <c r="AH19" s="20">
        <f>SUMIFS(LANÇAMENTOS!$F$5:$F$1323,LANÇAMENTOS!$D$5:$D$1323,$A19,LANÇAMENTOS!$A$5:$A$1323,AH$4,LANÇAMENTOS!$B$5:$B$1323,"Pago")</f>
        <v>0.0</v>
      </c>
      <c r="AI19" s="20">
        <f>SUMIFS(LANÇAMENTOS!$F$5:$F$1323,LANÇAMENTOS!$D$5:$D$1323,$A19,LANÇAMENTOS!$A$5:$A$1323,AI$4,LANÇAMENTOS!$B$5:$B$1323,"Pago")</f>
        <v>0.0</v>
      </c>
      <c r="AJ19" s="20">
        <f>SUMIFS(LANÇAMENTOS!$F$5:$F$1323,LANÇAMENTOS!$D$5:$D$1323,$A19,LANÇAMENTOS!$A$5:$A$1323,AJ$4,LANÇAMENTOS!$B$5:$B$1323,"Pago")</f>
        <v>0.0</v>
      </c>
      <c r="AK19" s="20">
        <f>SUMIFS(LANÇAMENTOS!$F$5:$F$1323,LANÇAMENTOS!$D$5:$D$1323,$A19,LANÇAMENTOS!$A$5:$A$1323,AK$4,LANÇAMENTOS!$B$5:$B$1323,"Pago")</f>
        <v>0.0</v>
      </c>
      <c r="AL19" s="20">
        <f>SUMIFS(LANÇAMENTOS!$F$5:$F$1323,LANÇAMENTOS!$D$5:$D$1323,$A19,LANÇAMENTOS!$A$5:$A$1323,AL$4,LANÇAMENTOS!$B$5:$B$1323,"Pago")</f>
        <v>0.0</v>
      </c>
      <c r="AM19" s="20">
        <f>SUMIFS(LANÇAMENTOS!$F$5:$F$1323,LANÇAMENTOS!$D$5:$D$1323,$A19,LANÇAMENTOS!$A$5:$A$1323,AM$4,LANÇAMENTOS!$B$5:$B$1323,"Pago")</f>
        <v>0.0</v>
      </c>
      <c r="AN19" s="20">
        <f>SUMIFS(LANÇAMENTOS!$F$5:$F$1323,LANÇAMENTOS!$D$5:$D$1323,$A19,LANÇAMENTOS!$A$5:$A$1323,AN$4,LANÇAMENTOS!$B$5:$B$1323,"Pago")</f>
        <v>0.0</v>
      </c>
      <c r="AO19" s="20">
        <f>SUMIFS(LANÇAMENTOS!$F$5:$F$1323,LANÇAMENTOS!$D$5:$D$1323,$A19,LANÇAMENTOS!$A$5:$A$1323,AO$4,LANÇAMENTOS!$B$5:$B$1323,"Pago")</f>
        <v>0.0</v>
      </c>
      <c r="AP19" s="20">
        <f>SUMIFS(LANÇAMENTOS!$F$5:$F$1323,LANÇAMENTOS!$D$5:$D$1323,$A19,LANÇAMENTOS!$A$5:$A$1323,AP$4,LANÇAMENTOS!$B$5:$B$1323,"Pago")</f>
        <v>0.0</v>
      </c>
      <c r="AQ19" s="20">
        <f>SUMIFS(LANÇAMENTOS!$F$5:$F$1323,LANÇAMENTOS!$D$5:$D$1323,$A19,LANÇAMENTOS!$A$5:$A$1323,AQ$4,LANÇAMENTOS!$B$5:$B$1323,"Pago")</f>
        <v>0.0</v>
      </c>
      <c r="AR19" s="20">
        <f>SUMIFS(LANÇAMENTOS!$F$5:$F$1323,LANÇAMENTOS!$D$5:$D$1323,$A19,LANÇAMENTOS!$A$5:$A$1323,AR$4,LANÇAMENTOS!$B$5:$B$1323,"Pago")</f>
        <v>0.0</v>
      </c>
      <c r="AS19" s="20">
        <f>SUMIFS(LANÇAMENTOS!$F$5:$F$1323,LANÇAMENTOS!$D$5:$D$1323,$A19,LANÇAMENTOS!$A$5:$A$1323,AS$4,LANÇAMENTOS!$B$5:$B$1323,"Pago")</f>
        <v>0.0</v>
      </c>
      <c r="AT19" s="20">
        <f>SUMIFS(LANÇAMENTOS!$F$5:$F$1323,LANÇAMENTOS!$D$5:$D$1323,$A19,LANÇAMENTOS!$A$5:$A$1323,AT$4,LANÇAMENTOS!$B$5:$B$1323,"Pago")</f>
        <v>0.0</v>
      </c>
      <c r="AU19" s="20">
        <f>SUMIFS(LANÇAMENTOS!$F$5:$F$1323,LANÇAMENTOS!$D$5:$D$1323,$A19,LANÇAMENTOS!$A$5:$A$1323,AU$4,LANÇAMENTOS!$B$5:$B$1323,"Pago")</f>
        <v>0.0</v>
      </c>
      <c r="AV19" s="20">
        <f>SUMIFS(LANÇAMENTOS!$F$5:$F$1323,LANÇAMENTOS!$D$5:$D$1323,$A19,LANÇAMENTOS!$A$5:$A$1323,AV$4,LANÇAMENTOS!$B$5:$B$1323,"Pago")</f>
        <v>0.0</v>
      </c>
      <c r="AW19" s="20">
        <f>SUMIFS(LANÇAMENTOS!$F$5:$F$1323,LANÇAMENTOS!$D$5:$D$1323,$A19,LANÇAMENTOS!$A$5:$A$1323,AW$4,LANÇAMENTOS!$B$5:$B$1323,"Pago")</f>
        <v>0.0</v>
      </c>
      <c r="AX19" s="20">
        <f>SUMIFS(LANÇAMENTOS!$F$5:$F$1323,LANÇAMENTOS!$D$5:$D$1323,$A19,LANÇAMENTOS!$A$5:$A$1323,AX$4,LANÇAMENTOS!$B$5:$B$1323,"Pago")</f>
        <v>0.0</v>
      </c>
      <c r="AY19" s="20">
        <f>SUMIFS(LANÇAMENTOS!$F$5:$F$1323,LANÇAMENTOS!$D$5:$D$1323,$A19,LANÇAMENTOS!$A$5:$A$1323,AY$4,LANÇAMENTOS!$B$5:$B$1323,"Pago")</f>
        <v>0.0</v>
      </c>
      <c r="AZ19" s="20">
        <f>SUMIFS(LANÇAMENTOS!$F$5:$F$1323,LANÇAMENTOS!$D$5:$D$1323,$A19,LANÇAMENTOS!$A$5:$A$1323,AZ$4,LANÇAMENTOS!$B$5:$B$1323,"Pago")</f>
        <v>0.0</v>
      </c>
      <c r="BA19" s="20">
        <f>SUMIFS(LANÇAMENTOS!$F$5:$F$1323,LANÇAMENTOS!$D$5:$D$1323,$A19,LANÇAMENTOS!$A$5:$A$1323,BA$4,LANÇAMENTOS!$B$5:$B$1323,"Pago")</f>
        <v>0.0</v>
      </c>
      <c r="BB19" s="20">
        <f>SUMIFS(LANÇAMENTOS!$F$5:$F$1323,LANÇAMENTOS!$D$5:$D$1323,$A19,LANÇAMENTOS!$A$5:$A$1323,BB$4,LANÇAMENTOS!$B$5:$B$1323,"Pago")</f>
        <v>0.0</v>
      </c>
      <c r="BC19" s="20">
        <f>SUMIFS(LANÇAMENTOS!$F$5:$F$1323,LANÇAMENTOS!$D$5:$D$1323,$A19,LANÇAMENTOS!$A$5:$A$1323,BC$4,LANÇAMENTOS!$B$5:$B$1323,"Pago")</f>
        <v>0.0</v>
      </c>
      <c r="BD19" s="20">
        <f>SUMIFS(LANÇAMENTOS!$F$5:$F$1323,LANÇAMENTOS!$D$5:$D$1323,$A19,LANÇAMENTOS!$A$5:$A$1323,BD$4,LANÇAMENTOS!$B$5:$B$1323,"Pago")</f>
        <v>0.0</v>
      </c>
      <c r="BE19" s="20">
        <f>SUMIFS(LANÇAMENTOS!$F$5:$F$1323,LANÇAMENTOS!$D$5:$D$1323,$A19,LANÇAMENTOS!$A$5:$A$1323,BE$4,LANÇAMENTOS!$B$5:$B$1323,"Pago")</f>
        <v>0.0</v>
      </c>
      <c r="BF19" s="20">
        <f>SUMIFS(LANÇAMENTOS!$F$5:$F$1323,LANÇAMENTOS!$D$5:$D$1323,$A19,LANÇAMENTOS!$A$5:$A$1323,BF$4,LANÇAMENTOS!$B$5:$B$1323,"Pago")</f>
        <v>0.0</v>
      </c>
      <c r="BG19" s="20">
        <f>SUMIFS(LANÇAMENTOS!$F$5:$F$1323,LANÇAMENTOS!$D$5:$D$1323,$A19,LANÇAMENTOS!$A$5:$A$1323,BG$4,LANÇAMENTOS!$B$5:$B$1323,"Pago")</f>
        <v>0.0</v>
      </c>
      <c r="BH19" s="20">
        <f>SUMIFS(LANÇAMENTOS!$F$5:$F$1323,LANÇAMENTOS!$D$5:$D$1323,$A19,LANÇAMENTOS!$A$5:$A$1323,BH$4,LANÇAMENTOS!$B$5:$B$1323,"Pago")</f>
        <v>0.0</v>
      </c>
      <c r="BI19" s="20">
        <f>SUMIFS(LANÇAMENTOS!$F$5:$F$1323,LANÇAMENTOS!$D$5:$D$1323,$A19,LANÇAMENTOS!$A$5:$A$1323,BI$4,LANÇAMENTOS!$B$5:$B$1323,"Pago")</f>
        <v>0.0</v>
      </c>
      <c r="BJ19" s="20">
        <f>SUMIFS(LANÇAMENTOS!$F$5:$F$1323,LANÇAMENTOS!$D$5:$D$1323,$A19,LANÇAMENTOS!$A$5:$A$1323,BJ$4,LANÇAMENTOS!$B$5:$B$1323,"Pago")</f>
        <v>0.0</v>
      </c>
      <c r="BK19" s="20">
        <f>SUMIFS(LANÇAMENTOS!$F$5:$F$1323,LANÇAMENTOS!$D$5:$D$1323,$A19,LANÇAMENTOS!$A$5:$A$1323,BK$4,LANÇAMENTOS!$B$5:$B$1323,"Pago")</f>
        <v>0.0</v>
      </c>
      <c r="BL19" s="20">
        <f>SUMIFS(LANÇAMENTOS!$F$5:$F$1323,LANÇAMENTOS!$D$5:$D$1323,$A19,LANÇAMENTOS!$A$5:$A$1323,BL$4,LANÇAMENTOS!$B$5:$B$1323,"Pago")</f>
        <v>0.0</v>
      </c>
    </row>
    <row r="20">
      <c r="A20" s="6" t="inlineStr">
        <is>
          <t>L03</t>
        </is>
      </c>
      <c r="B20" s="6" t="inlineStr">
        <is>
          <t>Equipamentos de produção civil e locações</t>
        </is>
      </c>
      <c r="C20" s="19">
        <f>SUM(D20:BL20)</f>
        <v>363291.139998</v>
      </c>
      <c r="D20" s="20">
        <f>SUMIFS(LANÇAMENTOS!$F$5:$F$1323,LANÇAMENTOS!$D$5:$D$1323,$A20,LANÇAMENTOS!$A$5:$A$1323,D$4,LANÇAMENTOS!$B$5:$B$1323,"Pago")</f>
        <v>1113.0</v>
      </c>
      <c r="E20" s="20">
        <f>SUMIFS(LANÇAMENTOS!$F$5:$F$1323,LANÇAMENTOS!$D$5:$D$1323,$A20,LANÇAMENTOS!$A$5:$A$1323,E$4,LANÇAMENTOS!$B$5:$B$1323,"Pago")</f>
        <v>813.0</v>
      </c>
      <c r="F20" s="20">
        <f>SUMIFS(LANÇAMENTOS!$F$5:$F$1323,LANÇAMENTOS!$D$5:$D$1323,$A20,LANÇAMENTOS!$A$5:$A$1323,F$4,LANÇAMENTOS!$B$5:$B$1323,"Pago")</f>
        <v>2067.0</v>
      </c>
      <c r="G20" s="20">
        <f>SUMIFS(LANÇAMENTOS!$F$5:$F$1323,LANÇAMENTOS!$D$5:$D$1323,$A20,LANÇAMENTOS!$A$5:$A$1323,G$4,LANÇAMENTOS!$B$5:$B$1323,"Pago")</f>
        <v>800.0</v>
      </c>
      <c r="H20" s="20">
        <f>SUMIFS(LANÇAMENTOS!$F$5:$F$1323,LANÇAMENTOS!$D$5:$D$1323,$A20,LANÇAMENTOS!$A$5:$A$1323,H$4,LANÇAMENTOS!$B$5:$B$1323,"Pago")</f>
        <v>1940.0</v>
      </c>
      <c r="I20" s="20">
        <f>SUMIFS(LANÇAMENTOS!$F$5:$F$1323,LANÇAMENTOS!$D$5:$D$1323,$A20,LANÇAMENTOS!$A$5:$A$1323,I$4,LANÇAMENTOS!$B$5:$B$1323,"Pago")</f>
        <v>192.46</v>
      </c>
      <c r="J20" s="20">
        <f>SUMIFS(LANÇAMENTOS!$F$5:$F$1323,LANÇAMENTOS!$D$5:$D$1323,$A20,LANÇAMENTOS!$A$5:$A$1323,J$4,LANÇAMENTOS!$B$5:$B$1323,"Pago")</f>
        <v>6820.02</v>
      </c>
      <c r="K20" s="20">
        <f>SUMIFS(LANÇAMENTOS!$F$5:$F$1323,LANÇAMENTOS!$D$5:$D$1323,$A20,LANÇAMENTOS!$A$5:$A$1323,K$4,LANÇAMENTOS!$B$5:$B$1323,"Pago")</f>
        <v>4370.0</v>
      </c>
      <c r="L20" s="20">
        <f>SUMIFS(LANÇAMENTOS!$F$5:$F$1323,LANÇAMENTOS!$D$5:$D$1323,$A20,LANÇAMENTOS!$A$5:$A$1323,L$4,LANÇAMENTOS!$B$5:$B$1323,"Pago")</f>
        <v>100.0</v>
      </c>
      <c r="M20" s="20">
        <f>SUMIFS(LANÇAMENTOS!$F$5:$F$1323,LANÇAMENTOS!$D$5:$D$1323,$A20,LANÇAMENTOS!$A$5:$A$1323,M$4,LANÇAMENTOS!$B$5:$B$1323,"Pago")</f>
        <v>1700.0</v>
      </c>
      <c r="N20" s="20">
        <f>SUMIFS(LANÇAMENTOS!$F$5:$F$1323,LANÇAMENTOS!$D$5:$D$1323,$A20,LANÇAMENTOS!$A$5:$A$1323,N$4,LANÇAMENTOS!$B$5:$B$1323,"Pago")</f>
        <v>2809.64</v>
      </c>
      <c r="O20" s="20">
        <f>SUMIFS(LANÇAMENTOS!$F$5:$F$1323,LANÇAMENTOS!$D$5:$D$1323,$A20,LANÇAMENTOS!$A$5:$A$1323,O$4,LANÇAMENTOS!$B$5:$B$1323,"Pago")</f>
        <v>13797.089999999998</v>
      </c>
      <c r="P20" s="20">
        <f>SUMIFS(LANÇAMENTOS!$F$5:$F$1323,LANÇAMENTOS!$D$5:$D$1323,$A20,LANÇAMENTOS!$A$5:$A$1323,P$4,LANÇAMENTOS!$B$5:$B$1323,"Pago")</f>
        <v>6884.76</v>
      </c>
      <c r="Q20" s="20">
        <f>SUMIFS(LANÇAMENTOS!$F$5:$F$1323,LANÇAMENTOS!$D$5:$D$1323,$A20,LANÇAMENTOS!$A$5:$A$1323,Q$4,LANÇAMENTOS!$B$5:$B$1323,"Pago")</f>
        <v>16999.2</v>
      </c>
      <c r="R20" s="20">
        <f>SUMIFS(LANÇAMENTOS!$F$5:$F$1323,LANÇAMENTOS!$D$5:$D$1323,$A20,LANÇAMENTOS!$A$5:$A$1323,R$4,LANÇAMENTOS!$B$5:$B$1323,"Pago")</f>
        <v>12378.52</v>
      </c>
      <c r="S20" s="20">
        <f>SUMIFS(LANÇAMENTOS!$F$5:$F$1323,LANÇAMENTOS!$D$5:$D$1323,$A20,LANÇAMENTOS!$A$5:$A$1323,S$4,LANÇAMENTOS!$B$5:$B$1323,"Pago")</f>
        <v>10407.769998000002</v>
      </c>
      <c r="T20" s="20">
        <f>SUMIFS(LANÇAMENTOS!$F$5:$F$1323,LANÇAMENTOS!$D$5:$D$1323,$A20,LANÇAMENTOS!$A$5:$A$1323,T$4,LANÇAMENTOS!$B$5:$B$1323,"Pago")</f>
        <v>10025.859999999999</v>
      </c>
      <c r="U20" s="20">
        <f>SUMIFS(LANÇAMENTOS!$F$5:$F$1323,LANÇAMENTOS!$D$5:$D$1323,$A20,LANÇAMENTOS!$A$5:$A$1323,U$4,LANÇAMENTOS!$B$5:$B$1323,"Pago")</f>
        <v>13657.36</v>
      </c>
      <c r="V20" s="20">
        <f>SUMIFS(LANÇAMENTOS!$F$5:$F$1323,LANÇAMENTOS!$D$5:$D$1323,$A20,LANÇAMENTOS!$A$5:$A$1323,V$4,LANÇAMENTOS!$B$5:$B$1323,"Pago")</f>
        <v>11186.74</v>
      </c>
      <c r="W20" s="20">
        <f>SUMIFS(LANÇAMENTOS!$F$5:$F$1323,LANÇAMENTOS!$D$5:$D$1323,$A20,LANÇAMENTOS!$A$5:$A$1323,W$4,LANÇAMENTOS!$B$5:$B$1323,"Pago")</f>
        <v>11082.77</v>
      </c>
      <c r="X20" s="20">
        <f>SUMIFS(LANÇAMENTOS!$F$5:$F$1323,LANÇAMENTOS!$D$5:$D$1323,$A20,LANÇAMENTOS!$A$5:$A$1323,X$4,LANÇAMENTOS!$B$5:$B$1323,"Pago")</f>
        <v>14247.879999000004</v>
      </c>
      <c r="Y20" s="20">
        <f>SUMIFS(LANÇAMENTOS!$F$5:$F$1323,LANÇAMENTOS!$D$5:$D$1323,$A20,LANÇAMENTOS!$A$5:$A$1323,Y$4,LANÇAMENTOS!$B$5:$B$1323,"Pago")</f>
        <v>56209.190000999995</v>
      </c>
      <c r="Z20" s="20">
        <f>SUMIFS(LANÇAMENTOS!$F$5:$F$1323,LANÇAMENTOS!$D$5:$D$1323,$A20,LANÇAMENTOS!$A$5:$A$1323,Z$4,LANÇAMENTOS!$B$5:$B$1323,"Pago")</f>
        <v>27746.22</v>
      </c>
      <c r="AA20" s="20">
        <f>SUMIFS(LANÇAMENTOS!$F$5:$F$1323,LANÇAMENTOS!$D$5:$D$1323,$A20,LANÇAMENTOS!$A$5:$A$1323,AA$4,LANÇAMENTOS!$B$5:$B$1323,"Pago")</f>
        <v>13298.11</v>
      </c>
      <c r="AB20" s="20">
        <f>SUMIFS(LANÇAMENTOS!$F$5:$F$1323,LANÇAMENTOS!$D$5:$D$1323,$A20,LANÇAMENTOS!$A$5:$A$1323,AB$4,LANÇAMENTOS!$B$5:$B$1323,"Pago")</f>
        <v>11776.109997999998</v>
      </c>
      <c r="AC20" s="20">
        <f>SUMIFS(LANÇAMENTOS!$F$5:$F$1323,LANÇAMENTOS!$D$5:$D$1323,$A20,LANÇAMENTOS!$A$5:$A$1323,AC$4,LANÇAMENTOS!$B$5:$B$1323,"Pago")</f>
        <v>36881.690001</v>
      </c>
      <c r="AD20" s="20">
        <f>SUMIFS(LANÇAMENTOS!$F$5:$F$1323,LANÇAMENTOS!$D$5:$D$1323,$A20,LANÇAMENTOS!$A$5:$A$1323,AD$4,LANÇAMENTOS!$B$5:$B$1323,"Pago")</f>
        <v>9657.050000000001</v>
      </c>
      <c r="AE20" s="20">
        <f>SUMIFS(LANÇAMENTOS!$F$5:$F$1323,LANÇAMENTOS!$D$5:$D$1323,$A20,LANÇAMENTOS!$A$5:$A$1323,AE$4,LANÇAMENTOS!$B$5:$B$1323,"Pago")</f>
        <v>55107.740001</v>
      </c>
      <c r="AF20" s="20">
        <f>SUMIFS(LANÇAMENTOS!$F$5:$F$1323,LANÇAMENTOS!$D$5:$D$1323,$A20,LANÇAMENTOS!$A$5:$A$1323,AF$4,LANÇAMENTOS!$B$5:$B$1323,"Pago")</f>
        <v>9221.960000000001</v>
      </c>
      <c r="AG20" s="20">
        <f>SUMIFS(LANÇAMENTOS!$F$5:$F$1323,LANÇAMENTOS!$D$5:$D$1323,$A20,LANÇAMENTOS!$A$5:$A$1323,AG$4,LANÇAMENTOS!$B$5:$B$1323,"Pago")</f>
        <v>0.0</v>
      </c>
      <c r="AH20" s="20">
        <f>SUMIFS(LANÇAMENTOS!$F$5:$F$1323,LANÇAMENTOS!$D$5:$D$1323,$A20,LANÇAMENTOS!$A$5:$A$1323,AH$4,LANÇAMENTOS!$B$5:$B$1323,"Pago")</f>
        <v>0.0</v>
      </c>
      <c r="AI20" s="20">
        <f>SUMIFS(LANÇAMENTOS!$F$5:$F$1323,LANÇAMENTOS!$D$5:$D$1323,$A20,LANÇAMENTOS!$A$5:$A$1323,AI$4,LANÇAMENTOS!$B$5:$B$1323,"Pago")</f>
        <v>0.0</v>
      </c>
      <c r="AJ20" s="20">
        <f>SUMIFS(LANÇAMENTOS!$F$5:$F$1323,LANÇAMENTOS!$D$5:$D$1323,$A20,LANÇAMENTOS!$A$5:$A$1323,AJ$4,LANÇAMENTOS!$B$5:$B$1323,"Pago")</f>
        <v>0.0</v>
      </c>
      <c r="AK20" s="20">
        <f>SUMIFS(LANÇAMENTOS!$F$5:$F$1323,LANÇAMENTOS!$D$5:$D$1323,$A20,LANÇAMENTOS!$A$5:$A$1323,AK$4,LANÇAMENTOS!$B$5:$B$1323,"Pago")</f>
        <v>0.0</v>
      </c>
      <c r="AL20" s="20">
        <f>SUMIFS(LANÇAMENTOS!$F$5:$F$1323,LANÇAMENTOS!$D$5:$D$1323,$A20,LANÇAMENTOS!$A$5:$A$1323,AL$4,LANÇAMENTOS!$B$5:$B$1323,"Pago")</f>
        <v>0.0</v>
      </c>
      <c r="AM20" s="20">
        <f>SUMIFS(LANÇAMENTOS!$F$5:$F$1323,LANÇAMENTOS!$D$5:$D$1323,$A20,LANÇAMENTOS!$A$5:$A$1323,AM$4,LANÇAMENTOS!$B$5:$B$1323,"Pago")</f>
        <v>0.0</v>
      </c>
      <c r="AN20" s="20">
        <f>SUMIFS(LANÇAMENTOS!$F$5:$F$1323,LANÇAMENTOS!$D$5:$D$1323,$A20,LANÇAMENTOS!$A$5:$A$1323,AN$4,LANÇAMENTOS!$B$5:$B$1323,"Pago")</f>
        <v>0.0</v>
      </c>
      <c r="AO20" s="20">
        <f>SUMIFS(LANÇAMENTOS!$F$5:$F$1323,LANÇAMENTOS!$D$5:$D$1323,$A20,LANÇAMENTOS!$A$5:$A$1323,AO$4,LANÇAMENTOS!$B$5:$B$1323,"Pago")</f>
        <v>0.0</v>
      </c>
      <c r="AP20" s="20">
        <f>SUMIFS(LANÇAMENTOS!$F$5:$F$1323,LANÇAMENTOS!$D$5:$D$1323,$A20,LANÇAMENTOS!$A$5:$A$1323,AP$4,LANÇAMENTOS!$B$5:$B$1323,"Pago")</f>
        <v>0.0</v>
      </c>
      <c r="AQ20" s="20">
        <f>SUMIFS(LANÇAMENTOS!$F$5:$F$1323,LANÇAMENTOS!$D$5:$D$1323,$A20,LANÇAMENTOS!$A$5:$A$1323,AQ$4,LANÇAMENTOS!$B$5:$B$1323,"Pago")</f>
        <v>0.0</v>
      </c>
      <c r="AR20" s="20">
        <f>SUMIFS(LANÇAMENTOS!$F$5:$F$1323,LANÇAMENTOS!$D$5:$D$1323,$A20,LANÇAMENTOS!$A$5:$A$1323,AR$4,LANÇAMENTOS!$B$5:$B$1323,"Pago")</f>
        <v>0.0</v>
      </c>
      <c r="AS20" s="20">
        <f>SUMIFS(LANÇAMENTOS!$F$5:$F$1323,LANÇAMENTOS!$D$5:$D$1323,$A20,LANÇAMENTOS!$A$5:$A$1323,AS$4,LANÇAMENTOS!$B$5:$B$1323,"Pago")</f>
        <v>0.0</v>
      </c>
      <c r="AT20" s="20">
        <f>SUMIFS(LANÇAMENTOS!$F$5:$F$1323,LANÇAMENTOS!$D$5:$D$1323,$A20,LANÇAMENTOS!$A$5:$A$1323,AT$4,LANÇAMENTOS!$B$5:$B$1323,"Pago")</f>
        <v>0.0</v>
      </c>
      <c r="AU20" s="20">
        <f>SUMIFS(LANÇAMENTOS!$F$5:$F$1323,LANÇAMENTOS!$D$5:$D$1323,$A20,LANÇAMENTOS!$A$5:$A$1323,AU$4,LANÇAMENTOS!$B$5:$B$1323,"Pago")</f>
        <v>0.0</v>
      </c>
      <c r="AV20" s="20">
        <f>SUMIFS(LANÇAMENTOS!$F$5:$F$1323,LANÇAMENTOS!$D$5:$D$1323,$A20,LANÇAMENTOS!$A$5:$A$1323,AV$4,LANÇAMENTOS!$B$5:$B$1323,"Pago")</f>
        <v>0.0</v>
      </c>
      <c r="AW20" s="20">
        <f>SUMIFS(LANÇAMENTOS!$F$5:$F$1323,LANÇAMENTOS!$D$5:$D$1323,$A20,LANÇAMENTOS!$A$5:$A$1323,AW$4,LANÇAMENTOS!$B$5:$B$1323,"Pago")</f>
        <v>0.0</v>
      </c>
      <c r="AX20" s="20">
        <f>SUMIFS(LANÇAMENTOS!$F$5:$F$1323,LANÇAMENTOS!$D$5:$D$1323,$A20,LANÇAMENTOS!$A$5:$A$1323,AX$4,LANÇAMENTOS!$B$5:$B$1323,"Pago")</f>
        <v>0.0</v>
      </c>
      <c r="AY20" s="20">
        <f>SUMIFS(LANÇAMENTOS!$F$5:$F$1323,LANÇAMENTOS!$D$5:$D$1323,$A20,LANÇAMENTOS!$A$5:$A$1323,AY$4,LANÇAMENTOS!$B$5:$B$1323,"Pago")</f>
        <v>0.0</v>
      </c>
      <c r="AZ20" s="20">
        <f>SUMIFS(LANÇAMENTOS!$F$5:$F$1323,LANÇAMENTOS!$D$5:$D$1323,$A20,LANÇAMENTOS!$A$5:$A$1323,AZ$4,LANÇAMENTOS!$B$5:$B$1323,"Pago")</f>
        <v>0.0</v>
      </c>
      <c r="BA20" s="20">
        <f>SUMIFS(LANÇAMENTOS!$F$5:$F$1323,LANÇAMENTOS!$D$5:$D$1323,$A20,LANÇAMENTOS!$A$5:$A$1323,BA$4,LANÇAMENTOS!$B$5:$B$1323,"Pago")</f>
        <v>0.0</v>
      </c>
      <c r="BB20" s="20">
        <f>SUMIFS(LANÇAMENTOS!$F$5:$F$1323,LANÇAMENTOS!$D$5:$D$1323,$A20,LANÇAMENTOS!$A$5:$A$1323,BB$4,LANÇAMENTOS!$B$5:$B$1323,"Pago")</f>
        <v>0.0</v>
      </c>
      <c r="BC20" s="20">
        <f>SUMIFS(LANÇAMENTOS!$F$5:$F$1323,LANÇAMENTOS!$D$5:$D$1323,$A20,LANÇAMENTOS!$A$5:$A$1323,BC$4,LANÇAMENTOS!$B$5:$B$1323,"Pago")</f>
        <v>0.0</v>
      </c>
      <c r="BD20" s="20">
        <f>SUMIFS(LANÇAMENTOS!$F$5:$F$1323,LANÇAMENTOS!$D$5:$D$1323,$A20,LANÇAMENTOS!$A$5:$A$1323,BD$4,LANÇAMENTOS!$B$5:$B$1323,"Pago")</f>
        <v>0.0</v>
      </c>
      <c r="BE20" s="20">
        <f>SUMIFS(LANÇAMENTOS!$F$5:$F$1323,LANÇAMENTOS!$D$5:$D$1323,$A20,LANÇAMENTOS!$A$5:$A$1323,BE$4,LANÇAMENTOS!$B$5:$B$1323,"Pago")</f>
        <v>0.0</v>
      </c>
      <c r="BF20" s="20">
        <f>SUMIFS(LANÇAMENTOS!$F$5:$F$1323,LANÇAMENTOS!$D$5:$D$1323,$A20,LANÇAMENTOS!$A$5:$A$1323,BF$4,LANÇAMENTOS!$B$5:$B$1323,"Pago")</f>
        <v>0.0</v>
      </c>
      <c r="BG20" s="20">
        <f>SUMIFS(LANÇAMENTOS!$F$5:$F$1323,LANÇAMENTOS!$D$5:$D$1323,$A20,LANÇAMENTOS!$A$5:$A$1323,BG$4,LANÇAMENTOS!$B$5:$B$1323,"Pago")</f>
        <v>0.0</v>
      </c>
      <c r="BH20" s="20">
        <f>SUMIFS(LANÇAMENTOS!$F$5:$F$1323,LANÇAMENTOS!$D$5:$D$1323,$A20,LANÇAMENTOS!$A$5:$A$1323,BH$4,LANÇAMENTOS!$B$5:$B$1323,"Pago")</f>
        <v>0.0</v>
      </c>
      <c r="BI20" s="20">
        <f>SUMIFS(LANÇAMENTOS!$F$5:$F$1323,LANÇAMENTOS!$D$5:$D$1323,$A20,LANÇAMENTOS!$A$5:$A$1323,BI$4,LANÇAMENTOS!$B$5:$B$1323,"Pago")</f>
        <v>0.0</v>
      </c>
      <c r="BJ20" s="20">
        <f>SUMIFS(LANÇAMENTOS!$F$5:$F$1323,LANÇAMENTOS!$D$5:$D$1323,$A20,LANÇAMENTOS!$A$5:$A$1323,BJ$4,LANÇAMENTOS!$B$5:$B$1323,"Pago")</f>
        <v>0.0</v>
      </c>
      <c r="BK20" s="20">
        <f>SUMIFS(LANÇAMENTOS!$F$5:$F$1323,LANÇAMENTOS!$D$5:$D$1323,$A20,LANÇAMENTOS!$A$5:$A$1323,BK$4,LANÇAMENTOS!$B$5:$B$1323,"Pago")</f>
        <v>0.0</v>
      </c>
      <c r="BL20" s="20">
        <f>SUMIFS(LANÇAMENTOS!$F$5:$F$1323,LANÇAMENTOS!$D$5:$D$1323,$A20,LANÇAMENTOS!$A$5:$A$1323,BL$4,LANÇAMENTOS!$B$5:$B$1323,"Pago")</f>
        <v>0.0</v>
      </c>
    </row>
    <row r="21">
      <c r="A21" s="6" t="inlineStr">
        <is>
          <t>L04</t>
        </is>
      </c>
      <c r="B21" s="6" t="inlineStr">
        <is>
          <t>Bandejas de proteção</t>
        </is>
      </c>
      <c r="C21" s="19">
        <f>SUM(D21:BL21)</f>
        <v>92228.20000000001</v>
      </c>
      <c r="D21" s="20">
        <f>SUMIFS(LANÇAMENTOS!$F$5:$F$1323,LANÇAMENTOS!$D$5:$D$1323,$A21,LANÇAMENTOS!$A$5:$A$1323,D$4,LANÇAMENTOS!$B$5:$B$1323,"Pago")</f>
        <v>0.0</v>
      </c>
      <c r="E21" s="20">
        <f>SUMIFS(LANÇAMENTOS!$F$5:$F$1323,LANÇAMENTOS!$D$5:$D$1323,$A21,LANÇAMENTOS!$A$5:$A$1323,E$4,LANÇAMENTOS!$B$5:$B$1323,"Pago")</f>
        <v>0.0</v>
      </c>
      <c r="F21" s="20">
        <f>SUMIFS(LANÇAMENTOS!$F$5:$F$1323,LANÇAMENTOS!$D$5:$D$1323,$A21,LANÇAMENTOS!$A$5:$A$1323,F$4,LANÇAMENTOS!$B$5:$B$1323,"Pago")</f>
        <v>0.0</v>
      </c>
      <c r="G21" s="20">
        <f>SUMIFS(LANÇAMENTOS!$F$5:$F$1323,LANÇAMENTOS!$D$5:$D$1323,$A21,LANÇAMENTOS!$A$5:$A$1323,G$4,LANÇAMENTOS!$B$5:$B$1323,"Pago")</f>
        <v>0.0</v>
      </c>
      <c r="H21" s="20">
        <f>SUMIFS(LANÇAMENTOS!$F$5:$F$1323,LANÇAMENTOS!$D$5:$D$1323,$A21,LANÇAMENTOS!$A$5:$A$1323,H$4,LANÇAMENTOS!$B$5:$B$1323,"Pago")</f>
        <v>0.0</v>
      </c>
      <c r="I21" s="20">
        <f>SUMIFS(LANÇAMENTOS!$F$5:$F$1323,LANÇAMENTOS!$D$5:$D$1323,$A21,LANÇAMENTOS!$A$5:$A$1323,I$4,LANÇAMENTOS!$B$5:$B$1323,"Pago")</f>
        <v>0.0</v>
      </c>
      <c r="J21" s="20">
        <f>SUMIFS(LANÇAMENTOS!$F$5:$F$1323,LANÇAMENTOS!$D$5:$D$1323,$A21,LANÇAMENTOS!$A$5:$A$1323,J$4,LANÇAMENTOS!$B$5:$B$1323,"Pago")</f>
        <v>0.0</v>
      </c>
      <c r="K21" s="20">
        <f>SUMIFS(LANÇAMENTOS!$F$5:$F$1323,LANÇAMENTOS!$D$5:$D$1323,$A21,LANÇAMENTOS!$A$5:$A$1323,K$4,LANÇAMENTOS!$B$5:$B$1323,"Pago")</f>
        <v>0.0</v>
      </c>
      <c r="L21" s="20">
        <f>SUMIFS(LANÇAMENTOS!$F$5:$F$1323,LANÇAMENTOS!$D$5:$D$1323,$A21,LANÇAMENTOS!$A$5:$A$1323,L$4,LANÇAMENTOS!$B$5:$B$1323,"Pago")</f>
        <v>0.0</v>
      </c>
      <c r="M21" s="20">
        <f>SUMIFS(LANÇAMENTOS!$F$5:$F$1323,LANÇAMENTOS!$D$5:$D$1323,$A21,LANÇAMENTOS!$A$5:$A$1323,M$4,LANÇAMENTOS!$B$5:$B$1323,"Pago")</f>
        <v>0.0</v>
      </c>
      <c r="N21" s="20">
        <f>SUMIFS(LANÇAMENTOS!$F$5:$F$1323,LANÇAMENTOS!$D$5:$D$1323,$A21,LANÇAMENTOS!$A$5:$A$1323,N$4,LANÇAMENTOS!$B$5:$B$1323,"Pago")</f>
        <v>0.0</v>
      </c>
      <c r="O21" s="20">
        <f>SUMIFS(LANÇAMENTOS!$F$5:$F$1323,LANÇAMENTOS!$D$5:$D$1323,$A21,LANÇAMENTOS!$A$5:$A$1323,O$4,LANÇAMENTOS!$B$5:$B$1323,"Pago")</f>
        <v>0.0</v>
      </c>
      <c r="P21" s="20">
        <f>SUMIFS(LANÇAMENTOS!$F$5:$F$1323,LANÇAMENTOS!$D$5:$D$1323,$A21,LANÇAMENTOS!$A$5:$A$1323,P$4,LANÇAMENTOS!$B$5:$B$1323,"Pago")</f>
        <v>0.0</v>
      </c>
      <c r="Q21" s="20">
        <f>SUMIFS(LANÇAMENTOS!$F$5:$F$1323,LANÇAMENTOS!$D$5:$D$1323,$A21,LANÇAMENTOS!$A$5:$A$1323,Q$4,LANÇAMENTOS!$B$5:$B$1323,"Pago")</f>
        <v>0.0</v>
      </c>
      <c r="R21" s="20">
        <f>SUMIFS(LANÇAMENTOS!$F$5:$F$1323,LANÇAMENTOS!$D$5:$D$1323,$A21,LANÇAMENTOS!$A$5:$A$1323,R$4,LANÇAMENTOS!$B$5:$B$1323,"Pago")</f>
        <v>0.0</v>
      </c>
      <c r="S21" s="20">
        <f>SUMIFS(LANÇAMENTOS!$F$5:$F$1323,LANÇAMENTOS!$D$5:$D$1323,$A21,LANÇAMENTOS!$A$5:$A$1323,S$4,LANÇAMENTOS!$B$5:$B$1323,"Pago")</f>
        <v>0.0</v>
      </c>
      <c r="T21" s="20">
        <f>SUMIFS(LANÇAMENTOS!$F$5:$F$1323,LANÇAMENTOS!$D$5:$D$1323,$A21,LANÇAMENTOS!$A$5:$A$1323,T$4,LANÇAMENTOS!$B$5:$B$1323,"Pago")</f>
        <v>0.0</v>
      </c>
      <c r="U21" s="20">
        <f>SUMIFS(LANÇAMENTOS!$F$5:$F$1323,LANÇAMENTOS!$D$5:$D$1323,$A21,LANÇAMENTOS!$A$5:$A$1323,U$4,LANÇAMENTOS!$B$5:$B$1323,"Pago")</f>
        <v>12289.25</v>
      </c>
      <c r="V21" s="20">
        <f>SUMIFS(LANÇAMENTOS!$F$5:$F$1323,LANÇAMENTOS!$D$5:$D$1323,$A21,LANÇAMENTOS!$A$5:$A$1323,V$4,LANÇAMENTOS!$B$5:$B$1323,"Pago")</f>
        <v>12289.25</v>
      </c>
      <c r="W21" s="20">
        <f>SUMIFS(LANÇAMENTOS!$F$5:$F$1323,LANÇAMENTOS!$D$5:$D$1323,$A21,LANÇAMENTOS!$A$5:$A$1323,W$4,LANÇAMENTOS!$B$5:$B$1323,"Pago")</f>
        <v>0.0</v>
      </c>
      <c r="X21" s="20">
        <f>SUMIFS(LANÇAMENTOS!$F$5:$F$1323,LANÇAMENTOS!$D$5:$D$1323,$A21,LANÇAMENTOS!$A$5:$A$1323,X$4,LANÇAMENTOS!$B$5:$B$1323,"Pago")</f>
        <v>3063.91</v>
      </c>
      <c r="Y21" s="20">
        <f>SUMIFS(LANÇAMENTOS!$F$5:$F$1323,LANÇAMENTOS!$D$5:$D$1323,$A21,LANÇAMENTOS!$A$5:$A$1323,Y$4,LANÇAMENTOS!$B$5:$B$1323,"Pago")</f>
        <v>12715.0</v>
      </c>
      <c r="Z21" s="20">
        <f>SUMIFS(LANÇAMENTOS!$F$5:$F$1323,LANÇAMENTOS!$D$5:$D$1323,$A21,LANÇAMENTOS!$A$5:$A$1323,Z$4,LANÇAMENTOS!$B$5:$B$1323,"Pago")</f>
        <v>17797.04</v>
      </c>
      <c r="AA21" s="20">
        <f>SUMIFS(LANÇAMENTOS!$F$5:$F$1323,LANÇAMENTOS!$D$5:$D$1323,$A21,LANÇAMENTOS!$A$5:$A$1323,AA$4,LANÇAMENTOS!$B$5:$B$1323,"Pago")</f>
        <v>5082.05</v>
      </c>
      <c r="AB21" s="20">
        <f>SUMIFS(LANÇAMENTOS!$F$5:$F$1323,LANÇAMENTOS!$D$5:$D$1323,$A21,LANÇAMENTOS!$A$5:$A$1323,AB$4,LANÇAMENTOS!$B$5:$B$1323,"Pago")</f>
        <v>0.0</v>
      </c>
      <c r="AC21" s="20">
        <f>SUMIFS(LANÇAMENTOS!$F$5:$F$1323,LANÇAMENTOS!$D$5:$D$1323,$A21,LANÇAMENTOS!$A$5:$A$1323,AC$4,LANÇAMENTOS!$B$5:$B$1323,"Pago")</f>
        <v>16676.46</v>
      </c>
      <c r="AD21" s="20">
        <f>SUMIFS(LANÇAMENTOS!$F$5:$F$1323,LANÇAMENTOS!$D$5:$D$1323,$A21,LANÇAMENTOS!$A$5:$A$1323,AD$4,LANÇAMENTOS!$B$5:$B$1323,"Pago")</f>
        <v>12315.240000000002</v>
      </c>
      <c r="AE21" s="20">
        <f>SUMIFS(LANÇAMENTOS!$F$5:$F$1323,LANÇAMENTOS!$D$5:$D$1323,$A21,LANÇAMENTOS!$A$5:$A$1323,AE$4,LANÇAMENTOS!$B$5:$B$1323,"Pago")</f>
        <v>0.0</v>
      </c>
      <c r="AF21" s="20">
        <f>SUMIFS(LANÇAMENTOS!$F$5:$F$1323,LANÇAMENTOS!$D$5:$D$1323,$A21,LANÇAMENTOS!$A$5:$A$1323,AF$4,LANÇAMENTOS!$B$5:$B$1323,"Pago")</f>
        <v>0.0</v>
      </c>
      <c r="AG21" s="20">
        <f>SUMIFS(LANÇAMENTOS!$F$5:$F$1323,LANÇAMENTOS!$D$5:$D$1323,$A21,LANÇAMENTOS!$A$5:$A$1323,AG$4,LANÇAMENTOS!$B$5:$B$1323,"Pago")</f>
        <v>0.0</v>
      </c>
      <c r="AH21" s="20">
        <f>SUMIFS(LANÇAMENTOS!$F$5:$F$1323,LANÇAMENTOS!$D$5:$D$1323,$A21,LANÇAMENTOS!$A$5:$A$1323,AH$4,LANÇAMENTOS!$B$5:$B$1323,"Pago")</f>
        <v>0.0</v>
      </c>
      <c r="AI21" s="20">
        <f>SUMIFS(LANÇAMENTOS!$F$5:$F$1323,LANÇAMENTOS!$D$5:$D$1323,$A21,LANÇAMENTOS!$A$5:$A$1323,AI$4,LANÇAMENTOS!$B$5:$B$1323,"Pago")</f>
        <v>0.0</v>
      </c>
      <c r="AJ21" s="20">
        <f>SUMIFS(LANÇAMENTOS!$F$5:$F$1323,LANÇAMENTOS!$D$5:$D$1323,$A21,LANÇAMENTOS!$A$5:$A$1323,AJ$4,LANÇAMENTOS!$B$5:$B$1323,"Pago")</f>
        <v>0.0</v>
      </c>
      <c r="AK21" s="20">
        <f>SUMIFS(LANÇAMENTOS!$F$5:$F$1323,LANÇAMENTOS!$D$5:$D$1323,$A21,LANÇAMENTOS!$A$5:$A$1323,AK$4,LANÇAMENTOS!$B$5:$B$1323,"Pago")</f>
        <v>0.0</v>
      </c>
      <c r="AL21" s="20">
        <f>SUMIFS(LANÇAMENTOS!$F$5:$F$1323,LANÇAMENTOS!$D$5:$D$1323,$A21,LANÇAMENTOS!$A$5:$A$1323,AL$4,LANÇAMENTOS!$B$5:$B$1323,"Pago")</f>
        <v>0.0</v>
      </c>
      <c r="AM21" s="20">
        <f>SUMIFS(LANÇAMENTOS!$F$5:$F$1323,LANÇAMENTOS!$D$5:$D$1323,$A21,LANÇAMENTOS!$A$5:$A$1323,AM$4,LANÇAMENTOS!$B$5:$B$1323,"Pago")</f>
        <v>0.0</v>
      </c>
      <c r="AN21" s="20">
        <f>SUMIFS(LANÇAMENTOS!$F$5:$F$1323,LANÇAMENTOS!$D$5:$D$1323,$A21,LANÇAMENTOS!$A$5:$A$1323,AN$4,LANÇAMENTOS!$B$5:$B$1323,"Pago")</f>
        <v>0.0</v>
      </c>
      <c r="AO21" s="20">
        <f>SUMIFS(LANÇAMENTOS!$F$5:$F$1323,LANÇAMENTOS!$D$5:$D$1323,$A21,LANÇAMENTOS!$A$5:$A$1323,AO$4,LANÇAMENTOS!$B$5:$B$1323,"Pago")</f>
        <v>0.0</v>
      </c>
      <c r="AP21" s="20">
        <f>SUMIFS(LANÇAMENTOS!$F$5:$F$1323,LANÇAMENTOS!$D$5:$D$1323,$A21,LANÇAMENTOS!$A$5:$A$1323,AP$4,LANÇAMENTOS!$B$5:$B$1323,"Pago")</f>
        <v>0.0</v>
      </c>
      <c r="AQ21" s="20">
        <f>SUMIFS(LANÇAMENTOS!$F$5:$F$1323,LANÇAMENTOS!$D$5:$D$1323,$A21,LANÇAMENTOS!$A$5:$A$1323,AQ$4,LANÇAMENTOS!$B$5:$B$1323,"Pago")</f>
        <v>0.0</v>
      </c>
      <c r="AR21" s="20">
        <f>SUMIFS(LANÇAMENTOS!$F$5:$F$1323,LANÇAMENTOS!$D$5:$D$1323,$A21,LANÇAMENTOS!$A$5:$A$1323,AR$4,LANÇAMENTOS!$B$5:$B$1323,"Pago")</f>
        <v>0.0</v>
      </c>
      <c r="AS21" s="20">
        <f>SUMIFS(LANÇAMENTOS!$F$5:$F$1323,LANÇAMENTOS!$D$5:$D$1323,$A21,LANÇAMENTOS!$A$5:$A$1323,AS$4,LANÇAMENTOS!$B$5:$B$1323,"Pago")</f>
        <v>0.0</v>
      </c>
      <c r="AT21" s="20">
        <f>SUMIFS(LANÇAMENTOS!$F$5:$F$1323,LANÇAMENTOS!$D$5:$D$1323,$A21,LANÇAMENTOS!$A$5:$A$1323,AT$4,LANÇAMENTOS!$B$5:$B$1323,"Pago")</f>
        <v>0.0</v>
      </c>
      <c r="AU21" s="20">
        <f>SUMIFS(LANÇAMENTOS!$F$5:$F$1323,LANÇAMENTOS!$D$5:$D$1323,$A21,LANÇAMENTOS!$A$5:$A$1323,AU$4,LANÇAMENTOS!$B$5:$B$1323,"Pago")</f>
        <v>0.0</v>
      </c>
      <c r="AV21" s="20">
        <f>SUMIFS(LANÇAMENTOS!$F$5:$F$1323,LANÇAMENTOS!$D$5:$D$1323,$A21,LANÇAMENTOS!$A$5:$A$1323,AV$4,LANÇAMENTOS!$B$5:$B$1323,"Pago")</f>
        <v>0.0</v>
      </c>
      <c r="AW21" s="20">
        <f>SUMIFS(LANÇAMENTOS!$F$5:$F$1323,LANÇAMENTOS!$D$5:$D$1323,$A21,LANÇAMENTOS!$A$5:$A$1323,AW$4,LANÇAMENTOS!$B$5:$B$1323,"Pago")</f>
        <v>0.0</v>
      </c>
      <c r="AX21" s="20">
        <f>SUMIFS(LANÇAMENTOS!$F$5:$F$1323,LANÇAMENTOS!$D$5:$D$1323,$A21,LANÇAMENTOS!$A$5:$A$1323,AX$4,LANÇAMENTOS!$B$5:$B$1323,"Pago")</f>
        <v>0.0</v>
      </c>
      <c r="AY21" s="20">
        <f>SUMIFS(LANÇAMENTOS!$F$5:$F$1323,LANÇAMENTOS!$D$5:$D$1323,$A21,LANÇAMENTOS!$A$5:$A$1323,AY$4,LANÇAMENTOS!$B$5:$B$1323,"Pago")</f>
        <v>0.0</v>
      </c>
      <c r="AZ21" s="20">
        <f>SUMIFS(LANÇAMENTOS!$F$5:$F$1323,LANÇAMENTOS!$D$5:$D$1323,$A21,LANÇAMENTOS!$A$5:$A$1323,AZ$4,LANÇAMENTOS!$B$5:$B$1323,"Pago")</f>
        <v>0.0</v>
      </c>
      <c r="BA21" s="20">
        <f>SUMIFS(LANÇAMENTOS!$F$5:$F$1323,LANÇAMENTOS!$D$5:$D$1323,$A21,LANÇAMENTOS!$A$5:$A$1323,BA$4,LANÇAMENTOS!$B$5:$B$1323,"Pago")</f>
        <v>0.0</v>
      </c>
      <c r="BB21" s="20">
        <f>SUMIFS(LANÇAMENTOS!$F$5:$F$1323,LANÇAMENTOS!$D$5:$D$1323,$A21,LANÇAMENTOS!$A$5:$A$1323,BB$4,LANÇAMENTOS!$B$5:$B$1323,"Pago")</f>
        <v>0.0</v>
      </c>
      <c r="BC21" s="20">
        <f>SUMIFS(LANÇAMENTOS!$F$5:$F$1323,LANÇAMENTOS!$D$5:$D$1323,$A21,LANÇAMENTOS!$A$5:$A$1323,BC$4,LANÇAMENTOS!$B$5:$B$1323,"Pago")</f>
        <v>0.0</v>
      </c>
      <c r="BD21" s="20">
        <f>SUMIFS(LANÇAMENTOS!$F$5:$F$1323,LANÇAMENTOS!$D$5:$D$1323,$A21,LANÇAMENTOS!$A$5:$A$1323,BD$4,LANÇAMENTOS!$B$5:$B$1323,"Pago")</f>
        <v>0.0</v>
      </c>
      <c r="BE21" s="20">
        <f>SUMIFS(LANÇAMENTOS!$F$5:$F$1323,LANÇAMENTOS!$D$5:$D$1323,$A21,LANÇAMENTOS!$A$5:$A$1323,BE$4,LANÇAMENTOS!$B$5:$B$1323,"Pago")</f>
        <v>0.0</v>
      </c>
      <c r="BF21" s="20">
        <f>SUMIFS(LANÇAMENTOS!$F$5:$F$1323,LANÇAMENTOS!$D$5:$D$1323,$A21,LANÇAMENTOS!$A$5:$A$1323,BF$4,LANÇAMENTOS!$B$5:$B$1323,"Pago")</f>
        <v>0.0</v>
      </c>
      <c r="BG21" s="20">
        <f>SUMIFS(LANÇAMENTOS!$F$5:$F$1323,LANÇAMENTOS!$D$5:$D$1323,$A21,LANÇAMENTOS!$A$5:$A$1323,BG$4,LANÇAMENTOS!$B$5:$B$1323,"Pago")</f>
        <v>0.0</v>
      </c>
      <c r="BH21" s="20">
        <f>SUMIFS(LANÇAMENTOS!$F$5:$F$1323,LANÇAMENTOS!$D$5:$D$1323,$A21,LANÇAMENTOS!$A$5:$A$1323,BH$4,LANÇAMENTOS!$B$5:$B$1323,"Pago")</f>
        <v>0.0</v>
      </c>
      <c r="BI21" s="20">
        <f>SUMIFS(LANÇAMENTOS!$F$5:$F$1323,LANÇAMENTOS!$D$5:$D$1323,$A21,LANÇAMENTOS!$A$5:$A$1323,BI$4,LANÇAMENTOS!$B$5:$B$1323,"Pago")</f>
        <v>0.0</v>
      </c>
      <c r="BJ21" s="20">
        <f>SUMIFS(LANÇAMENTOS!$F$5:$F$1323,LANÇAMENTOS!$D$5:$D$1323,$A21,LANÇAMENTOS!$A$5:$A$1323,BJ$4,LANÇAMENTOS!$B$5:$B$1323,"Pago")</f>
        <v>0.0</v>
      </c>
      <c r="BK21" s="20">
        <f>SUMIFS(LANÇAMENTOS!$F$5:$F$1323,LANÇAMENTOS!$D$5:$D$1323,$A21,LANÇAMENTOS!$A$5:$A$1323,BK$4,LANÇAMENTOS!$B$5:$B$1323,"Pago")</f>
        <v>0.0</v>
      </c>
      <c r="BL21" s="20">
        <f>SUMIFS(LANÇAMENTOS!$F$5:$F$1323,LANÇAMENTOS!$D$5:$D$1323,$A21,LANÇAMENTOS!$A$5:$A$1323,BL$4,LANÇAMENTOS!$B$5:$B$1323,"Pago")</f>
        <v>0.0</v>
      </c>
    </row>
    <row r="22">
      <c r="A22" s="6" t="inlineStr">
        <is>
          <t>L05</t>
        </is>
      </c>
      <c r="B22" s="6" t="inlineStr">
        <is>
          <t>Elevador cremalheira</t>
        </is>
      </c>
      <c r="C22" s="19">
        <f>SUM(D22:BL22)</f>
        <v>0.0</v>
      </c>
      <c r="D22" s="20">
        <f>SUMIFS(LANÇAMENTOS!$F$5:$F$1323,LANÇAMENTOS!$D$5:$D$1323,$A22,LANÇAMENTOS!$A$5:$A$1323,D$4,LANÇAMENTOS!$B$5:$B$1323,"Pago")</f>
        <v>0.0</v>
      </c>
      <c r="E22" s="20">
        <f>SUMIFS(LANÇAMENTOS!$F$5:$F$1323,LANÇAMENTOS!$D$5:$D$1323,$A22,LANÇAMENTOS!$A$5:$A$1323,E$4,LANÇAMENTOS!$B$5:$B$1323,"Pago")</f>
        <v>0.0</v>
      </c>
      <c r="F22" s="20">
        <f>SUMIFS(LANÇAMENTOS!$F$5:$F$1323,LANÇAMENTOS!$D$5:$D$1323,$A22,LANÇAMENTOS!$A$5:$A$1323,F$4,LANÇAMENTOS!$B$5:$B$1323,"Pago")</f>
        <v>0.0</v>
      </c>
      <c r="G22" s="20">
        <f>SUMIFS(LANÇAMENTOS!$F$5:$F$1323,LANÇAMENTOS!$D$5:$D$1323,$A22,LANÇAMENTOS!$A$5:$A$1323,G$4,LANÇAMENTOS!$B$5:$B$1323,"Pago")</f>
        <v>0.0</v>
      </c>
      <c r="H22" s="20">
        <f>SUMIFS(LANÇAMENTOS!$F$5:$F$1323,LANÇAMENTOS!$D$5:$D$1323,$A22,LANÇAMENTOS!$A$5:$A$1323,H$4,LANÇAMENTOS!$B$5:$B$1323,"Pago")</f>
        <v>0.0</v>
      </c>
      <c r="I22" s="20">
        <f>SUMIFS(LANÇAMENTOS!$F$5:$F$1323,LANÇAMENTOS!$D$5:$D$1323,$A22,LANÇAMENTOS!$A$5:$A$1323,I$4,LANÇAMENTOS!$B$5:$B$1323,"Pago")</f>
        <v>0.0</v>
      </c>
      <c r="J22" s="20">
        <f>SUMIFS(LANÇAMENTOS!$F$5:$F$1323,LANÇAMENTOS!$D$5:$D$1323,$A22,LANÇAMENTOS!$A$5:$A$1323,J$4,LANÇAMENTOS!$B$5:$B$1323,"Pago")</f>
        <v>0.0</v>
      </c>
      <c r="K22" s="20">
        <f>SUMIFS(LANÇAMENTOS!$F$5:$F$1323,LANÇAMENTOS!$D$5:$D$1323,$A22,LANÇAMENTOS!$A$5:$A$1323,K$4,LANÇAMENTOS!$B$5:$B$1323,"Pago")</f>
        <v>0.0</v>
      </c>
      <c r="L22" s="20">
        <f>SUMIFS(LANÇAMENTOS!$F$5:$F$1323,LANÇAMENTOS!$D$5:$D$1323,$A22,LANÇAMENTOS!$A$5:$A$1323,L$4,LANÇAMENTOS!$B$5:$B$1323,"Pago")</f>
        <v>0.0</v>
      </c>
      <c r="M22" s="20">
        <f>SUMIFS(LANÇAMENTOS!$F$5:$F$1323,LANÇAMENTOS!$D$5:$D$1323,$A22,LANÇAMENTOS!$A$5:$A$1323,M$4,LANÇAMENTOS!$B$5:$B$1323,"Pago")</f>
        <v>0.0</v>
      </c>
      <c r="N22" s="20">
        <f>SUMIFS(LANÇAMENTOS!$F$5:$F$1323,LANÇAMENTOS!$D$5:$D$1323,$A22,LANÇAMENTOS!$A$5:$A$1323,N$4,LANÇAMENTOS!$B$5:$B$1323,"Pago")</f>
        <v>0.0</v>
      </c>
      <c r="O22" s="20">
        <f>SUMIFS(LANÇAMENTOS!$F$5:$F$1323,LANÇAMENTOS!$D$5:$D$1323,$A22,LANÇAMENTOS!$A$5:$A$1323,O$4,LANÇAMENTOS!$B$5:$B$1323,"Pago")</f>
        <v>0.0</v>
      </c>
      <c r="P22" s="20">
        <f>SUMIFS(LANÇAMENTOS!$F$5:$F$1323,LANÇAMENTOS!$D$5:$D$1323,$A22,LANÇAMENTOS!$A$5:$A$1323,P$4,LANÇAMENTOS!$B$5:$B$1323,"Pago")</f>
        <v>0.0</v>
      </c>
      <c r="Q22" s="20">
        <f>SUMIFS(LANÇAMENTOS!$F$5:$F$1323,LANÇAMENTOS!$D$5:$D$1323,$A22,LANÇAMENTOS!$A$5:$A$1323,Q$4,LANÇAMENTOS!$B$5:$B$1323,"Pago")</f>
        <v>0.0</v>
      </c>
      <c r="R22" s="20">
        <f>SUMIFS(LANÇAMENTOS!$F$5:$F$1323,LANÇAMENTOS!$D$5:$D$1323,$A22,LANÇAMENTOS!$A$5:$A$1323,R$4,LANÇAMENTOS!$B$5:$B$1323,"Pago")</f>
        <v>0.0</v>
      </c>
      <c r="S22" s="20">
        <f>SUMIFS(LANÇAMENTOS!$F$5:$F$1323,LANÇAMENTOS!$D$5:$D$1323,$A22,LANÇAMENTOS!$A$5:$A$1323,S$4,LANÇAMENTOS!$B$5:$B$1323,"Pago")</f>
        <v>0.0</v>
      </c>
      <c r="T22" s="20">
        <f>SUMIFS(LANÇAMENTOS!$F$5:$F$1323,LANÇAMENTOS!$D$5:$D$1323,$A22,LANÇAMENTOS!$A$5:$A$1323,T$4,LANÇAMENTOS!$B$5:$B$1323,"Pago")</f>
        <v>0.0</v>
      </c>
      <c r="U22" s="20">
        <f>SUMIFS(LANÇAMENTOS!$F$5:$F$1323,LANÇAMENTOS!$D$5:$D$1323,$A22,LANÇAMENTOS!$A$5:$A$1323,U$4,LANÇAMENTOS!$B$5:$B$1323,"Pago")</f>
        <v>0.0</v>
      </c>
      <c r="V22" s="20">
        <f>SUMIFS(LANÇAMENTOS!$F$5:$F$1323,LANÇAMENTOS!$D$5:$D$1323,$A22,LANÇAMENTOS!$A$5:$A$1323,V$4,LANÇAMENTOS!$B$5:$B$1323,"Pago")</f>
        <v>0.0</v>
      </c>
      <c r="W22" s="20">
        <f>SUMIFS(LANÇAMENTOS!$F$5:$F$1323,LANÇAMENTOS!$D$5:$D$1323,$A22,LANÇAMENTOS!$A$5:$A$1323,W$4,LANÇAMENTOS!$B$5:$B$1323,"Pago")</f>
        <v>0.0</v>
      </c>
      <c r="X22" s="20">
        <f>SUMIFS(LANÇAMENTOS!$F$5:$F$1323,LANÇAMENTOS!$D$5:$D$1323,$A22,LANÇAMENTOS!$A$5:$A$1323,X$4,LANÇAMENTOS!$B$5:$B$1323,"Pago")</f>
        <v>0.0</v>
      </c>
      <c r="Y22" s="20">
        <f>SUMIFS(LANÇAMENTOS!$F$5:$F$1323,LANÇAMENTOS!$D$5:$D$1323,$A22,LANÇAMENTOS!$A$5:$A$1323,Y$4,LANÇAMENTOS!$B$5:$B$1323,"Pago")</f>
        <v>0.0</v>
      </c>
      <c r="Z22" s="20">
        <f>SUMIFS(LANÇAMENTOS!$F$5:$F$1323,LANÇAMENTOS!$D$5:$D$1323,$A22,LANÇAMENTOS!$A$5:$A$1323,Z$4,LANÇAMENTOS!$B$5:$B$1323,"Pago")</f>
        <v>0.0</v>
      </c>
      <c r="AA22" s="20">
        <f>SUMIFS(LANÇAMENTOS!$F$5:$F$1323,LANÇAMENTOS!$D$5:$D$1323,$A22,LANÇAMENTOS!$A$5:$A$1323,AA$4,LANÇAMENTOS!$B$5:$B$1323,"Pago")</f>
        <v>0.0</v>
      </c>
      <c r="AB22" s="20">
        <f>SUMIFS(LANÇAMENTOS!$F$5:$F$1323,LANÇAMENTOS!$D$5:$D$1323,$A22,LANÇAMENTOS!$A$5:$A$1323,AB$4,LANÇAMENTOS!$B$5:$B$1323,"Pago")</f>
        <v>0.0</v>
      </c>
      <c r="AC22" s="20">
        <f>SUMIFS(LANÇAMENTOS!$F$5:$F$1323,LANÇAMENTOS!$D$5:$D$1323,$A22,LANÇAMENTOS!$A$5:$A$1323,AC$4,LANÇAMENTOS!$B$5:$B$1323,"Pago")</f>
        <v>0.0</v>
      </c>
      <c r="AD22" s="20">
        <f>SUMIFS(LANÇAMENTOS!$F$5:$F$1323,LANÇAMENTOS!$D$5:$D$1323,$A22,LANÇAMENTOS!$A$5:$A$1323,AD$4,LANÇAMENTOS!$B$5:$B$1323,"Pago")</f>
        <v>0.0</v>
      </c>
      <c r="AE22" s="20">
        <f>SUMIFS(LANÇAMENTOS!$F$5:$F$1323,LANÇAMENTOS!$D$5:$D$1323,$A22,LANÇAMENTOS!$A$5:$A$1323,AE$4,LANÇAMENTOS!$B$5:$B$1323,"Pago")</f>
        <v>0.0</v>
      </c>
      <c r="AF22" s="20">
        <f>SUMIFS(LANÇAMENTOS!$F$5:$F$1323,LANÇAMENTOS!$D$5:$D$1323,$A22,LANÇAMENTOS!$A$5:$A$1323,AF$4,LANÇAMENTOS!$B$5:$B$1323,"Pago")</f>
        <v>0.0</v>
      </c>
      <c r="AG22" s="20">
        <f>SUMIFS(LANÇAMENTOS!$F$5:$F$1323,LANÇAMENTOS!$D$5:$D$1323,$A22,LANÇAMENTOS!$A$5:$A$1323,AG$4,LANÇAMENTOS!$B$5:$B$1323,"Pago")</f>
        <v>0.0</v>
      </c>
      <c r="AH22" s="20">
        <f>SUMIFS(LANÇAMENTOS!$F$5:$F$1323,LANÇAMENTOS!$D$5:$D$1323,$A22,LANÇAMENTOS!$A$5:$A$1323,AH$4,LANÇAMENTOS!$B$5:$B$1323,"Pago")</f>
        <v>0.0</v>
      </c>
      <c r="AI22" s="20">
        <f>SUMIFS(LANÇAMENTOS!$F$5:$F$1323,LANÇAMENTOS!$D$5:$D$1323,$A22,LANÇAMENTOS!$A$5:$A$1323,AI$4,LANÇAMENTOS!$B$5:$B$1323,"Pago")</f>
        <v>0.0</v>
      </c>
      <c r="AJ22" s="20">
        <f>SUMIFS(LANÇAMENTOS!$F$5:$F$1323,LANÇAMENTOS!$D$5:$D$1323,$A22,LANÇAMENTOS!$A$5:$A$1323,AJ$4,LANÇAMENTOS!$B$5:$B$1323,"Pago")</f>
        <v>0.0</v>
      </c>
      <c r="AK22" s="20">
        <f>SUMIFS(LANÇAMENTOS!$F$5:$F$1323,LANÇAMENTOS!$D$5:$D$1323,$A22,LANÇAMENTOS!$A$5:$A$1323,AK$4,LANÇAMENTOS!$B$5:$B$1323,"Pago")</f>
        <v>0.0</v>
      </c>
      <c r="AL22" s="20">
        <f>SUMIFS(LANÇAMENTOS!$F$5:$F$1323,LANÇAMENTOS!$D$5:$D$1323,$A22,LANÇAMENTOS!$A$5:$A$1323,AL$4,LANÇAMENTOS!$B$5:$B$1323,"Pago")</f>
        <v>0.0</v>
      </c>
      <c r="AM22" s="20">
        <f>SUMIFS(LANÇAMENTOS!$F$5:$F$1323,LANÇAMENTOS!$D$5:$D$1323,$A22,LANÇAMENTOS!$A$5:$A$1323,AM$4,LANÇAMENTOS!$B$5:$B$1323,"Pago")</f>
        <v>0.0</v>
      </c>
      <c r="AN22" s="20">
        <f>SUMIFS(LANÇAMENTOS!$F$5:$F$1323,LANÇAMENTOS!$D$5:$D$1323,$A22,LANÇAMENTOS!$A$5:$A$1323,AN$4,LANÇAMENTOS!$B$5:$B$1323,"Pago")</f>
        <v>0.0</v>
      </c>
      <c r="AO22" s="20">
        <f>SUMIFS(LANÇAMENTOS!$F$5:$F$1323,LANÇAMENTOS!$D$5:$D$1323,$A22,LANÇAMENTOS!$A$5:$A$1323,AO$4,LANÇAMENTOS!$B$5:$B$1323,"Pago")</f>
        <v>0.0</v>
      </c>
      <c r="AP22" s="20">
        <f>SUMIFS(LANÇAMENTOS!$F$5:$F$1323,LANÇAMENTOS!$D$5:$D$1323,$A22,LANÇAMENTOS!$A$5:$A$1323,AP$4,LANÇAMENTOS!$B$5:$B$1323,"Pago")</f>
        <v>0.0</v>
      </c>
      <c r="AQ22" s="20">
        <f>SUMIFS(LANÇAMENTOS!$F$5:$F$1323,LANÇAMENTOS!$D$5:$D$1323,$A22,LANÇAMENTOS!$A$5:$A$1323,AQ$4,LANÇAMENTOS!$B$5:$B$1323,"Pago")</f>
        <v>0.0</v>
      </c>
      <c r="AR22" s="20">
        <f>SUMIFS(LANÇAMENTOS!$F$5:$F$1323,LANÇAMENTOS!$D$5:$D$1323,$A22,LANÇAMENTOS!$A$5:$A$1323,AR$4,LANÇAMENTOS!$B$5:$B$1323,"Pago")</f>
        <v>0.0</v>
      </c>
      <c r="AS22" s="20">
        <f>SUMIFS(LANÇAMENTOS!$F$5:$F$1323,LANÇAMENTOS!$D$5:$D$1323,$A22,LANÇAMENTOS!$A$5:$A$1323,AS$4,LANÇAMENTOS!$B$5:$B$1323,"Pago")</f>
        <v>0.0</v>
      </c>
      <c r="AT22" s="20">
        <f>SUMIFS(LANÇAMENTOS!$F$5:$F$1323,LANÇAMENTOS!$D$5:$D$1323,$A22,LANÇAMENTOS!$A$5:$A$1323,AT$4,LANÇAMENTOS!$B$5:$B$1323,"Pago")</f>
        <v>0.0</v>
      </c>
      <c r="AU22" s="20">
        <f>SUMIFS(LANÇAMENTOS!$F$5:$F$1323,LANÇAMENTOS!$D$5:$D$1323,$A22,LANÇAMENTOS!$A$5:$A$1323,AU$4,LANÇAMENTOS!$B$5:$B$1323,"Pago")</f>
        <v>0.0</v>
      </c>
      <c r="AV22" s="20">
        <f>SUMIFS(LANÇAMENTOS!$F$5:$F$1323,LANÇAMENTOS!$D$5:$D$1323,$A22,LANÇAMENTOS!$A$5:$A$1323,AV$4,LANÇAMENTOS!$B$5:$B$1323,"Pago")</f>
        <v>0.0</v>
      </c>
      <c r="AW22" s="20">
        <f>SUMIFS(LANÇAMENTOS!$F$5:$F$1323,LANÇAMENTOS!$D$5:$D$1323,$A22,LANÇAMENTOS!$A$5:$A$1323,AW$4,LANÇAMENTOS!$B$5:$B$1323,"Pago")</f>
        <v>0.0</v>
      </c>
      <c r="AX22" s="20">
        <f>SUMIFS(LANÇAMENTOS!$F$5:$F$1323,LANÇAMENTOS!$D$5:$D$1323,$A22,LANÇAMENTOS!$A$5:$A$1323,AX$4,LANÇAMENTOS!$B$5:$B$1323,"Pago")</f>
        <v>0.0</v>
      </c>
      <c r="AY22" s="20">
        <f>SUMIFS(LANÇAMENTOS!$F$5:$F$1323,LANÇAMENTOS!$D$5:$D$1323,$A22,LANÇAMENTOS!$A$5:$A$1323,AY$4,LANÇAMENTOS!$B$5:$B$1323,"Pago")</f>
        <v>0.0</v>
      </c>
      <c r="AZ22" s="20">
        <f>SUMIFS(LANÇAMENTOS!$F$5:$F$1323,LANÇAMENTOS!$D$5:$D$1323,$A22,LANÇAMENTOS!$A$5:$A$1323,AZ$4,LANÇAMENTOS!$B$5:$B$1323,"Pago")</f>
        <v>0.0</v>
      </c>
      <c r="BA22" s="20">
        <f>SUMIFS(LANÇAMENTOS!$F$5:$F$1323,LANÇAMENTOS!$D$5:$D$1323,$A22,LANÇAMENTOS!$A$5:$A$1323,BA$4,LANÇAMENTOS!$B$5:$B$1323,"Pago")</f>
        <v>0.0</v>
      </c>
      <c r="BB22" s="20">
        <f>SUMIFS(LANÇAMENTOS!$F$5:$F$1323,LANÇAMENTOS!$D$5:$D$1323,$A22,LANÇAMENTOS!$A$5:$A$1323,BB$4,LANÇAMENTOS!$B$5:$B$1323,"Pago")</f>
        <v>0.0</v>
      </c>
      <c r="BC22" s="20">
        <f>SUMIFS(LANÇAMENTOS!$F$5:$F$1323,LANÇAMENTOS!$D$5:$D$1323,$A22,LANÇAMENTOS!$A$5:$A$1323,BC$4,LANÇAMENTOS!$B$5:$B$1323,"Pago")</f>
        <v>0.0</v>
      </c>
      <c r="BD22" s="20">
        <f>SUMIFS(LANÇAMENTOS!$F$5:$F$1323,LANÇAMENTOS!$D$5:$D$1323,$A22,LANÇAMENTOS!$A$5:$A$1323,BD$4,LANÇAMENTOS!$B$5:$B$1323,"Pago")</f>
        <v>0.0</v>
      </c>
      <c r="BE22" s="20">
        <f>SUMIFS(LANÇAMENTOS!$F$5:$F$1323,LANÇAMENTOS!$D$5:$D$1323,$A22,LANÇAMENTOS!$A$5:$A$1323,BE$4,LANÇAMENTOS!$B$5:$B$1323,"Pago")</f>
        <v>0.0</v>
      </c>
      <c r="BF22" s="20">
        <f>SUMIFS(LANÇAMENTOS!$F$5:$F$1323,LANÇAMENTOS!$D$5:$D$1323,$A22,LANÇAMENTOS!$A$5:$A$1323,BF$4,LANÇAMENTOS!$B$5:$B$1323,"Pago")</f>
        <v>0.0</v>
      </c>
      <c r="BG22" s="20">
        <f>SUMIFS(LANÇAMENTOS!$F$5:$F$1323,LANÇAMENTOS!$D$5:$D$1323,$A22,LANÇAMENTOS!$A$5:$A$1323,BG$4,LANÇAMENTOS!$B$5:$B$1323,"Pago")</f>
        <v>0.0</v>
      </c>
      <c r="BH22" s="20">
        <f>SUMIFS(LANÇAMENTOS!$F$5:$F$1323,LANÇAMENTOS!$D$5:$D$1323,$A22,LANÇAMENTOS!$A$5:$A$1323,BH$4,LANÇAMENTOS!$B$5:$B$1323,"Pago")</f>
        <v>0.0</v>
      </c>
      <c r="BI22" s="20">
        <f>SUMIFS(LANÇAMENTOS!$F$5:$F$1323,LANÇAMENTOS!$D$5:$D$1323,$A22,LANÇAMENTOS!$A$5:$A$1323,BI$4,LANÇAMENTOS!$B$5:$B$1323,"Pago")</f>
        <v>0.0</v>
      </c>
      <c r="BJ22" s="20">
        <f>SUMIFS(LANÇAMENTOS!$F$5:$F$1323,LANÇAMENTOS!$D$5:$D$1323,$A22,LANÇAMENTOS!$A$5:$A$1323,BJ$4,LANÇAMENTOS!$B$5:$B$1323,"Pago")</f>
        <v>0.0</v>
      </c>
      <c r="BK22" s="20">
        <f>SUMIFS(LANÇAMENTOS!$F$5:$F$1323,LANÇAMENTOS!$D$5:$D$1323,$A22,LANÇAMENTOS!$A$5:$A$1323,BK$4,LANÇAMENTOS!$B$5:$B$1323,"Pago")</f>
        <v>0.0</v>
      </c>
      <c r="BL22" s="20">
        <f>SUMIFS(LANÇAMENTOS!$F$5:$F$1323,LANÇAMENTOS!$D$5:$D$1323,$A22,LANÇAMENTOS!$A$5:$A$1323,BL$4,LANÇAMENTOS!$B$5:$B$1323,"Pago")</f>
        <v>0.0</v>
      </c>
    </row>
    <row r="23">
      <c r="A23" s="6" t="inlineStr">
        <is>
          <t>L06</t>
        </is>
      </c>
      <c r="B23" s="6" t="inlineStr">
        <is>
          <t>Grua</t>
        </is>
      </c>
      <c r="C23" s="19">
        <f>SUM(D23:BL23)</f>
        <v>0.0</v>
      </c>
      <c r="D23" s="20">
        <f>SUMIFS(LANÇAMENTOS!$F$5:$F$1323,LANÇAMENTOS!$D$5:$D$1323,$A23,LANÇAMENTOS!$A$5:$A$1323,D$4,LANÇAMENTOS!$B$5:$B$1323,"Pago")</f>
        <v>0.0</v>
      </c>
      <c r="E23" s="20">
        <f>SUMIFS(LANÇAMENTOS!$F$5:$F$1323,LANÇAMENTOS!$D$5:$D$1323,$A23,LANÇAMENTOS!$A$5:$A$1323,E$4,LANÇAMENTOS!$B$5:$B$1323,"Pago")</f>
        <v>0.0</v>
      </c>
      <c r="F23" s="20">
        <f>SUMIFS(LANÇAMENTOS!$F$5:$F$1323,LANÇAMENTOS!$D$5:$D$1323,$A23,LANÇAMENTOS!$A$5:$A$1323,F$4,LANÇAMENTOS!$B$5:$B$1323,"Pago")</f>
        <v>0.0</v>
      </c>
      <c r="G23" s="20">
        <f>SUMIFS(LANÇAMENTOS!$F$5:$F$1323,LANÇAMENTOS!$D$5:$D$1323,$A23,LANÇAMENTOS!$A$5:$A$1323,G$4,LANÇAMENTOS!$B$5:$B$1323,"Pago")</f>
        <v>0.0</v>
      </c>
      <c r="H23" s="20">
        <f>SUMIFS(LANÇAMENTOS!$F$5:$F$1323,LANÇAMENTOS!$D$5:$D$1323,$A23,LANÇAMENTOS!$A$5:$A$1323,H$4,LANÇAMENTOS!$B$5:$B$1323,"Pago")</f>
        <v>0.0</v>
      </c>
      <c r="I23" s="20">
        <f>SUMIFS(LANÇAMENTOS!$F$5:$F$1323,LANÇAMENTOS!$D$5:$D$1323,$A23,LANÇAMENTOS!$A$5:$A$1323,I$4,LANÇAMENTOS!$B$5:$B$1323,"Pago")</f>
        <v>0.0</v>
      </c>
      <c r="J23" s="20">
        <f>SUMIFS(LANÇAMENTOS!$F$5:$F$1323,LANÇAMENTOS!$D$5:$D$1323,$A23,LANÇAMENTOS!$A$5:$A$1323,J$4,LANÇAMENTOS!$B$5:$B$1323,"Pago")</f>
        <v>0.0</v>
      </c>
      <c r="K23" s="20">
        <f>SUMIFS(LANÇAMENTOS!$F$5:$F$1323,LANÇAMENTOS!$D$5:$D$1323,$A23,LANÇAMENTOS!$A$5:$A$1323,K$4,LANÇAMENTOS!$B$5:$B$1323,"Pago")</f>
        <v>0.0</v>
      </c>
      <c r="L23" s="20">
        <f>SUMIFS(LANÇAMENTOS!$F$5:$F$1323,LANÇAMENTOS!$D$5:$D$1323,$A23,LANÇAMENTOS!$A$5:$A$1323,L$4,LANÇAMENTOS!$B$5:$B$1323,"Pago")</f>
        <v>0.0</v>
      </c>
      <c r="M23" s="20">
        <f>SUMIFS(LANÇAMENTOS!$F$5:$F$1323,LANÇAMENTOS!$D$5:$D$1323,$A23,LANÇAMENTOS!$A$5:$A$1323,M$4,LANÇAMENTOS!$B$5:$B$1323,"Pago")</f>
        <v>0.0</v>
      </c>
      <c r="N23" s="20">
        <f>SUMIFS(LANÇAMENTOS!$F$5:$F$1323,LANÇAMENTOS!$D$5:$D$1323,$A23,LANÇAMENTOS!$A$5:$A$1323,N$4,LANÇAMENTOS!$B$5:$B$1323,"Pago")</f>
        <v>0.0</v>
      </c>
      <c r="O23" s="20">
        <f>SUMIFS(LANÇAMENTOS!$F$5:$F$1323,LANÇAMENTOS!$D$5:$D$1323,$A23,LANÇAMENTOS!$A$5:$A$1323,O$4,LANÇAMENTOS!$B$5:$B$1323,"Pago")</f>
        <v>0.0</v>
      </c>
      <c r="P23" s="20">
        <f>SUMIFS(LANÇAMENTOS!$F$5:$F$1323,LANÇAMENTOS!$D$5:$D$1323,$A23,LANÇAMENTOS!$A$5:$A$1323,P$4,LANÇAMENTOS!$B$5:$B$1323,"Pago")</f>
        <v>0.0</v>
      </c>
      <c r="Q23" s="20">
        <f>SUMIFS(LANÇAMENTOS!$F$5:$F$1323,LANÇAMENTOS!$D$5:$D$1323,$A23,LANÇAMENTOS!$A$5:$A$1323,Q$4,LANÇAMENTOS!$B$5:$B$1323,"Pago")</f>
        <v>0.0</v>
      </c>
      <c r="R23" s="20">
        <f>SUMIFS(LANÇAMENTOS!$F$5:$F$1323,LANÇAMENTOS!$D$5:$D$1323,$A23,LANÇAMENTOS!$A$5:$A$1323,R$4,LANÇAMENTOS!$B$5:$B$1323,"Pago")</f>
        <v>0.0</v>
      </c>
      <c r="S23" s="20">
        <f>SUMIFS(LANÇAMENTOS!$F$5:$F$1323,LANÇAMENTOS!$D$5:$D$1323,$A23,LANÇAMENTOS!$A$5:$A$1323,S$4,LANÇAMENTOS!$B$5:$B$1323,"Pago")</f>
        <v>0.0</v>
      </c>
      <c r="T23" s="20">
        <f>SUMIFS(LANÇAMENTOS!$F$5:$F$1323,LANÇAMENTOS!$D$5:$D$1323,$A23,LANÇAMENTOS!$A$5:$A$1323,T$4,LANÇAMENTOS!$B$5:$B$1323,"Pago")</f>
        <v>0.0</v>
      </c>
      <c r="U23" s="20">
        <f>SUMIFS(LANÇAMENTOS!$F$5:$F$1323,LANÇAMENTOS!$D$5:$D$1323,$A23,LANÇAMENTOS!$A$5:$A$1323,U$4,LANÇAMENTOS!$B$5:$B$1323,"Pago")</f>
        <v>0.0</v>
      </c>
      <c r="V23" s="20">
        <f>SUMIFS(LANÇAMENTOS!$F$5:$F$1323,LANÇAMENTOS!$D$5:$D$1323,$A23,LANÇAMENTOS!$A$5:$A$1323,V$4,LANÇAMENTOS!$B$5:$B$1323,"Pago")</f>
        <v>0.0</v>
      </c>
      <c r="W23" s="20">
        <f>SUMIFS(LANÇAMENTOS!$F$5:$F$1323,LANÇAMENTOS!$D$5:$D$1323,$A23,LANÇAMENTOS!$A$5:$A$1323,W$4,LANÇAMENTOS!$B$5:$B$1323,"Pago")</f>
        <v>0.0</v>
      </c>
      <c r="X23" s="20">
        <f>SUMIFS(LANÇAMENTOS!$F$5:$F$1323,LANÇAMENTOS!$D$5:$D$1323,$A23,LANÇAMENTOS!$A$5:$A$1323,X$4,LANÇAMENTOS!$B$5:$B$1323,"Pago")</f>
        <v>0.0</v>
      </c>
      <c r="Y23" s="20">
        <f>SUMIFS(LANÇAMENTOS!$F$5:$F$1323,LANÇAMENTOS!$D$5:$D$1323,$A23,LANÇAMENTOS!$A$5:$A$1323,Y$4,LANÇAMENTOS!$B$5:$B$1323,"Pago")</f>
        <v>0.0</v>
      </c>
      <c r="Z23" s="20">
        <f>SUMIFS(LANÇAMENTOS!$F$5:$F$1323,LANÇAMENTOS!$D$5:$D$1323,$A23,LANÇAMENTOS!$A$5:$A$1323,Z$4,LANÇAMENTOS!$B$5:$B$1323,"Pago")</f>
        <v>0.0</v>
      </c>
      <c r="AA23" s="20">
        <f>SUMIFS(LANÇAMENTOS!$F$5:$F$1323,LANÇAMENTOS!$D$5:$D$1323,$A23,LANÇAMENTOS!$A$5:$A$1323,AA$4,LANÇAMENTOS!$B$5:$B$1323,"Pago")</f>
        <v>0.0</v>
      </c>
      <c r="AB23" s="20">
        <f>SUMIFS(LANÇAMENTOS!$F$5:$F$1323,LANÇAMENTOS!$D$5:$D$1323,$A23,LANÇAMENTOS!$A$5:$A$1323,AB$4,LANÇAMENTOS!$B$5:$B$1323,"Pago")</f>
        <v>0.0</v>
      </c>
      <c r="AC23" s="20">
        <f>SUMIFS(LANÇAMENTOS!$F$5:$F$1323,LANÇAMENTOS!$D$5:$D$1323,$A23,LANÇAMENTOS!$A$5:$A$1323,AC$4,LANÇAMENTOS!$B$5:$B$1323,"Pago")</f>
        <v>0.0</v>
      </c>
      <c r="AD23" s="20">
        <f>SUMIFS(LANÇAMENTOS!$F$5:$F$1323,LANÇAMENTOS!$D$5:$D$1323,$A23,LANÇAMENTOS!$A$5:$A$1323,AD$4,LANÇAMENTOS!$B$5:$B$1323,"Pago")</f>
        <v>0.0</v>
      </c>
      <c r="AE23" s="20">
        <f>SUMIFS(LANÇAMENTOS!$F$5:$F$1323,LANÇAMENTOS!$D$5:$D$1323,$A23,LANÇAMENTOS!$A$5:$A$1323,AE$4,LANÇAMENTOS!$B$5:$B$1323,"Pago")</f>
        <v>0.0</v>
      </c>
      <c r="AF23" s="20">
        <f>SUMIFS(LANÇAMENTOS!$F$5:$F$1323,LANÇAMENTOS!$D$5:$D$1323,$A23,LANÇAMENTOS!$A$5:$A$1323,AF$4,LANÇAMENTOS!$B$5:$B$1323,"Pago")</f>
        <v>0.0</v>
      </c>
      <c r="AG23" s="20">
        <f>SUMIFS(LANÇAMENTOS!$F$5:$F$1323,LANÇAMENTOS!$D$5:$D$1323,$A23,LANÇAMENTOS!$A$5:$A$1323,AG$4,LANÇAMENTOS!$B$5:$B$1323,"Pago")</f>
        <v>0.0</v>
      </c>
      <c r="AH23" s="20">
        <f>SUMIFS(LANÇAMENTOS!$F$5:$F$1323,LANÇAMENTOS!$D$5:$D$1323,$A23,LANÇAMENTOS!$A$5:$A$1323,AH$4,LANÇAMENTOS!$B$5:$B$1323,"Pago")</f>
        <v>0.0</v>
      </c>
      <c r="AI23" s="20">
        <f>SUMIFS(LANÇAMENTOS!$F$5:$F$1323,LANÇAMENTOS!$D$5:$D$1323,$A23,LANÇAMENTOS!$A$5:$A$1323,AI$4,LANÇAMENTOS!$B$5:$B$1323,"Pago")</f>
        <v>0.0</v>
      </c>
      <c r="AJ23" s="20">
        <f>SUMIFS(LANÇAMENTOS!$F$5:$F$1323,LANÇAMENTOS!$D$5:$D$1323,$A23,LANÇAMENTOS!$A$5:$A$1323,AJ$4,LANÇAMENTOS!$B$5:$B$1323,"Pago")</f>
        <v>0.0</v>
      </c>
      <c r="AK23" s="20">
        <f>SUMIFS(LANÇAMENTOS!$F$5:$F$1323,LANÇAMENTOS!$D$5:$D$1323,$A23,LANÇAMENTOS!$A$5:$A$1323,AK$4,LANÇAMENTOS!$B$5:$B$1323,"Pago")</f>
        <v>0.0</v>
      </c>
      <c r="AL23" s="20">
        <f>SUMIFS(LANÇAMENTOS!$F$5:$F$1323,LANÇAMENTOS!$D$5:$D$1323,$A23,LANÇAMENTOS!$A$5:$A$1323,AL$4,LANÇAMENTOS!$B$5:$B$1323,"Pago")</f>
        <v>0.0</v>
      </c>
      <c r="AM23" s="20">
        <f>SUMIFS(LANÇAMENTOS!$F$5:$F$1323,LANÇAMENTOS!$D$5:$D$1323,$A23,LANÇAMENTOS!$A$5:$A$1323,AM$4,LANÇAMENTOS!$B$5:$B$1323,"Pago")</f>
        <v>0.0</v>
      </c>
      <c r="AN23" s="20">
        <f>SUMIFS(LANÇAMENTOS!$F$5:$F$1323,LANÇAMENTOS!$D$5:$D$1323,$A23,LANÇAMENTOS!$A$5:$A$1323,AN$4,LANÇAMENTOS!$B$5:$B$1323,"Pago")</f>
        <v>0.0</v>
      </c>
      <c r="AO23" s="20">
        <f>SUMIFS(LANÇAMENTOS!$F$5:$F$1323,LANÇAMENTOS!$D$5:$D$1323,$A23,LANÇAMENTOS!$A$5:$A$1323,AO$4,LANÇAMENTOS!$B$5:$B$1323,"Pago")</f>
        <v>0.0</v>
      </c>
      <c r="AP23" s="20">
        <f>SUMIFS(LANÇAMENTOS!$F$5:$F$1323,LANÇAMENTOS!$D$5:$D$1323,$A23,LANÇAMENTOS!$A$5:$A$1323,AP$4,LANÇAMENTOS!$B$5:$B$1323,"Pago")</f>
        <v>0.0</v>
      </c>
      <c r="AQ23" s="20">
        <f>SUMIFS(LANÇAMENTOS!$F$5:$F$1323,LANÇAMENTOS!$D$5:$D$1323,$A23,LANÇAMENTOS!$A$5:$A$1323,AQ$4,LANÇAMENTOS!$B$5:$B$1323,"Pago")</f>
        <v>0.0</v>
      </c>
      <c r="AR23" s="20">
        <f>SUMIFS(LANÇAMENTOS!$F$5:$F$1323,LANÇAMENTOS!$D$5:$D$1323,$A23,LANÇAMENTOS!$A$5:$A$1323,AR$4,LANÇAMENTOS!$B$5:$B$1323,"Pago")</f>
        <v>0.0</v>
      </c>
      <c r="AS23" s="20">
        <f>SUMIFS(LANÇAMENTOS!$F$5:$F$1323,LANÇAMENTOS!$D$5:$D$1323,$A23,LANÇAMENTOS!$A$5:$A$1323,AS$4,LANÇAMENTOS!$B$5:$B$1323,"Pago")</f>
        <v>0.0</v>
      </c>
      <c r="AT23" s="20">
        <f>SUMIFS(LANÇAMENTOS!$F$5:$F$1323,LANÇAMENTOS!$D$5:$D$1323,$A23,LANÇAMENTOS!$A$5:$A$1323,AT$4,LANÇAMENTOS!$B$5:$B$1323,"Pago")</f>
        <v>0.0</v>
      </c>
      <c r="AU23" s="20">
        <f>SUMIFS(LANÇAMENTOS!$F$5:$F$1323,LANÇAMENTOS!$D$5:$D$1323,$A23,LANÇAMENTOS!$A$5:$A$1323,AU$4,LANÇAMENTOS!$B$5:$B$1323,"Pago")</f>
        <v>0.0</v>
      </c>
      <c r="AV23" s="20">
        <f>SUMIFS(LANÇAMENTOS!$F$5:$F$1323,LANÇAMENTOS!$D$5:$D$1323,$A23,LANÇAMENTOS!$A$5:$A$1323,AV$4,LANÇAMENTOS!$B$5:$B$1323,"Pago")</f>
        <v>0.0</v>
      </c>
      <c r="AW23" s="20">
        <f>SUMIFS(LANÇAMENTOS!$F$5:$F$1323,LANÇAMENTOS!$D$5:$D$1323,$A23,LANÇAMENTOS!$A$5:$A$1323,AW$4,LANÇAMENTOS!$B$5:$B$1323,"Pago")</f>
        <v>0.0</v>
      </c>
      <c r="AX23" s="20">
        <f>SUMIFS(LANÇAMENTOS!$F$5:$F$1323,LANÇAMENTOS!$D$5:$D$1323,$A23,LANÇAMENTOS!$A$5:$A$1323,AX$4,LANÇAMENTOS!$B$5:$B$1323,"Pago")</f>
        <v>0.0</v>
      </c>
      <c r="AY23" s="20">
        <f>SUMIFS(LANÇAMENTOS!$F$5:$F$1323,LANÇAMENTOS!$D$5:$D$1323,$A23,LANÇAMENTOS!$A$5:$A$1323,AY$4,LANÇAMENTOS!$B$5:$B$1323,"Pago")</f>
        <v>0.0</v>
      </c>
      <c r="AZ23" s="20">
        <f>SUMIFS(LANÇAMENTOS!$F$5:$F$1323,LANÇAMENTOS!$D$5:$D$1323,$A23,LANÇAMENTOS!$A$5:$A$1323,AZ$4,LANÇAMENTOS!$B$5:$B$1323,"Pago")</f>
        <v>0.0</v>
      </c>
      <c r="BA23" s="20">
        <f>SUMIFS(LANÇAMENTOS!$F$5:$F$1323,LANÇAMENTOS!$D$5:$D$1323,$A23,LANÇAMENTOS!$A$5:$A$1323,BA$4,LANÇAMENTOS!$B$5:$B$1323,"Pago")</f>
        <v>0.0</v>
      </c>
      <c r="BB23" s="20">
        <f>SUMIFS(LANÇAMENTOS!$F$5:$F$1323,LANÇAMENTOS!$D$5:$D$1323,$A23,LANÇAMENTOS!$A$5:$A$1323,BB$4,LANÇAMENTOS!$B$5:$B$1323,"Pago")</f>
        <v>0.0</v>
      </c>
      <c r="BC23" s="20">
        <f>SUMIFS(LANÇAMENTOS!$F$5:$F$1323,LANÇAMENTOS!$D$5:$D$1323,$A23,LANÇAMENTOS!$A$5:$A$1323,BC$4,LANÇAMENTOS!$B$5:$B$1323,"Pago")</f>
        <v>0.0</v>
      </c>
      <c r="BD23" s="20">
        <f>SUMIFS(LANÇAMENTOS!$F$5:$F$1323,LANÇAMENTOS!$D$5:$D$1323,$A23,LANÇAMENTOS!$A$5:$A$1323,BD$4,LANÇAMENTOS!$B$5:$B$1323,"Pago")</f>
        <v>0.0</v>
      </c>
      <c r="BE23" s="20">
        <f>SUMIFS(LANÇAMENTOS!$F$5:$F$1323,LANÇAMENTOS!$D$5:$D$1323,$A23,LANÇAMENTOS!$A$5:$A$1323,BE$4,LANÇAMENTOS!$B$5:$B$1323,"Pago")</f>
        <v>0.0</v>
      </c>
      <c r="BF23" s="20">
        <f>SUMIFS(LANÇAMENTOS!$F$5:$F$1323,LANÇAMENTOS!$D$5:$D$1323,$A23,LANÇAMENTOS!$A$5:$A$1323,BF$4,LANÇAMENTOS!$B$5:$B$1323,"Pago")</f>
        <v>0.0</v>
      </c>
      <c r="BG23" s="20">
        <f>SUMIFS(LANÇAMENTOS!$F$5:$F$1323,LANÇAMENTOS!$D$5:$D$1323,$A23,LANÇAMENTOS!$A$5:$A$1323,BG$4,LANÇAMENTOS!$B$5:$B$1323,"Pago")</f>
        <v>0.0</v>
      </c>
      <c r="BH23" s="20">
        <f>SUMIFS(LANÇAMENTOS!$F$5:$F$1323,LANÇAMENTOS!$D$5:$D$1323,$A23,LANÇAMENTOS!$A$5:$A$1323,BH$4,LANÇAMENTOS!$B$5:$B$1323,"Pago")</f>
        <v>0.0</v>
      </c>
      <c r="BI23" s="20">
        <f>SUMIFS(LANÇAMENTOS!$F$5:$F$1323,LANÇAMENTOS!$D$5:$D$1323,$A23,LANÇAMENTOS!$A$5:$A$1323,BI$4,LANÇAMENTOS!$B$5:$B$1323,"Pago")</f>
        <v>0.0</v>
      </c>
      <c r="BJ23" s="20">
        <f>SUMIFS(LANÇAMENTOS!$F$5:$F$1323,LANÇAMENTOS!$D$5:$D$1323,$A23,LANÇAMENTOS!$A$5:$A$1323,BJ$4,LANÇAMENTOS!$B$5:$B$1323,"Pago")</f>
        <v>0.0</v>
      </c>
      <c r="BK23" s="20">
        <f>SUMIFS(LANÇAMENTOS!$F$5:$F$1323,LANÇAMENTOS!$D$5:$D$1323,$A23,LANÇAMENTOS!$A$5:$A$1323,BK$4,LANÇAMENTOS!$B$5:$B$1323,"Pago")</f>
        <v>0.0</v>
      </c>
      <c r="BL23" s="20">
        <f>SUMIFS(LANÇAMENTOS!$F$5:$F$1323,LANÇAMENTOS!$D$5:$D$1323,$A23,LANÇAMENTOS!$A$5:$A$1323,BL$4,LANÇAMENTOS!$B$5:$B$1323,"Pago")</f>
        <v>0.0</v>
      </c>
    </row>
    <row r="24">
      <c r="A24" s="6" t="inlineStr">
        <is>
          <t>L07</t>
        </is>
      </c>
      <c r="B24" s="6" t="inlineStr">
        <is>
          <t>Equipamentos de fachada (andaimes, balancins)</t>
        </is>
      </c>
      <c r="C24" s="19">
        <f>SUM(D24:BL24)</f>
        <v>7694.0650000000005</v>
      </c>
      <c r="D24" s="20">
        <f>SUMIFS(LANÇAMENTOS!$F$5:$F$1323,LANÇAMENTOS!$D$5:$D$1323,$A24,LANÇAMENTOS!$A$5:$A$1323,D$4,LANÇAMENTOS!$B$5:$B$1323,"Pago")</f>
        <v>0.0</v>
      </c>
      <c r="E24" s="20">
        <f>SUMIFS(LANÇAMENTOS!$F$5:$F$1323,LANÇAMENTOS!$D$5:$D$1323,$A24,LANÇAMENTOS!$A$5:$A$1323,E$4,LANÇAMENTOS!$B$5:$B$1323,"Pago")</f>
        <v>0.0</v>
      </c>
      <c r="F24" s="20">
        <f>SUMIFS(LANÇAMENTOS!$F$5:$F$1323,LANÇAMENTOS!$D$5:$D$1323,$A24,LANÇAMENTOS!$A$5:$A$1323,F$4,LANÇAMENTOS!$B$5:$B$1323,"Pago")</f>
        <v>0.0</v>
      </c>
      <c r="G24" s="20">
        <f>SUMIFS(LANÇAMENTOS!$F$5:$F$1323,LANÇAMENTOS!$D$5:$D$1323,$A24,LANÇAMENTOS!$A$5:$A$1323,G$4,LANÇAMENTOS!$B$5:$B$1323,"Pago")</f>
        <v>0.0</v>
      </c>
      <c r="H24" s="20">
        <f>SUMIFS(LANÇAMENTOS!$F$5:$F$1323,LANÇAMENTOS!$D$5:$D$1323,$A24,LANÇAMENTOS!$A$5:$A$1323,H$4,LANÇAMENTOS!$B$5:$B$1323,"Pago")</f>
        <v>0.0</v>
      </c>
      <c r="I24" s="20">
        <f>SUMIFS(LANÇAMENTOS!$F$5:$F$1323,LANÇAMENTOS!$D$5:$D$1323,$A24,LANÇAMENTOS!$A$5:$A$1323,I$4,LANÇAMENTOS!$B$5:$B$1323,"Pago")</f>
        <v>0.0</v>
      </c>
      <c r="J24" s="20">
        <f>SUMIFS(LANÇAMENTOS!$F$5:$F$1323,LANÇAMENTOS!$D$5:$D$1323,$A24,LANÇAMENTOS!$A$5:$A$1323,J$4,LANÇAMENTOS!$B$5:$B$1323,"Pago")</f>
        <v>0.0</v>
      </c>
      <c r="K24" s="20">
        <f>SUMIFS(LANÇAMENTOS!$F$5:$F$1323,LANÇAMENTOS!$D$5:$D$1323,$A24,LANÇAMENTOS!$A$5:$A$1323,K$4,LANÇAMENTOS!$B$5:$B$1323,"Pago")</f>
        <v>0.0</v>
      </c>
      <c r="L24" s="20">
        <f>SUMIFS(LANÇAMENTOS!$F$5:$F$1323,LANÇAMENTOS!$D$5:$D$1323,$A24,LANÇAMENTOS!$A$5:$A$1323,L$4,LANÇAMENTOS!$B$5:$B$1323,"Pago")</f>
        <v>0.0</v>
      </c>
      <c r="M24" s="20">
        <f>SUMIFS(LANÇAMENTOS!$F$5:$F$1323,LANÇAMENTOS!$D$5:$D$1323,$A24,LANÇAMENTOS!$A$5:$A$1323,M$4,LANÇAMENTOS!$B$5:$B$1323,"Pago")</f>
        <v>84.0</v>
      </c>
      <c r="N24" s="20">
        <f>SUMIFS(LANÇAMENTOS!$F$5:$F$1323,LANÇAMENTOS!$D$5:$D$1323,$A24,LANÇAMENTOS!$A$5:$A$1323,N$4,LANÇAMENTOS!$B$5:$B$1323,"Pago")</f>
        <v>1725.0</v>
      </c>
      <c r="O24" s="20">
        <f>SUMIFS(LANÇAMENTOS!$F$5:$F$1323,LANÇAMENTOS!$D$5:$D$1323,$A24,LANÇAMENTOS!$A$5:$A$1323,O$4,LANÇAMENTOS!$B$5:$B$1323,"Pago")</f>
        <v>0.0</v>
      </c>
      <c r="P24" s="20">
        <f>SUMIFS(LANÇAMENTOS!$F$5:$F$1323,LANÇAMENTOS!$D$5:$D$1323,$A24,LANÇAMENTOS!$A$5:$A$1323,P$4,LANÇAMENTOS!$B$5:$B$1323,"Pago")</f>
        <v>1695.0</v>
      </c>
      <c r="Q24" s="20">
        <f>SUMIFS(LANÇAMENTOS!$F$5:$F$1323,LANÇAMENTOS!$D$5:$D$1323,$A24,LANÇAMENTOS!$A$5:$A$1323,Q$4,LANÇAMENTOS!$B$5:$B$1323,"Pago")</f>
        <v>0.0</v>
      </c>
      <c r="R24" s="20">
        <f>SUMIFS(LANÇAMENTOS!$F$5:$F$1323,LANÇAMENTOS!$D$5:$D$1323,$A24,LANÇAMENTOS!$A$5:$A$1323,R$4,LANÇAMENTOS!$B$5:$B$1323,"Pago")</f>
        <v>0.0</v>
      </c>
      <c r="S24" s="20">
        <f>SUMIFS(LANÇAMENTOS!$F$5:$F$1323,LANÇAMENTOS!$D$5:$D$1323,$A24,LANÇAMENTOS!$A$5:$A$1323,S$4,LANÇAMENTOS!$B$5:$B$1323,"Pago")</f>
        <v>0.0</v>
      </c>
      <c r="T24" s="20">
        <f>SUMIFS(LANÇAMENTOS!$F$5:$F$1323,LANÇAMENTOS!$D$5:$D$1323,$A24,LANÇAMENTOS!$A$5:$A$1323,T$4,LANÇAMENTOS!$B$5:$B$1323,"Pago")</f>
        <v>0.0</v>
      </c>
      <c r="U24" s="20">
        <f>SUMIFS(LANÇAMENTOS!$F$5:$F$1323,LANÇAMENTOS!$D$5:$D$1323,$A24,LANÇAMENTOS!$A$5:$A$1323,U$4,LANÇAMENTOS!$B$5:$B$1323,"Pago")</f>
        <v>0.0</v>
      </c>
      <c r="V24" s="20">
        <f>SUMIFS(LANÇAMENTOS!$F$5:$F$1323,LANÇAMENTOS!$D$5:$D$1323,$A24,LANÇAMENTOS!$A$5:$A$1323,V$4,LANÇAMENTOS!$B$5:$B$1323,"Pago")</f>
        <v>1925.0</v>
      </c>
      <c r="W24" s="20">
        <f>SUMIFS(LANÇAMENTOS!$F$5:$F$1323,LANÇAMENTOS!$D$5:$D$1323,$A24,LANÇAMENTOS!$A$5:$A$1323,W$4,LANÇAMENTOS!$B$5:$B$1323,"Pago")</f>
        <v>0.0</v>
      </c>
      <c r="X24" s="20">
        <f>SUMIFS(LANÇAMENTOS!$F$5:$F$1323,LANÇAMENTOS!$D$5:$D$1323,$A24,LANÇAMENTOS!$A$5:$A$1323,X$4,LANÇAMENTOS!$B$5:$B$1323,"Pago")</f>
        <v>0.0</v>
      </c>
      <c r="Y24" s="20">
        <f>SUMIFS(LANÇAMENTOS!$F$5:$F$1323,LANÇAMENTOS!$D$5:$D$1323,$A24,LANÇAMENTOS!$A$5:$A$1323,Y$4,LANÇAMENTOS!$B$5:$B$1323,"Pago")</f>
        <v>1200.0</v>
      </c>
      <c r="Z24" s="20">
        <f>SUMIFS(LANÇAMENTOS!$F$5:$F$1323,LANÇAMENTOS!$D$5:$D$1323,$A24,LANÇAMENTOS!$A$5:$A$1323,Z$4,LANÇAMENTOS!$B$5:$B$1323,"Pago")</f>
        <v>825.065</v>
      </c>
      <c r="AA24" s="20">
        <f>SUMIFS(LANÇAMENTOS!$F$5:$F$1323,LANÇAMENTOS!$D$5:$D$1323,$A24,LANÇAMENTOS!$A$5:$A$1323,AA$4,LANÇAMENTOS!$B$5:$B$1323,"Pago")</f>
        <v>0.0</v>
      </c>
      <c r="AB24" s="20">
        <f>SUMIFS(LANÇAMENTOS!$F$5:$F$1323,LANÇAMENTOS!$D$5:$D$1323,$A24,LANÇAMENTOS!$A$5:$A$1323,AB$4,LANÇAMENTOS!$B$5:$B$1323,"Pago")</f>
        <v>0.0</v>
      </c>
      <c r="AC24" s="20">
        <f>SUMIFS(LANÇAMENTOS!$F$5:$F$1323,LANÇAMENTOS!$D$5:$D$1323,$A24,LANÇAMENTOS!$A$5:$A$1323,AC$4,LANÇAMENTOS!$B$5:$B$1323,"Pago")</f>
        <v>0.0</v>
      </c>
      <c r="AD24" s="20">
        <f>SUMIFS(LANÇAMENTOS!$F$5:$F$1323,LANÇAMENTOS!$D$5:$D$1323,$A24,LANÇAMENTOS!$A$5:$A$1323,AD$4,LANÇAMENTOS!$B$5:$B$1323,"Pago")</f>
        <v>240.0</v>
      </c>
      <c r="AE24" s="20">
        <f>SUMIFS(LANÇAMENTOS!$F$5:$F$1323,LANÇAMENTOS!$D$5:$D$1323,$A24,LANÇAMENTOS!$A$5:$A$1323,AE$4,LANÇAMENTOS!$B$5:$B$1323,"Pago")</f>
        <v>0.0</v>
      </c>
      <c r="AF24" s="20">
        <f>SUMIFS(LANÇAMENTOS!$F$5:$F$1323,LANÇAMENTOS!$D$5:$D$1323,$A24,LANÇAMENTOS!$A$5:$A$1323,AF$4,LANÇAMENTOS!$B$5:$B$1323,"Pago")</f>
        <v>0.0</v>
      </c>
      <c r="AG24" s="20">
        <f>SUMIFS(LANÇAMENTOS!$F$5:$F$1323,LANÇAMENTOS!$D$5:$D$1323,$A24,LANÇAMENTOS!$A$5:$A$1323,AG$4,LANÇAMENTOS!$B$5:$B$1323,"Pago")</f>
        <v>0.0</v>
      </c>
      <c r="AH24" s="20">
        <f>SUMIFS(LANÇAMENTOS!$F$5:$F$1323,LANÇAMENTOS!$D$5:$D$1323,$A24,LANÇAMENTOS!$A$5:$A$1323,AH$4,LANÇAMENTOS!$B$5:$B$1323,"Pago")</f>
        <v>0.0</v>
      </c>
      <c r="AI24" s="20">
        <f>SUMIFS(LANÇAMENTOS!$F$5:$F$1323,LANÇAMENTOS!$D$5:$D$1323,$A24,LANÇAMENTOS!$A$5:$A$1323,AI$4,LANÇAMENTOS!$B$5:$B$1323,"Pago")</f>
        <v>0.0</v>
      </c>
      <c r="AJ24" s="20">
        <f>SUMIFS(LANÇAMENTOS!$F$5:$F$1323,LANÇAMENTOS!$D$5:$D$1323,$A24,LANÇAMENTOS!$A$5:$A$1323,AJ$4,LANÇAMENTOS!$B$5:$B$1323,"Pago")</f>
        <v>0.0</v>
      </c>
      <c r="AK24" s="20">
        <f>SUMIFS(LANÇAMENTOS!$F$5:$F$1323,LANÇAMENTOS!$D$5:$D$1323,$A24,LANÇAMENTOS!$A$5:$A$1323,AK$4,LANÇAMENTOS!$B$5:$B$1323,"Pago")</f>
        <v>0.0</v>
      </c>
      <c r="AL24" s="20">
        <f>SUMIFS(LANÇAMENTOS!$F$5:$F$1323,LANÇAMENTOS!$D$5:$D$1323,$A24,LANÇAMENTOS!$A$5:$A$1323,AL$4,LANÇAMENTOS!$B$5:$B$1323,"Pago")</f>
        <v>0.0</v>
      </c>
      <c r="AM24" s="20">
        <f>SUMIFS(LANÇAMENTOS!$F$5:$F$1323,LANÇAMENTOS!$D$5:$D$1323,$A24,LANÇAMENTOS!$A$5:$A$1323,AM$4,LANÇAMENTOS!$B$5:$B$1323,"Pago")</f>
        <v>0.0</v>
      </c>
      <c r="AN24" s="20">
        <f>SUMIFS(LANÇAMENTOS!$F$5:$F$1323,LANÇAMENTOS!$D$5:$D$1323,$A24,LANÇAMENTOS!$A$5:$A$1323,AN$4,LANÇAMENTOS!$B$5:$B$1323,"Pago")</f>
        <v>0.0</v>
      </c>
      <c r="AO24" s="20">
        <f>SUMIFS(LANÇAMENTOS!$F$5:$F$1323,LANÇAMENTOS!$D$5:$D$1323,$A24,LANÇAMENTOS!$A$5:$A$1323,AO$4,LANÇAMENTOS!$B$5:$B$1323,"Pago")</f>
        <v>0.0</v>
      </c>
      <c r="AP24" s="20">
        <f>SUMIFS(LANÇAMENTOS!$F$5:$F$1323,LANÇAMENTOS!$D$5:$D$1323,$A24,LANÇAMENTOS!$A$5:$A$1323,AP$4,LANÇAMENTOS!$B$5:$B$1323,"Pago")</f>
        <v>0.0</v>
      </c>
      <c r="AQ24" s="20">
        <f>SUMIFS(LANÇAMENTOS!$F$5:$F$1323,LANÇAMENTOS!$D$5:$D$1323,$A24,LANÇAMENTOS!$A$5:$A$1323,AQ$4,LANÇAMENTOS!$B$5:$B$1323,"Pago")</f>
        <v>0.0</v>
      </c>
      <c r="AR24" s="20">
        <f>SUMIFS(LANÇAMENTOS!$F$5:$F$1323,LANÇAMENTOS!$D$5:$D$1323,$A24,LANÇAMENTOS!$A$5:$A$1323,AR$4,LANÇAMENTOS!$B$5:$B$1323,"Pago")</f>
        <v>0.0</v>
      </c>
      <c r="AS24" s="20">
        <f>SUMIFS(LANÇAMENTOS!$F$5:$F$1323,LANÇAMENTOS!$D$5:$D$1323,$A24,LANÇAMENTOS!$A$5:$A$1323,AS$4,LANÇAMENTOS!$B$5:$B$1323,"Pago")</f>
        <v>0.0</v>
      </c>
      <c r="AT24" s="20">
        <f>SUMIFS(LANÇAMENTOS!$F$5:$F$1323,LANÇAMENTOS!$D$5:$D$1323,$A24,LANÇAMENTOS!$A$5:$A$1323,AT$4,LANÇAMENTOS!$B$5:$B$1323,"Pago")</f>
        <v>0.0</v>
      </c>
      <c r="AU24" s="20">
        <f>SUMIFS(LANÇAMENTOS!$F$5:$F$1323,LANÇAMENTOS!$D$5:$D$1323,$A24,LANÇAMENTOS!$A$5:$A$1323,AU$4,LANÇAMENTOS!$B$5:$B$1323,"Pago")</f>
        <v>0.0</v>
      </c>
      <c r="AV24" s="20">
        <f>SUMIFS(LANÇAMENTOS!$F$5:$F$1323,LANÇAMENTOS!$D$5:$D$1323,$A24,LANÇAMENTOS!$A$5:$A$1323,AV$4,LANÇAMENTOS!$B$5:$B$1323,"Pago")</f>
        <v>0.0</v>
      </c>
      <c r="AW24" s="20">
        <f>SUMIFS(LANÇAMENTOS!$F$5:$F$1323,LANÇAMENTOS!$D$5:$D$1323,$A24,LANÇAMENTOS!$A$5:$A$1323,AW$4,LANÇAMENTOS!$B$5:$B$1323,"Pago")</f>
        <v>0.0</v>
      </c>
      <c r="AX24" s="20">
        <f>SUMIFS(LANÇAMENTOS!$F$5:$F$1323,LANÇAMENTOS!$D$5:$D$1323,$A24,LANÇAMENTOS!$A$5:$A$1323,AX$4,LANÇAMENTOS!$B$5:$B$1323,"Pago")</f>
        <v>0.0</v>
      </c>
      <c r="AY24" s="20">
        <f>SUMIFS(LANÇAMENTOS!$F$5:$F$1323,LANÇAMENTOS!$D$5:$D$1323,$A24,LANÇAMENTOS!$A$5:$A$1323,AY$4,LANÇAMENTOS!$B$5:$B$1323,"Pago")</f>
        <v>0.0</v>
      </c>
      <c r="AZ24" s="20">
        <f>SUMIFS(LANÇAMENTOS!$F$5:$F$1323,LANÇAMENTOS!$D$5:$D$1323,$A24,LANÇAMENTOS!$A$5:$A$1323,AZ$4,LANÇAMENTOS!$B$5:$B$1323,"Pago")</f>
        <v>0.0</v>
      </c>
      <c r="BA24" s="20">
        <f>SUMIFS(LANÇAMENTOS!$F$5:$F$1323,LANÇAMENTOS!$D$5:$D$1323,$A24,LANÇAMENTOS!$A$5:$A$1323,BA$4,LANÇAMENTOS!$B$5:$B$1323,"Pago")</f>
        <v>0.0</v>
      </c>
      <c r="BB24" s="20">
        <f>SUMIFS(LANÇAMENTOS!$F$5:$F$1323,LANÇAMENTOS!$D$5:$D$1323,$A24,LANÇAMENTOS!$A$5:$A$1323,BB$4,LANÇAMENTOS!$B$5:$B$1323,"Pago")</f>
        <v>0.0</v>
      </c>
      <c r="BC24" s="20">
        <f>SUMIFS(LANÇAMENTOS!$F$5:$F$1323,LANÇAMENTOS!$D$5:$D$1323,$A24,LANÇAMENTOS!$A$5:$A$1323,BC$4,LANÇAMENTOS!$B$5:$B$1323,"Pago")</f>
        <v>0.0</v>
      </c>
      <c r="BD24" s="20">
        <f>SUMIFS(LANÇAMENTOS!$F$5:$F$1323,LANÇAMENTOS!$D$5:$D$1323,$A24,LANÇAMENTOS!$A$5:$A$1323,BD$4,LANÇAMENTOS!$B$5:$B$1323,"Pago")</f>
        <v>0.0</v>
      </c>
      <c r="BE24" s="20">
        <f>SUMIFS(LANÇAMENTOS!$F$5:$F$1323,LANÇAMENTOS!$D$5:$D$1323,$A24,LANÇAMENTOS!$A$5:$A$1323,BE$4,LANÇAMENTOS!$B$5:$B$1323,"Pago")</f>
        <v>0.0</v>
      </c>
      <c r="BF24" s="20">
        <f>SUMIFS(LANÇAMENTOS!$F$5:$F$1323,LANÇAMENTOS!$D$5:$D$1323,$A24,LANÇAMENTOS!$A$5:$A$1323,BF$4,LANÇAMENTOS!$B$5:$B$1323,"Pago")</f>
        <v>0.0</v>
      </c>
      <c r="BG24" s="20">
        <f>SUMIFS(LANÇAMENTOS!$F$5:$F$1323,LANÇAMENTOS!$D$5:$D$1323,$A24,LANÇAMENTOS!$A$5:$A$1323,BG$4,LANÇAMENTOS!$B$5:$B$1323,"Pago")</f>
        <v>0.0</v>
      </c>
      <c r="BH24" s="20">
        <f>SUMIFS(LANÇAMENTOS!$F$5:$F$1323,LANÇAMENTOS!$D$5:$D$1323,$A24,LANÇAMENTOS!$A$5:$A$1323,BH$4,LANÇAMENTOS!$B$5:$B$1323,"Pago")</f>
        <v>0.0</v>
      </c>
      <c r="BI24" s="20">
        <f>SUMIFS(LANÇAMENTOS!$F$5:$F$1323,LANÇAMENTOS!$D$5:$D$1323,$A24,LANÇAMENTOS!$A$5:$A$1323,BI$4,LANÇAMENTOS!$B$5:$B$1323,"Pago")</f>
        <v>0.0</v>
      </c>
      <c r="BJ24" s="20">
        <f>SUMIFS(LANÇAMENTOS!$F$5:$F$1323,LANÇAMENTOS!$D$5:$D$1323,$A24,LANÇAMENTOS!$A$5:$A$1323,BJ$4,LANÇAMENTOS!$B$5:$B$1323,"Pago")</f>
        <v>0.0</v>
      </c>
      <c r="BK24" s="20">
        <f>SUMIFS(LANÇAMENTOS!$F$5:$F$1323,LANÇAMENTOS!$D$5:$D$1323,$A24,LANÇAMENTOS!$A$5:$A$1323,BK$4,LANÇAMENTOS!$B$5:$B$1323,"Pago")</f>
        <v>0.0</v>
      </c>
      <c r="BL24" s="20">
        <f>SUMIFS(LANÇAMENTOS!$F$5:$F$1323,LANÇAMENTOS!$D$5:$D$1323,$A24,LANÇAMENTOS!$A$5:$A$1323,BL$4,LANÇAMENTOS!$B$5:$B$1323,"Pago")</f>
        <v>0.0</v>
      </c>
    </row>
    <row r="25">
      <c r="A25" s="6" t="inlineStr">
        <is>
          <t>L08</t>
        </is>
      </c>
      <c r="B25" s="6" t="inlineStr">
        <is>
          <t>Equipamentos de proteção coletiva (telas, sinalização)</t>
        </is>
      </c>
      <c r="C25" s="19">
        <f>SUM(D25:BL25)</f>
        <v>303007.55042900005</v>
      </c>
      <c r="D25" s="20">
        <f>SUMIFS(LANÇAMENTOS!$F$5:$F$1323,LANÇAMENTOS!$D$5:$D$1323,$A25,LANÇAMENTOS!$A$5:$A$1323,D$4,LANÇAMENTOS!$B$5:$B$1323,"Pago")</f>
        <v>0.0</v>
      </c>
      <c r="E25" s="20">
        <f>SUMIFS(LANÇAMENTOS!$F$5:$F$1323,LANÇAMENTOS!$D$5:$D$1323,$A25,LANÇAMENTOS!$A$5:$A$1323,E$4,LANÇAMENTOS!$B$5:$B$1323,"Pago")</f>
        <v>331.4</v>
      </c>
      <c r="F25" s="20">
        <f>SUMIFS(LANÇAMENTOS!$F$5:$F$1323,LANÇAMENTOS!$D$5:$D$1323,$A25,LANÇAMENTOS!$A$5:$A$1323,F$4,LANÇAMENTOS!$B$5:$B$1323,"Pago")</f>
        <v>0.0</v>
      </c>
      <c r="G25" s="20">
        <f>SUMIFS(LANÇAMENTOS!$F$5:$F$1323,LANÇAMENTOS!$D$5:$D$1323,$A25,LANÇAMENTOS!$A$5:$A$1323,G$4,LANÇAMENTOS!$B$5:$B$1323,"Pago")</f>
        <v>0.0</v>
      </c>
      <c r="H25" s="20">
        <f>SUMIFS(LANÇAMENTOS!$F$5:$F$1323,LANÇAMENTOS!$D$5:$D$1323,$A25,LANÇAMENTOS!$A$5:$A$1323,H$4,LANÇAMENTOS!$B$5:$B$1323,"Pago")</f>
        <v>1499.2</v>
      </c>
      <c r="I25" s="20">
        <f>SUMIFS(LANÇAMENTOS!$F$5:$F$1323,LANÇAMENTOS!$D$5:$D$1323,$A25,LANÇAMENTOS!$A$5:$A$1323,I$4,LANÇAMENTOS!$B$5:$B$1323,"Pago")</f>
        <v>0.0</v>
      </c>
      <c r="J25" s="20">
        <f>SUMIFS(LANÇAMENTOS!$F$5:$F$1323,LANÇAMENTOS!$D$5:$D$1323,$A25,LANÇAMENTOS!$A$5:$A$1323,J$4,LANÇAMENTOS!$B$5:$B$1323,"Pago")</f>
        <v>101.0</v>
      </c>
      <c r="K25" s="20">
        <f>SUMIFS(LANÇAMENTOS!$F$5:$F$1323,LANÇAMENTOS!$D$5:$D$1323,$A25,LANÇAMENTOS!$A$5:$A$1323,K$4,LANÇAMENTOS!$B$5:$B$1323,"Pago")</f>
        <v>1171.14</v>
      </c>
      <c r="L25" s="20">
        <f>SUMIFS(LANÇAMENTOS!$F$5:$F$1323,LANÇAMENTOS!$D$5:$D$1323,$A25,LANÇAMENTOS!$A$5:$A$1323,L$4,LANÇAMENTOS!$B$5:$B$1323,"Pago")</f>
        <v>56.06</v>
      </c>
      <c r="M25" s="20">
        <f>SUMIFS(LANÇAMENTOS!$F$5:$F$1323,LANÇAMENTOS!$D$5:$D$1323,$A25,LANÇAMENTOS!$A$5:$A$1323,M$4,LANÇAMENTOS!$B$5:$B$1323,"Pago")</f>
        <v>2182.2100009999995</v>
      </c>
      <c r="N25" s="20">
        <f>SUMIFS(LANÇAMENTOS!$F$5:$F$1323,LANÇAMENTOS!$D$5:$D$1323,$A25,LANÇAMENTOS!$A$5:$A$1323,N$4,LANÇAMENTOS!$B$5:$B$1323,"Pago")</f>
        <v>529.000002</v>
      </c>
      <c r="O25" s="20">
        <f>SUMIFS(LANÇAMENTOS!$F$5:$F$1323,LANÇAMENTOS!$D$5:$D$1323,$A25,LANÇAMENTOS!$A$5:$A$1323,O$4,LANÇAMENTOS!$B$5:$B$1323,"Pago")</f>
        <v>939.4300029999998</v>
      </c>
      <c r="P25" s="20">
        <f>SUMIFS(LANÇAMENTOS!$F$5:$F$1323,LANÇAMENTOS!$D$5:$D$1323,$A25,LANÇAMENTOS!$A$5:$A$1323,P$4,LANÇAMENTOS!$B$5:$B$1323,"Pago")</f>
        <v>939.4400009999998</v>
      </c>
      <c r="Q25" s="20">
        <f>SUMIFS(LANÇAMENTOS!$F$5:$F$1323,LANÇAMENTOS!$D$5:$D$1323,$A25,LANÇAMENTOS!$A$5:$A$1323,Q$4,LANÇAMENTOS!$B$5:$B$1323,"Pago")</f>
        <v>1879.3999999999999</v>
      </c>
      <c r="R25" s="20">
        <f>SUMIFS(LANÇAMENTOS!$F$5:$F$1323,LANÇAMENTOS!$D$5:$D$1323,$A25,LANÇAMENTOS!$A$5:$A$1323,R$4,LANÇAMENTOS!$B$5:$B$1323,"Pago")</f>
        <v>1437.5</v>
      </c>
      <c r="S25" s="20">
        <f>SUMIFS(LANÇAMENTOS!$F$5:$F$1323,LANÇAMENTOS!$D$5:$D$1323,$A25,LANÇAMENTOS!$A$5:$A$1323,S$4,LANÇAMENTOS!$B$5:$B$1323,"Pago")</f>
        <v>0.0</v>
      </c>
      <c r="T25" s="20">
        <f>SUMIFS(LANÇAMENTOS!$F$5:$F$1323,LANÇAMENTOS!$D$5:$D$1323,$A25,LANÇAMENTOS!$A$5:$A$1323,T$4,LANÇAMENTOS!$B$5:$B$1323,"Pago")</f>
        <v>0.0</v>
      </c>
      <c r="U25" s="20">
        <f>SUMIFS(LANÇAMENTOS!$F$5:$F$1323,LANÇAMENTOS!$D$5:$D$1323,$A25,LANÇAMENTOS!$A$5:$A$1323,U$4,LANÇAMENTOS!$B$5:$B$1323,"Pago")</f>
        <v>0.0</v>
      </c>
      <c r="V25" s="20">
        <f>SUMIFS(LANÇAMENTOS!$F$5:$F$1323,LANÇAMENTOS!$D$5:$D$1323,$A25,LANÇAMENTOS!$A$5:$A$1323,V$4,LANÇAMENTOS!$B$5:$B$1323,"Pago")</f>
        <v>0.0</v>
      </c>
      <c r="W25" s="20">
        <f>SUMIFS(LANÇAMENTOS!$F$5:$F$1323,LANÇAMENTOS!$D$5:$D$1323,$A25,LANÇAMENTOS!$A$5:$A$1323,W$4,LANÇAMENTOS!$B$5:$B$1323,"Pago")</f>
        <v>0.0</v>
      </c>
      <c r="X25" s="20">
        <f>SUMIFS(LANÇAMENTOS!$F$5:$F$1323,LANÇAMENTOS!$D$5:$D$1323,$A25,LANÇAMENTOS!$A$5:$A$1323,X$4,LANÇAMENTOS!$B$5:$B$1323,"Pago")</f>
        <v>134137.870001</v>
      </c>
      <c r="Y25" s="20">
        <f>SUMIFS(LANÇAMENTOS!$F$5:$F$1323,LANÇAMENTOS!$D$5:$D$1323,$A25,LANÇAMENTOS!$A$5:$A$1323,Y$4,LANÇAMENTOS!$B$5:$B$1323,"Pago")</f>
        <v>8276.34</v>
      </c>
      <c r="Z25" s="20">
        <f>SUMIFS(LANÇAMENTOS!$F$5:$F$1323,LANÇAMENTOS!$D$5:$D$1323,$A25,LANÇAMENTOS!$A$5:$A$1323,Z$4,LANÇAMENTOS!$B$5:$B$1323,"Pago")</f>
        <v>70695.14000200003</v>
      </c>
      <c r="AA25" s="20">
        <f>SUMIFS(LANÇAMENTOS!$F$5:$F$1323,LANÇAMENTOS!$D$5:$D$1323,$A25,LANÇAMENTOS!$A$5:$A$1323,AA$4,LANÇAMENTOS!$B$5:$B$1323,"Pago")</f>
        <v>9774.5</v>
      </c>
      <c r="AB25" s="20">
        <f>SUMIFS(LANÇAMENTOS!$F$5:$F$1323,LANÇAMENTOS!$D$5:$D$1323,$A25,LANÇAMENTOS!$A$5:$A$1323,AB$4,LANÇAMENTOS!$B$5:$B$1323,"Pago")</f>
        <v>14623.71</v>
      </c>
      <c r="AC25" s="20">
        <f>SUMIFS(LANÇAMENTOS!$F$5:$F$1323,LANÇAMENTOS!$D$5:$D$1323,$A25,LANÇAMENTOS!$A$5:$A$1323,AC$4,LANÇAMENTOS!$B$5:$B$1323,"Pago")</f>
        <v>2189.86</v>
      </c>
      <c r="AD25" s="20">
        <f>SUMIFS(LANÇAMENTOS!$F$5:$F$1323,LANÇAMENTOS!$D$5:$D$1323,$A25,LANÇAMENTOS!$A$5:$A$1323,AD$4,LANÇAMENTOS!$B$5:$B$1323,"Pago")</f>
        <v>25458.36</v>
      </c>
      <c r="AE25" s="20">
        <f>SUMIFS(LANÇAMENTOS!$F$5:$F$1323,LANÇAMENTOS!$D$5:$D$1323,$A25,LANÇAMENTOS!$A$5:$A$1323,AE$4,LANÇAMENTOS!$B$5:$B$1323,"Pago")</f>
        <v>14952.790419</v>
      </c>
      <c r="AF25" s="20">
        <f>SUMIFS(LANÇAMENTOS!$F$5:$F$1323,LANÇAMENTOS!$D$5:$D$1323,$A25,LANÇAMENTOS!$A$5:$A$1323,AF$4,LANÇAMENTOS!$B$5:$B$1323,"Pago")</f>
        <v>11833.2</v>
      </c>
      <c r="AG25" s="20">
        <f>SUMIFS(LANÇAMENTOS!$F$5:$F$1323,LANÇAMENTOS!$D$5:$D$1323,$A25,LANÇAMENTOS!$A$5:$A$1323,AG$4,LANÇAMENTOS!$B$5:$B$1323,"Pago")</f>
        <v>0.0</v>
      </c>
      <c r="AH25" s="20">
        <f>SUMIFS(LANÇAMENTOS!$F$5:$F$1323,LANÇAMENTOS!$D$5:$D$1323,$A25,LANÇAMENTOS!$A$5:$A$1323,AH$4,LANÇAMENTOS!$B$5:$B$1323,"Pago")</f>
        <v>0.0</v>
      </c>
      <c r="AI25" s="20">
        <f>SUMIFS(LANÇAMENTOS!$F$5:$F$1323,LANÇAMENTOS!$D$5:$D$1323,$A25,LANÇAMENTOS!$A$5:$A$1323,AI$4,LANÇAMENTOS!$B$5:$B$1323,"Pago")</f>
        <v>0.0</v>
      </c>
      <c r="AJ25" s="20">
        <f>SUMIFS(LANÇAMENTOS!$F$5:$F$1323,LANÇAMENTOS!$D$5:$D$1323,$A25,LANÇAMENTOS!$A$5:$A$1323,AJ$4,LANÇAMENTOS!$B$5:$B$1323,"Pago")</f>
        <v>0.0</v>
      </c>
      <c r="AK25" s="20">
        <f>SUMIFS(LANÇAMENTOS!$F$5:$F$1323,LANÇAMENTOS!$D$5:$D$1323,$A25,LANÇAMENTOS!$A$5:$A$1323,AK$4,LANÇAMENTOS!$B$5:$B$1323,"Pago")</f>
        <v>0.0</v>
      </c>
      <c r="AL25" s="20">
        <f>SUMIFS(LANÇAMENTOS!$F$5:$F$1323,LANÇAMENTOS!$D$5:$D$1323,$A25,LANÇAMENTOS!$A$5:$A$1323,AL$4,LANÇAMENTOS!$B$5:$B$1323,"Pago")</f>
        <v>0.0</v>
      </c>
      <c r="AM25" s="20">
        <f>SUMIFS(LANÇAMENTOS!$F$5:$F$1323,LANÇAMENTOS!$D$5:$D$1323,$A25,LANÇAMENTOS!$A$5:$A$1323,AM$4,LANÇAMENTOS!$B$5:$B$1323,"Pago")</f>
        <v>0.0</v>
      </c>
      <c r="AN25" s="20">
        <f>SUMIFS(LANÇAMENTOS!$F$5:$F$1323,LANÇAMENTOS!$D$5:$D$1323,$A25,LANÇAMENTOS!$A$5:$A$1323,AN$4,LANÇAMENTOS!$B$5:$B$1323,"Pago")</f>
        <v>0.0</v>
      </c>
      <c r="AO25" s="20">
        <f>SUMIFS(LANÇAMENTOS!$F$5:$F$1323,LANÇAMENTOS!$D$5:$D$1323,$A25,LANÇAMENTOS!$A$5:$A$1323,AO$4,LANÇAMENTOS!$B$5:$B$1323,"Pago")</f>
        <v>0.0</v>
      </c>
      <c r="AP25" s="20">
        <f>SUMIFS(LANÇAMENTOS!$F$5:$F$1323,LANÇAMENTOS!$D$5:$D$1323,$A25,LANÇAMENTOS!$A$5:$A$1323,AP$4,LANÇAMENTOS!$B$5:$B$1323,"Pago")</f>
        <v>0.0</v>
      </c>
      <c r="AQ25" s="20">
        <f>SUMIFS(LANÇAMENTOS!$F$5:$F$1323,LANÇAMENTOS!$D$5:$D$1323,$A25,LANÇAMENTOS!$A$5:$A$1323,AQ$4,LANÇAMENTOS!$B$5:$B$1323,"Pago")</f>
        <v>0.0</v>
      </c>
      <c r="AR25" s="20">
        <f>SUMIFS(LANÇAMENTOS!$F$5:$F$1323,LANÇAMENTOS!$D$5:$D$1323,$A25,LANÇAMENTOS!$A$5:$A$1323,AR$4,LANÇAMENTOS!$B$5:$B$1323,"Pago")</f>
        <v>0.0</v>
      </c>
      <c r="AS25" s="20">
        <f>SUMIFS(LANÇAMENTOS!$F$5:$F$1323,LANÇAMENTOS!$D$5:$D$1323,$A25,LANÇAMENTOS!$A$5:$A$1323,AS$4,LANÇAMENTOS!$B$5:$B$1323,"Pago")</f>
        <v>0.0</v>
      </c>
      <c r="AT25" s="20">
        <f>SUMIFS(LANÇAMENTOS!$F$5:$F$1323,LANÇAMENTOS!$D$5:$D$1323,$A25,LANÇAMENTOS!$A$5:$A$1323,AT$4,LANÇAMENTOS!$B$5:$B$1323,"Pago")</f>
        <v>0.0</v>
      </c>
      <c r="AU25" s="20">
        <f>SUMIFS(LANÇAMENTOS!$F$5:$F$1323,LANÇAMENTOS!$D$5:$D$1323,$A25,LANÇAMENTOS!$A$5:$A$1323,AU$4,LANÇAMENTOS!$B$5:$B$1323,"Pago")</f>
        <v>0.0</v>
      </c>
      <c r="AV25" s="20">
        <f>SUMIFS(LANÇAMENTOS!$F$5:$F$1323,LANÇAMENTOS!$D$5:$D$1323,$A25,LANÇAMENTOS!$A$5:$A$1323,AV$4,LANÇAMENTOS!$B$5:$B$1323,"Pago")</f>
        <v>0.0</v>
      </c>
      <c r="AW25" s="20">
        <f>SUMIFS(LANÇAMENTOS!$F$5:$F$1323,LANÇAMENTOS!$D$5:$D$1323,$A25,LANÇAMENTOS!$A$5:$A$1323,AW$4,LANÇAMENTOS!$B$5:$B$1323,"Pago")</f>
        <v>0.0</v>
      </c>
      <c r="AX25" s="20">
        <f>SUMIFS(LANÇAMENTOS!$F$5:$F$1323,LANÇAMENTOS!$D$5:$D$1323,$A25,LANÇAMENTOS!$A$5:$A$1323,AX$4,LANÇAMENTOS!$B$5:$B$1323,"Pago")</f>
        <v>0.0</v>
      </c>
      <c r="AY25" s="20">
        <f>SUMIFS(LANÇAMENTOS!$F$5:$F$1323,LANÇAMENTOS!$D$5:$D$1323,$A25,LANÇAMENTOS!$A$5:$A$1323,AY$4,LANÇAMENTOS!$B$5:$B$1323,"Pago")</f>
        <v>0.0</v>
      </c>
      <c r="AZ25" s="20">
        <f>SUMIFS(LANÇAMENTOS!$F$5:$F$1323,LANÇAMENTOS!$D$5:$D$1323,$A25,LANÇAMENTOS!$A$5:$A$1323,AZ$4,LANÇAMENTOS!$B$5:$B$1323,"Pago")</f>
        <v>0.0</v>
      </c>
      <c r="BA25" s="20">
        <f>SUMIFS(LANÇAMENTOS!$F$5:$F$1323,LANÇAMENTOS!$D$5:$D$1323,$A25,LANÇAMENTOS!$A$5:$A$1323,BA$4,LANÇAMENTOS!$B$5:$B$1323,"Pago")</f>
        <v>0.0</v>
      </c>
      <c r="BB25" s="20">
        <f>SUMIFS(LANÇAMENTOS!$F$5:$F$1323,LANÇAMENTOS!$D$5:$D$1323,$A25,LANÇAMENTOS!$A$5:$A$1323,BB$4,LANÇAMENTOS!$B$5:$B$1323,"Pago")</f>
        <v>0.0</v>
      </c>
      <c r="BC25" s="20">
        <f>SUMIFS(LANÇAMENTOS!$F$5:$F$1323,LANÇAMENTOS!$D$5:$D$1323,$A25,LANÇAMENTOS!$A$5:$A$1323,BC$4,LANÇAMENTOS!$B$5:$B$1323,"Pago")</f>
        <v>0.0</v>
      </c>
      <c r="BD25" s="20">
        <f>SUMIFS(LANÇAMENTOS!$F$5:$F$1323,LANÇAMENTOS!$D$5:$D$1323,$A25,LANÇAMENTOS!$A$5:$A$1323,BD$4,LANÇAMENTOS!$B$5:$B$1323,"Pago")</f>
        <v>0.0</v>
      </c>
      <c r="BE25" s="20">
        <f>SUMIFS(LANÇAMENTOS!$F$5:$F$1323,LANÇAMENTOS!$D$5:$D$1323,$A25,LANÇAMENTOS!$A$5:$A$1323,BE$4,LANÇAMENTOS!$B$5:$B$1323,"Pago")</f>
        <v>0.0</v>
      </c>
      <c r="BF25" s="20">
        <f>SUMIFS(LANÇAMENTOS!$F$5:$F$1323,LANÇAMENTOS!$D$5:$D$1323,$A25,LANÇAMENTOS!$A$5:$A$1323,BF$4,LANÇAMENTOS!$B$5:$B$1323,"Pago")</f>
        <v>0.0</v>
      </c>
      <c r="BG25" s="20">
        <f>SUMIFS(LANÇAMENTOS!$F$5:$F$1323,LANÇAMENTOS!$D$5:$D$1323,$A25,LANÇAMENTOS!$A$5:$A$1323,BG$4,LANÇAMENTOS!$B$5:$B$1323,"Pago")</f>
        <v>0.0</v>
      </c>
      <c r="BH25" s="20">
        <f>SUMIFS(LANÇAMENTOS!$F$5:$F$1323,LANÇAMENTOS!$D$5:$D$1323,$A25,LANÇAMENTOS!$A$5:$A$1323,BH$4,LANÇAMENTOS!$B$5:$B$1323,"Pago")</f>
        <v>0.0</v>
      </c>
      <c r="BI25" s="20">
        <f>SUMIFS(LANÇAMENTOS!$F$5:$F$1323,LANÇAMENTOS!$D$5:$D$1323,$A25,LANÇAMENTOS!$A$5:$A$1323,BI$4,LANÇAMENTOS!$B$5:$B$1323,"Pago")</f>
        <v>0.0</v>
      </c>
      <c r="BJ25" s="20">
        <f>SUMIFS(LANÇAMENTOS!$F$5:$F$1323,LANÇAMENTOS!$D$5:$D$1323,$A25,LANÇAMENTOS!$A$5:$A$1323,BJ$4,LANÇAMENTOS!$B$5:$B$1323,"Pago")</f>
        <v>0.0</v>
      </c>
      <c r="BK25" s="20">
        <f>SUMIFS(LANÇAMENTOS!$F$5:$F$1323,LANÇAMENTOS!$D$5:$D$1323,$A25,LANÇAMENTOS!$A$5:$A$1323,BK$4,LANÇAMENTOS!$B$5:$B$1323,"Pago")</f>
        <v>0.0</v>
      </c>
      <c r="BL25" s="20">
        <f>SUMIFS(LANÇAMENTOS!$F$5:$F$1323,LANÇAMENTOS!$D$5:$D$1323,$A25,LANÇAMENTOS!$A$5:$A$1323,BL$4,LANÇAMENTOS!$B$5:$B$1323,"Pago")</f>
        <v>0.0</v>
      </c>
    </row>
    <row r="26">
      <c r="A26" s="6" t="inlineStr">
        <is>
          <t>L10</t>
        </is>
      </c>
      <c r="B26" s="6" t="inlineStr">
        <is>
          <t>A classificar (sem linha definida)</t>
        </is>
      </c>
      <c r="C26" s="19">
        <f>SUM(D26:BL26)</f>
        <v>947954.742659</v>
      </c>
      <c r="D26" s="20">
        <f>SUMIFS(LANÇAMENTOS!$F$5:$F$1323,LANÇAMENTOS!$D$5:$D$1323,$A26,LANÇAMENTOS!$A$5:$A$1323,D$4,LANÇAMENTOS!$B$5:$B$1323,"Pago")</f>
        <v>0.0</v>
      </c>
      <c r="E26" s="20">
        <f>SUMIFS(LANÇAMENTOS!$F$5:$F$1323,LANÇAMENTOS!$D$5:$D$1323,$A26,LANÇAMENTOS!$A$5:$A$1323,E$4,LANÇAMENTOS!$B$5:$B$1323,"Pago")</f>
        <v>0.0</v>
      </c>
      <c r="F26" s="20">
        <f>SUMIFS(LANÇAMENTOS!$F$5:$F$1323,LANÇAMENTOS!$D$5:$D$1323,$A26,LANÇAMENTOS!$A$5:$A$1323,F$4,LANÇAMENTOS!$B$5:$B$1323,"Pago")</f>
        <v>0.0</v>
      </c>
      <c r="G26" s="20">
        <f>SUMIFS(LANÇAMENTOS!$F$5:$F$1323,LANÇAMENTOS!$D$5:$D$1323,$A26,LANÇAMENTOS!$A$5:$A$1323,G$4,LANÇAMENTOS!$B$5:$B$1323,"Pago")</f>
        <v>2457.0</v>
      </c>
      <c r="H26" s="20">
        <f>SUMIFS(LANÇAMENTOS!$F$5:$F$1323,LANÇAMENTOS!$D$5:$D$1323,$A26,LANÇAMENTOS!$A$5:$A$1323,H$4,LANÇAMENTOS!$B$5:$B$1323,"Pago")</f>
        <v>143.0</v>
      </c>
      <c r="I26" s="20">
        <f>SUMIFS(LANÇAMENTOS!$F$5:$F$1323,LANÇAMENTOS!$D$5:$D$1323,$A26,LANÇAMENTOS!$A$5:$A$1323,I$4,LANÇAMENTOS!$B$5:$B$1323,"Pago")</f>
        <v>0.0</v>
      </c>
      <c r="J26" s="20">
        <f>SUMIFS(LANÇAMENTOS!$F$5:$F$1323,LANÇAMENTOS!$D$5:$D$1323,$A26,LANÇAMENTOS!$A$5:$A$1323,J$4,LANÇAMENTOS!$B$5:$B$1323,"Pago")</f>
        <v>1316.7</v>
      </c>
      <c r="K26" s="20">
        <f>SUMIFS(LANÇAMENTOS!$F$5:$F$1323,LANÇAMENTOS!$D$5:$D$1323,$A26,LANÇAMENTOS!$A$5:$A$1323,K$4,LANÇAMENTOS!$B$5:$B$1323,"Pago")</f>
        <v>223.3</v>
      </c>
      <c r="L26" s="20">
        <f>SUMIFS(LANÇAMENTOS!$F$5:$F$1323,LANÇAMENTOS!$D$5:$D$1323,$A26,LANÇAMENTOS!$A$5:$A$1323,L$4,LANÇAMENTOS!$B$5:$B$1323,"Pago")</f>
        <v>0.0</v>
      </c>
      <c r="M26" s="20">
        <f>SUMIFS(LANÇAMENTOS!$F$5:$F$1323,LANÇAMENTOS!$D$5:$D$1323,$A26,LANÇAMENTOS!$A$5:$A$1323,M$4,LANÇAMENTOS!$B$5:$B$1323,"Pago")</f>
        <v>0.0</v>
      </c>
      <c r="N26" s="20">
        <f>SUMIFS(LANÇAMENTOS!$F$5:$F$1323,LANÇAMENTOS!$D$5:$D$1323,$A26,LANÇAMENTOS!$A$5:$A$1323,N$4,LANÇAMENTOS!$B$5:$B$1323,"Pago")</f>
        <v>2977.4</v>
      </c>
      <c r="O26" s="20">
        <f>SUMIFS(LANÇAMENTOS!$F$5:$F$1323,LANÇAMENTOS!$D$5:$D$1323,$A26,LANÇAMENTOS!$A$5:$A$1323,O$4,LANÇAMENTOS!$B$5:$B$1323,"Pago")</f>
        <v>6029.1</v>
      </c>
      <c r="P26" s="20">
        <f>SUMIFS(LANÇAMENTOS!$F$5:$F$1323,LANÇAMENTOS!$D$5:$D$1323,$A26,LANÇAMENTOS!$A$5:$A$1323,P$4,LANÇAMENTOS!$B$5:$B$1323,"Pago")</f>
        <v>3573.35</v>
      </c>
      <c r="Q26" s="20">
        <f>SUMIFS(LANÇAMENTOS!$F$5:$F$1323,LANÇAMENTOS!$D$5:$D$1323,$A26,LANÇAMENTOS!$A$5:$A$1323,Q$4,LANÇAMENTOS!$B$5:$B$1323,"Pago")</f>
        <v>7048.250000000001</v>
      </c>
      <c r="R26" s="20">
        <f>SUMIFS(LANÇAMENTOS!$F$5:$F$1323,LANÇAMENTOS!$D$5:$D$1323,$A26,LANÇAMENTOS!$A$5:$A$1323,R$4,LANÇAMENTOS!$B$5:$B$1323,"Pago")</f>
        <v>10077.949999999997</v>
      </c>
      <c r="S26" s="20">
        <f>SUMIFS(LANÇAMENTOS!$F$5:$F$1323,LANÇAMENTOS!$D$5:$D$1323,$A26,LANÇAMENTOS!$A$5:$A$1323,S$4,LANÇAMENTOS!$B$5:$B$1323,"Pago")</f>
        <v>14038.360000000002</v>
      </c>
      <c r="T26" s="20">
        <f>SUMIFS(LANÇAMENTOS!$F$5:$F$1323,LANÇAMENTOS!$D$5:$D$1323,$A26,LANÇAMENTOS!$A$5:$A$1323,T$4,LANÇAMENTOS!$B$5:$B$1323,"Pago")</f>
        <v>25900.46</v>
      </c>
      <c r="U26" s="20">
        <f>SUMIFS(LANÇAMENTOS!$F$5:$F$1323,LANÇAMENTOS!$D$5:$D$1323,$A26,LANÇAMENTOS!$A$5:$A$1323,U$4,LANÇAMENTOS!$B$5:$B$1323,"Pago")</f>
        <v>19471.41</v>
      </c>
      <c r="V26" s="20">
        <f>SUMIFS(LANÇAMENTOS!$F$5:$F$1323,LANÇAMENTOS!$D$5:$D$1323,$A26,LANÇAMENTOS!$A$5:$A$1323,V$4,LANÇAMENTOS!$B$5:$B$1323,"Pago")</f>
        <v>7606.900000000001</v>
      </c>
      <c r="W26" s="20">
        <f>SUMIFS(LANÇAMENTOS!$F$5:$F$1323,LANÇAMENTOS!$D$5:$D$1323,$A26,LANÇAMENTOS!$A$5:$A$1323,W$4,LANÇAMENTOS!$B$5:$B$1323,"Pago")</f>
        <v>42065.65000000001</v>
      </c>
      <c r="X26" s="20">
        <f>SUMIFS(LANÇAMENTOS!$F$5:$F$1323,LANÇAMENTOS!$D$5:$D$1323,$A26,LANÇAMENTOS!$A$5:$A$1323,X$4,LANÇAMENTOS!$B$5:$B$1323,"Pago")</f>
        <v>38879.441050999994</v>
      </c>
      <c r="Y26" s="20">
        <f>SUMIFS(LANÇAMENTOS!$F$5:$F$1323,LANÇAMENTOS!$D$5:$D$1323,$A26,LANÇAMENTOS!$A$5:$A$1323,Y$4,LANÇAMENTOS!$B$5:$B$1323,"Pago")</f>
        <v>88053.08676499999</v>
      </c>
      <c r="Z26" s="20">
        <f>SUMIFS(LANÇAMENTOS!$F$5:$F$1323,LANÇAMENTOS!$D$5:$D$1323,$A26,LANÇAMENTOS!$A$5:$A$1323,Z$4,LANÇAMENTOS!$B$5:$B$1323,"Pago")</f>
        <v>149669.807881</v>
      </c>
      <c r="AA26" s="20">
        <f>SUMIFS(LANÇAMENTOS!$F$5:$F$1323,LANÇAMENTOS!$D$5:$D$1323,$A26,LANÇAMENTOS!$A$5:$A$1323,AA$4,LANÇAMENTOS!$B$5:$B$1323,"Pago")</f>
        <v>104703.950639</v>
      </c>
      <c r="AB26" s="20">
        <f>SUMIFS(LANÇAMENTOS!$F$5:$F$1323,LANÇAMENTOS!$D$5:$D$1323,$A26,LANÇAMENTOS!$A$5:$A$1323,AB$4,LANÇAMENTOS!$B$5:$B$1323,"Pago")</f>
        <v>111748.330255</v>
      </c>
      <c r="AC26" s="20">
        <f>SUMIFS(LANÇAMENTOS!$F$5:$F$1323,LANÇAMENTOS!$D$5:$D$1323,$A26,LANÇAMENTOS!$A$5:$A$1323,AC$4,LANÇAMENTOS!$B$5:$B$1323,"Pago")</f>
        <v>63096.200001</v>
      </c>
      <c r="AD26" s="20">
        <f>SUMIFS(LANÇAMENTOS!$F$5:$F$1323,LANÇAMENTOS!$D$5:$D$1323,$A26,LANÇAMENTOS!$A$5:$A$1323,AD$4,LANÇAMENTOS!$B$5:$B$1323,"Pago")</f>
        <v>174130.18622</v>
      </c>
      <c r="AE26" s="20">
        <f>SUMIFS(LANÇAMENTOS!$F$5:$F$1323,LANÇAMENTOS!$D$5:$D$1323,$A26,LANÇAMENTOS!$A$5:$A$1323,AE$4,LANÇAMENTOS!$B$5:$B$1323,"Pago")</f>
        <v>74744.90984699999</v>
      </c>
      <c r="AF26" s="20">
        <f>SUMIFS(LANÇAMENTOS!$F$5:$F$1323,LANÇAMENTOS!$D$5:$D$1323,$A26,LANÇAMENTOS!$A$5:$A$1323,AF$4,LANÇAMENTOS!$B$5:$B$1323,"Pago")</f>
        <v>0.0</v>
      </c>
      <c r="AG26" s="20">
        <f>SUMIFS(LANÇAMENTOS!$F$5:$F$1323,LANÇAMENTOS!$D$5:$D$1323,$A26,LANÇAMENTOS!$A$5:$A$1323,AG$4,LANÇAMENTOS!$B$5:$B$1323,"Pago")</f>
        <v>0.0</v>
      </c>
      <c r="AH26" s="20">
        <f>SUMIFS(LANÇAMENTOS!$F$5:$F$1323,LANÇAMENTOS!$D$5:$D$1323,$A26,LANÇAMENTOS!$A$5:$A$1323,AH$4,LANÇAMENTOS!$B$5:$B$1323,"Pago")</f>
        <v>0.0</v>
      </c>
      <c r="AI26" s="20">
        <f>SUMIFS(LANÇAMENTOS!$F$5:$F$1323,LANÇAMENTOS!$D$5:$D$1323,$A26,LANÇAMENTOS!$A$5:$A$1323,AI$4,LANÇAMENTOS!$B$5:$B$1323,"Pago")</f>
        <v>0.0</v>
      </c>
      <c r="AJ26" s="20">
        <f>SUMIFS(LANÇAMENTOS!$F$5:$F$1323,LANÇAMENTOS!$D$5:$D$1323,$A26,LANÇAMENTOS!$A$5:$A$1323,AJ$4,LANÇAMENTOS!$B$5:$B$1323,"Pago")</f>
        <v>0.0</v>
      </c>
      <c r="AK26" s="20">
        <f>SUMIFS(LANÇAMENTOS!$F$5:$F$1323,LANÇAMENTOS!$D$5:$D$1323,$A26,LANÇAMENTOS!$A$5:$A$1323,AK$4,LANÇAMENTOS!$B$5:$B$1323,"Pago")</f>
        <v>0.0</v>
      </c>
      <c r="AL26" s="20">
        <f>SUMIFS(LANÇAMENTOS!$F$5:$F$1323,LANÇAMENTOS!$D$5:$D$1323,$A26,LANÇAMENTOS!$A$5:$A$1323,AL$4,LANÇAMENTOS!$B$5:$B$1323,"Pago")</f>
        <v>0.0</v>
      </c>
      <c r="AM26" s="20">
        <f>SUMIFS(LANÇAMENTOS!$F$5:$F$1323,LANÇAMENTOS!$D$5:$D$1323,$A26,LANÇAMENTOS!$A$5:$A$1323,AM$4,LANÇAMENTOS!$B$5:$B$1323,"Pago")</f>
        <v>0.0</v>
      </c>
      <c r="AN26" s="20">
        <f>SUMIFS(LANÇAMENTOS!$F$5:$F$1323,LANÇAMENTOS!$D$5:$D$1323,$A26,LANÇAMENTOS!$A$5:$A$1323,AN$4,LANÇAMENTOS!$B$5:$B$1323,"Pago")</f>
        <v>0.0</v>
      </c>
      <c r="AO26" s="20">
        <f>SUMIFS(LANÇAMENTOS!$F$5:$F$1323,LANÇAMENTOS!$D$5:$D$1323,$A26,LANÇAMENTOS!$A$5:$A$1323,AO$4,LANÇAMENTOS!$B$5:$B$1323,"Pago")</f>
        <v>0.0</v>
      </c>
      <c r="AP26" s="20">
        <f>SUMIFS(LANÇAMENTOS!$F$5:$F$1323,LANÇAMENTOS!$D$5:$D$1323,$A26,LANÇAMENTOS!$A$5:$A$1323,AP$4,LANÇAMENTOS!$B$5:$B$1323,"Pago")</f>
        <v>0.0</v>
      </c>
      <c r="AQ26" s="20">
        <f>SUMIFS(LANÇAMENTOS!$F$5:$F$1323,LANÇAMENTOS!$D$5:$D$1323,$A26,LANÇAMENTOS!$A$5:$A$1323,AQ$4,LANÇAMENTOS!$B$5:$B$1323,"Pago")</f>
        <v>0.0</v>
      </c>
      <c r="AR26" s="20">
        <f>SUMIFS(LANÇAMENTOS!$F$5:$F$1323,LANÇAMENTOS!$D$5:$D$1323,$A26,LANÇAMENTOS!$A$5:$A$1323,AR$4,LANÇAMENTOS!$B$5:$B$1323,"Pago")</f>
        <v>0.0</v>
      </c>
      <c r="AS26" s="20">
        <f>SUMIFS(LANÇAMENTOS!$F$5:$F$1323,LANÇAMENTOS!$D$5:$D$1323,$A26,LANÇAMENTOS!$A$5:$A$1323,AS$4,LANÇAMENTOS!$B$5:$B$1323,"Pago")</f>
        <v>0.0</v>
      </c>
      <c r="AT26" s="20">
        <f>SUMIFS(LANÇAMENTOS!$F$5:$F$1323,LANÇAMENTOS!$D$5:$D$1323,$A26,LANÇAMENTOS!$A$5:$A$1323,AT$4,LANÇAMENTOS!$B$5:$B$1323,"Pago")</f>
        <v>0.0</v>
      </c>
      <c r="AU26" s="20">
        <f>SUMIFS(LANÇAMENTOS!$F$5:$F$1323,LANÇAMENTOS!$D$5:$D$1323,$A26,LANÇAMENTOS!$A$5:$A$1323,AU$4,LANÇAMENTOS!$B$5:$B$1323,"Pago")</f>
        <v>0.0</v>
      </c>
      <c r="AV26" s="20">
        <f>SUMIFS(LANÇAMENTOS!$F$5:$F$1323,LANÇAMENTOS!$D$5:$D$1323,$A26,LANÇAMENTOS!$A$5:$A$1323,AV$4,LANÇAMENTOS!$B$5:$B$1323,"Pago")</f>
        <v>0.0</v>
      </c>
      <c r="AW26" s="20">
        <f>SUMIFS(LANÇAMENTOS!$F$5:$F$1323,LANÇAMENTOS!$D$5:$D$1323,$A26,LANÇAMENTOS!$A$5:$A$1323,AW$4,LANÇAMENTOS!$B$5:$B$1323,"Pago")</f>
        <v>0.0</v>
      </c>
      <c r="AX26" s="20">
        <f>SUMIFS(LANÇAMENTOS!$F$5:$F$1323,LANÇAMENTOS!$D$5:$D$1323,$A26,LANÇAMENTOS!$A$5:$A$1323,AX$4,LANÇAMENTOS!$B$5:$B$1323,"Pago")</f>
        <v>0.0</v>
      </c>
      <c r="AY26" s="20">
        <f>SUMIFS(LANÇAMENTOS!$F$5:$F$1323,LANÇAMENTOS!$D$5:$D$1323,$A26,LANÇAMENTOS!$A$5:$A$1323,AY$4,LANÇAMENTOS!$B$5:$B$1323,"Pago")</f>
        <v>0.0</v>
      </c>
      <c r="AZ26" s="20">
        <f>SUMIFS(LANÇAMENTOS!$F$5:$F$1323,LANÇAMENTOS!$D$5:$D$1323,$A26,LANÇAMENTOS!$A$5:$A$1323,AZ$4,LANÇAMENTOS!$B$5:$B$1323,"Pago")</f>
        <v>0.0</v>
      </c>
      <c r="BA26" s="20">
        <f>SUMIFS(LANÇAMENTOS!$F$5:$F$1323,LANÇAMENTOS!$D$5:$D$1323,$A26,LANÇAMENTOS!$A$5:$A$1323,BA$4,LANÇAMENTOS!$B$5:$B$1323,"Pago")</f>
        <v>0.0</v>
      </c>
      <c r="BB26" s="20">
        <f>SUMIFS(LANÇAMENTOS!$F$5:$F$1323,LANÇAMENTOS!$D$5:$D$1323,$A26,LANÇAMENTOS!$A$5:$A$1323,BB$4,LANÇAMENTOS!$B$5:$B$1323,"Pago")</f>
        <v>0.0</v>
      </c>
      <c r="BC26" s="20">
        <f>SUMIFS(LANÇAMENTOS!$F$5:$F$1323,LANÇAMENTOS!$D$5:$D$1323,$A26,LANÇAMENTOS!$A$5:$A$1323,BC$4,LANÇAMENTOS!$B$5:$B$1323,"Pago")</f>
        <v>0.0</v>
      </c>
      <c r="BD26" s="20">
        <f>SUMIFS(LANÇAMENTOS!$F$5:$F$1323,LANÇAMENTOS!$D$5:$D$1323,$A26,LANÇAMENTOS!$A$5:$A$1323,BD$4,LANÇAMENTOS!$B$5:$B$1323,"Pago")</f>
        <v>0.0</v>
      </c>
      <c r="BE26" s="20">
        <f>SUMIFS(LANÇAMENTOS!$F$5:$F$1323,LANÇAMENTOS!$D$5:$D$1323,$A26,LANÇAMENTOS!$A$5:$A$1323,BE$4,LANÇAMENTOS!$B$5:$B$1323,"Pago")</f>
        <v>0.0</v>
      </c>
      <c r="BF26" s="20">
        <f>SUMIFS(LANÇAMENTOS!$F$5:$F$1323,LANÇAMENTOS!$D$5:$D$1323,$A26,LANÇAMENTOS!$A$5:$A$1323,BF$4,LANÇAMENTOS!$B$5:$B$1323,"Pago")</f>
        <v>0.0</v>
      </c>
      <c r="BG26" s="20">
        <f>SUMIFS(LANÇAMENTOS!$F$5:$F$1323,LANÇAMENTOS!$D$5:$D$1323,$A26,LANÇAMENTOS!$A$5:$A$1323,BG$4,LANÇAMENTOS!$B$5:$B$1323,"Pago")</f>
        <v>0.0</v>
      </c>
      <c r="BH26" s="20">
        <f>SUMIFS(LANÇAMENTOS!$F$5:$F$1323,LANÇAMENTOS!$D$5:$D$1323,$A26,LANÇAMENTOS!$A$5:$A$1323,BH$4,LANÇAMENTOS!$B$5:$B$1323,"Pago")</f>
        <v>0.0</v>
      </c>
      <c r="BI26" s="20">
        <f>SUMIFS(LANÇAMENTOS!$F$5:$F$1323,LANÇAMENTOS!$D$5:$D$1323,$A26,LANÇAMENTOS!$A$5:$A$1323,BI$4,LANÇAMENTOS!$B$5:$B$1323,"Pago")</f>
        <v>0.0</v>
      </c>
      <c r="BJ26" s="20">
        <f>SUMIFS(LANÇAMENTOS!$F$5:$F$1323,LANÇAMENTOS!$D$5:$D$1323,$A26,LANÇAMENTOS!$A$5:$A$1323,BJ$4,LANÇAMENTOS!$B$5:$B$1323,"Pago")</f>
        <v>0.0</v>
      </c>
      <c r="BK26" s="20">
        <f>SUMIFS(LANÇAMENTOS!$F$5:$F$1323,LANÇAMENTOS!$D$5:$D$1323,$A26,LANÇAMENTOS!$A$5:$A$1323,BK$4,LANÇAMENTOS!$B$5:$B$1323,"Pago")</f>
        <v>0.0</v>
      </c>
      <c r="BL26" s="20">
        <f>SUMIFS(LANÇAMENTOS!$F$5:$F$1323,LANÇAMENTOS!$D$5:$D$1323,$A26,LANÇAMENTOS!$A$5:$A$1323,BL$4,LANÇAMENTOS!$B$5:$B$1323,"Pago")</f>
        <v>0.0</v>
      </c>
    </row>
    <row r="27">
      <c r="A27" s="10" t="inlineStr">
        <is>
          <t>TOTAL</t>
        </is>
      </c>
      <c r="B27" s="11" t="n"/>
      <c r="C27" s="21">
        <f>SUM(C18:C26)</f>
        <v>2035408.2073659995</v>
      </c>
      <c r="D27" s="21">
        <f>SUM(D18:D26)</f>
        <v>1113.0</v>
      </c>
      <c r="E27" s="21">
        <f>SUM(E18:E26)</f>
        <v>1144.4</v>
      </c>
      <c r="F27" s="21">
        <f>SUM(F18:F26)</f>
        <v>2067.0</v>
      </c>
      <c r="G27" s="21">
        <f>SUM(G18:G26)</f>
        <v>3800.38</v>
      </c>
      <c r="H27" s="21">
        <f>SUM(H18:H26)</f>
        <v>5065.181591</v>
      </c>
      <c r="I27" s="21">
        <f>SUM(I18:I26)</f>
        <v>1284.71</v>
      </c>
      <c r="J27" s="21">
        <f>SUM(J18:J26)</f>
        <v>8463.51</v>
      </c>
      <c r="K27" s="21">
        <f>SUM(K18:K26)</f>
        <v>6024.540000000001</v>
      </c>
      <c r="L27" s="21">
        <f>SUM(L18:L26)</f>
        <v>1992.71</v>
      </c>
      <c r="M27" s="21">
        <f>SUM(M18:M26)</f>
        <v>7070.070001</v>
      </c>
      <c r="N27" s="21">
        <f>SUM(N18:N26)</f>
        <v>8500.570002</v>
      </c>
      <c r="O27" s="21">
        <f>SUM(O18:O26)</f>
        <v>20765.620002999996</v>
      </c>
      <c r="P27" s="21">
        <f>SUM(P18:P26)</f>
        <v>27993.930000999997</v>
      </c>
      <c r="Q27" s="21">
        <f>SUM(Q18:Q26)</f>
        <v>30767.370000000003</v>
      </c>
      <c r="R27" s="21">
        <f>SUM(R18:R26)</f>
        <v>24067.829999999998</v>
      </c>
      <c r="S27" s="21">
        <f>SUM(S18:S26)</f>
        <v>28807.039994000006</v>
      </c>
      <c r="T27" s="21">
        <f>SUM(T18:T26)</f>
        <v>37060.909997999996</v>
      </c>
      <c r="U27" s="21">
        <f>SUM(U18:U26)</f>
        <v>48510.42</v>
      </c>
      <c r="V27" s="21">
        <f>SUM(V18:V26)</f>
        <v>47082.829999</v>
      </c>
      <c r="W27" s="21">
        <f>SUM(W18:W26)</f>
        <v>58328.51758300001</v>
      </c>
      <c r="X27" s="21">
        <f>SUM(X18:X26)</f>
        <v>308900.417088</v>
      </c>
      <c r="Y27" s="21">
        <f>SUM(Y18:Y26)</f>
        <v>194369.88001799997</v>
      </c>
      <c r="Z27" s="21">
        <f>SUM(Z18:Z26)</f>
        <v>298001.172448</v>
      </c>
      <c r="AA27" s="21">
        <f>SUM(AA18:AA26)</f>
        <v>153168.157956</v>
      </c>
      <c r="AB27" s="21">
        <f>SUM(AB18:AB26)</f>
        <v>153659.60754</v>
      </c>
      <c r="AC27" s="21">
        <f>SUM(AC18:AC26)</f>
        <v>137885.776657</v>
      </c>
      <c r="AD27" s="21">
        <f>SUM(AD18:AD26)</f>
        <v>235979.59622</v>
      </c>
      <c r="AE27" s="21">
        <f>SUM(AE18:AE26)</f>
        <v>156802.90026699996</v>
      </c>
      <c r="AF27" s="21">
        <f>SUM(AF18:AF26)</f>
        <v>26730.160000000003</v>
      </c>
      <c r="AG27" s="21">
        <f>SUM(AG18:AG26)</f>
        <v>0.0</v>
      </c>
      <c r="AH27" s="21">
        <f>SUM(AH18:AH26)</f>
        <v>0.0</v>
      </c>
      <c r="AI27" s="21">
        <f>SUM(AI18:AI26)</f>
        <v>0.0</v>
      </c>
      <c r="AJ27" s="21">
        <f>SUM(AJ18:AJ26)</f>
        <v>0.0</v>
      </c>
      <c r="AK27" s="21">
        <f>SUM(AK18:AK26)</f>
        <v>0.0</v>
      </c>
      <c r="AL27" s="21">
        <f>SUM(AL18:AL26)</f>
        <v>0.0</v>
      </c>
      <c r="AM27" s="21">
        <f>SUM(AM18:AM26)</f>
        <v>0.0</v>
      </c>
      <c r="AN27" s="21">
        <f>SUM(AN18:AN26)</f>
        <v>0.0</v>
      </c>
      <c r="AO27" s="21">
        <f>SUM(AO18:AO26)</f>
        <v>0.0</v>
      </c>
      <c r="AP27" s="21">
        <f>SUM(AP18:AP26)</f>
        <v>0.0</v>
      </c>
      <c r="AQ27" s="21">
        <f>SUM(AQ18:AQ26)</f>
        <v>0.0</v>
      </c>
      <c r="AR27" s="21">
        <f>SUM(AR18:AR26)</f>
        <v>0.0</v>
      </c>
      <c r="AS27" s="21">
        <f>SUM(AS18:AS26)</f>
        <v>0.0</v>
      </c>
      <c r="AT27" s="21">
        <f>SUM(AT18:AT26)</f>
        <v>0.0</v>
      </c>
      <c r="AU27" s="21">
        <f>SUM(AU18:AU26)</f>
        <v>0.0</v>
      </c>
      <c r="AV27" s="21">
        <f>SUM(AV18:AV26)</f>
        <v>0.0</v>
      </c>
      <c r="AW27" s="21">
        <f>SUM(AW18:AW26)</f>
        <v>0.0</v>
      </c>
      <c r="AX27" s="21">
        <f>SUM(AX18:AX26)</f>
        <v>0.0</v>
      </c>
      <c r="AY27" s="21">
        <f>SUM(AY18:AY26)</f>
        <v>0.0</v>
      </c>
      <c r="AZ27" s="21">
        <f>SUM(AZ18:AZ26)</f>
        <v>0.0</v>
      </c>
      <c r="BA27" s="21">
        <f>SUM(BA18:BA26)</f>
        <v>0.0</v>
      </c>
      <c r="BB27" s="21">
        <f>SUM(BB18:BB26)</f>
        <v>0.0</v>
      </c>
      <c r="BC27" s="21">
        <f>SUM(BC18:BC26)</f>
        <v>0.0</v>
      </c>
      <c r="BD27" s="21">
        <f>SUM(BD18:BD26)</f>
        <v>0.0</v>
      </c>
      <c r="BE27" s="21">
        <f>SUM(BE18:BE26)</f>
        <v>0.0</v>
      </c>
      <c r="BF27" s="21">
        <f>SUM(BF18:BF26)</f>
        <v>0.0</v>
      </c>
      <c r="BG27" s="21">
        <f>SUM(BG18:BG26)</f>
        <v>0.0</v>
      </c>
      <c r="BH27" s="21">
        <f>SUM(BH18:BH26)</f>
        <v>0.0</v>
      </c>
      <c r="BI27" s="21">
        <f>SUM(BI18:BI26)</f>
        <v>0.0</v>
      </c>
      <c r="BJ27" s="21">
        <f>SUM(BJ18:BJ26)</f>
        <v>0.0</v>
      </c>
      <c r="BK27" s="21">
        <f>SUM(BK18:BK26)</f>
        <v>0.0</v>
      </c>
      <c r="BL27" s="21">
        <f>SUM(BL18:BL26)</f>
        <v>0.0</v>
      </c>
    </row>
    <row r="29">
      <c r="A29" s="15" t="inlineStr">
        <is>
          <t>A PAGAR (LANÇADO NO FINANCEIRO)</t>
        </is>
      </c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  <c r="AW29" s="16" t="n"/>
      <c r="AX29" s="16" t="n"/>
      <c r="AY29" s="16" t="n"/>
      <c r="AZ29" s="16" t="n"/>
      <c r="BA29" s="16" t="n"/>
      <c r="BB29" s="16" t="n"/>
      <c r="BC29" s="16" t="n"/>
      <c r="BD29" s="16" t="n"/>
      <c r="BE29" s="16" t="n"/>
      <c r="BF29" s="16" t="n"/>
      <c r="BG29" s="16" t="n"/>
      <c r="BH29" s="16" t="n"/>
      <c r="BI29" s="16" t="n"/>
      <c r="BJ29" s="16" t="n"/>
      <c r="BK29" s="16" t="n"/>
      <c r="BL29" s="16" t="n"/>
    </row>
    <row r="30">
      <c r="A30" s="6" t="inlineStr">
        <is>
          <t>L01</t>
        </is>
      </c>
      <c r="B30" s="6" t="inlineStr">
        <is>
          <t>Ferramentas manuais e pequenos equipamentos</t>
        </is>
      </c>
      <c r="C30" s="19">
        <f>SUM(D30:BL30)</f>
        <v>19511.1</v>
      </c>
      <c r="D30" s="20">
        <f>SUMIFS(LANÇAMENTOS!$F$5:$F$1323,LANÇAMENTOS!$D$5:$D$1323,$A30,LANÇAMENTOS!$A$5:$A$1323,D$4,LANÇAMENTOS!$B$5:$B$1323,"A pagar")</f>
        <v>0.0</v>
      </c>
      <c r="E30" s="20">
        <f>SUMIFS(LANÇAMENTOS!$F$5:$F$1323,LANÇAMENTOS!$D$5:$D$1323,$A30,LANÇAMENTOS!$A$5:$A$1323,E$4,LANÇAMENTOS!$B$5:$B$1323,"A pagar")</f>
        <v>0.0</v>
      </c>
      <c r="F30" s="20">
        <f>SUMIFS(LANÇAMENTOS!$F$5:$F$1323,LANÇAMENTOS!$D$5:$D$1323,$A30,LANÇAMENTOS!$A$5:$A$1323,F$4,LANÇAMENTOS!$B$5:$B$1323,"A pagar")</f>
        <v>0.0</v>
      </c>
      <c r="G30" s="20">
        <f>SUMIFS(LANÇAMENTOS!$F$5:$F$1323,LANÇAMENTOS!$D$5:$D$1323,$A30,LANÇAMENTOS!$A$5:$A$1323,G$4,LANÇAMENTOS!$B$5:$B$1323,"A pagar")</f>
        <v>0.0</v>
      </c>
      <c r="H30" s="20">
        <f>SUMIFS(LANÇAMENTOS!$F$5:$F$1323,LANÇAMENTOS!$D$5:$D$1323,$A30,LANÇAMENTOS!$A$5:$A$1323,H$4,LANÇAMENTOS!$B$5:$B$1323,"A pagar")</f>
        <v>0.0</v>
      </c>
      <c r="I30" s="20">
        <f>SUMIFS(LANÇAMENTOS!$F$5:$F$1323,LANÇAMENTOS!$D$5:$D$1323,$A30,LANÇAMENTOS!$A$5:$A$1323,I$4,LANÇAMENTOS!$B$5:$B$1323,"A pagar")</f>
        <v>0.0</v>
      </c>
      <c r="J30" s="20">
        <f>SUMIFS(LANÇAMENTOS!$F$5:$F$1323,LANÇAMENTOS!$D$5:$D$1323,$A30,LANÇAMENTOS!$A$5:$A$1323,J$4,LANÇAMENTOS!$B$5:$B$1323,"A pagar")</f>
        <v>0.0</v>
      </c>
      <c r="K30" s="20">
        <f>SUMIFS(LANÇAMENTOS!$F$5:$F$1323,LANÇAMENTOS!$D$5:$D$1323,$A30,LANÇAMENTOS!$A$5:$A$1323,K$4,LANÇAMENTOS!$B$5:$B$1323,"A pagar")</f>
        <v>0.0</v>
      </c>
      <c r="L30" s="20">
        <f>SUMIFS(LANÇAMENTOS!$F$5:$F$1323,LANÇAMENTOS!$D$5:$D$1323,$A30,LANÇAMENTOS!$A$5:$A$1323,L$4,LANÇAMENTOS!$B$5:$B$1323,"A pagar")</f>
        <v>0.0</v>
      </c>
      <c r="M30" s="20">
        <f>SUMIFS(LANÇAMENTOS!$F$5:$F$1323,LANÇAMENTOS!$D$5:$D$1323,$A30,LANÇAMENTOS!$A$5:$A$1323,M$4,LANÇAMENTOS!$B$5:$B$1323,"A pagar")</f>
        <v>0.0</v>
      </c>
      <c r="N30" s="20">
        <f>SUMIFS(LANÇAMENTOS!$F$5:$F$1323,LANÇAMENTOS!$D$5:$D$1323,$A30,LANÇAMENTOS!$A$5:$A$1323,N$4,LANÇAMENTOS!$B$5:$B$1323,"A pagar")</f>
        <v>0.0</v>
      </c>
      <c r="O30" s="20">
        <f>SUMIFS(LANÇAMENTOS!$F$5:$F$1323,LANÇAMENTOS!$D$5:$D$1323,$A30,LANÇAMENTOS!$A$5:$A$1323,O$4,LANÇAMENTOS!$B$5:$B$1323,"A pagar")</f>
        <v>0.0</v>
      </c>
      <c r="P30" s="20">
        <f>SUMIFS(LANÇAMENTOS!$F$5:$F$1323,LANÇAMENTOS!$D$5:$D$1323,$A30,LANÇAMENTOS!$A$5:$A$1323,P$4,LANÇAMENTOS!$B$5:$B$1323,"A pagar")</f>
        <v>0.0</v>
      </c>
      <c r="Q30" s="20">
        <f>SUMIFS(LANÇAMENTOS!$F$5:$F$1323,LANÇAMENTOS!$D$5:$D$1323,$A30,LANÇAMENTOS!$A$5:$A$1323,Q$4,LANÇAMENTOS!$B$5:$B$1323,"A pagar")</f>
        <v>0.0</v>
      </c>
      <c r="R30" s="20">
        <f>SUMIFS(LANÇAMENTOS!$F$5:$F$1323,LANÇAMENTOS!$D$5:$D$1323,$A30,LANÇAMENTOS!$A$5:$A$1323,R$4,LANÇAMENTOS!$B$5:$B$1323,"A pagar")</f>
        <v>0.0</v>
      </c>
      <c r="S30" s="20">
        <f>SUMIFS(LANÇAMENTOS!$F$5:$F$1323,LANÇAMENTOS!$D$5:$D$1323,$A30,LANÇAMENTOS!$A$5:$A$1323,S$4,LANÇAMENTOS!$B$5:$B$1323,"A pagar")</f>
        <v>0.0</v>
      </c>
      <c r="T30" s="20">
        <f>SUMIFS(LANÇAMENTOS!$F$5:$F$1323,LANÇAMENTOS!$D$5:$D$1323,$A30,LANÇAMENTOS!$A$5:$A$1323,T$4,LANÇAMENTOS!$B$5:$B$1323,"A pagar")</f>
        <v>0.0</v>
      </c>
      <c r="U30" s="20">
        <f>SUMIFS(LANÇAMENTOS!$F$5:$F$1323,LANÇAMENTOS!$D$5:$D$1323,$A30,LANÇAMENTOS!$A$5:$A$1323,U$4,LANÇAMENTOS!$B$5:$B$1323,"A pagar")</f>
        <v>0.0</v>
      </c>
      <c r="V30" s="20">
        <f>SUMIFS(LANÇAMENTOS!$F$5:$F$1323,LANÇAMENTOS!$D$5:$D$1323,$A30,LANÇAMENTOS!$A$5:$A$1323,V$4,LANÇAMENTOS!$B$5:$B$1323,"A pagar")</f>
        <v>0.0</v>
      </c>
      <c r="W30" s="20">
        <f>SUMIFS(LANÇAMENTOS!$F$5:$F$1323,LANÇAMENTOS!$D$5:$D$1323,$A30,LANÇAMENTOS!$A$5:$A$1323,W$4,LANÇAMENTOS!$B$5:$B$1323,"A pagar")</f>
        <v>0.0</v>
      </c>
      <c r="X30" s="20">
        <f>SUMIFS(LANÇAMENTOS!$F$5:$F$1323,LANÇAMENTOS!$D$5:$D$1323,$A30,LANÇAMENTOS!$A$5:$A$1323,X$4,LANÇAMENTOS!$B$5:$B$1323,"A pagar")</f>
        <v>0.0</v>
      </c>
      <c r="Y30" s="20">
        <f>SUMIFS(LANÇAMENTOS!$F$5:$F$1323,LANÇAMENTOS!$D$5:$D$1323,$A30,LANÇAMENTOS!$A$5:$A$1323,Y$4,LANÇAMENTOS!$B$5:$B$1323,"A pagar")</f>
        <v>0.0</v>
      </c>
      <c r="Z30" s="20">
        <f>SUMIFS(LANÇAMENTOS!$F$5:$F$1323,LANÇAMENTOS!$D$5:$D$1323,$A30,LANÇAMENTOS!$A$5:$A$1323,Z$4,LANÇAMENTOS!$B$5:$B$1323,"A pagar")</f>
        <v>0.0</v>
      </c>
      <c r="AA30" s="20">
        <f>SUMIFS(LANÇAMENTOS!$F$5:$F$1323,LANÇAMENTOS!$D$5:$D$1323,$A30,LANÇAMENTOS!$A$5:$A$1323,AA$4,LANÇAMENTOS!$B$5:$B$1323,"A pagar")</f>
        <v>0.0</v>
      </c>
      <c r="AB30" s="20">
        <f>SUMIFS(LANÇAMENTOS!$F$5:$F$1323,LANÇAMENTOS!$D$5:$D$1323,$A30,LANÇAMENTOS!$A$5:$A$1323,AB$4,LANÇAMENTOS!$B$5:$B$1323,"A pagar")</f>
        <v>0.0</v>
      </c>
      <c r="AC30" s="20">
        <f>SUMIFS(LANÇAMENTOS!$F$5:$F$1323,LANÇAMENTOS!$D$5:$D$1323,$A30,LANÇAMENTOS!$A$5:$A$1323,AC$4,LANÇAMENTOS!$B$5:$B$1323,"A pagar")</f>
        <v>0.0</v>
      </c>
      <c r="AD30" s="20">
        <f>SUMIFS(LANÇAMENTOS!$F$5:$F$1323,LANÇAMENTOS!$D$5:$D$1323,$A30,LANÇAMENTOS!$A$5:$A$1323,AD$4,LANÇAMENTOS!$B$5:$B$1323,"A pagar")</f>
        <v>0.0</v>
      </c>
      <c r="AE30" s="20">
        <f>SUMIFS(LANÇAMENTOS!$F$5:$F$1323,LANÇAMENTOS!$D$5:$D$1323,$A30,LANÇAMENTOS!$A$5:$A$1323,AE$4,LANÇAMENTOS!$B$5:$B$1323,"A pagar")</f>
        <v>0.0</v>
      </c>
      <c r="AF30" s="20">
        <f>SUMIFS(LANÇAMENTOS!$F$5:$F$1323,LANÇAMENTOS!$D$5:$D$1323,$A30,LANÇAMENTOS!$A$5:$A$1323,AF$4,LANÇAMENTOS!$B$5:$B$1323,"A pagar")</f>
        <v>7649.1</v>
      </c>
      <c r="AG30" s="20">
        <f>SUMIFS(LANÇAMENTOS!$F$5:$F$1323,LANÇAMENTOS!$D$5:$D$1323,$A30,LANÇAMENTOS!$A$5:$A$1323,AG$4,LANÇAMENTOS!$B$5:$B$1323,"A pagar")</f>
        <v>11862.0</v>
      </c>
      <c r="AH30" s="20">
        <f>SUMIFS(LANÇAMENTOS!$F$5:$F$1323,LANÇAMENTOS!$D$5:$D$1323,$A30,LANÇAMENTOS!$A$5:$A$1323,AH$4,LANÇAMENTOS!$B$5:$B$1323,"A pagar")</f>
        <v>0.0</v>
      </c>
      <c r="AI30" s="20">
        <f>SUMIFS(LANÇAMENTOS!$F$5:$F$1323,LANÇAMENTOS!$D$5:$D$1323,$A30,LANÇAMENTOS!$A$5:$A$1323,AI$4,LANÇAMENTOS!$B$5:$B$1323,"A pagar")</f>
        <v>0.0</v>
      </c>
      <c r="AJ30" s="20">
        <f>SUMIFS(LANÇAMENTOS!$F$5:$F$1323,LANÇAMENTOS!$D$5:$D$1323,$A30,LANÇAMENTOS!$A$5:$A$1323,AJ$4,LANÇAMENTOS!$B$5:$B$1323,"A pagar")</f>
        <v>0.0</v>
      </c>
      <c r="AK30" s="20">
        <f>SUMIFS(LANÇAMENTOS!$F$5:$F$1323,LANÇAMENTOS!$D$5:$D$1323,$A30,LANÇAMENTOS!$A$5:$A$1323,AK$4,LANÇAMENTOS!$B$5:$B$1323,"A pagar")</f>
        <v>0.0</v>
      </c>
      <c r="AL30" s="20">
        <f>SUMIFS(LANÇAMENTOS!$F$5:$F$1323,LANÇAMENTOS!$D$5:$D$1323,$A30,LANÇAMENTOS!$A$5:$A$1323,AL$4,LANÇAMENTOS!$B$5:$B$1323,"A pagar")</f>
        <v>0.0</v>
      </c>
      <c r="AM30" s="20">
        <f>SUMIFS(LANÇAMENTOS!$F$5:$F$1323,LANÇAMENTOS!$D$5:$D$1323,$A30,LANÇAMENTOS!$A$5:$A$1323,AM$4,LANÇAMENTOS!$B$5:$B$1323,"A pagar")</f>
        <v>0.0</v>
      </c>
      <c r="AN30" s="20">
        <f>SUMIFS(LANÇAMENTOS!$F$5:$F$1323,LANÇAMENTOS!$D$5:$D$1323,$A30,LANÇAMENTOS!$A$5:$A$1323,AN$4,LANÇAMENTOS!$B$5:$B$1323,"A pagar")</f>
        <v>0.0</v>
      </c>
      <c r="AO30" s="20">
        <f>SUMIFS(LANÇAMENTOS!$F$5:$F$1323,LANÇAMENTOS!$D$5:$D$1323,$A30,LANÇAMENTOS!$A$5:$A$1323,AO$4,LANÇAMENTOS!$B$5:$B$1323,"A pagar")</f>
        <v>0.0</v>
      </c>
      <c r="AP30" s="20">
        <f>SUMIFS(LANÇAMENTOS!$F$5:$F$1323,LANÇAMENTOS!$D$5:$D$1323,$A30,LANÇAMENTOS!$A$5:$A$1323,AP$4,LANÇAMENTOS!$B$5:$B$1323,"A pagar")</f>
        <v>0.0</v>
      </c>
      <c r="AQ30" s="20">
        <f>SUMIFS(LANÇAMENTOS!$F$5:$F$1323,LANÇAMENTOS!$D$5:$D$1323,$A30,LANÇAMENTOS!$A$5:$A$1323,AQ$4,LANÇAMENTOS!$B$5:$B$1323,"A pagar")</f>
        <v>0.0</v>
      </c>
      <c r="AR30" s="20">
        <f>SUMIFS(LANÇAMENTOS!$F$5:$F$1323,LANÇAMENTOS!$D$5:$D$1323,$A30,LANÇAMENTOS!$A$5:$A$1323,AR$4,LANÇAMENTOS!$B$5:$B$1323,"A pagar")</f>
        <v>0.0</v>
      </c>
      <c r="AS30" s="20">
        <f>SUMIFS(LANÇAMENTOS!$F$5:$F$1323,LANÇAMENTOS!$D$5:$D$1323,$A30,LANÇAMENTOS!$A$5:$A$1323,AS$4,LANÇAMENTOS!$B$5:$B$1323,"A pagar")</f>
        <v>0.0</v>
      </c>
      <c r="AT30" s="20">
        <f>SUMIFS(LANÇAMENTOS!$F$5:$F$1323,LANÇAMENTOS!$D$5:$D$1323,$A30,LANÇAMENTOS!$A$5:$A$1323,AT$4,LANÇAMENTOS!$B$5:$B$1323,"A pagar")</f>
        <v>0.0</v>
      </c>
      <c r="AU30" s="20">
        <f>SUMIFS(LANÇAMENTOS!$F$5:$F$1323,LANÇAMENTOS!$D$5:$D$1323,$A30,LANÇAMENTOS!$A$5:$A$1323,AU$4,LANÇAMENTOS!$B$5:$B$1323,"A pagar")</f>
        <v>0.0</v>
      </c>
      <c r="AV30" s="20">
        <f>SUMIFS(LANÇAMENTOS!$F$5:$F$1323,LANÇAMENTOS!$D$5:$D$1323,$A30,LANÇAMENTOS!$A$5:$A$1323,AV$4,LANÇAMENTOS!$B$5:$B$1323,"A pagar")</f>
        <v>0.0</v>
      </c>
      <c r="AW30" s="20">
        <f>SUMIFS(LANÇAMENTOS!$F$5:$F$1323,LANÇAMENTOS!$D$5:$D$1323,$A30,LANÇAMENTOS!$A$5:$A$1323,AW$4,LANÇAMENTOS!$B$5:$B$1323,"A pagar")</f>
        <v>0.0</v>
      </c>
      <c r="AX30" s="20">
        <f>SUMIFS(LANÇAMENTOS!$F$5:$F$1323,LANÇAMENTOS!$D$5:$D$1323,$A30,LANÇAMENTOS!$A$5:$A$1323,AX$4,LANÇAMENTOS!$B$5:$B$1323,"A pagar")</f>
        <v>0.0</v>
      </c>
      <c r="AY30" s="20">
        <f>SUMIFS(LANÇAMENTOS!$F$5:$F$1323,LANÇAMENTOS!$D$5:$D$1323,$A30,LANÇAMENTOS!$A$5:$A$1323,AY$4,LANÇAMENTOS!$B$5:$B$1323,"A pagar")</f>
        <v>0.0</v>
      </c>
      <c r="AZ30" s="20">
        <f>SUMIFS(LANÇAMENTOS!$F$5:$F$1323,LANÇAMENTOS!$D$5:$D$1323,$A30,LANÇAMENTOS!$A$5:$A$1323,AZ$4,LANÇAMENTOS!$B$5:$B$1323,"A pagar")</f>
        <v>0.0</v>
      </c>
      <c r="BA30" s="20">
        <f>SUMIFS(LANÇAMENTOS!$F$5:$F$1323,LANÇAMENTOS!$D$5:$D$1323,$A30,LANÇAMENTOS!$A$5:$A$1323,BA$4,LANÇAMENTOS!$B$5:$B$1323,"A pagar")</f>
        <v>0.0</v>
      </c>
      <c r="BB30" s="20">
        <f>SUMIFS(LANÇAMENTOS!$F$5:$F$1323,LANÇAMENTOS!$D$5:$D$1323,$A30,LANÇAMENTOS!$A$5:$A$1323,BB$4,LANÇAMENTOS!$B$5:$B$1323,"A pagar")</f>
        <v>0.0</v>
      </c>
      <c r="BC30" s="20">
        <f>SUMIFS(LANÇAMENTOS!$F$5:$F$1323,LANÇAMENTOS!$D$5:$D$1323,$A30,LANÇAMENTOS!$A$5:$A$1323,BC$4,LANÇAMENTOS!$B$5:$B$1323,"A pagar")</f>
        <v>0.0</v>
      </c>
      <c r="BD30" s="20">
        <f>SUMIFS(LANÇAMENTOS!$F$5:$F$1323,LANÇAMENTOS!$D$5:$D$1323,$A30,LANÇAMENTOS!$A$5:$A$1323,BD$4,LANÇAMENTOS!$B$5:$B$1323,"A pagar")</f>
        <v>0.0</v>
      </c>
      <c r="BE30" s="20">
        <f>SUMIFS(LANÇAMENTOS!$F$5:$F$1323,LANÇAMENTOS!$D$5:$D$1323,$A30,LANÇAMENTOS!$A$5:$A$1323,BE$4,LANÇAMENTOS!$B$5:$B$1323,"A pagar")</f>
        <v>0.0</v>
      </c>
      <c r="BF30" s="20">
        <f>SUMIFS(LANÇAMENTOS!$F$5:$F$1323,LANÇAMENTOS!$D$5:$D$1323,$A30,LANÇAMENTOS!$A$5:$A$1323,BF$4,LANÇAMENTOS!$B$5:$B$1323,"A pagar")</f>
        <v>0.0</v>
      </c>
      <c r="BG30" s="20">
        <f>SUMIFS(LANÇAMENTOS!$F$5:$F$1323,LANÇAMENTOS!$D$5:$D$1323,$A30,LANÇAMENTOS!$A$5:$A$1323,BG$4,LANÇAMENTOS!$B$5:$B$1323,"A pagar")</f>
        <v>0.0</v>
      </c>
      <c r="BH30" s="20">
        <f>SUMIFS(LANÇAMENTOS!$F$5:$F$1323,LANÇAMENTOS!$D$5:$D$1323,$A30,LANÇAMENTOS!$A$5:$A$1323,BH$4,LANÇAMENTOS!$B$5:$B$1323,"A pagar")</f>
        <v>0.0</v>
      </c>
      <c r="BI30" s="20">
        <f>SUMIFS(LANÇAMENTOS!$F$5:$F$1323,LANÇAMENTOS!$D$5:$D$1323,$A30,LANÇAMENTOS!$A$5:$A$1323,BI$4,LANÇAMENTOS!$B$5:$B$1323,"A pagar")</f>
        <v>0.0</v>
      </c>
      <c r="BJ30" s="20">
        <f>SUMIFS(LANÇAMENTOS!$F$5:$F$1323,LANÇAMENTOS!$D$5:$D$1323,$A30,LANÇAMENTOS!$A$5:$A$1323,BJ$4,LANÇAMENTOS!$B$5:$B$1323,"A pagar")</f>
        <v>0.0</v>
      </c>
      <c r="BK30" s="20">
        <f>SUMIFS(LANÇAMENTOS!$F$5:$F$1323,LANÇAMENTOS!$D$5:$D$1323,$A30,LANÇAMENTOS!$A$5:$A$1323,BK$4,LANÇAMENTOS!$B$5:$B$1323,"A pagar")</f>
        <v>0.0</v>
      </c>
      <c r="BL30" s="20">
        <f>SUMIFS(LANÇAMENTOS!$F$5:$F$1323,LANÇAMENTOS!$D$5:$D$1323,$A30,LANÇAMENTOS!$A$5:$A$1323,BL$4,LANÇAMENTOS!$B$5:$B$1323,"A pagar")</f>
        <v>0.0</v>
      </c>
    </row>
    <row r="31">
      <c r="A31" s="6" t="inlineStr">
        <is>
          <t>L02</t>
        </is>
      </c>
      <c r="B31" s="6" t="inlineStr">
        <is>
          <t>Movimento de terra, manipulador e transporte vertical leve</t>
        </is>
      </c>
      <c r="C31" s="19">
        <f>SUM(D31:BL31)</f>
        <v>0.0</v>
      </c>
      <c r="D31" s="20">
        <f>SUMIFS(LANÇAMENTOS!$F$5:$F$1323,LANÇAMENTOS!$D$5:$D$1323,$A31,LANÇAMENTOS!$A$5:$A$1323,D$4,LANÇAMENTOS!$B$5:$B$1323,"A pagar")</f>
        <v>0.0</v>
      </c>
      <c r="E31" s="20">
        <f>SUMIFS(LANÇAMENTOS!$F$5:$F$1323,LANÇAMENTOS!$D$5:$D$1323,$A31,LANÇAMENTOS!$A$5:$A$1323,E$4,LANÇAMENTOS!$B$5:$B$1323,"A pagar")</f>
        <v>0.0</v>
      </c>
      <c r="F31" s="20">
        <f>SUMIFS(LANÇAMENTOS!$F$5:$F$1323,LANÇAMENTOS!$D$5:$D$1323,$A31,LANÇAMENTOS!$A$5:$A$1323,F$4,LANÇAMENTOS!$B$5:$B$1323,"A pagar")</f>
        <v>0.0</v>
      </c>
      <c r="G31" s="20">
        <f>SUMIFS(LANÇAMENTOS!$F$5:$F$1323,LANÇAMENTOS!$D$5:$D$1323,$A31,LANÇAMENTOS!$A$5:$A$1323,G$4,LANÇAMENTOS!$B$5:$B$1323,"A pagar")</f>
        <v>0.0</v>
      </c>
      <c r="H31" s="20">
        <f>SUMIFS(LANÇAMENTOS!$F$5:$F$1323,LANÇAMENTOS!$D$5:$D$1323,$A31,LANÇAMENTOS!$A$5:$A$1323,H$4,LANÇAMENTOS!$B$5:$B$1323,"A pagar")</f>
        <v>0.0</v>
      </c>
      <c r="I31" s="20">
        <f>SUMIFS(LANÇAMENTOS!$F$5:$F$1323,LANÇAMENTOS!$D$5:$D$1323,$A31,LANÇAMENTOS!$A$5:$A$1323,I$4,LANÇAMENTOS!$B$5:$B$1323,"A pagar")</f>
        <v>0.0</v>
      </c>
      <c r="J31" s="20">
        <f>SUMIFS(LANÇAMENTOS!$F$5:$F$1323,LANÇAMENTOS!$D$5:$D$1323,$A31,LANÇAMENTOS!$A$5:$A$1323,J$4,LANÇAMENTOS!$B$5:$B$1323,"A pagar")</f>
        <v>0.0</v>
      </c>
      <c r="K31" s="20">
        <f>SUMIFS(LANÇAMENTOS!$F$5:$F$1323,LANÇAMENTOS!$D$5:$D$1323,$A31,LANÇAMENTOS!$A$5:$A$1323,K$4,LANÇAMENTOS!$B$5:$B$1323,"A pagar")</f>
        <v>0.0</v>
      </c>
      <c r="L31" s="20">
        <f>SUMIFS(LANÇAMENTOS!$F$5:$F$1323,LANÇAMENTOS!$D$5:$D$1323,$A31,LANÇAMENTOS!$A$5:$A$1323,L$4,LANÇAMENTOS!$B$5:$B$1323,"A pagar")</f>
        <v>0.0</v>
      </c>
      <c r="M31" s="20">
        <f>SUMIFS(LANÇAMENTOS!$F$5:$F$1323,LANÇAMENTOS!$D$5:$D$1323,$A31,LANÇAMENTOS!$A$5:$A$1323,M$4,LANÇAMENTOS!$B$5:$B$1323,"A pagar")</f>
        <v>0.0</v>
      </c>
      <c r="N31" s="20">
        <f>SUMIFS(LANÇAMENTOS!$F$5:$F$1323,LANÇAMENTOS!$D$5:$D$1323,$A31,LANÇAMENTOS!$A$5:$A$1323,N$4,LANÇAMENTOS!$B$5:$B$1323,"A pagar")</f>
        <v>0.0</v>
      </c>
      <c r="O31" s="20">
        <f>SUMIFS(LANÇAMENTOS!$F$5:$F$1323,LANÇAMENTOS!$D$5:$D$1323,$A31,LANÇAMENTOS!$A$5:$A$1323,O$4,LANÇAMENTOS!$B$5:$B$1323,"A pagar")</f>
        <v>0.0</v>
      </c>
      <c r="P31" s="20">
        <f>SUMIFS(LANÇAMENTOS!$F$5:$F$1323,LANÇAMENTOS!$D$5:$D$1323,$A31,LANÇAMENTOS!$A$5:$A$1323,P$4,LANÇAMENTOS!$B$5:$B$1323,"A pagar")</f>
        <v>0.0</v>
      </c>
      <c r="Q31" s="20">
        <f>SUMIFS(LANÇAMENTOS!$F$5:$F$1323,LANÇAMENTOS!$D$5:$D$1323,$A31,LANÇAMENTOS!$A$5:$A$1323,Q$4,LANÇAMENTOS!$B$5:$B$1323,"A pagar")</f>
        <v>0.0</v>
      </c>
      <c r="R31" s="20">
        <f>SUMIFS(LANÇAMENTOS!$F$5:$F$1323,LANÇAMENTOS!$D$5:$D$1323,$A31,LANÇAMENTOS!$A$5:$A$1323,R$4,LANÇAMENTOS!$B$5:$B$1323,"A pagar")</f>
        <v>0.0</v>
      </c>
      <c r="S31" s="20">
        <f>SUMIFS(LANÇAMENTOS!$F$5:$F$1323,LANÇAMENTOS!$D$5:$D$1323,$A31,LANÇAMENTOS!$A$5:$A$1323,S$4,LANÇAMENTOS!$B$5:$B$1323,"A pagar")</f>
        <v>0.0</v>
      </c>
      <c r="T31" s="20">
        <f>SUMIFS(LANÇAMENTOS!$F$5:$F$1323,LANÇAMENTOS!$D$5:$D$1323,$A31,LANÇAMENTOS!$A$5:$A$1323,T$4,LANÇAMENTOS!$B$5:$B$1323,"A pagar")</f>
        <v>0.0</v>
      </c>
      <c r="U31" s="20">
        <f>SUMIFS(LANÇAMENTOS!$F$5:$F$1323,LANÇAMENTOS!$D$5:$D$1323,$A31,LANÇAMENTOS!$A$5:$A$1323,U$4,LANÇAMENTOS!$B$5:$B$1323,"A pagar")</f>
        <v>0.0</v>
      </c>
      <c r="V31" s="20">
        <f>SUMIFS(LANÇAMENTOS!$F$5:$F$1323,LANÇAMENTOS!$D$5:$D$1323,$A31,LANÇAMENTOS!$A$5:$A$1323,V$4,LANÇAMENTOS!$B$5:$B$1323,"A pagar")</f>
        <v>0.0</v>
      </c>
      <c r="W31" s="20">
        <f>SUMIFS(LANÇAMENTOS!$F$5:$F$1323,LANÇAMENTOS!$D$5:$D$1323,$A31,LANÇAMENTOS!$A$5:$A$1323,W$4,LANÇAMENTOS!$B$5:$B$1323,"A pagar")</f>
        <v>0.0</v>
      </c>
      <c r="X31" s="20">
        <f>SUMIFS(LANÇAMENTOS!$F$5:$F$1323,LANÇAMENTOS!$D$5:$D$1323,$A31,LANÇAMENTOS!$A$5:$A$1323,X$4,LANÇAMENTOS!$B$5:$B$1323,"A pagar")</f>
        <v>0.0</v>
      </c>
      <c r="Y31" s="20">
        <f>SUMIFS(LANÇAMENTOS!$F$5:$F$1323,LANÇAMENTOS!$D$5:$D$1323,$A31,LANÇAMENTOS!$A$5:$A$1323,Y$4,LANÇAMENTOS!$B$5:$B$1323,"A pagar")</f>
        <v>0.0</v>
      </c>
      <c r="Z31" s="20">
        <f>SUMIFS(LANÇAMENTOS!$F$5:$F$1323,LANÇAMENTOS!$D$5:$D$1323,$A31,LANÇAMENTOS!$A$5:$A$1323,Z$4,LANÇAMENTOS!$B$5:$B$1323,"A pagar")</f>
        <v>0.0</v>
      </c>
      <c r="AA31" s="20">
        <f>SUMIFS(LANÇAMENTOS!$F$5:$F$1323,LANÇAMENTOS!$D$5:$D$1323,$A31,LANÇAMENTOS!$A$5:$A$1323,AA$4,LANÇAMENTOS!$B$5:$B$1323,"A pagar")</f>
        <v>0.0</v>
      </c>
      <c r="AB31" s="20">
        <f>SUMIFS(LANÇAMENTOS!$F$5:$F$1323,LANÇAMENTOS!$D$5:$D$1323,$A31,LANÇAMENTOS!$A$5:$A$1323,AB$4,LANÇAMENTOS!$B$5:$B$1323,"A pagar")</f>
        <v>0.0</v>
      </c>
      <c r="AC31" s="20">
        <f>SUMIFS(LANÇAMENTOS!$F$5:$F$1323,LANÇAMENTOS!$D$5:$D$1323,$A31,LANÇAMENTOS!$A$5:$A$1323,AC$4,LANÇAMENTOS!$B$5:$B$1323,"A pagar")</f>
        <v>0.0</v>
      </c>
      <c r="AD31" s="20">
        <f>SUMIFS(LANÇAMENTOS!$F$5:$F$1323,LANÇAMENTOS!$D$5:$D$1323,$A31,LANÇAMENTOS!$A$5:$A$1323,AD$4,LANÇAMENTOS!$B$5:$B$1323,"A pagar")</f>
        <v>0.0</v>
      </c>
      <c r="AE31" s="20">
        <f>SUMIFS(LANÇAMENTOS!$F$5:$F$1323,LANÇAMENTOS!$D$5:$D$1323,$A31,LANÇAMENTOS!$A$5:$A$1323,AE$4,LANÇAMENTOS!$B$5:$B$1323,"A pagar")</f>
        <v>0.0</v>
      </c>
      <c r="AF31" s="20">
        <f>SUMIFS(LANÇAMENTOS!$F$5:$F$1323,LANÇAMENTOS!$D$5:$D$1323,$A31,LANÇAMENTOS!$A$5:$A$1323,AF$4,LANÇAMENTOS!$B$5:$B$1323,"A pagar")</f>
        <v>0.0</v>
      </c>
      <c r="AG31" s="20">
        <f>SUMIFS(LANÇAMENTOS!$F$5:$F$1323,LANÇAMENTOS!$D$5:$D$1323,$A31,LANÇAMENTOS!$A$5:$A$1323,AG$4,LANÇAMENTOS!$B$5:$B$1323,"A pagar")</f>
        <v>0.0</v>
      </c>
      <c r="AH31" s="20">
        <f>SUMIFS(LANÇAMENTOS!$F$5:$F$1323,LANÇAMENTOS!$D$5:$D$1323,$A31,LANÇAMENTOS!$A$5:$A$1323,AH$4,LANÇAMENTOS!$B$5:$B$1323,"A pagar")</f>
        <v>0.0</v>
      </c>
      <c r="AI31" s="20">
        <f>SUMIFS(LANÇAMENTOS!$F$5:$F$1323,LANÇAMENTOS!$D$5:$D$1323,$A31,LANÇAMENTOS!$A$5:$A$1323,AI$4,LANÇAMENTOS!$B$5:$B$1323,"A pagar")</f>
        <v>0.0</v>
      </c>
      <c r="AJ31" s="20">
        <f>SUMIFS(LANÇAMENTOS!$F$5:$F$1323,LANÇAMENTOS!$D$5:$D$1323,$A31,LANÇAMENTOS!$A$5:$A$1323,AJ$4,LANÇAMENTOS!$B$5:$B$1323,"A pagar")</f>
        <v>0.0</v>
      </c>
      <c r="AK31" s="20">
        <f>SUMIFS(LANÇAMENTOS!$F$5:$F$1323,LANÇAMENTOS!$D$5:$D$1323,$A31,LANÇAMENTOS!$A$5:$A$1323,AK$4,LANÇAMENTOS!$B$5:$B$1323,"A pagar")</f>
        <v>0.0</v>
      </c>
      <c r="AL31" s="20">
        <f>SUMIFS(LANÇAMENTOS!$F$5:$F$1323,LANÇAMENTOS!$D$5:$D$1323,$A31,LANÇAMENTOS!$A$5:$A$1323,AL$4,LANÇAMENTOS!$B$5:$B$1323,"A pagar")</f>
        <v>0.0</v>
      </c>
      <c r="AM31" s="20">
        <f>SUMIFS(LANÇAMENTOS!$F$5:$F$1323,LANÇAMENTOS!$D$5:$D$1323,$A31,LANÇAMENTOS!$A$5:$A$1323,AM$4,LANÇAMENTOS!$B$5:$B$1323,"A pagar")</f>
        <v>0.0</v>
      </c>
      <c r="AN31" s="20">
        <f>SUMIFS(LANÇAMENTOS!$F$5:$F$1323,LANÇAMENTOS!$D$5:$D$1323,$A31,LANÇAMENTOS!$A$5:$A$1323,AN$4,LANÇAMENTOS!$B$5:$B$1323,"A pagar")</f>
        <v>0.0</v>
      </c>
      <c r="AO31" s="20">
        <f>SUMIFS(LANÇAMENTOS!$F$5:$F$1323,LANÇAMENTOS!$D$5:$D$1323,$A31,LANÇAMENTOS!$A$5:$A$1323,AO$4,LANÇAMENTOS!$B$5:$B$1323,"A pagar")</f>
        <v>0.0</v>
      </c>
      <c r="AP31" s="20">
        <f>SUMIFS(LANÇAMENTOS!$F$5:$F$1323,LANÇAMENTOS!$D$5:$D$1323,$A31,LANÇAMENTOS!$A$5:$A$1323,AP$4,LANÇAMENTOS!$B$5:$B$1323,"A pagar")</f>
        <v>0.0</v>
      </c>
      <c r="AQ31" s="20">
        <f>SUMIFS(LANÇAMENTOS!$F$5:$F$1323,LANÇAMENTOS!$D$5:$D$1323,$A31,LANÇAMENTOS!$A$5:$A$1323,AQ$4,LANÇAMENTOS!$B$5:$B$1323,"A pagar")</f>
        <v>0.0</v>
      </c>
      <c r="AR31" s="20">
        <f>SUMIFS(LANÇAMENTOS!$F$5:$F$1323,LANÇAMENTOS!$D$5:$D$1323,$A31,LANÇAMENTOS!$A$5:$A$1323,AR$4,LANÇAMENTOS!$B$5:$B$1323,"A pagar")</f>
        <v>0.0</v>
      </c>
      <c r="AS31" s="20">
        <f>SUMIFS(LANÇAMENTOS!$F$5:$F$1323,LANÇAMENTOS!$D$5:$D$1323,$A31,LANÇAMENTOS!$A$5:$A$1323,AS$4,LANÇAMENTOS!$B$5:$B$1323,"A pagar")</f>
        <v>0.0</v>
      </c>
      <c r="AT31" s="20">
        <f>SUMIFS(LANÇAMENTOS!$F$5:$F$1323,LANÇAMENTOS!$D$5:$D$1323,$A31,LANÇAMENTOS!$A$5:$A$1323,AT$4,LANÇAMENTOS!$B$5:$B$1323,"A pagar")</f>
        <v>0.0</v>
      </c>
      <c r="AU31" s="20">
        <f>SUMIFS(LANÇAMENTOS!$F$5:$F$1323,LANÇAMENTOS!$D$5:$D$1323,$A31,LANÇAMENTOS!$A$5:$A$1323,AU$4,LANÇAMENTOS!$B$5:$B$1323,"A pagar")</f>
        <v>0.0</v>
      </c>
      <c r="AV31" s="20">
        <f>SUMIFS(LANÇAMENTOS!$F$5:$F$1323,LANÇAMENTOS!$D$5:$D$1323,$A31,LANÇAMENTOS!$A$5:$A$1323,AV$4,LANÇAMENTOS!$B$5:$B$1323,"A pagar")</f>
        <v>0.0</v>
      </c>
      <c r="AW31" s="20">
        <f>SUMIFS(LANÇAMENTOS!$F$5:$F$1323,LANÇAMENTOS!$D$5:$D$1323,$A31,LANÇAMENTOS!$A$5:$A$1323,AW$4,LANÇAMENTOS!$B$5:$B$1323,"A pagar")</f>
        <v>0.0</v>
      </c>
      <c r="AX31" s="20">
        <f>SUMIFS(LANÇAMENTOS!$F$5:$F$1323,LANÇAMENTOS!$D$5:$D$1323,$A31,LANÇAMENTOS!$A$5:$A$1323,AX$4,LANÇAMENTOS!$B$5:$B$1323,"A pagar")</f>
        <v>0.0</v>
      </c>
      <c r="AY31" s="20">
        <f>SUMIFS(LANÇAMENTOS!$F$5:$F$1323,LANÇAMENTOS!$D$5:$D$1323,$A31,LANÇAMENTOS!$A$5:$A$1323,AY$4,LANÇAMENTOS!$B$5:$B$1323,"A pagar")</f>
        <v>0.0</v>
      </c>
      <c r="AZ31" s="20">
        <f>SUMIFS(LANÇAMENTOS!$F$5:$F$1323,LANÇAMENTOS!$D$5:$D$1323,$A31,LANÇAMENTOS!$A$5:$A$1323,AZ$4,LANÇAMENTOS!$B$5:$B$1323,"A pagar")</f>
        <v>0.0</v>
      </c>
      <c r="BA31" s="20">
        <f>SUMIFS(LANÇAMENTOS!$F$5:$F$1323,LANÇAMENTOS!$D$5:$D$1323,$A31,LANÇAMENTOS!$A$5:$A$1323,BA$4,LANÇAMENTOS!$B$5:$B$1323,"A pagar")</f>
        <v>0.0</v>
      </c>
      <c r="BB31" s="20">
        <f>SUMIFS(LANÇAMENTOS!$F$5:$F$1323,LANÇAMENTOS!$D$5:$D$1323,$A31,LANÇAMENTOS!$A$5:$A$1323,BB$4,LANÇAMENTOS!$B$5:$B$1323,"A pagar")</f>
        <v>0.0</v>
      </c>
      <c r="BC31" s="20">
        <f>SUMIFS(LANÇAMENTOS!$F$5:$F$1323,LANÇAMENTOS!$D$5:$D$1323,$A31,LANÇAMENTOS!$A$5:$A$1323,BC$4,LANÇAMENTOS!$B$5:$B$1323,"A pagar")</f>
        <v>0.0</v>
      </c>
      <c r="BD31" s="20">
        <f>SUMIFS(LANÇAMENTOS!$F$5:$F$1323,LANÇAMENTOS!$D$5:$D$1323,$A31,LANÇAMENTOS!$A$5:$A$1323,BD$4,LANÇAMENTOS!$B$5:$B$1323,"A pagar")</f>
        <v>0.0</v>
      </c>
      <c r="BE31" s="20">
        <f>SUMIFS(LANÇAMENTOS!$F$5:$F$1323,LANÇAMENTOS!$D$5:$D$1323,$A31,LANÇAMENTOS!$A$5:$A$1323,BE$4,LANÇAMENTOS!$B$5:$B$1323,"A pagar")</f>
        <v>0.0</v>
      </c>
      <c r="BF31" s="20">
        <f>SUMIFS(LANÇAMENTOS!$F$5:$F$1323,LANÇAMENTOS!$D$5:$D$1323,$A31,LANÇAMENTOS!$A$5:$A$1323,BF$4,LANÇAMENTOS!$B$5:$B$1323,"A pagar")</f>
        <v>0.0</v>
      </c>
      <c r="BG31" s="20">
        <f>SUMIFS(LANÇAMENTOS!$F$5:$F$1323,LANÇAMENTOS!$D$5:$D$1323,$A31,LANÇAMENTOS!$A$5:$A$1323,BG$4,LANÇAMENTOS!$B$5:$B$1323,"A pagar")</f>
        <v>0.0</v>
      </c>
      <c r="BH31" s="20">
        <f>SUMIFS(LANÇAMENTOS!$F$5:$F$1323,LANÇAMENTOS!$D$5:$D$1323,$A31,LANÇAMENTOS!$A$5:$A$1323,BH$4,LANÇAMENTOS!$B$5:$B$1323,"A pagar")</f>
        <v>0.0</v>
      </c>
      <c r="BI31" s="20">
        <f>SUMIFS(LANÇAMENTOS!$F$5:$F$1323,LANÇAMENTOS!$D$5:$D$1323,$A31,LANÇAMENTOS!$A$5:$A$1323,BI$4,LANÇAMENTOS!$B$5:$B$1323,"A pagar")</f>
        <v>0.0</v>
      </c>
      <c r="BJ31" s="20">
        <f>SUMIFS(LANÇAMENTOS!$F$5:$F$1323,LANÇAMENTOS!$D$5:$D$1323,$A31,LANÇAMENTOS!$A$5:$A$1323,BJ$4,LANÇAMENTOS!$B$5:$B$1323,"A pagar")</f>
        <v>0.0</v>
      </c>
      <c r="BK31" s="20">
        <f>SUMIFS(LANÇAMENTOS!$F$5:$F$1323,LANÇAMENTOS!$D$5:$D$1323,$A31,LANÇAMENTOS!$A$5:$A$1323,BK$4,LANÇAMENTOS!$B$5:$B$1323,"A pagar")</f>
        <v>0.0</v>
      </c>
      <c r="BL31" s="20">
        <f>SUMIFS(LANÇAMENTOS!$F$5:$F$1323,LANÇAMENTOS!$D$5:$D$1323,$A31,LANÇAMENTOS!$A$5:$A$1323,BL$4,LANÇAMENTOS!$B$5:$B$1323,"A pagar")</f>
        <v>0.0</v>
      </c>
    </row>
    <row r="32">
      <c r="A32" s="6" t="inlineStr">
        <is>
          <t>L03</t>
        </is>
      </c>
      <c r="B32" s="6" t="inlineStr">
        <is>
          <t>Equipamentos de produção civil e locações</t>
        </is>
      </c>
      <c r="C32" s="19">
        <f>SUM(D32:BL32)</f>
        <v>3648.6100000000006</v>
      </c>
      <c r="D32" s="20">
        <f>SUMIFS(LANÇAMENTOS!$F$5:$F$1323,LANÇAMENTOS!$D$5:$D$1323,$A32,LANÇAMENTOS!$A$5:$A$1323,D$4,LANÇAMENTOS!$B$5:$B$1323,"A pagar")</f>
        <v>0.0</v>
      </c>
      <c r="E32" s="20">
        <f>SUMIFS(LANÇAMENTOS!$F$5:$F$1323,LANÇAMENTOS!$D$5:$D$1323,$A32,LANÇAMENTOS!$A$5:$A$1323,E$4,LANÇAMENTOS!$B$5:$B$1323,"A pagar")</f>
        <v>0.0</v>
      </c>
      <c r="F32" s="20">
        <f>SUMIFS(LANÇAMENTOS!$F$5:$F$1323,LANÇAMENTOS!$D$5:$D$1323,$A32,LANÇAMENTOS!$A$5:$A$1323,F$4,LANÇAMENTOS!$B$5:$B$1323,"A pagar")</f>
        <v>0.0</v>
      </c>
      <c r="G32" s="20">
        <f>SUMIFS(LANÇAMENTOS!$F$5:$F$1323,LANÇAMENTOS!$D$5:$D$1323,$A32,LANÇAMENTOS!$A$5:$A$1323,G$4,LANÇAMENTOS!$B$5:$B$1323,"A pagar")</f>
        <v>0.0</v>
      </c>
      <c r="H32" s="20">
        <f>SUMIFS(LANÇAMENTOS!$F$5:$F$1323,LANÇAMENTOS!$D$5:$D$1323,$A32,LANÇAMENTOS!$A$5:$A$1323,H$4,LANÇAMENTOS!$B$5:$B$1323,"A pagar")</f>
        <v>0.0</v>
      </c>
      <c r="I32" s="20">
        <f>SUMIFS(LANÇAMENTOS!$F$5:$F$1323,LANÇAMENTOS!$D$5:$D$1323,$A32,LANÇAMENTOS!$A$5:$A$1323,I$4,LANÇAMENTOS!$B$5:$B$1323,"A pagar")</f>
        <v>0.0</v>
      </c>
      <c r="J32" s="20">
        <f>SUMIFS(LANÇAMENTOS!$F$5:$F$1323,LANÇAMENTOS!$D$5:$D$1323,$A32,LANÇAMENTOS!$A$5:$A$1323,J$4,LANÇAMENTOS!$B$5:$B$1323,"A pagar")</f>
        <v>0.0</v>
      </c>
      <c r="K32" s="20">
        <f>SUMIFS(LANÇAMENTOS!$F$5:$F$1323,LANÇAMENTOS!$D$5:$D$1323,$A32,LANÇAMENTOS!$A$5:$A$1323,K$4,LANÇAMENTOS!$B$5:$B$1323,"A pagar")</f>
        <v>0.0</v>
      </c>
      <c r="L32" s="20">
        <f>SUMIFS(LANÇAMENTOS!$F$5:$F$1323,LANÇAMENTOS!$D$5:$D$1323,$A32,LANÇAMENTOS!$A$5:$A$1323,L$4,LANÇAMENTOS!$B$5:$B$1323,"A pagar")</f>
        <v>0.0</v>
      </c>
      <c r="M32" s="20">
        <f>SUMIFS(LANÇAMENTOS!$F$5:$F$1323,LANÇAMENTOS!$D$5:$D$1323,$A32,LANÇAMENTOS!$A$5:$A$1323,M$4,LANÇAMENTOS!$B$5:$B$1323,"A pagar")</f>
        <v>0.0</v>
      </c>
      <c r="N32" s="20">
        <f>SUMIFS(LANÇAMENTOS!$F$5:$F$1323,LANÇAMENTOS!$D$5:$D$1323,$A32,LANÇAMENTOS!$A$5:$A$1323,N$4,LANÇAMENTOS!$B$5:$B$1323,"A pagar")</f>
        <v>0.0</v>
      </c>
      <c r="O32" s="20">
        <f>SUMIFS(LANÇAMENTOS!$F$5:$F$1323,LANÇAMENTOS!$D$5:$D$1323,$A32,LANÇAMENTOS!$A$5:$A$1323,O$4,LANÇAMENTOS!$B$5:$B$1323,"A pagar")</f>
        <v>0.0</v>
      </c>
      <c r="P32" s="20">
        <f>SUMIFS(LANÇAMENTOS!$F$5:$F$1323,LANÇAMENTOS!$D$5:$D$1323,$A32,LANÇAMENTOS!$A$5:$A$1323,P$4,LANÇAMENTOS!$B$5:$B$1323,"A pagar")</f>
        <v>0.0</v>
      </c>
      <c r="Q32" s="20">
        <f>SUMIFS(LANÇAMENTOS!$F$5:$F$1323,LANÇAMENTOS!$D$5:$D$1323,$A32,LANÇAMENTOS!$A$5:$A$1323,Q$4,LANÇAMENTOS!$B$5:$B$1323,"A pagar")</f>
        <v>0.0</v>
      </c>
      <c r="R32" s="20">
        <f>SUMIFS(LANÇAMENTOS!$F$5:$F$1323,LANÇAMENTOS!$D$5:$D$1323,$A32,LANÇAMENTOS!$A$5:$A$1323,R$4,LANÇAMENTOS!$B$5:$B$1323,"A pagar")</f>
        <v>0.0</v>
      </c>
      <c r="S32" s="20">
        <f>SUMIFS(LANÇAMENTOS!$F$5:$F$1323,LANÇAMENTOS!$D$5:$D$1323,$A32,LANÇAMENTOS!$A$5:$A$1323,S$4,LANÇAMENTOS!$B$5:$B$1323,"A pagar")</f>
        <v>0.0</v>
      </c>
      <c r="T32" s="20">
        <f>SUMIFS(LANÇAMENTOS!$F$5:$F$1323,LANÇAMENTOS!$D$5:$D$1323,$A32,LANÇAMENTOS!$A$5:$A$1323,T$4,LANÇAMENTOS!$B$5:$B$1323,"A pagar")</f>
        <v>0.0</v>
      </c>
      <c r="U32" s="20">
        <f>SUMIFS(LANÇAMENTOS!$F$5:$F$1323,LANÇAMENTOS!$D$5:$D$1323,$A32,LANÇAMENTOS!$A$5:$A$1323,U$4,LANÇAMENTOS!$B$5:$B$1323,"A pagar")</f>
        <v>0.0</v>
      </c>
      <c r="V32" s="20">
        <f>SUMIFS(LANÇAMENTOS!$F$5:$F$1323,LANÇAMENTOS!$D$5:$D$1323,$A32,LANÇAMENTOS!$A$5:$A$1323,V$4,LANÇAMENTOS!$B$5:$B$1323,"A pagar")</f>
        <v>0.0</v>
      </c>
      <c r="W32" s="20">
        <f>SUMIFS(LANÇAMENTOS!$F$5:$F$1323,LANÇAMENTOS!$D$5:$D$1323,$A32,LANÇAMENTOS!$A$5:$A$1323,W$4,LANÇAMENTOS!$B$5:$B$1323,"A pagar")</f>
        <v>0.0</v>
      </c>
      <c r="X32" s="20">
        <f>SUMIFS(LANÇAMENTOS!$F$5:$F$1323,LANÇAMENTOS!$D$5:$D$1323,$A32,LANÇAMENTOS!$A$5:$A$1323,X$4,LANÇAMENTOS!$B$5:$B$1323,"A pagar")</f>
        <v>0.0</v>
      </c>
      <c r="Y32" s="20">
        <f>SUMIFS(LANÇAMENTOS!$F$5:$F$1323,LANÇAMENTOS!$D$5:$D$1323,$A32,LANÇAMENTOS!$A$5:$A$1323,Y$4,LANÇAMENTOS!$B$5:$B$1323,"A pagar")</f>
        <v>0.0</v>
      </c>
      <c r="Z32" s="20">
        <f>SUMIFS(LANÇAMENTOS!$F$5:$F$1323,LANÇAMENTOS!$D$5:$D$1323,$A32,LANÇAMENTOS!$A$5:$A$1323,Z$4,LANÇAMENTOS!$B$5:$B$1323,"A pagar")</f>
        <v>0.0</v>
      </c>
      <c r="AA32" s="20">
        <f>SUMIFS(LANÇAMENTOS!$F$5:$F$1323,LANÇAMENTOS!$D$5:$D$1323,$A32,LANÇAMENTOS!$A$5:$A$1323,AA$4,LANÇAMENTOS!$B$5:$B$1323,"A pagar")</f>
        <v>0.0</v>
      </c>
      <c r="AB32" s="20">
        <f>SUMIFS(LANÇAMENTOS!$F$5:$F$1323,LANÇAMENTOS!$D$5:$D$1323,$A32,LANÇAMENTOS!$A$5:$A$1323,AB$4,LANÇAMENTOS!$B$5:$B$1323,"A pagar")</f>
        <v>0.0</v>
      </c>
      <c r="AC32" s="20">
        <f>SUMIFS(LANÇAMENTOS!$F$5:$F$1323,LANÇAMENTOS!$D$5:$D$1323,$A32,LANÇAMENTOS!$A$5:$A$1323,AC$4,LANÇAMENTOS!$B$5:$B$1323,"A pagar")</f>
        <v>0.0</v>
      </c>
      <c r="AD32" s="20">
        <f>SUMIFS(LANÇAMENTOS!$F$5:$F$1323,LANÇAMENTOS!$D$5:$D$1323,$A32,LANÇAMENTOS!$A$5:$A$1323,AD$4,LANÇAMENTOS!$B$5:$B$1323,"A pagar")</f>
        <v>0.0</v>
      </c>
      <c r="AE32" s="20">
        <f>SUMIFS(LANÇAMENTOS!$F$5:$F$1323,LANÇAMENTOS!$D$5:$D$1323,$A32,LANÇAMENTOS!$A$5:$A$1323,AE$4,LANÇAMENTOS!$B$5:$B$1323,"A pagar")</f>
        <v>0.0</v>
      </c>
      <c r="AF32" s="20">
        <f>SUMIFS(LANÇAMENTOS!$F$5:$F$1323,LANÇAMENTOS!$D$5:$D$1323,$A32,LANÇAMENTOS!$A$5:$A$1323,AF$4,LANÇAMENTOS!$B$5:$B$1323,"A pagar")</f>
        <v>0.0</v>
      </c>
      <c r="AG32" s="20">
        <f>SUMIFS(LANÇAMENTOS!$F$5:$F$1323,LANÇAMENTOS!$D$5:$D$1323,$A32,LANÇAMENTOS!$A$5:$A$1323,AG$4,LANÇAMENTOS!$B$5:$B$1323,"A pagar")</f>
        <v>3648.6100000000006</v>
      </c>
      <c r="AH32" s="20">
        <f>SUMIFS(LANÇAMENTOS!$F$5:$F$1323,LANÇAMENTOS!$D$5:$D$1323,$A32,LANÇAMENTOS!$A$5:$A$1323,AH$4,LANÇAMENTOS!$B$5:$B$1323,"A pagar")</f>
        <v>0.0</v>
      </c>
      <c r="AI32" s="20">
        <f>SUMIFS(LANÇAMENTOS!$F$5:$F$1323,LANÇAMENTOS!$D$5:$D$1323,$A32,LANÇAMENTOS!$A$5:$A$1323,AI$4,LANÇAMENTOS!$B$5:$B$1323,"A pagar")</f>
        <v>0.0</v>
      </c>
      <c r="AJ32" s="20">
        <f>SUMIFS(LANÇAMENTOS!$F$5:$F$1323,LANÇAMENTOS!$D$5:$D$1323,$A32,LANÇAMENTOS!$A$5:$A$1323,AJ$4,LANÇAMENTOS!$B$5:$B$1323,"A pagar")</f>
        <v>0.0</v>
      </c>
      <c r="AK32" s="20">
        <f>SUMIFS(LANÇAMENTOS!$F$5:$F$1323,LANÇAMENTOS!$D$5:$D$1323,$A32,LANÇAMENTOS!$A$5:$A$1323,AK$4,LANÇAMENTOS!$B$5:$B$1323,"A pagar")</f>
        <v>0.0</v>
      </c>
      <c r="AL32" s="20">
        <f>SUMIFS(LANÇAMENTOS!$F$5:$F$1323,LANÇAMENTOS!$D$5:$D$1323,$A32,LANÇAMENTOS!$A$5:$A$1323,AL$4,LANÇAMENTOS!$B$5:$B$1323,"A pagar")</f>
        <v>0.0</v>
      </c>
      <c r="AM32" s="20">
        <f>SUMIFS(LANÇAMENTOS!$F$5:$F$1323,LANÇAMENTOS!$D$5:$D$1323,$A32,LANÇAMENTOS!$A$5:$A$1323,AM$4,LANÇAMENTOS!$B$5:$B$1323,"A pagar")</f>
        <v>0.0</v>
      </c>
      <c r="AN32" s="20">
        <f>SUMIFS(LANÇAMENTOS!$F$5:$F$1323,LANÇAMENTOS!$D$5:$D$1323,$A32,LANÇAMENTOS!$A$5:$A$1323,AN$4,LANÇAMENTOS!$B$5:$B$1323,"A pagar")</f>
        <v>0.0</v>
      </c>
      <c r="AO32" s="20">
        <f>SUMIFS(LANÇAMENTOS!$F$5:$F$1323,LANÇAMENTOS!$D$5:$D$1323,$A32,LANÇAMENTOS!$A$5:$A$1323,AO$4,LANÇAMENTOS!$B$5:$B$1323,"A pagar")</f>
        <v>0.0</v>
      </c>
      <c r="AP32" s="20">
        <f>SUMIFS(LANÇAMENTOS!$F$5:$F$1323,LANÇAMENTOS!$D$5:$D$1323,$A32,LANÇAMENTOS!$A$5:$A$1323,AP$4,LANÇAMENTOS!$B$5:$B$1323,"A pagar")</f>
        <v>0.0</v>
      </c>
      <c r="AQ32" s="20">
        <f>SUMIFS(LANÇAMENTOS!$F$5:$F$1323,LANÇAMENTOS!$D$5:$D$1323,$A32,LANÇAMENTOS!$A$5:$A$1323,AQ$4,LANÇAMENTOS!$B$5:$B$1323,"A pagar")</f>
        <v>0.0</v>
      </c>
      <c r="AR32" s="20">
        <f>SUMIFS(LANÇAMENTOS!$F$5:$F$1323,LANÇAMENTOS!$D$5:$D$1323,$A32,LANÇAMENTOS!$A$5:$A$1323,AR$4,LANÇAMENTOS!$B$5:$B$1323,"A pagar")</f>
        <v>0.0</v>
      </c>
      <c r="AS32" s="20">
        <f>SUMIFS(LANÇAMENTOS!$F$5:$F$1323,LANÇAMENTOS!$D$5:$D$1323,$A32,LANÇAMENTOS!$A$5:$A$1323,AS$4,LANÇAMENTOS!$B$5:$B$1323,"A pagar")</f>
        <v>0.0</v>
      </c>
      <c r="AT32" s="20">
        <f>SUMIFS(LANÇAMENTOS!$F$5:$F$1323,LANÇAMENTOS!$D$5:$D$1323,$A32,LANÇAMENTOS!$A$5:$A$1323,AT$4,LANÇAMENTOS!$B$5:$B$1323,"A pagar")</f>
        <v>0.0</v>
      </c>
      <c r="AU32" s="20">
        <f>SUMIFS(LANÇAMENTOS!$F$5:$F$1323,LANÇAMENTOS!$D$5:$D$1323,$A32,LANÇAMENTOS!$A$5:$A$1323,AU$4,LANÇAMENTOS!$B$5:$B$1323,"A pagar")</f>
        <v>0.0</v>
      </c>
      <c r="AV32" s="20">
        <f>SUMIFS(LANÇAMENTOS!$F$5:$F$1323,LANÇAMENTOS!$D$5:$D$1323,$A32,LANÇAMENTOS!$A$5:$A$1323,AV$4,LANÇAMENTOS!$B$5:$B$1323,"A pagar")</f>
        <v>0.0</v>
      </c>
      <c r="AW32" s="20">
        <f>SUMIFS(LANÇAMENTOS!$F$5:$F$1323,LANÇAMENTOS!$D$5:$D$1323,$A32,LANÇAMENTOS!$A$5:$A$1323,AW$4,LANÇAMENTOS!$B$5:$B$1323,"A pagar")</f>
        <v>0.0</v>
      </c>
      <c r="AX32" s="20">
        <f>SUMIFS(LANÇAMENTOS!$F$5:$F$1323,LANÇAMENTOS!$D$5:$D$1323,$A32,LANÇAMENTOS!$A$5:$A$1323,AX$4,LANÇAMENTOS!$B$5:$B$1323,"A pagar")</f>
        <v>0.0</v>
      </c>
      <c r="AY32" s="20">
        <f>SUMIFS(LANÇAMENTOS!$F$5:$F$1323,LANÇAMENTOS!$D$5:$D$1323,$A32,LANÇAMENTOS!$A$5:$A$1323,AY$4,LANÇAMENTOS!$B$5:$B$1323,"A pagar")</f>
        <v>0.0</v>
      </c>
      <c r="AZ32" s="20">
        <f>SUMIFS(LANÇAMENTOS!$F$5:$F$1323,LANÇAMENTOS!$D$5:$D$1323,$A32,LANÇAMENTOS!$A$5:$A$1323,AZ$4,LANÇAMENTOS!$B$5:$B$1323,"A pagar")</f>
        <v>0.0</v>
      </c>
      <c r="BA32" s="20">
        <f>SUMIFS(LANÇAMENTOS!$F$5:$F$1323,LANÇAMENTOS!$D$5:$D$1323,$A32,LANÇAMENTOS!$A$5:$A$1323,BA$4,LANÇAMENTOS!$B$5:$B$1323,"A pagar")</f>
        <v>0.0</v>
      </c>
      <c r="BB32" s="20">
        <f>SUMIFS(LANÇAMENTOS!$F$5:$F$1323,LANÇAMENTOS!$D$5:$D$1323,$A32,LANÇAMENTOS!$A$5:$A$1323,BB$4,LANÇAMENTOS!$B$5:$B$1323,"A pagar")</f>
        <v>0.0</v>
      </c>
      <c r="BC32" s="20">
        <f>SUMIFS(LANÇAMENTOS!$F$5:$F$1323,LANÇAMENTOS!$D$5:$D$1323,$A32,LANÇAMENTOS!$A$5:$A$1323,BC$4,LANÇAMENTOS!$B$5:$B$1323,"A pagar")</f>
        <v>0.0</v>
      </c>
      <c r="BD32" s="20">
        <f>SUMIFS(LANÇAMENTOS!$F$5:$F$1323,LANÇAMENTOS!$D$5:$D$1323,$A32,LANÇAMENTOS!$A$5:$A$1323,BD$4,LANÇAMENTOS!$B$5:$B$1323,"A pagar")</f>
        <v>0.0</v>
      </c>
      <c r="BE32" s="20">
        <f>SUMIFS(LANÇAMENTOS!$F$5:$F$1323,LANÇAMENTOS!$D$5:$D$1323,$A32,LANÇAMENTOS!$A$5:$A$1323,BE$4,LANÇAMENTOS!$B$5:$B$1323,"A pagar")</f>
        <v>0.0</v>
      </c>
      <c r="BF32" s="20">
        <f>SUMIFS(LANÇAMENTOS!$F$5:$F$1323,LANÇAMENTOS!$D$5:$D$1323,$A32,LANÇAMENTOS!$A$5:$A$1323,BF$4,LANÇAMENTOS!$B$5:$B$1323,"A pagar")</f>
        <v>0.0</v>
      </c>
      <c r="BG32" s="20">
        <f>SUMIFS(LANÇAMENTOS!$F$5:$F$1323,LANÇAMENTOS!$D$5:$D$1323,$A32,LANÇAMENTOS!$A$5:$A$1323,BG$4,LANÇAMENTOS!$B$5:$B$1323,"A pagar")</f>
        <v>0.0</v>
      </c>
      <c r="BH32" s="20">
        <f>SUMIFS(LANÇAMENTOS!$F$5:$F$1323,LANÇAMENTOS!$D$5:$D$1323,$A32,LANÇAMENTOS!$A$5:$A$1323,BH$4,LANÇAMENTOS!$B$5:$B$1323,"A pagar")</f>
        <v>0.0</v>
      </c>
      <c r="BI32" s="20">
        <f>SUMIFS(LANÇAMENTOS!$F$5:$F$1323,LANÇAMENTOS!$D$5:$D$1323,$A32,LANÇAMENTOS!$A$5:$A$1323,BI$4,LANÇAMENTOS!$B$5:$B$1323,"A pagar")</f>
        <v>0.0</v>
      </c>
      <c r="BJ32" s="20">
        <f>SUMIFS(LANÇAMENTOS!$F$5:$F$1323,LANÇAMENTOS!$D$5:$D$1323,$A32,LANÇAMENTOS!$A$5:$A$1323,BJ$4,LANÇAMENTOS!$B$5:$B$1323,"A pagar")</f>
        <v>0.0</v>
      </c>
      <c r="BK32" s="20">
        <f>SUMIFS(LANÇAMENTOS!$F$5:$F$1323,LANÇAMENTOS!$D$5:$D$1323,$A32,LANÇAMENTOS!$A$5:$A$1323,BK$4,LANÇAMENTOS!$B$5:$B$1323,"A pagar")</f>
        <v>0.0</v>
      </c>
      <c r="BL32" s="20">
        <f>SUMIFS(LANÇAMENTOS!$F$5:$F$1323,LANÇAMENTOS!$D$5:$D$1323,$A32,LANÇAMENTOS!$A$5:$A$1323,BL$4,LANÇAMENTOS!$B$5:$B$1323,"A pagar")</f>
        <v>0.0</v>
      </c>
    </row>
    <row r="33">
      <c r="A33" s="6" t="inlineStr">
        <is>
          <t>L04</t>
        </is>
      </c>
      <c r="B33" s="6" t="inlineStr">
        <is>
          <t>Bandejas de proteção</t>
        </is>
      </c>
      <c r="C33" s="19">
        <f>SUM(D33:BL33)</f>
        <v>0.0</v>
      </c>
      <c r="D33" s="20">
        <f>SUMIFS(LANÇAMENTOS!$F$5:$F$1323,LANÇAMENTOS!$D$5:$D$1323,$A33,LANÇAMENTOS!$A$5:$A$1323,D$4,LANÇAMENTOS!$B$5:$B$1323,"A pagar")</f>
        <v>0.0</v>
      </c>
      <c r="E33" s="20">
        <f>SUMIFS(LANÇAMENTOS!$F$5:$F$1323,LANÇAMENTOS!$D$5:$D$1323,$A33,LANÇAMENTOS!$A$5:$A$1323,E$4,LANÇAMENTOS!$B$5:$B$1323,"A pagar")</f>
        <v>0.0</v>
      </c>
      <c r="F33" s="20">
        <f>SUMIFS(LANÇAMENTOS!$F$5:$F$1323,LANÇAMENTOS!$D$5:$D$1323,$A33,LANÇAMENTOS!$A$5:$A$1323,F$4,LANÇAMENTOS!$B$5:$B$1323,"A pagar")</f>
        <v>0.0</v>
      </c>
      <c r="G33" s="20">
        <f>SUMIFS(LANÇAMENTOS!$F$5:$F$1323,LANÇAMENTOS!$D$5:$D$1323,$A33,LANÇAMENTOS!$A$5:$A$1323,G$4,LANÇAMENTOS!$B$5:$B$1323,"A pagar")</f>
        <v>0.0</v>
      </c>
      <c r="H33" s="20">
        <f>SUMIFS(LANÇAMENTOS!$F$5:$F$1323,LANÇAMENTOS!$D$5:$D$1323,$A33,LANÇAMENTOS!$A$5:$A$1323,H$4,LANÇAMENTOS!$B$5:$B$1323,"A pagar")</f>
        <v>0.0</v>
      </c>
      <c r="I33" s="20">
        <f>SUMIFS(LANÇAMENTOS!$F$5:$F$1323,LANÇAMENTOS!$D$5:$D$1323,$A33,LANÇAMENTOS!$A$5:$A$1323,I$4,LANÇAMENTOS!$B$5:$B$1323,"A pagar")</f>
        <v>0.0</v>
      </c>
      <c r="J33" s="20">
        <f>SUMIFS(LANÇAMENTOS!$F$5:$F$1323,LANÇAMENTOS!$D$5:$D$1323,$A33,LANÇAMENTOS!$A$5:$A$1323,J$4,LANÇAMENTOS!$B$5:$B$1323,"A pagar")</f>
        <v>0.0</v>
      </c>
      <c r="K33" s="20">
        <f>SUMIFS(LANÇAMENTOS!$F$5:$F$1323,LANÇAMENTOS!$D$5:$D$1323,$A33,LANÇAMENTOS!$A$5:$A$1323,K$4,LANÇAMENTOS!$B$5:$B$1323,"A pagar")</f>
        <v>0.0</v>
      </c>
      <c r="L33" s="20">
        <f>SUMIFS(LANÇAMENTOS!$F$5:$F$1323,LANÇAMENTOS!$D$5:$D$1323,$A33,LANÇAMENTOS!$A$5:$A$1323,L$4,LANÇAMENTOS!$B$5:$B$1323,"A pagar")</f>
        <v>0.0</v>
      </c>
      <c r="M33" s="20">
        <f>SUMIFS(LANÇAMENTOS!$F$5:$F$1323,LANÇAMENTOS!$D$5:$D$1323,$A33,LANÇAMENTOS!$A$5:$A$1323,M$4,LANÇAMENTOS!$B$5:$B$1323,"A pagar")</f>
        <v>0.0</v>
      </c>
      <c r="N33" s="20">
        <f>SUMIFS(LANÇAMENTOS!$F$5:$F$1323,LANÇAMENTOS!$D$5:$D$1323,$A33,LANÇAMENTOS!$A$5:$A$1323,N$4,LANÇAMENTOS!$B$5:$B$1323,"A pagar")</f>
        <v>0.0</v>
      </c>
      <c r="O33" s="20">
        <f>SUMIFS(LANÇAMENTOS!$F$5:$F$1323,LANÇAMENTOS!$D$5:$D$1323,$A33,LANÇAMENTOS!$A$5:$A$1323,O$4,LANÇAMENTOS!$B$5:$B$1323,"A pagar")</f>
        <v>0.0</v>
      </c>
      <c r="P33" s="20">
        <f>SUMIFS(LANÇAMENTOS!$F$5:$F$1323,LANÇAMENTOS!$D$5:$D$1323,$A33,LANÇAMENTOS!$A$5:$A$1323,P$4,LANÇAMENTOS!$B$5:$B$1323,"A pagar")</f>
        <v>0.0</v>
      </c>
      <c r="Q33" s="20">
        <f>SUMIFS(LANÇAMENTOS!$F$5:$F$1323,LANÇAMENTOS!$D$5:$D$1323,$A33,LANÇAMENTOS!$A$5:$A$1323,Q$4,LANÇAMENTOS!$B$5:$B$1323,"A pagar")</f>
        <v>0.0</v>
      </c>
      <c r="R33" s="20">
        <f>SUMIFS(LANÇAMENTOS!$F$5:$F$1323,LANÇAMENTOS!$D$5:$D$1323,$A33,LANÇAMENTOS!$A$5:$A$1323,R$4,LANÇAMENTOS!$B$5:$B$1323,"A pagar")</f>
        <v>0.0</v>
      </c>
      <c r="S33" s="20">
        <f>SUMIFS(LANÇAMENTOS!$F$5:$F$1323,LANÇAMENTOS!$D$5:$D$1323,$A33,LANÇAMENTOS!$A$5:$A$1323,S$4,LANÇAMENTOS!$B$5:$B$1323,"A pagar")</f>
        <v>0.0</v>
      </c>
      <c r="T33" s="20">
        <f>SUMIFS(LANÇAMENTOS!$F$5:$F$1323,LANÇAMENTOS!$D$5:$D$1323,$A33,LANÇAMENTOS!$A$5:$A$1323,T$4,LANÇAMENTOS!$B$5:$B$1323,"A pagar")</f>
        <v>0.0</v>
      </c>
      <c r="U33" s="20">
        <f>SUMIFS(LANÇAMENTOS!$F$5:$F$1323,LANÇAMENTOS!$D$5:$D$1323,$A33,LANÇAMENTOS!$A$5:$A$1323,U$4,LANÇAMENTOS!$B$5:$B$1323,"A pagar")</f>
        <v>0.0</v>
      </c>
      <c r="V33" s="20">
        <f>SUMIFS(LANÇAMENTOS!$F$5:$F$1323,LANÇAMENTOS!$D$5:$D$1323,$A33,LANÇAMENTOS!$A$5:$A$1323,V$4,LANÇAMENTOS!$B$5:$B$1323,"A pagar")</f>
        <v>0.0</v>
      </c>
      <c r="W33" s="20">
        <f>SUMIFS(LANÇAMENTOS!$F$5:$F$1323,LANÇAMENTOS!$D$5:$D$1323,$A33,LANÇAMENTOS!$A$5:$A$1323,W$4,LANÇAMENTOS!$B$5:$B$1323,"A pagar")</f>
        <v>0.0</v>
      </c>
      <c r="X33" s="20">
        <f>SUMIFS(LANÇAMENTOS!$F$5:$F$1323,LANÇAMENTOS!$D$5:$D$1323,$A33,LANÇAMENTOS!$A$5:$A$1323,X$4,LANÇAMENTOS!$B$5:$B$1323,"A pagar")</f>
        <v>0.0</v>
      </c>
      <c r="Y33" s="20">
        <f>SUMIFS(LANÇAMENTOS!$F$5:$F$1323,LANÇAMENTOS!$D$5:$D$1323,$A33,LANÇAMENTOS!$A$5:$A$1323,Y$4,LANÇAMENTOS!$B$5:$B$1323,"A pagar")</f>
        <v>0.0</v>
      </c>
      <c r="Z33" s="20">
        <f>SUMIFS(LANÇAMENTOS!$F$5:$F$1323,LANÇAMENTOS!$D$5:$D$1323,$A33,LANÇAMENTOS!$A$5:$A$1323,Z$4,LANÇAMENTOS!$B$5:$B$1323,"A pagar")</f>
        <v>0.0</v>
      </c>
      <c r="AA33" s="20">
        <f>SUMIFS(LANÇAMENTOS!$F$5:$F$1323,LANÇAMENTOS!$D$5:$D$1323,$A33,LANÇAMENTOS!$A$5:$A$1323,AA$4,LANÇAMENTOS!$B$5:$B$1323,"A pagar")</f>
        <v>0.0</v>
      </c>
      <c r="AB33" s="20">
        <f>SUMIFS(LANÇAMENTOS!$F$5:$F$1323,LANÇAMENTOS!$D$5:$D$1323,$A33,LANÇAMENTOS!$A$5:$A$1323,AB$4,LANÇAMENTOS!$B$5:$B$1323,"A pagar")</f>
        <v>0.0</v>
      </c>
      <c r="AC33" s="20">
        <f>SUMIFS(LANÇAMENTOS!$F$5:$F$1323,LANÇAMENTOS!$D$5:$D$1323,$A33,LANÇAMENTOS!$A$5:$A$1323,AC$4,LANÇAMENTOS!$B$5:$B$1323,"A pagar")</f>
        <v>0.0</v>
      </c>
      <c r="AD33" s="20">
        <f>SUMIFS(LANÇAMENTOS!$F$5:$F$1323,LANÇAMENTOS!$D$5:$D$1323,$A33,LANÇAMENTOS!$A$5:$A$1323,AD$4,LANÇAMENTOS!$B$5:$B$1323,"A pagar")</f>
        <v>0.0</v>
      </c>
      <c r="AE33" s="20">
        <f>SUMIFS(LANÇAMENTOS!$F$5:$F$1323,LANÇAMENTOS!$D$5:$D$1323,$A33,LANÇAMENTOS!$A$5:$A$1323,AE$4,LANÇAMENTOS!$B$5:$B$1323,"A pagar")</f>
        <v>0.0</v>
      </c>
      <c r="AF33" s="20">
        <f>SUMIFS(LANÇAMENTOS!$F$5:$F$1323,LANÇAMENTOS!$D$5:$D$1323,$A33,LANÇAMENTOS!$A$5:$A$1323,AF$4,LANÇAMENTOS!$B$5:$B$1323,"A pagar")</f>
        <v>0.0</v>
      </c>
      <c r="AG33" s="20">
        <f>SUMIFS(LANÇAMENTOS!$F$5:$F$1323,LANÇAMENTOS!$D$5:$D$1323,$A33,LANÇAMENTOS!$A$5:$A$1323,AG$4,LANÇAMENTOS!$B$5:$B$1323,"A pagar")</f>
        <v>0.0</v>
      </c>
      <c r="AH33" s="20">
        <f>SUMIFS(LANÇAMENTOS!$F$5:$F$1323,LANÇAMENTOS!$D$5:$D$1323,$A33,LANÇAMENTOS!$A$5:$A$1323,AH$4,LANÇAMENTOS!$B$5:$B$1323,"A pagar")</f>
        <v>0.0</v>
      </c>
      <c r="AI33" s="20">
        <f>SUMIFS(LANÇAMENTOS!$F$5:$F$1323,LANÇAMENTOS!$D$5:$D$1323,$A33,LANÇAMENTOS!$A$5:$A$1323,AI$4,LANÇAMENTOS!$B$5:$B$1323,"A pagar")</f>
        <v>0.0</v>
      </c>
      <c r="AJ33" s="20">
        <f>SUMIFS(LANÇAMENTOS!$F$5:$F$1323,LANÇAMENTOS!$D$5:$D$1323,$A33,LANÇAMENTOS!$A$5:$A$1323,AJ$4,LANÇAMENTOS!$B$5:$B$1323,"A pagar")</f>
        <v>0.0</v>
      </c>
      <c r="AK33" s="20">
        <f>SUMIFS(LANÇAMENTOS!$F$5:$F$1323,LANÇAMENTOS!$D$5:$D$1323,$A33,LANÇAMENTOS!$A$5:$A$1323,AK$4,LANÇAMENTOS!$B$5:$B$1323,"A pagar")</f>
        <v>0.0</v>
      </c>
      <c r="AL33" s="20">
        <f>SUMIFS(LANÇAMENTOS!$F$5:$F$1323,LANÇAMENTOS!$D$5:$D$1323,$A33,LANÇAMENTOS!$A$5:$A$1323,AL$4,LANÇAMENTOS!$B$5:$B$1323,"A pagar")</f>
        <v>0.0</v>
      </c>
      <c r="AM33" s="20">
        <f>SUMIFS(LANÇAMENTOS!$F$5:$F$1323,LANÇAMENTOS!$D$5:$D$1323,$A33,LANÇAMENTOS!$A$5:$A$1323,AM$4,LANÇAMENTOS!$B$5:$B$1323,"A pagar")</f>
        <v>0.0</v>
      </c>
      <c r="AN33" s="20">
        <f>SUMIFS(LANÇAMENTOS!$F$5:$F$1323,LANÇAMENTOS!$D$5:$D$1323,$A33,LANÇAMENTOS!$A$5:$A$1323,AN$4,LANÇAMENTOS!$B$5:$B$1323,"A pagar")</f>
        <v>0.0</v>
      </c>
      <c r="AO33" s="20">
        <f>SUMIFS(LANÇAMENTOS!$F$5:$F$1323,LANÇAMENTOS!$D$5:$D$1323,$A33,LANÇAMENTOS!$A$5:$A$1323,AO$4,LANÇAMENTOS!$B$5:$B$1323,"A pagar")</f>
        <v>0.0</v>
      </c>
      <c r="AP33" s="20">
        <f>SUMIFS(LANÇAMENTOS!$F$5:$F$1323,LANÇAMENTOS!$D$5:$D$1323,$A33,LANÇAMENTOS!$A$5:$A$1323,AP$4,LANÇAMENTOS!$B$5:$B$1323,"A pagar")</f>
        <v>0.0</v>
      </c>
      <c r="AQ33" s="20">
        <f>SUMIFS(LANÇAMENTOS!$F$5:$F$1323,LANÇAMENTOS!$D$5:$D$1323,$A33,LANÇAMENTOS!$A$5:$A$1323,AQ$4,LANÇAMENTOS!$B$5:$B$1323,"A pagar")</f>
        <v>0.0</v>
      </c>
      <c r="AR33" s="20">
        <f>SUMIFS(LANÇAMENTOS!$F$5:$F$1323,LANÇAMENTOS!$D$5:$D$1323,$A33,LANÇAMENTOS!$A$5:$A$1323,AR$4,LANÇAMENTOS!$B$5:$B$1323,"A pagar")</f>
        <v>0.0</v>
      </c>
      <c r="AS33" s="20">
        <f>SUMIFS(LANÇAMENTOS!$F$5:$F$1323,LANÇAMENTOS!$D$5:$D$1323,$A33,LANÇAMENTOS!$A$5:$A$1323,AS$4,LANÇAMENTOS!$B$5:$B$1323,"A pagar")</f>
        <v>0.0</v>
      </c>
      <c r="AT33" s="20">
        <f>SUMIFS(LANÇAMENTOS!$F$5:$F$1323,LANÇAMENTOS!$D$5:$D$1323,$A33,LANÇAMENTOS!$A$5:$A$1323,AT$4,LANÇAMENTOS!$B$5:$B$1323,"A pagar")</f>
        <v>0.0</v>
      </c>
      <c r="AU33" s="20">
        <f>SUMIFS(LANÇAMENTOS!$F$5:$F$1323,LANÇAMENTOS!$D$5:$D$1323,$A33,LANÇAMENTOS!$A$5:$A$1323,AU$4,LANÇAMENTOS!$B$5:$B$1323,"A pagar")</f>
        <v>0.0</v>
      </c>
      <c r="AV33" s="20">
        <f>SUMIFS(LANÇAMENTOS!$F$5:$F$1323,LANÇAMENTOS!$D$5:$D$1323,$A33,LANÇAMENTOS!$A$5:$A$1323,AV$4,LANÇAMENTOS!$B$5:$B$1323,"A pagar")</f>
        <v>0.0</v>
      </c>
      <c r="AW33" s="20">
        <f>SUMIFS(LANÇAMENTOS!$F$5:$F$1323,LANÇAMENTOS!$D$5:$D$1323,$A33,LANÇAMENTOS!$A$5:$A$1323,AW$4,LANÇAMENTOS!$B$5:$B$1323,"A pagar")</f>
        <v>0.0</v>
      </c>
      <c r="AX33" s="20">
        <f>SUMIFS(LANÇAMENTOS!$F$5:$F$1323,LANÇAMENTOS!$D$5:$D$1323,$A33,LANÇAMENTOS!$A$5:$A$1323,AX$4,LANÇAMENTOS!$B$5:$B$1323,"A pagar")</f>
        <v>0.0</v>
      </c>
      <c r="AY33" s="20">
        <f>SUMIFS(LANÇAMENTOS!$F$5:$F$1323,LANÇAMENTOS!$D$5:$D$1323,$A33,LANÇAMENTOS!$A$5:$A$1323,AY$4,LANÇAMENTOS!$B$5:$B$1323,"A pagar")</f>
        <v>0.0</v>
      </c>
      <c r="AZ33" s="20">
        <f>SUMIFS(LANÇAMENTOS!$F$5:$F$1323,LANÇAMENTOS!$D$5:$D$1323,$A33,LANÇAMENTOS!$A$5:$A$1323,AZ$4,LANÇAMENTOS!$B$5:$B$1323,"A pagar")</f>
        <v>0.0</v>
      </c>
      <c r="BA33" s="20">
        <f>SUMIFS(LANÇAMENTOS!$F$5:$F$1323,LANÇAMENTOS!$D$5:$D$1323,$A33,LANÇAMENTOS!$A$5:$A$1323,BA$4,LANÇAMENTOS!$B$5:$B$1323,"A pagar")</f>
        <v>0.0</v>
      </c>
      <c r="BB33" s="20">
        <f>SUMIFS(LANÇAMENTOS!$F$5:$F$1323,LANÇAMENTOS!$D$5:$D$1323,$A33,LANÇAMENTOS!$A$5:$A$1323,BB$4,LANÇAMENTOS!$B$5:$B$1323,"A pagar")</f>
        <v>0.0</v>
      </c>
      <c r="BC33" s="20">
        <f>SUMIFS(LANÇAMENTOS!$F$5:$F$1323,LANÇAMENTOS!$D$5:$D$1323,$A33,LANÇAMENTOS!$A$5:$A$1323,BC$4,LANÇAMENTOS!$B$5:$B$1323,"A pagar")</f>
        <v>0.0</v>
      </c>
      <c r="BD33" s="20">
        <f>SUMIFS(LANÇAMENTOS!$F$5:$F$1323,LANÇAMENTOS!$D$5:$D$1323,$A33,LANÇAMENTOS!$A$5:$A$1323,BD$4,LANÇAMENTOS!$B$5:$B$1323,"A pagar")</f>
        <v>0.0</v>
      </c>
      <c r="BE33" s="20">
        <f>SUMIFS(LANÇAMENTOS!$F$5:$F$1323,LANÇAMENTOS!$D$5:$D$1323,$A33,LANÇAMENTOS!$A$5:$A$1323,BE$4,LANÇAMENTOS!$B$5:$B$1323,"A pagar")</f>
        <v>0.0</v>
      </c>
      <c r="BF33" s="20">
        <f>SUMIFS(LANÇAMENTOS!$F$5:$F$1323,LANÇAMENTOS!$D$5:$D$1323,$A33,LANÇAMENTOS!$A$5:$A$1323,BF$4,LANÇAMENTOS!$B$5:$B$1323,"A pagar")</f>
        <v>0.0</v>
      </c>
      <c r="BG33" s="20">
        <f>SUMIFS(LANÇAMENTOS!$F$5:$F$1323,LANÇAMENTOS!$D$5:$D$1323,$A33,LANÇAMENTOS!$A$5:$A$1323,BG$4,LANÇAMENTOS!$B$5:$B$1323,"A pagar")</f>
        <v>0.0</v>
      </c>
      <c r="BH33" s="20">
        <f>SUMIFS(LANÇAMENTOS!$F$5:$F$1323,LANÇAMENTOS!$D$5:$D$1323,$A33,LANÇAMENTOS!$A$5:$A$1323,BH$4,LANÇAMENTOS!$B$5:$B$1323,"A pagar")</f>
        <v>0.0</v>
      </c>
      <c r="BI33" s="20">
        <f>SUMIFS(LANÇAMENTOS!$F$5:$F$1323,LANÇAMENTOS!$D$5:$D$1323,$A33,LANÇAMENTOS!$A$5:$A$1323,BI$4,LANÇAMENTOS!$B$5:$B$1323,"A pagar")</f>
        <v>0.0</v>
      </c>
      <c r="BJ33" s="20">
        <f>SUMIFS(LANÇAMENTOS!$F$5:$F$1323,LANÇAMENTOS!$D$5:$D$1323,$A33,LANÇAMENTOS!$A$5:$A$1323,BJ$4,LANÇAMENTOS!$B$5:$B$1323,"A pagar")</f>
        <v>0.0</v>
      </c>
      <c r="BK33" s="20">
        <f>SUMIFS(LANÇAMENTOS!$F$5:$F$1323,LANÇAMENTOS!$D$5:$D$1323,$A33,LANÇAMENTOS!$A$5:$A$1323,BK$4,LANÇAMENTOS!$B$5:$B$1323,"A pagar")</f>
        <v>0.0</v>
      </c>
      <c r="BL33" s="20">
        <f>SUMIFS(LANÇAMENTOS!$F$5:$F$1323,LANÇAMENTOS!$D$5:$D$1323,$A33,LANÇAMENTOS!$A$5:$A$1323,BL$4,LANÇAMENTOS!$B$5:$B$1323,"A pagar")</f>
        <v>0.0</v>
      </c>
    </row>
    <row r="34">
      <c r="A34" s="6" t="inlineStr">
        <is>
          <t>L05</t>
        </is>
      </c>
      <c r="B34" s="6" t="inlineStr">
        <is>
          <t>Elevador cremalheira</t>
        </is>
      </c>
      <c r="C34" s="19">
        <f>SUM(D34:BL34)</f>
        <v>0.0</v>
      </c>
      <c r="D34" s="20">
        <f>SUMIFS(LANÇAMENTOS!$F$5:$F$1323,LANÇAMENTOS!$D$5:$D$1323,$A34,LANÇAMENTOS!$A$5:$A$1323,D$4,LANÇAMENTOS!$B$5:$B$1323,"A pagar")</f>
        <v>0.0</v>
      </c>
      <c r="E34" s="20">
        <f>SUMIFS(LANÇAMENTOS!$F$5:$F$1323,LANÇAMENTOS!$D$5:$D$1323,$A34,LANÇAMENTOS!$A$5:$A$1323,E$4,LANÇAMENTOS!$B$5:$B$1323,"A pagar")</f>
        <v>0.0</v>
      </c>
      <c r="F34" s="20">
        <f>SUMIFS(LANÇAMENTOS!$F$5:$F$1323,LANÇAMENTOS!$D$5:$D$1323,$A34,LANÇAMENTOS!$A$5:$A$1323,F$4,LANÇAMENTOS!$B$5:$B$1323,"A pagar")</f>
        <v>0.0</v>
      </c>
      <c r="G34" s="20">
        <f>SUMIFS(LANÇAMENTOS!$F$5:$F$1323,LANÇAMENTOS!$D$5:$D$1323,$A34,LANÇAMENTOS!$A$5:$A$1323,G$4,LANÇAMENTOS!$B$5:$B$1323,"A pagar")</f>
        <v>0.0</v>
      </c>
      <c r="H34" s="20">
        <f>SUMIFS(LANÇAMENTOS!$F$5:$F$1323,LANÇAMENTOS!$D$5:$D$1323,$A34,LANÇAMENTOS!$A$5:$A$1323,H$4,LANÇAMENTOS!$B$5:$B$1323,"A pagar")</f>
        <v>0.0</v>
      </c>
      <c r="I34" s="20">
        <f>SUMIFS(LANÇAMENTOS!$F$5:$F$1323,LANÇAMENTOS!$D$5:$D$1323,$A34,LANÇAMENTOS!$A$5:$A$1323,I$4,LANÇAMENTOS!$B$5:$B$1323,"A pagar")</f>
        <v>0.0</v>
      </c>
      <c r="J34" s="20">
        <f>SUMIFS(LANÇAMENTOS!$F$5:$F$1323,LANÇAMENTOS!$D$5:$D$1323,$A34,LANÇAMENTOS!$A$5:$A$1323,J$4,LANÇAMENTOS!$B$5:$B$1323,"A pagar")</f>
        <v>0.0</v>
      </c>
      <c r="K34" s="20">
        <f>SUMIFS(LANÇAMENTOS!$F$5:$F$1323,LANÇAMENTOS!$D$5:$D$1323,$A34,LANÇAMENTOS!$A$5:$A$1323,K$4,LANÇAMENTOS!$B$5:$B$1323,"A pagar")</f>
        <v>0.0</v>
      </c>
      <c r="L34" s="20">
        <f>SUMIFS(LANÇAMENTOS!$F$5:$F$1323,LANÇAMENTOS!$D$5:$D$1323,$A34,LANÇAMENTOS!$A$5:$A$1323,L$4,LANÇAMENTOS!$B$5:$B$1323,"A pagar")</f>
        <v>0.0</v>
      </c>
      <c r="M34" s="20">
        <f>SUMIFS(LANÇAMENTOS!$F$5:$F$1323,LANÇAMENTOS!$D$5:$D$1323,$A34,LANÇAMENTOS!$A$5:$A$1323,M$4,LANÇAMENTOS!$B$5:$B$1323,"A pagar")</f>
        <v>0.0</v>
      </c>
      <c r="N34" s="20">
        <f>SUMIFS(LANÇAMENTOS!$F$5:$F$1323,LANÇAMENTOS!$D$5:$D$1323,$A34,LANÇAMENTOS!$A$5:$A$1323,N$4,LANÇAMENTOS!$B$5:$B$1323,"A pagar")</f>
        <v>0.0</v>
      </c>
      <c r="O34" s="20">
        <f>SUMIFS(LANÇAMENTOS!$F$5:$F$1323,LANÇAMENTOS!$D$5:$D$1323,$A34,LANÇAMENTOS!$A$5:$A$1323,O$4,LANÇAMENTOS!$B$5:$B$1323,"A pagar")</f>
        <v>0.0</v>
      </c>
      <c r="P34" s="20">
        <f>SUMIFS(LANÇAMENTOS!$F$5:$F$1323,LANÇAMENTOS!$D$5:$D$1323,$A34,LANÇAMENTOS!$A$5:$A$1323,P$4,LANÇAMENTOS!$B$5:$B$1323,"A pagar")</f>
        <v>0.0</v>
      </c>
      <c r="Q34" s="20">
        <f>SUMIFS(LANÇAMENTOS!$F$5:$F$1323,LANÇAMENTOS!$D$5:$D$1323,$A34,LANÇAMENTOS!$A$5:$A$1323,Q$4,LANÇAMENTOS!$B$5:$B$1323,"A pagar")</f>
        <v>0.0</v>
      </c>
      <c r="R34" s="20">
        <f>SUMIFS(LANÇAMENTOS!$F$5:$F$1323,LANÇAMENTOS!$D$5:$D$1323,$A34,LANÇAMENTOS!$A$5:$A$1323,R$4,LANÇAMENTOS!$B$5:$B$1323,"A pagar")</f>
        <v>0.0</v>
      </c>
      <c r="S34" s="20">
        <f>SUMIFS(LANÇAMENTOS!$F$5:$F$1323,LANÇAMENTOS!$D$5:$D$1323,$A34,LANÇAMENTOS!$A$5:$A$1323,S$4,LANÇAMENTOS!$B$5:$B$1323,"A pagar")</f>
        <v>0.0</v>
      </c>
      <c r="T34" s="20">
        <f>SUMIFS(LANÇAMENTOS!$F$5:$F$1323,LANÇAMENTOS!$D$5:$D$1323,$A34,LANÇAMENTOS!$A$5:$A$1323,T$4,LANÇAMENTOS!$B$5:$B$1323,"A pagar")</f>
        <v>0.0</v>
      </c>
      <c r="U34" s="20">
        <f>SUMIFS(LANÇAMENTOS!$F$5:$F$1323,LANÇAMENTOS!$D$5:$D$1323,$A34,LANÇAMENTOS!$A$5:$A$1323,U$4,LANÇAMENTOS!$B$5:$B$1323,"A pagar")</f>
        <v>0.0</v>
      </c>
      <c r="V34" s="20">
        <f>SUMIFS(LANÇAMENTOS!$F$5:$F$1323,LANÇAMENTOS!$D$5:$D$1323,$A34,LANÇAMENTOS!$A$5:$A$1323,V$4,LANÇAMENTOS!$B$5:$B$1323,"A pagar")</f>
        <v>0.0</v>
      </c>
      <c r="W34" s="20">
        <f>SUMIFS(LANÇAMENTOS!$F$5:$F$1323,LANÇAMENTOS!$D$5:$D$1323,$A34,LANÇAMENTOS!$A$5:$A$1323,W$4,LANÇAMENTOS!$B$5:$B$1323,"A pagar")</f>
        <v>0.0</v>
      </c>
      <c r="X34" s="20">
        <f>SUMIFS(LANÇAMENTOS!$F$5:$F$1323,LANÇAMENTOS!$D$5:$D$1323,$A34,LANÇAMENTOS!$A$5:$A$1323,X$4,LANÇAMENTOS!$B$5:$B$1323,"A pagar")</f>
        <v>0.0</v>
      </c>
      <c r="Y34" s="20">
        <f>SUMIFS(LANÇAMENTOS!$F$5:$F$1323,LANÇAMENTOS!$D$5:$D$1323,$A34,LANÇAMENTOS!$A$5:$A$1323,Y$4,LANÇAMENTOS!$B$5:$B$1323,"A pagar")</f>
        <v>0.0</v>
      </c>
      <c r="Z34" s="20">
        <f>SUMIFS(LANÇAMENTOS!$F$5:$F$1323,LANÇAMENTOS!$D$5:$D$1323,$A34,LANÇAMENTOS!$A$5:$A$1323,Z$4,LANÇAMENTOS!$B$5:$B$1323,"A pagar")</f>
        <v>0.0</v>
      </c>
      <c r="AA34" s="20">
        <f>SUMIFS(LANÇAMENTOS!$F$5:$F$1323,LANÇAMENTOS!$D$5:$D$1323,$A34,LANÇAMENTOS!$A$5:$A$1323,AA$4,LANÇAMENTOS!$B$5:$B$1323,"A pagar")</f>
        <v>0.0</v>
      </c>
      <c r="AB34" s="20">
        <f>SUMIFS(LANÇAMENTOS!$F$5:$F$1323,LANÇAMENTOS!$D$5:$D$1323,$A34,LANÇAMENTOS!$A$5:$A$1323,AB$4,LANÇAMENTOS!$B$5:$B$1323,"A pagar")</f>
        <v>0.0</v>
      </c>
      <c r="AC34" s="20">
        <f>SUMIFS(LANÇAMENTOS!$F$5:$F$1323,LANÇAMENTOS!$D$5:$D$1323,$A34,LANÇAMENTOS!$A$5:$A$1323,AC$4,LANÇAMENTOS!$B$5:$B$1323,"A pagar")</f>
        <v>0.0</v>
      </c>
      <c r="AD34" s="20">
        <f>SUMIFS(LANÇAMENTOS!$F$5:$F$1323,LANÇAMENTOS!$D$5:$D$1323,$A34,LANÇAMENTOS!$A$5:$A$1323,AD$4,LANÇAMENTOS!$B$5:$B$1323,"A pagar")</f>
        <v>0.0</v>
      </c>
      <c r="AE34" s="20">
        <f>SUMIFS(LANÇAMENTOS!$F$5:$F$1323,LANÇAMENTOS!$D$5:$D$1323,$A34,LANÇAMENTOS!$A$5:$A$1323,AE$4,LANÇAMENTOS!$B$5:$B$1323,"A pagar")</f>
        <v>0.0</v>
      </c>
      <c r="AF34" s="20">
        <f>SUMIFS(LANÇAMENTOS!$F$5:$F$1323,LANÇAMENTOS!$D$5:$D$1323,$A34,LANÇAMENTOS!$A$5:$A$1323,AF$4,LANÇAMENTOS!$B$5:$B$1323,"A pagar")</f>
        <v>0.0</v>
      </c>
      <c r="AG34" s="20">
        <f>SUMIFS(LANÇAMENTOS!$F$5:$F$1323,LANÇAMENTOS!$D$5:$D$1323,$A34,LANÇAMENTOS!$A$5:$A$1323,AG$4,LANÇAMENTOS!$B$5:$B$1323,"A pagar")</f>
        <v>0.0</v>
      </c>
      <c r="AH34" s="20">
        <f>SUMIFS(LANÇAMENTOS!$F$5:$F$1323,LANÇAMENTOS!$D$5:$D$1323,$A34,LANÇAMENTOS!$A$5:$A$1323,AH$4,LANÇAMENTOS!$B$5:$B$1323,"A pagar")</f>
        <v>0.0</v>
      </c>
      <c r="AI34" s="20">
        <f>SUMIFS(LANÇAMENTOS!$F$5:$F$1323,LANÇAMENTOS!$D$5:$D$1323,$A34,LANÇAMENTOS!$A$5:$A$1323,AI$4,LANÇAMENTOS!$B$5:$B$1323,"A pagar")</f>
        <v>0.0</v>
      </c>
      <c r="AJ34" s="20">
        <f>SUMIFS(LANÇAMENTOS!$F$5:$F$1323,LANÇAMENTOS!$D$5:$D$1323,$A34,LANÇAMENTOS!$A$5:$A$1323,AJ$4,LANÇAMENTOS!$B$5:$B$1323,"A pagar")</f>
        <v>0.0</v>
      </c>
      <c r="AK34" s="20">
        <f>SUMIFS(LANÇAMENTOS!$F$5:$F$1323,LANÇAMENTOS!$D$5:$D$1323,$A34,LANÇAMENTOS!$A$5:$A$1323,AK$4,LANÇAMENTOS!$B$5:$B$1323,"A pagar")</f>
        <v>0.0</v>
      </c>
      <c r="AL34" s="20">
        <f>SUMIFS(LANÇAMENTOS!$F$5:$F$1323,LANÇAMENTOS!$D$5:$D$1323,$A34,LANÇAMENTOS!$A$5:$A$1323,AL$4,LANÇAMENTOS!$B$5:$B$1323,"A pagar")</f>
        <v>0.0</v>
      </c>
      <c r="AM34" s="20">
        <f>SUMIFS(LANÇAMENTOS!$F$5:$F$1323,LANÇAMENTOS!$D$5:$D$1323,$A34,LANÇAMENTOS!$A$5:$A$1323,AM$4,LANÇAMENTOS!$B$5:$B$1323,"A pagar")</f>
        <v>0.0</v>
      </c>
      <c r="AN34" s="20">
        <f>SUMIFS(LANÇAMENTOS!$F$5:$F$1323,LANÇAMENTOS!$D$5:$D$1323,$A34,LANÇAMENTOS!$A$5:$A$1323,AN$4,LANÇAMENTOS!$B$5:$B$1323,"A pagar")</f>
        <v>0.0</v>
      </c>
      <c r="AO34" s="20">
        <f>SUMIFS(LANÇAMENTOS!$F$5:$F$1323,LANÇAMENTOS!$D$5:$D$1323,$A34,LANÇAMENTOS!$A$5:$A$1323,AO$4,LANÇAMENTOS!$B$5:$B$1323,"A pagar")</f>
        <v>0.0</v>
      </c>
      <c r="AP34" s="20">
        <f>SUMIFS(LANÇAMENTOS!$F$5:$F$1323,LANÇAMENTOS!$D$5:$D$1323,$A34,LANÇAMENTOS!$A$5:$A$1323,AP$4,LANÇAMENTOS!$B$5:$B$1323,"A pagar")</f>
        <v>0.0</v>
      </c>
      <c r="AQ34" s="20">
        <f>SUMIFS(LANÇAMENTOS!$F$5:$F$1323,LANÇAMENTOS!$D$5:$D$1323,$A34,LANÇAMENTOS!$A$5:$A$1323,AQ$4,LANÇAMENTOS!$B$5:$B$1323,"A pagar")</f>
        <v>0.0</v>
      </c>
      <c r="AR34" s="20">
        <f>SUMIFS(LANÇAMENTOS!$F$5:$F$1323,LANÇAMENTOS!$D$5:$D$1323,$A34,LANÇAMENTOS!$A$5:$A$1323,AR$4,LANÇAMENTOS!$B$5:$B$1323,"A pagar")</f>
        <v>0.0</v>
      </c>
      <c r="AS34" s="20">
        <f>SUMIFS(LANÇAMENTOS!$F$5:$F$1323,LANÇAMENTOS!$D$5:$D$1323,$A34,LANÇAMENTOS!$A$5:$A$1323,AS$4,LANÇAMENTOS!$B$5:$B$1323,"A pagar")</f>
        <v>0.0</v>
      </c>
      <c r="AT34" s="20">
        <f>SUMIFS(LANÇAMENTOS!$F$5:$F$1323,LANÇAMENTOS!$D$5:$D$1323,$A34,LANÇAMENTOS!$A$5:$A$1323,AT$4,LANÇAMENTOS!$B$5:$B$1323,"A pagar")</f>
        <v>0.0</v>
      </c>
      <c r="AU34" s="20">
        <f>SUMIFS(LANÇAMENTOS!$F$5:$F$1323,LANÇAMENTOS!$D$5:$D$1323,$A34,LANÇAMENTOS!$A$5:$A$1323,AU$4,LANÇAMENTOS!$B$5:$B$1323,"A pagar")</f>
        <v>0.0</v>
      </c>
      <c r="AV34" s="20">
        <f>SUMIFS(LANÇAMENTOS!$F$5:$F$1323,LANÇAMENTOS!$D$5:$D$1323,$A34,LANÇAMENTOS!$A$5:$A$1323,AV$4,LANÇAMENTOS!$B$5:$B$1323,"A pagar")</f>
        <v>0.0</v>
      </c>
      <c r="AW34" s="20">
        <f>SUMIFS(LANÇAMENTOS!$F$5:$F$1323,LANÇAMENTOS!$D$5:$D$1323,$A34,LANÇAMENTOS!$A$5:$A$1323,AW$4,LANÇAMENTOS!$B$5:$B$1323,"A pagar")</f>
        <v>0.0</v>
      </c>
      <c r="AX34" s="20">
        <f>SUMIFS(LANÇAMENTOS!$F$5:$F$1323,LANÇAMENTOS!$D$5:$D$1323,$A34,LANÇAMENTOS!$A$5:$A$1323,AX$4,LANÇAMENTOS!$B$5:$B$1323,"A pagar")</f>
        <v>0.0</v>
      </c>
      <c r="AY34" s="20">
        <f>SUMIFS(LANÇAMENTOS!$F$5:$F$1323,LANÇAMENTOS!$D$5:$D$1323,$A34,LANÇAMENTOS!$A$5:$A$1323,AY$4,LANÇAMENTOS!$B$5:$B$1323,"A pagar")</f>
        <v>0.0</v>
      </c>
      <c r="AZ34" s="20">
        <f>SUMIFS(LANÇAMENTOS!$F$5:$F$1323,LANÇAMENTOS!$D$5:$D$1323,$A34,LANÇAMENTOS!$A$5:$A$1323,AZ$4,LANÇAMENTOS!$B$5:$B$1323,"A pagar")</f>
        <v>0.0</v>
      </c>
      <c r="BA34" s="20">
        <f>SUMIFS(LANÇAMENTOS!$F$5:$F$1323,LANÇAMENTOS!$D$5:$D$1323,$A34,LANÇAMENTOS!$A$5:$A$1323,BA$4,LANÇAMENTOS!$B$5:$B$1323,"A pagar")</f>
        <v>0.0</v>
      </c>
      <c r="BB34" s="20">
        <f>SUMIFS(LANÇAMENTOS!$F$5:$F$1323,LANÇAMENTOS!$D$5:$D$1323,$A34,LANÇAMENTOS!$A$5:$A$1323,BB$4,LANÇAMENTOS!$B$5:$B$1323,"A pagar")</f>
        <v>0.0</v>
      </c>
      <c r="BC34" s="20">
        <f>SUMIFS(LANÇAMENTOS!$F$5:$F$1323,LANÇAMENTOS!$D$5:$D$1323,$A34,LANÇAMENTOS!$A$5:$A$1323,BC$4,LANÇAMENTOS!$B$5:$B$1323,"A pagar")</f>
        <v>0.0</v>
      </c>
      <c r="BD34" s="20">
        <f>SUMIFS(LANÇAMENTOS!$F$5:$F$1323,LANÇAMENTOS!$D$5:$D$1323,$A34,LANÇAMENTOS!$A$5:$A$1323,BD$4,LANÇAMENTOS!$B$5:$B$1323,"A pagar")</f>
        <v>0.0</v>
      </c>
      <c r="BE34" s="20">
        <f>SUMIFS(LANÇAMENTOS!$F$5:$F$1323,LANÇAMENTOS!$D$5:$D$1323,$A34,LANÇAMENTOS!$A$5:$A$1323,BE$4,LANÇAMENTOS!$B$5:$B$1323,"A pagar")</f>
        <v>0.0</v>
      </c>
      <c r="BF34" s="20">
        <f>SUMIFS(LANÇAMENTOS!$F$5:$F$1323,LANÇAMENTOS!$D$5:$D$1323,$A34,LANÇAMENTOS!$A$5:$A$1323,BF$4,LANÇAMENTOS!$B$5:$B$1323,"A pagar")</f>
        <v>0.0</v>
      </c>
      <c r="BG34" s="20">
        <f>SUMIFS(LANÇAMENTOS!$F$5:$F$1323,LANÇAMENTOS!$D$5:$D$1323,$A34,LANÇAMENTOS!$A$5:$A$1323,BG$4,LANÇAMENTOS!$B$5:$B$1323,"A pagar")</f>
        <v>0.0</v>
      </c>
      <c r="BH34" s="20">
        <f>SUMIFS(LANÇAMENTOS!$F$5:$F$1323,LANÇAMENTOS!$D$5:$D$1323,$A34,LANÇAMENTOS!$A$5:$A$1323,BH$4,LANÇAMENTOS!$B$5:$B$1323,"A pagar")</f>
        <v>0.0</v>
      </c>
      <c r="BI34" s="20">
        <f>SUMIFS(LANÇAMENTOS!$F$5:$F$1323,LANÇAMENTOS!$D$5:$D$1323,$A34,LANÇAMENTOS!$A$5:$A$1323,BI$4,LANÇAMENTOS!$B$5:$B$1323,"A pagar")</f>
        <v>0.0</v>
      </c>
      <c r="BJ34" s="20">
        <f>SUMIFS(LANÇAMENTOS!$F$5:$F$1323,LANÇAMENTOS!$D$5:$D$1323,$A34,LANÇAMENTOS!$A$5:$A$1323,BJ$4,LANÇAMENTOS!$B$5:$B$1323,"A pagar")</f>
        <v>0.0</v>
      </c>
      <c r="BK34" s="20">
        <f>SUMIFS(LANÇAMENTOS!$F$5:$F$1323,LANÇAMENTOS!$D$5:$D$1323,$A34,LANÇAMENTOS!$A$5:$A$1323,BK$4,LANÇAMENTOS!$B$5:$B$1323,"A pagar")</f>
        <v>0.0</v>
      </c>
      <c r="BL34" s="20">
        <f>SUMIFS(LANÇAMENTOS!$F$5:$F$1323,LANÇAMENTOS!$D$5:$D$1323,$A34,LANÇAMENTOS!$A$5:$A$1323,BL$4,LANÇAMENTOS!$B$5:$B$1323,"A pagar")</f>
        <v>0.0</v>
      </c>
    </row>
    <row r="35">
      <c r="A35" s="6" t="inlineStr">
        <is>
          <t>L06</t>
        </is>
      </c>
      <c r="B35" s="6" t="inlineStr">
        <is>
          <t>Grua</t>
        </is>
      </c>
      <c r="C35" s="19">
        <f>SUM(D35:BL35)</f>
        <v>0.0</v>
      </c>
      <c r="D35" s="20">
        <f>SUMIFS(LANÇAMENTOS!$F$5:$F$1323,LANÇAMENTOS!$D$5:$D$1323,$A35,LANÇAMENTOS!$A$5:$A$1323,D$4,LANÇAMENTOS!$B$5:$B$1323,"A pagar")</f>
        <v>0.0</v>
      </c>
      <c r="E35" s="20">
        <f>SUMIFS(LANÇAMENTOS!$F$5:$F$1323,LANÇAMENTOS!$D$5:$D$1323,$A35,LANÇAMENTOS!$A$5:$A$1323,E$4,LANÇAMENTOS!$B$5:$B$1323,"A pagar")</f>
        <v>0.0</v>
      </c>
      <c r="F35" s="20">
        <f>SUMIFS(LANÇAMENTOS!$F$5:$F$1323,LANÇAMENTOS!$D$5:$D$1323,$A35,LANÇAMENTOS!$A$5:$A$1323,F$4,LANÇAMENTOS!$B$5:$B$1323,"A pagar")</f>
        <v>0.0</v>
      </c>
      <c r="G35" s="20">
        <f>SUMIFS(LANÇAMENTOS!$F$5:$F$1323,LANÇAMENTOS!$D$5:$D$1323,$A35,LANÇAMENTOS!$A$5:$A$1323,G$4,LANÇAMENTOS!$B$5:$B$1323,"A pagar")</f>
        <v>0.0</v>
      </c>
      <c r="H35" s="20">
        <f>SUMIFS(LANÇAMENTOS!$F$5:$F$1323,LANÇAMENTOS!$D$5:$D$1323,$A35,LANÇAMENTOS!$A$5:$A$1323,H$4,LANÇAMENTOS!$B$5:$B$1323,"A pagar")</f>
        <v>0.0</v>
      </c>
      <c r="I35" s="20">
        <f>SUMIFS(LANÇAMENTOS!$F$5:$F$1323,LANÇAMENTOS!$D$5:$D$1323,$A35,LANÇAMENTOS!$A$5:$A$1323,I$4,LANÇAMENTOS!$B$5:$B$1323,"A pagar")</f>
        <v>0.0</v>
      </c>
      <c r="J35" s="20">
        <f>SUMIFS(LANÇAMENTOS!$F$5:$F$1323,LANÇAMENTOS!$D$5:$D$1323,$A35,LANÇAMENTOS!$A$5:$A$1323,J$4,LANÇAMENTOS!$B$5:$B$1323,"A pagar")</f>
        <v>0.0</v>
      </c>
      <c r="K35" s="20">
        <f>SUMIFS(LANÇAMENTOS!$F$5:$F$1323,LANÇAMENTOS!$D$5:$D$1323,$A35,LANÇAMENTOS!$A$5:$A$1323,K$4,LANÇAMENTOS!$B$5:$B$1323,"A pagar")</f>
        <v>0.0</v>
      </c>
      <c r="L35" s="20">
        <f>SUMIFS(LANÇAMENTOS!$F$5:$F$1323,LANÇAMENTOS!$D$5:$D$1323,$A35,LANÇAMENTOS!$A$5:$A$1323,L$4,LANÇAMENTOS!$B$5:$B$1323,"A pagar")</f>
        <v>0.0</v>
      </c>
      <c r="M35" s="20">
        <f>SUMIFS(LANÇAMENTOS!$F$5:$F$1323,LANÇAMENTOS!$D$5:$D$1323,$A35,LANÇAMENTOS!$A$5:$A$1323,M$4,LANÇAMENTOS!$B$5:$B$1323,"A pagar")</f>
        <v>0.0</v>
      </c>
      <c r="N35" s="20">
        <f>SUMIFS(LANÇAMENTOS!$F$5:$F$1323,LANÇAMENTOS!$D$5:$D$1323,$A35,LANÇAMENTOS!$A$5:$A$1323,N$4,LANÇAMENTOS!$B$5:$B$1323,"A pagar")</f>
        <v>0.0</v>
      </c>
      <c r="O35" s="20">
        <f>SUMIFS(LANÇAMENTOS!$F$5:$F$1323,LANÇAMENTOS!$D$5:$D$1323,$A35,LANÇAMENTOS!$A$5:$A$1323,O$4,LANÇAMENTOS!$B$5:$B$1323,"A pagar")</f>
        <v>0.0</v>
      </c>
      <c r="P35" s="20">
        <f>SUMIFS(LANÇAMENTOS!$F$5:$F$1323,LANÇAMENTOS!$D$5:$D$1323,$A35,LANÇAMENTOS!$A$5:$A$1323,P$4,LANÇAMENTOS!$B$5:$B$1323,"A pagar")</f>
        <v>0.0</v>
      </c>
      <c r="Q35" s="20">
        <f>SUMIFS(LANÇAMENTOS!$F$5:$F$1323,LANÇAMENTOS!$D$5:$D$1323,$A35,LANÇAMENTOS!$A$5:$A$1323,Q$4,LANÇAMENTOS!$B$5:$B$1323,"A pagar")</f>
        <v>0.0</v>
      </c>
      <c r="R35" s="20">
        <f>SUMIFS(LANÇAMENTOS!$F$5:$F$1323,LANÇAMENTOS!$D$5:$D$1323,$A35,LANÇAMENTOS!$A$5:$A$1323,R$4,LANÇAMENTOS!$B$5:$B$1323,"A pagar")</f>
        <v>0.0</v>
      </c>
      <c r="S35" s="20">
        <f>SUMIFS(LANÇAMENTOS!$F$5:$F$1323,LANÇAMENTOS!$D$5:$D$1323,$A35,LANÇAMENTOS!$A$5:$A$1323,S$4,LANÇAMENTOS!$B$5:$B$1323,"A pagar")</f>
        <v>0.0</v>
      </c>
      <c r="T35" s="20">
        <f>SUMIFS(LANÇAMENTOS!$F$5:$F$1323,LANÇAMENTOS!$D$5:$D$1323,$A35,LANÇAMENTOS!$A$5:$A$1323,T$4,LANÇAMENTOS!$B$5:$B$1323,"A pagar")</f>
        <v>0.0</v>
      </c>
      <c r="U35" s="20">
        <f>SUMIFS(LANÇAMENTOS!$F$5:$F$1323,LANÇAMENTOS!$D$5:$D$1323,$A35,LANÇAMENTOS!$A$5:$A$1323,U$4,LANÇAMENTOS!$B$5:$B$1323,"A pagar")</f>
        <v>0.0</v>
      </c>
      <c r="V35" s="20">
        <f>SUMIFS(LANÇAMENTOS!$F$5:$F$1323,LANÇAMENTOS!$D$5:$D$1323,$A35,LANÇAMENTOS!$A$5:$A$1323,V$4,LANÇAMENTOS!$B$5:$B$1323,"A pagar")</f>
        <v>0.0</v>
      </c>
      <c r="W35" s="20">
        <f>SUMIFS(LANÇAMENTOS!$F$5:$F$1323,LANÇAMENTOS!$D$5:$D$1323,$A35,LANÇAMENTOS!$A$5:$A$1323,W$4,LANÇAMENTOS!$B$5:$B$1323,"A pagar")</f>
        <v>0.0</v>
      </c>
      <c r="X35" s="20">
        <f>SUMIFS(LANÇAMENTOS!$F$5:$F$1323,LANÇAMENTOS!$D$5:$D$1323,$A35,LANÇAMENTOS!$A$5:$A$1323,X$4,LANÇAMENTOS!$B$5:$B$1323,"A pagar")</f>
        <v>0.0</v>
      </c>
      <c r="Y35" s="20">
        <f>SUMIFS(LANÇAMENTOS!$F$5:$F$1323,LANÇAMENTOS!$D$5:$D$1323,$A35,LANÇAMENTOS!$A$5:$A$1323,Y$4,LANÇAMENTOS!$B$5:$B$1323,"A pagar")</f>
        <v>0.0</v>
      </c>
      <c r="Z35" s="20">
        <f>SUMIFS(LANÇAMENTOS!$F$5:$F$1323,LANÇAMENTOS!$D$5:$D$1323,$A35,LANÇAMENTOS!$A$5:$A$1323,Z$4,LANÇAMENTOS!$B$5:$B$1323,"A pagar")</f>
        <v>0.0</v>
      </c>
      <c r="AA35" s="20">
        <f>SUMIFS(LANÇAMENTOS!$F$5:$F$1323,LANÇAMENTOS!$D$5:$D$1323,$A35,LANÇAMENTOS!$A$5:$A$1323,AA$4,LANÇAMENTOS!$B$5:$B$1323,"A pagar")</f>
        <v>0.0</v>
      </c>
      <c r="AB35" s="20">
        <f>SUMIFS(LANÇAMENTOS!$F$5:$F$1323,LANÇAMENTOS!$D$5:$D$1323,$A35,LANÇAMENTOS!$A$5:$A$1323,AB$4,LANÇAMENTOS!$B$5:$B$1323,"A pagar")</f>
        <v>0.0</v>
      </c>
      <c r="AC35" s="20">
        <f>SUMIFS(LANÇAMENTOS!$F$5:$F$1323,LANÇAMENTOS!$D$5:$D$1323,$A35,LANÇAMENTOS!$A$5:$A$1323,AC$4,LANÇAMENTOS!$B$5:$B$1323,"A pagar")</f>
        <v>0.0</v>
      </c>
      <c r="AD35" s="20">
        <f>SUMIFS(LANÇAMENTOS!$F$5:$F$1323,LANÇAMENTOS!$D$5:$D$1323,$A35,LANÇAMENTOS!$A$5:$A$1323,AD$4,LANÇAMENTOS!$B$5:$B$1323,"A pagar")</f>
        <v>0.0</v>
      </c>
      <c r="AE35" s="20">
        <f>SUMIFS(LANÇAMENTOS!$F$5:$F$1323,LANÇAMENTOS!$D$5:$D$1323,$A35,LANÇAMENTOS!$A$5:$A$1323,AE$4,LANÇAMENTOS!$B$5:$B$1323,"A pagar")</f>
        <v>0.0</v>
      </c>
      <c r="AF35" s="20">
        <f>SUMIFS(LANÇAMENTOS!$F$5:$F$1323,LANÇAMENTOS!$D$5:$D$1323,$A35,LANÇAMENTOS!$A$5:$A$1323,AF$4,LANÇAMENTOS!$B$5:$B$1323,"A pagar")</f>
        <v>0.0</v>
      </c>
      <c r="AG35" s="20">
        <f>SUMIFS(LANÇAMENTOS!$F$5:$F$1323,LANÇAMENTOS!$D$5:$D$1323,$A35,LANÇAMENTOS!$A$5:$A$1323,AG$4,LANÇAMENTOS!$B$5:$B$1323,"A pagar")</f>
        <v>0.0</v>
      </c>
      <c r="AH35" s="20">
        <f>SUMIFS(LANÇAMENTOS!$F$5:$F$1323,LANÇAMENTOS!$D$5:$D$1323,$A35,LANÇAMENTOS!$A$5:$A$1323,AH$4,LANÇAMENTOS!$B$5:$B$1323,"A pagar")</f>
        <v>0.0</v>
      </c>
      <c r="AI35" s="20">
        <f>SUMIFS(LANÇAMENTOS!$F$5:$F$1323,LANÇAMENTOS!$D$5:$D$1323,$A35,LANÇAMENTOS!$A$5:$A$1323,AI$4,LANÇAMENTOS!$B$5:$B$1323,"A pagar")</f>
        <v>0.0</v>
      </c>
      <c r="AJ35" s="20">
        <f>SUMIFS(LANÇAMENTOS!$F$5:$F$1323,LANÇAMENTOS!$D$5:$D$1323,$A35,LANÇAMENTOS!$A$5:$A$1323,AJ$4,LANÇAMENTOS!$B$5:$B$1323,"A pagar")</f>
        <v>0.0</v>
      </c>
      <c r="AK35" s="20">
        <f>SUMIFS(LANÇAMENTOS!$F$5:$F$1323,LANÇAMENTOS!$D$5:$D$1323,$A35,LANÇAMENTOS!$A$5:$A$1323,AK$4,LANÇAMENTOS!$B$5:$B$1323,"A pagar")</f>
        <v>0.0</v>
      </c>
      <c r="AL35" s="20">
        <f>SUMIFS(LANÇAMENTOS!$F$5:$F$1323,LANÇAMENTOS!$D$5:$D$1323,$A35,LANÇAMENTOS!$A$5:$A$1323,AL$4,LANÇAMENTOS!$B$5:$B$1323,"A pagar")</f>
        <v>0.0</v>
      </c>
      <c r="AM35" s="20">
        <f>SUMIFS(LANÇAMENTOS!$F$5:$F$1323,LANÇAMENTOS!$D$5:$D$1323,$A35,LANÇAMENTOS!$A$5:$A$1323,AM$4,LANÇAMENTOS!$B$5:$B$1323,"A pagar")</f>
        <v>0.0</v>
      </c>
      <c r="AN35" s="20">
        <f>SUMIFS(LANÇAMENTOS!$F$5:$F$1323,LANÇAMENTOS!$D$5:$D$1323,$A35,LANÇAMENTOS!$A$5:$A$1323,AN$4,LANÇAMENTOS!$B$5:$B$1323,"A pagar")</f>
        <v>0.0</v>
      </c>
      <c r="AO35" s="20">
        <f>SUMIFS(LANÇAMENTOS!$F$5:$F$1323,LANÇAMENTOS!$D$5:$D$1323,$A35,LANÇAMENTOS!$A$5:$A$1323,AO$4,LANÇAMENTOS!$B$5:$B$1323,"A pagar")</f>
        <v>0.0</v>
      </c>
      <c r="AP35" s="20">
        <f>SUMIFS(LANÇAMENTOS!$F$5:$F$1323,LANÇAMENTOS!$D$5:$D$1323,$A35,LANÇAMENTOS!$A$5:$A$1323,AP$4,LANÇAMENTOS!$B$5:$B$1323,"A pagar")</f>
        <v>0.0</v>
      </c>
      <c r="AQ35" s="20">
        <f>SUMIFS(LANÇAMENTOS!$F$5:$F$1323,LANÇAMENTOS!$D$5:$D$1323,$A35,LANÇAMENTOS!$A$5:$A$1323,AQ$4,LANÇAMENTOS!$B$5:$B$1323,"A pagar")</f>
        <v>0.0</v>
      </c>
      <c r="AR35" s="20">
        <f>SUMIFS(LANÇAMENTOS!$F$5:$F$1323,LANÇAMENTOS!$D$5:$D$1323,$A35,LANÇAMENTOS!$A$5:$A$1323,AR$4,LANÇAMENTOS!$B$5:$B$1323,"A pagar")</f>
        <v>0.0</v>
      </c>
      <c r="AS35" s="20">
        <f>SUMIFS(LANÇAMENTOS!$F$5:$F$1323,LANÇAMENTOS!$D$5:$D$1323,$A35,LANÇAMENTOS!$A$5:$A$1323,AS$4,LANÇAMENTOS!$B$5:$B$1323,"A pagar")</f>
        <v>0.0</v>
      </c>
      <c r="AT35" s="20">
        <f>SUMIFS(LANÇAMENTOS!$F$5:$F$1323,LANÇAMENTOS!$D$5:$D$1323,$A35,LANÇAMENTOS!$A$5:$A$1323,AT$4,LANÇAMENTOS!$B$5:$B$1323,"A pagar")</f>
        <v>0.0</v>
      </c>
      <c r="AU35" s="20">
        <f>SUMIFS(LANÇAMENTOS!$F$5:$F$1323,LANÇAMENTOS!$D$5:$D$1323,$A35,LANÇAMENTOS!$A$5:$A$1323,AU$4,LANÇAMENTOS!$B$5:$B$1323,"A pagar")</f>
        <v>0.0</v>
      </c>
      <c r="AV35" s="20">
        <f>SUMIFS(LANÇAMENTOS!$F$5:$F$1323,LANÇAMENTOS!$D$5:$D$1323,$A35,LANÇAMENTOS!$A$5:$A$1323,AV$4,LANÇAMENTOS!$B$5:$B$1323,"A pagar")</f>
        <v>0.0</v>
      </c>
      <c r="AW35" s="20">
        <f>SUMIFS(LANÇAMENTOS!$F$5:$F$1323,LANÇAMENTOS!$D$5:$D$1323,$A35,LANÇAMENTOS!$A$5:$A$1323,AW$4,LANÇAMENTOS!$B$5:$B$1323,"A pagar")</f>
        <v>0.0</v>
      </c>
      <c r="AX35" s="20">
        <f>SUMIFS(LANÇAMENTOS!$F$5:$F$1323,LANÇAMENTOS!$D$5:$D$1323,$A35,LANÇAMENTOS!$A$5:$A$1323,AX$4,LANÇAMENTOS!$B$5:$B$1323,"A pagar")</f>
        <v>0.0</v>
      </c>
      <c r="AY35" s="20">
        <f>SUMIFS(LANÇAMENTOS!$F$5:$F$1323,LANÇAMENTOS!$D$5:$D$1323,$A35,LANÇAMENTOS!$A$5:$A$1323,AY$4,LANÇAMENTOS!$B$5:$B$1323,"A pagar")</f>
        <v>0.0</v>
      </c>
      <c r="AZ35" s="20">
        <f>SUMIFS(LANÇAMENTOS!$F$5:$F$1323,LANÇAMENTOS!$D$5:$D$1323,$A35,LANÇAMENTOS!$A$5:$A$1323,AZ$4,LANÇAMENTOS!$B$5:$B$1323,"A pagar")</f>
        <v>0.0</v>
      </c>
      <c r="BA35" s="20">
        <f>SUMIFS(LANÇAMENTOS!$F$5:$F$1323,LANÇAMENTOS!$D$5:$D$1323,$A35,LANÇAMENTOS!$A$5:$A$1323,BA$4,LANÇAMENTOS!$B$5:$B$1323,"A pagar")</f>
        <v>0.0</v>
      </c>
      <c r="BB35" s="20">
        <f>SUMIFS(LANÇAMENTOS!$F$5:$F$1323,LANÇAMENTOS!$D$5:$D$1323,$A35,LANÇAMENTOS!$A$5:$A$1323,BB$4,LANÇAMENTOS!$B$5:$B$1323,"A pagar")</f>
        <v>0.0</v>
      </c>
      <c r="BC35" s="20">
        <f>SUMIFS(LANÇAMENTOS!$F$5:$F$1323,LANÇAMENTOS!$D$5:$D$1323,$A35,LANÇAMENTOS!$A$5:$A$1323,BC$4,LANÇAMENTOS!$B$5:$B$1323,"A pagar")</f>
        <v>0.0</v>
      </c>
      <c r="BD35" s="20">
        <f>SUMIFS(LANÇAMENTOS!$F$5:$F$1323,LANÇAMENTOS!$D$5:$D$1323,$A35,LANÇAMENTOS!$A$5:$A$1323,BD$4,LANÇAMENTOS!$B$5:$B$1323,"A pagar")</f>
        <v>0.0</v>
      </c>
      <c r="BE35" s="20">
        <f>SUMIFS(LANÇAMENTOS!$F$5:$F$1323,LANÇAMENTOS!$D$5:$D$1323,$A35,LANÇAMENTOS!$A$5:$A$1323,BE$4,LANÇAMENTOS!$B$5:$B$1323,"A pagar")</f>
        <v>0.0</v>
      </c>
      <c r="BF35" s="20">
        <f>SUMIFS(LANÇAMENTOS!$F$5:$F$1323,LANÇAMENTOS!$D$5:$D$1323,$A35,LANÇAMENTOS!$A$5:$A$1323,BF$4,LANÇAMENTOS!$B$5:$B$1323,"A pagar")</f>
        <v>0.0</v>
      </c>
      <c r="BG35" s="20">
        <f>SUMIFS(LANÇAMENTOS!$F$5:$F$1323,LANÇAMENTOS!$D$5:$D$1323,$A35,LANÇAMENTOS!$A$5:$A$1323,BG$4,LANÇAMENTOS!$B$5:$B$1323,"A pagar")</f>
        <v>0.0</v>
      </c>
      <c r="BH35" s="20">
        <f>SUMIFS(LANÇAMENTOS!$F$5:$F$1323,LANÇAMENTOS!$D$5:$D$1323,$A35,LANÇAMENTOS!$A$5:$A$1323,BH$4,LANÇAMENTOS!$B$5:$B$1323,"A pagar")</f>
        <v>0.0</v>
      </c>
      <c r="BI35" s="20">
        <f>SUMIFS(LANÇAMENTOS!$F$5:$F$1323,LANÇAMENTOS!$D$5:$D$1323,$A35,LANÇAMENTOS!$A$5:$A$1323,BI$4,LANÇAMENTOS!$B$5:$B$1323,"A pagar")</f>
        <v>0.0</v>
      </c>
      <c r="BJ35" s="20">
        <f>SUMIFS(LANÇAMENTOS!$F$5:$F$1323,LANÇAMENTOS!$D$5:$D$1323,$A35,LANÇAMENTOS!$A$5:$A$1323,BJ$4,LANÇAMENTOS!$B$5:$B$1323,"A pagar")</f>
        <v>0.0</v>
      </c>
      <c r="BK35" s="20">
        <f>SUMIFS(LANÇAMENTOS!$F$5:$F$1323,LANÇAMENTOS!$D$5:$D$1323,$A35,LANÇAMENTOS!$A$5:$A$1323,BK$4,LANÇAMENTOS!$B$5:$B$1323,"A pagar")</f>
        <v>0.0</v>
      </c>
      <c r="BL35" s="20">
        <f>SUMIFS(LANÇAMENTOS!$F$5:$F$1323,LANÇAMENTOS!$D$5:$D$1323,$A35,LANÇAMENTOS!$A$5:$A$1323,BL$4,LANÇAMENTOS!$B$5:$B$1323,"A pagar")</f>
        <v>0.0</v>
      </c>
    </row>
    <row r="36">
      <c r="A36" s="6" t="inlineStr">
        <is>
          <t>L07</t>
        </is>
      </c>
      <c r="B36" s="6" t="inlineStr">
        <is>
          <t>Equipamentos de fachada (andaimes, balancins)</t>
        </is>
      </c>
      <c r="C36" s="19">
        <f>SUM(D36:BL36)</f>
        <v>4750.0</v>
      </c>
      <c r="D36" s="20">
        <f>SUMIFS(LANÇAMENTOS!$F$5:$F$1323,LANÇAMENTOS!$D$5:$D$1323,$A36,LANÇAMENTOS!$A$5:$A$1323,D$4,LANÇAMENTOS!$B$5:$B$1323,"A pagar")</f>
        <v>0.0</v>
      </c>
      <c r="E36" s="20">
        <f>SUMIFS(LANÇAMENTOS!$F$5:$F$1323,LANÇAMENTOS!$D$5:$D$1323,$A36,LANÇAMENTOS!$A$5:$A$1323,E$4,LANÇAMENTOS!$B$5:$B$1323,"A pagar")</f>
        <v>0.0</v>
      </c>
      <c r="F36" s="20">
        <f>SUMIFS(LANÇAMENTOS!$F$5:$F$1323,LANÇAMENTOS!$D$5:$D$1323,$A36,LANÇAMENTOS!$A$5:$A$1323,F$4,LANÇAMENTOS!$B$5:$B$1323,"A pagar")</f>
        <v>0.0</v>
      </c>
      <c r="G36" s="20">
        <f>SUMIFS(LANÇAMENTOS!$F$5:$F$1323,LANÇAMENTOS!$D$5:$D$1323,$A36,LANÇAMENTOS!$A$5:$A$1323,G$4,LANÇAMENTOS!$B$5:$B$1323,"A pagar")</f>
        <v>0.0</v>
      </c>
      <c r="H36" s="20">
        <f>SUMIFS(LANÇAMENTOS!$F$5:$F$1323,LANÇAMENTOS!$D$5:$D$1323,$A36,LANÇAMENTOS!$A$5:$A$1323,H$4,LANÇAMENTOS!$B$5:$B$1323,"A pagar")</f>
        <v>0.0</v>
      </c>
      <c r="I36" s="20">
        <f>SUMIFS(LANÇAMENTOS!$F$5:$F$1323,LANÇAMENTOS!$D$5:$D$1323,$A36,LANÇAMENTOS!$A$5:$A$1323,I$4,LANÇAMENTOS!$B$5:$B$1323,"A pagar")</f>
        <v>0.0</v>
      </c>
      <c r="J36" s="20">
        <f>SUMIFS(LANÇAMENTOS!$F$5:$F$1323,LANÇAMENTOS!$D$5:$D$1323,$A36,LANÇAMENTOS!$A$5:$A$1323,J$4,LANÇAMENTOS!$B$5:$B$1323,"A pagar")</f>
        <v>0.0</v>
      </c>
      <c r="K36" s="20">
        <f>SUMIFS(LANÇAMENTOS!$F$5:$F$1323,LANÇAMENTOS!$D$5:$D$1323,$A36,LANÇAMENTOS!$A$5:$A$1323,K$4,LANÇAMENTOS!$B$5:$B$1323,"A pagar")</f>
        <v>0.0</v>
      </c>
      <c r="L36" s="20">
        <f>SUMIFS(LANÇAMENTOS!$F$5:$F$1323,LANÇAMENTOS!$D$5:$D$1323,$A36,LANÇAMENTOS!$A$5:$A$1323,L$4,LANÇAMENTOS!$B$5:$B$1323,"A pagar")</f>
        <v>0.0</v>
      </c>
      <c r="M36" s="20">
        <f>SUMIFS(LANÇAMENTOS!$F$5:$F$1323,LANÇAMENTOS!$D$5:$D$1323,$A36,LANÇAMENTOS!$A$5:$A$1323,M$4,LANÇAMENTOS!$B$5:$B$1323,"A pagar")</f>
        <v>0.0</v>
      </c>
      <c r="N36" s="20">
        <f>SUMIFS(LANÇAMENTOS!$F$5:$F$1323,LANÇAMENTOS!$D$5:$D$1323,$A36,LANÇAMENTOS!$A$5:$A$1323,N$4,LANÇAMENTOS!$B$5:$B$1323,"A pagar")</f>
        <v>0.0</v>
      </c>
      <c r="O36" s="20">
        <f>SUMIFS(LANÇAMENTOS!$F$5:$F$1323,LANÇAMENTOS!$D$5:$D$1323,$A36,LANÇAMENTOS!$A$5:$A$1323,O$4,LANÇAMENTOS!$B$5:$B$1323,"A pagar")</f>
        <v>0.0</v>
      </c>
      <c r="P36" s="20">
        <f>SUMIFS(LANÇAMENTOS!$F$5:$F$1323,LANÇAMENTOS!$D$5:$D$1323,$A36,LANÇAMENTOS!$A$5:$A$1323,P$4,LANÇAMENTOS!$B$5:$B$1323,"A pagar")</f>
        <v>0.0</v>
      </c>
      <c r="Q36" s="20">
        <f>SUMIFS(LANÇAMENTOS!$F$5:$F$1323,LANÇAMENTOS!$D$5:$D$1323,$A36,LANÇAMENTOS!$A$5:$A$1323,Q$4,LANÇAMENTOS!$B$5:$B$1323,"A pagar")</f>
        <v>0.0</v>
      </c>
      <c r="R36" s="20">
        <f>SUMIFS(LANÇAMENTOS!$F$5:$F$1323,LANÇAMENTOS!$D$5:$D$1323,$A36,LANÇAMENTOS!$A$5:$A$1323,R$4,LANÇAMENTOS!$B$5:$B$1323,"A pagar")</f>
        <v>0.0</v>
      </c>
      <c r="S36" s="20">
        <f>SUMIFS(LANÇAMENTOS!$F$5:$F$1323,LANÇAMENTOS!$D$5:$D$1323,$A36,LANÇAMENTOS!$A$5:$A$1323,S$4,LANÇAMENTOS!$B$5:$B$1323,"A pagar")</f>
        <v>0.0</v>
      </c>
      <c r="T36" s="20">
        <f>SUMIFS(LANÇAMENTOS!$F$5:$F$1323,LANÇAMENTOS!$D$5:$D$1323,$A36,LANÇAMENTOS!$A$5:$A$1323,T$4,LANÇAMENTOS!$B$5:$B$1323,"A pagar")</f>
        <v>0.0</v>
      </c>
      <c r="U36" s="20">
        <f>SUMIFS(LANÇAMENTOS!$F$5:$F$1323,LANÇAMENTOS!$D$5:$D$1323,$A36,LANÇAMENTOS!$A$5:$A$1323,U$4,LANÇAMENTOS!$B$5:$B$1323,"A pagar")</f>
        <v>0.0</v>
      </c>
      <c r="V36" s="20">
        <f>SUMIFS(LANÇAMENTOS!$F$5:$F$1323,LANÇAMENTOS!$D$5:$D$1323,$A36,LANÇAMENTOS!$A$5:$A$1323,V$4,LANÇAMENTOS!$B$5:$B$1323,"A pagar")</f>
        <v>0.0</v>
      </c>
      <c r="W36" s="20">
        <f>SUMIFS(LANÇAMENTOS!$F$5:$F$1323,LANÇAMENTOS!$D$5:$D$1323,$A36,LANÇAMENTOS!$A$5:$A$1323,W$4,LANÇAMENTOS!$B$5:$B$1323,"A pagar")</f>
        <v>0.0</v>
      </c>
      <c r="X36" s="20">
        <f>SUMIFS(LANÇAMENTOS!$F$5:$F$1323,LANÇAMENTOS!$D$5:$D$1323,$A36,LANÇAMENTOS!$A$5:$A$1323,X$4,LANÇAMENTOS!$B$5:$B$1323,"A pagar")</f>
        <v>0.0</v>
      </c>
      <c r="Y36" s="20">
        <f>SUMIFS(LANÇAMENTOS!$F$5:$F$1323,LANÇAMENTOS!$D$5:$D$1323,$A36,LANÇAMENTOS!$A$5:$A$1323,Y$4,LANÇAMENTOS!$B$5:$B$1323,"A pagar")</f>
        <v>0.0</v>
      </c>
      <c r="Z36" s="20">
        <f>SUMIFS(LANÇAMENTOS!$F$5:$F$1323,LANÇAMENTOS!$D$5:$D$1323,$A36,LANÇAMENTOS!$A$5:$A$1323,Z$4,LANÇAMENTOS!$B$5:$B$1323,"A pagar")</f>
        <v>0.0</v>
      </c>
      <c r="AA36" s="20">
        <f>SUMIFS(LANÇAMENTOS!$F$5:$F$1323,LANÇAMENTOS!$D$5:$D$1323,$A36,LANÇAMENTOS!$A$5:$A$1323,AA$4,LANÇAMENTOS!$B$5:$B$1323,"A pagar")</f>
        <v>0.0</v>
      </c>
      <c r="AB36" s="20">
        <f>SUMIFS(LANÇAMENTOS!$F$5:$F$1323,LANÇAMENTOS!$D$5:$D$1323,$A36,LANÇAMENTOS!$A$5:$A$1323,AB$4,LANÇAMENTOS!$B$5:$B$1323,"A pagar")</f>
        <v>0.0</v>
      </c>
      <c r="AC36" s="20">
        <f>SUMIFS(LANÇAMENTOS!$F$5:$F$1323,LANÇAMENTOS!$D$5:$D$1323,$A36,LANÇAMENTOS!$A$5:$A$1323,AC$4,LANÇAMENTOS!$B$5:$B$1323,"A pagar")</f>
        <v>0.0</v>
      </c>
      <c r="AD36" s="20">
        <f>SUMIFS(LANÇAMENTOS!$F$5:$F$1323,LANÇAMENTOS!$D$5:$D$1323,$A36,LANÇAMENTOS!$A$5:$A$1323,AD$4,LANÇAMENTOS!$B$5:$B$1323,"A pagar")</f>
        <v>0.0</v>
      </c>
      <c r="AE36" s="20">
        <f>SUMIFS(LANÇAMENTOS!$F$5:$F$1323,LANÇAMENTOS!$D$5:$D$1323,$A36,LANÇAMENTOS!$A$5:$A$1323,AE$4,LANÇAMENTOS!$B$5:$B$1323,"A pagar")</f>
        <v>0.0</v>
      </c>
      <c r="AF36" s="20">
        <f>SUMIFS(LANÇAMENTOS!$F$5:$F$1323,LANÇAMENTOS!$D$5:$D$1323,$A36,LANÇAMENTOS!$A$5:$A$1323,AF$4,LANÇAMENTOS!$B$5:$B$1323,"A pagar")</f>
        <v>2375.0</v>
      </c>
      <c r="AG36" s="20">
        <f>SUMIFS(LANÇAMENTOS!$F$5:$F$1323,LANÇAMENTOS!$D$5:$D$1323,$A36,LANÇAMENTOS!$A$5:$A$1323,AG$4,LANÇAMENTOS!$B$5:$B$1323,"A pagar")</f>
        <v>2375.0</v>
      </c>
      <c r="AH36" s="20">
        <f>SUMIFS(LANÇAMENTOS!$F$5:$F$1323,LANÇAMENTOS!$D$5:$D$1323,$A36,LANÇAMENTOS!$A$5:$A$1323,AH$4,LANÇAMENTOS!$B$5:$B$1323,"A pagar")</f>
        <v>0.0</v>
      </c>
      <c r="AI36" s="20">
        <f>SUMIFS(LANÇAMENTOS!$F$5:$F$1323,LANÇAMENTOS!$D$5:$D$1323,$A36,LANÇAMENTOS!$A$5:$A$1323,AI$4,LANÇAMENTOS!$B$5:$B$1323,"A pagar")</f>
        <v>0.0</v>
      </c>
      <c r="AJ36" s="20">
        <f>SUMIFS(LANÇAMENTOS!$F$5:$F$1323,LANÇAMENTOS!$D$5:$D$1323,$A36,LANÇAMENTOS!$A$5:$A$1323,AJ$4,LANÇAMENTOS!$B$5:$B$1323,"A pagar")</f>
        <v>0.0</v>
      </c>
      <c r="AK36" s="20">
        <f>SUMIFS(LANÇAMENTOS!$F$5:$F$1323,LANÇAMENTOS!$D$5:$D$1323,$A36,LANÇAMENTOS!$A$5:$A$1323,AK$4,LANÇAMENTOS!$B$5:$B$1323,"A pagar")</f>
        <v>0.0</v>
      </c>
      <c r="AL36" s="20">
        <f>SUMIFS(LANÇAMENTOS!$F$5:$F$1323,LANÇAMENTOS!$D$5:$D$1323,$A36,LANÇAMENTOS!$A$5:$A$1323,AL$4,LANÇAMENTOS!$B$5:$B$1323,"A pagar")</f>
        <v>0.0</v>
      </c>
      <c r="AM36" s="20">
        <f>SUMIFS(LANÇAMENTOS!$F$5:$F$1323,LANÇAMENTOS!$D$5:$D$1323,$A36,LANÇAMENTOS!$A$5:$A$1323,AM$4,LANÇAMENTOS!$B$5:$B$1323,"A pagar")</f>
        <v>0.0</v>
      </c>
      <c r="AN36" s="20">
        <f>SUMIFS(LANÇAMENTOS!$F$5:$F$1323,LANÇAMENTOS!$D$5:$D$1323,$A36,LANÇAMENTOS!$A$5:$A$1323,AN$4,LANÇAMENTOS!$B$5:$B$1323,"A pagar")</f>
        <v>0.0</v>
      </c>
      <c r="AO36" s="20">
        <f>SUMIFS(LANÇAMENTOS!$F$5:$F$1323,LANÇAMENTOS!$D$5:$D$1323,$A36,LANÇAMENTOS!$A$5:$A$1323,AO$4,LANÇAMENTOS!$B$5:$B$1323,"A pagar")</f>
        <v>0.0</v>
      </c>
      <c r="AP36" s="20">
        <f>SUMIFS(LANÇAMENTOS!$F$5:$F$1323,LANÇAMENTOS!$D$5:$D$1323,$A36,LANÇAMENTOS!$A$5:$A$1323,AP$4,LANÇAMENTOS!$B$5:$B$1323,"A pagar")</f>
        <v>0.0</v>
      </c>
      <c r="AQ36" s="20">
        <f>SUMIFS(LANÇAMENTOS!$F$5:$F$1323,LANÇAMENTOS!$D$5:$D$1323,$A36,LANÇAMENTOS!$A$5:$A$1323,AQ$4,LANÇAMENTOS!$B$5:$B$1323,"A pagar")</f>
        <v>0.0</v>
      </c>
      <c r="AR36" s="20">
        <f>SUMIFS(LANÇAMENTOS!$F$5:$F$1323,LANÇAMENTOS!$D$5:$D$1323,$A36,LANÇAMENTOS!$A$5:$A$1323,AR$4,LANÇAMENTOS!$B$5:$B$1323,"A pagar")</f>
        <v>0.0</v>
      </c>
      <c r="AS36" s="20">
        <f>SUMIFS(LANÇAMENTOS!$F$5:$F$1323,LANÇAMENTOS!$D$5:$D$1323,$A36,LANÇAMENTOS!$A$5:$A$1323,AS$4,LANÇAMENTOS!$B$5:$B$1323,"A pagar")</f>
        <v>0.0</v>
      </c>
      <c r="AT36" s="20">
        <f>SUMIFS(LANÇAMENTOS!$F$5:$F$1323,LANÇAMENTOS!$D$5:$D$1323,$A36,LANÇAMENTOS!$A$5:$A$1323,AT$4,LANÇAMENTOS!$B$5:$B$1323,"A pagar")</f>
        <v>0.0</v>
      </c>
      <c r="AU36" s="20">
        <f>SUMIFS(LANÇAMENTOS!$F$5:$F$1323,LANÇAMENTOS!$D$5:$D$1323,$A36,LANÇAMENTOS!$A$5:$A$1323,AU$4,LANÇAMENTOS!$B$5:$B$1323,"A pagar")</f>
        <v>0.0</v>
      </c>
      <c r="AV36" s="20">
        <f>SUMIFS(LANÇAMENTOS!$F$5:$F$1323,LANÇAMENTOS!$D$5:$D$1323,$A36,LANÇAMENTOS!$A$5:$A$1323,AV$4,LANÇAMENTOS!$B$5:$B$1323,"A pagar")</f>
        <v>0.0</v>
      </c>
      <c r="AW36" s="20">
        <f>SUMIFS(LANÇAMENTOS!$F$5:$F$1323,LANÇAMENTOS!$D$5:$D$1323,$A36,LANÇAMENTOS!$A$5:$A$1323,AW$4,LANÇAMENTOS!$B$5:$B$1323,"A pagar")</f>
        <v>0.0</v>
      </c>
      <c r="AX36" s="20">
        <f>SUMIFS(LANÇAMENTOS!$F$5:$F$1323,LANÇAMENTOS!$D$5:$D$1323,$A36,LANÇAMENTOS!$A$5:$A$1323,AX$4,LANÇAMENTOS!$B$5:$B$1323,"A pagar")</f>
        <v>0.0</v>
      </c>
      <c r="AY36" s="20">
        <f>SUMIFS(LANÇAMENTOS!$F$5:$F$1323,LANÇAMENTOS!$D$5:$D$1323,$A36,LANÇAMENTOS!$A$5:$A$1323,AY$4,LANÇAMENTOS!$B$5:$B$1323,"A pagar")</f>
        <v>0.0</v>
      </c>
      <c r="AZ36" s="20">
        <f>SUMIFS(LANÇAMENTOS!$F$5:$F$1323,LANÇAMENTOS!$D$5:$D$1323,$A36,LANÇAMENTOS!$A$5:$A$1323,AZ$4,LANÇAMENTOS!$B$5:$B$1323,"A pagar")</f>
        <v>0.0</v>
      </c>
      <c r="BA36" s="20">
        <f>SUMIFS(LANÇAMENTOS!$F$5:$F$1323,LANÇAMENTOS!$D$5:$D$1323,$A36,LANÇAMENTOS!$A$5:$A$1323,BA$4,LANÇAMENTOS!$B$5:$B$1323,"A pagar")</f>
        <v>0.0</v>
      </c>
      <c r="BB36" s="20">
        <f>SUMIFS(LANÇAMENTOS!$F$5:$F$1323,LANÇAMENTOS!$D$5:$D$1323,$A36,LANÇAMENTOS!$A$5:$A$1323,BB$4,LANÇAMENTOS!$B$5:$B$1323,"A pagar")</f>
        <v>0.0</v>
      </c>
      <c r="BC36" s="20">
        <f>SUMIFS(LANÇAMENTOS!$F$5:$F$1323,LANÇAMENTOS!$D$5:$D$1323,$A36,LANÇAMENTOS!$A$5:$A$1323,BC$4,LANÇAMENTOS!$B$5:$B$1323,"A pagar")</f>
        <v>0.0</v>
      </c>
      <c r="BD36" s="20">
        <f>SUMIFS(LANÇAMENTOS!$F$5:$F$1323,LANÇAMENTOS!$D$5:$D$1323,$A36,LANÇAMENTOS!$A$5:$A$1323,BD$4,LANÇAMENTOS!$B$5:$B$1323,"A pagar")</f>
        <v>0.0</v>
      </c>
      <c r="BE36" s="20">
        <f>SUMIFS(LANÇAMENTOS!$F$5:$F$1323,LANÇAMENTOS!$D$5:$D$1323,$A36,LANÇAMENTOS!$A$5:$A$1323,BE$4,LANÇAMENTOS!$B$5:$B$1323,"A pagar")</f>
        <v>0.0</v>
      </c>
      <c r="BF36" s="20">
        <f>SUMIFS(LANÇAMENTOS!$F$5:$F$1323,LANÇAMENTOS!$D$5:$D$1323,$A36,LANÇAMENTOS!$A$5:$A$1323,BF$4,LANÇAMENTOS!$B$5:$B$1323,"A pagar")</f>
        <v>0.0</v>
      </c>
      <c r="BG36" s="20">
        <f>SUMIFS(LANÇAMENTOS!$F$5:$F$1323,LANÇAMENTOS!$D$5:$D$1323,$A36,LANÇAMENTOS!$A$5:$A$1323,BG$4,LANÇAMENTOS!$B$5:$B$1323,"A pagar")</f>
        <v>0.0</v>
      </c>
      <c r="BH36" s="20">
        <f>SUMIFS(LANÇAMENTOS!$F$5:$F$1323,LANÇAMENTOS!$D$5:$D$1323,$A36,LANÇAMENTOS!$A$5:$A$1323,BH$4,LANÇAMENTOS!$B$5:$B$1323,"A pagar")</f>
        <v>0.0</v>
      </c>
      <c r="BI36" s="20">
        <f>SUMIFS(LANÇAMENTOS!$F$5:$F$1323,LANÇAMENTOS!$D$5:$D$1323,$A36,LANÇAMENTOS!$A$5:$A$1323,BI$4,LANÇAMENTOS!$B$5:$B$1323,"A pagar")</f>
        <v>0.0</v>
      </c>
      <c r="BJ36" s="20">
        <f>SUMIFS(LANÇAMENTOS!$F$5:$F$1323,LANÇAMENTOS!$D$5:$D$1323,$A36,LANÇAMENTOS!$A$5:$A$1323,BJ$4,LANÇAMENTOS!$B$5:$B$1323,"A pagar")</f>
        <v>0.0</v>
      </c>
      <c r="BK36" s="20">
        <f>SUMIFS(LANÇAMENTOS!$F$5:$F$1323,LANÇAMENTOS!$D$5:$D$1323,$A36,LANÇAMENTOS!$A$5:$A$1323,BK$4,LANÇAMENTOS!$B$5:$B$1323,"A pagar")</f>
        <v>0.0</v>
      </c>
      <c r="BL36" s="20">
        <f>SUMIFS(LANÇAMENTOS!$F$5:$F$1323,LANÇAMENTOS!$D$5:$D$1323,$A36,LANÇAMENTOS!$A$5:$A$1323,BL$4,LANÇAMENTOS!$B$5:$B$1323,"A pagar")</f>
        <v>0.0</v>
      </c>
    </row>
    <row r="37">
      <c r="A37" s="6" t="inlineStr">
        <is>
          <t>L08</t>
        </is>
      </c>
      <c r="B37" s="6" t="inlineStr">
        <is>
          <t>Equipamentos de proteção coletiva (telas, sinalização)</t>
        </is>
      </c>
      <c r="C37" s="19">
        <f>SUM(D37:BL37)</f>
        <v>9913.29</v>
      </c>
      <c r="D37" s="20">
        <f>SUMIFS(LANÇAMENTOS!$F$5:$F$1323,LANÇAMENTOS!$D$5:$D$1323,$A37,LANÇAMENTOS!$A$5:$A$1323,D$4,LANÇAMENTOS!$B$5:$B$1323,"A pagar")</f>
        <v>0.0</v>
      </c>
      <c r="E37" s="20">
        <f>SUMIFS(LANÇAMENTOS!$F$5:$F$1323,LANÇAMENTOS!$D$5:$D$1323,$A37,LANÇAMENTOS!$A$5:$A$1323,E$4,LANÇAMENTOS!$B$5:$B$1323,"A pagar")</f>
        <v>0.0</v>
      </c>
      <c r="F37" s="20">
        <f>SUMIFS(LANÇAMENTOS!$F$5:$F$1323,LANÇAMENTOS!$D$5:$D$1323,$A37,LANÇAMENTOS!$A$5:$A$1323,F$4,LANÇAMENTOS!$B$5:$B$1323,"A pagar")</f>
        <v>0.0</v>
      </c>
      <c r="G37" s="20">
        <f>SUMIFS(LANÇAMENTOS!$F$5:$F$1323,LANÇAMENTOS!$D$5:$D$1323,$A37,LANÇAMENTOS!$A$5:$A$1323,G$4,LANÇAMENTOS!$B$5:$B$1323,"A pagar")</f>
        <v>0.0</v>
      </c>
      <c r="H37" s="20">
        <f>SUMIFS(LANÇAMENTOS!$F$5:$F$1323,LANÇAMENTOS!$D$5:$D$1323,$A37,LANÇAMENTOS!$A$5:$A$1323,H$4,LANÇAMENTOS!$B$5:$B$1323,"A pagar")</f>
        <v>0.0</v>
      </c>
      <c r="I37" s="20">
        <f>SUMIFS(LANÇAMENTOS!$F$5:$F$1323,LANÇAMENTOS!$D$5:$D$1323,$A37,LANÇAMENTOS!$A$5:$A$1323,I$4,LANÇAMENTOS!$B$5:$B$1323,"A pagar")</f>
        <v>0.0</v>
      </c>
      <c r="J37" s="20">
        <f>SUMIFS(LANÇAMENTOS!$F$5:$F$1323,LANÇAMENTOS!$D$5:$D$1323,$A37,LANÇAMENTOS!$A$5:$A$1323,J$4,LANÇAMENTOS!$B$5:$B$1323,"A pagar")</f>
        <v>0.0</v>
      </c>
      <c r="K37" s="20">
        <f>SUMIFS(LANÇAMENTOS!$F$5:$F$1323,LANÇAMENTOS!$D$5:$D$1323,$A37,LANÇAMENTOS!$A$5:$A$1323,K$4,LANÇAMENTOS!$B$5:$B$1323,"A pagar")</f>
        <v>0.0</v>
      </c>
      <c r="L37" s="20">
        <f>SUMIFS(LANÇAMENTOS!$F$5:$F$1323,LANÇAMENTOS!$D$5:$D$1323,$A37,LANÇAMENTOS!$A$5:$A$1323,L$4,LANÇAMENTOS!$B$5:$B$1323,"A pagar")</f>
        <v>0.0</v>
      </c>
      <c r="M37" s="20">
        <f>SUMIFS(LANÇAMENTOS!$F$5:$F$1323,LANÇAMENTOS!$D$5:$D$1323,$A37,LANÇAMENTOS!$A$5:$A$1323,M$4,LANÇAMENTOS!$B$5:$B$1323,"A pagar")</f>
        <v>0.0</v>
      </c>
      <c r="N37" s="20">
        <f>SUMIFS(LANÇAMENTOS!$F$5:$F$1323,LANÇAMENTOS!$D$5:$D$1323,$A37,LANÇAMENTOS!$A$5:$A$1323,N$4,LANÇAMENTOS!$B$5:$B$1323,"A pagar")</f>
        <v>0.0</v>
      </c>
      <c r="O37" s="20">
        <f>SUMIFS(LANÇAMENTOS!$F$5:$F$1323,LANÇAMENTOS!$D$5:$D$1323,$A37,LANÇAMENTOS!$A$5:$A$1323,O$4,LANÇAMENTOS!$B$5:$B$1323,"A pagar")</f>
        <v>0.0</v>
      </c>
      <c r="P37" s="20">
        <f>SUMIFS(LANÇAMENTOS!$F$5:$F$1323,LANÇAMENTOS!$D$5:$D$1323,$A37,LANÇAMENTOS!$A$5:$A$1323,P$4,LANÇAMENTOS!$B$5:$B$1323,"A pagar")</f>
        <v>0.0</v>
      </c>
      <c r="Q37" s="20">
        <f>SUMIFS(LANÇAMENTOS!$F$5:$F$1323,LANÇAMENTOS!$D$5:$D$1323,$A37,LANÇAMENTOS!$A$5:$A$1323,Q$4,LANÇAMENTOS!$B$5:$B$1323,"A pagar")</f>
        <v>0.0</v>
      </c>
      <c r="R37" s="20">
        <f>SUMIFS(LANÇAMENTOS!$F$5:$F$1323,LANÇAMENTOS!$D$5:$D$1323,$A37,LANÇAMENTOS!$A$5:$A$1323,R$4,LANÇAMENTOS!$B$5:$B$1323,"A pagar")</f>
        <v>0.0</v>
      </c>
      <c r="S37" s="20">
        <f>SUMIFS(LANÇAMENTOS!$F$5:$F$1323,LANÇAMENTOS!$D$5:$D$1323,$A37,LANÇAMENTOS!$A$5:$A$1323,S$4,LANÇAMENTOS!$B$5:$B$1323,"A pagar")</f>
        <v>0.0</v>
      </c>
      <c r="T37" s="20">
        <f>SUMIFS(LANÇAMENTOS!$F$5:$F$1323,LANÇAMENTOS!$D$5:$D$1323,$A37,LANÇAMENTOS!$A$5:$A$1323,T$4,LANÇAMENTOS!$B$5:$B$1323,"A pagar")</f>
        <v>0.0</v>
      </c>
      <c r="U37" s="20">
        <f>SUMIFS(LANÇAMENTOS!$F$5:$F$1323,LANÇAMENTOS!$D$5:$D$1323,$A37,LANÇAMENTOS!$A$5:$A$1323,U$4,LANÇAMENTOS!$B$5:$B$1323,"A pagar")</f>
        <v>0.0</v>
      </c>
      <c r="V37" s="20">
        <f>SUMIFS(LANÇAMENTOS!$F$5:$F$1323,LANÇAMENTOS!$D$5:$D$1323,$A37,LANÇAMENTOS!$A$5:$A$1323,V$4,LANÇAMENTOS!$B$5:$B$1323,"A pagar")</f>
        <v>0.0</v>
      </c>
      <c r="W37" s="20">
        <f>SUMIFS(LANÇAMENTOS!$F$5:$F$1323,LANÇAMENTOS!$D$5:$D$1323,$A37,LANÇAMENTOS!$A$5:$A$1323,W$4,LANÇAMENTOS!$B$5:$B$1323,"A pagar")</f>
        <v>0.0</v>
      </c>
      <c r="X37" s="20">
        <f>SUMIFS(LANÇAMENTOS!$F$5:$F$1323,LANÇAMENTOS!$D$5:$D$1323,$A37,LANÇAMENTOS!$A$5:$A$1323,X$4,LANÇAMENTOS!$B$5:$B$1323,"A pagar")</f>
        <v>0.0</v>
      </c>
      <c r="Y37" s="20">
        <f>SUMIFS(LANÇAMENTOS!$F$5:$F$1323,LANÇAMENTOS!$D$5:$D$1323,$A37,LANÇAMENTOS!$A$5:$A$1323,Y$4,LANÇAMENTOS!$B$5:$B$1323,"A pagar")</f>
        <v>0.0</v>
      </c>
      <c r="Z37" s="20">
        <f>SUMIFS(LANÇAMENTOS!$F$5:$F$1323,LANÇAMENTOS!$D$5:$D$1323,$A37,LANÇAMENTOS!$A$5:$A$1323,Z$4,LANÇAMENTOS!$B$5:$B$1323,"A pagar")</f>
        <v>0.0</v>
      </c>
      <c r="AA37" s="20">
        <f>SUMIFS(LANÇAMENTOS!$F$5:$F$1323,LANÇAMENTOS!$D$5:$D$1323,$A37,LANÇAMENTOS!$A$5:$A$1323,AA$4,LANÇAMENTOS!$B$5:$B$1323,"A pagar")</f>
        <v>0.0</v>
      </c>
      <c r="AB37" s="20">
        <f>SUMIFS(LANÇAMENTOS!$F$5:$F$1323,LANÇAMENTOS!$D$5:$D$1323,$A37,LANÇAMENTOS!$A$5:$A$1323,AB$4,LANÇAMENTOS!$B$5:$B$1323,"A pagar")</f>
        <v>0.0</v>
      </c>
      <c r="AC37" s="20">
        <f>SUMIFS(LANÇAMENTOS!$F$5:$F$1323,LANÇAMENTOS!$D$5:$D$1323,$A37,LANÇAMENTOS!$A$5:$A$1323,AC$4,LANÇAMENTOS!$B$5:$B$1323,"A pagar")</f>
        <v>0.0</v>
      </c>
      <c r="AD37" s="20">
        <f>SUMIFS(LANÇAMENTOS!$F$5:$F$1323,LANÇAMENTOS!$D$5:$D$1323,$A37,LANÇAMENTOS!$A$5:$A$1323,AD$4,LANÇAMENTOS!$B$5:$B$1323,"A pagar")</f>
        <v>0.0</v>
      </c>
      <c r="AE37" s="20">
        <f>SUMIFS(LANÇAMENTOS!$F$5:$F$1323,LANÇAMENTOS!$D$5:$D$1323,$A37,LANÇAMENTOS!$A$5:$A$1323,AE$4,LANÇAMENTOS!$B$5:$B$1323,"A pagar")</f>
        <v>0.0</v>
      </c>
      <c r="AF37" s="20">
        <f>SUMIFS(LANÇAMENTOS!$F$5:$F$1323,LANÇAMENTOS!$D$5:$D$1323,$A37,LANÇAMENTOS!$A$5:$A$1323,AF$4,LANÇAMENTOS!$B$5:$B$1323,"A pagar")</f>
        <v>4765.2</v>
      </c>
      <c r="AG37" s="20">
        <f>SUMIFS(LANÇAMENTOS!$F$5:$F$1323,LANÇAMENTOS!$D$5:$D$1323,$A37,LANÇAMENTOS!$A$5:$A$1323,AG$4,LANÇAMENTOS!$B$5:$B$1323,"A pagar")</f>
        <v>2326.09</v>
      </c>
      <c r="AH37" s="20">
        <f>SUMIFS(LANÇAMENTOS!$F$5:$F$1323,LANÇAMENTOS!$D$5:$D$1323,$A37,LANÇAMENTOS!$A$5:$A$1323,AH$4,LANÇAMENTOS!$B$5:$B$1323,"A pagar")</f>
        <v>0.0</v>
      </c>
      <c r="AI37" s="20">
        <f>SUMIFS(LANÇAMENTOS!$F$5:$F$1323,LANÇAMENTOS!$D$5:$D$1323,$A37,LANÇAMENTOS!$A$5:$A$1323,AI$4,LANÇAMENTOS!$B$5:$B$1323,"A pagar")</f>
        <v>0.0</v>
      </c>
      <c r="AJ37" s="20">
        <f>SUMIFS(LANÇAMENTOS!$F$5:$F$1323,LANÇAMENTOS!$D$5:$D$1323,$A37,LANÇAMENTOS!$A$5:$A$1323,AJ$4,LANÇAMENTOS!$B$5:$B$1323,"A pagar")</f>
        <v>0.0</v>
      </c>
      <c r="AK37" s="20">
        <f>SUMIFS(LANÇAMENTOS!$F$5:$F$1323,LANÇAMENTOS!$D$5:$D$1323,$A37,LANÇAMENTOS!$A$5:$A$1323,AK$4,LANÇAMENTOS!$B$5:$B$1323,"A pagar")</f>
        <v>0.0</v>
      </c>
      <c r="AL37" s="20">
        <f>SUMIFS(LANÇAMENTOS!$F$5:$F$1323,LANÇAMENTOS!$D$5:$D$1323,$A37,LANÇAMENTOS!$A$5:$A$1323,AL$4,LANÇAMENTOS!$B$5:$B$1323,"A pagar")</f>
        <v>0.0</v>
      </c>
      <c r="AM37" s="20">
        <f>SUMIFS(LANÇAMENTOS!$F$5:$F$1323,LANÇAMENTOS!$D$5:$D$1323,$A37,LANÇAMENTOS!$A$5:$A$1323,AM$4,LANÇAMENTOS!$B$5:$B$1323,"A pagar")</f>
        <v>0.0</v>
      </c>
      <c r="AN37" s="20">
        <f>SUMIFS(LANÇAMENTOS!$F$5:$F$1323,LANÇAMENTOS!$D$5:$D$1323,$A37,LANÇAMENTOS!$A$5:$A$1323,AN$4,LANÇAMENTOS!$B$5:$B$1323,"A pagar")</f>
        <v>0.0</v>
      </c>
      <c r="AO37" s="20">
        <f>SUMIFS(LANÇAMENTOS!$F$5:$F$1323,LANÇAMENTOS!$D$5:$D$1323,$A37,LANÇAMENTOS!$A$5:$A$1323,AO$4,LANÇAMENTOS!$B$5:$B$1323,"A pagar")</f>
        <v>0.0</v>
      </c>
      <c r="AP37" s="20">
        <f>SUMIFS(LANÇAMENTOS!$F$5:$F$1323,LANÇAMENTOS!$D$5:$D$1323,$A37,LANÇAMENTOS!$A$5:$A$1323,AP$4,LANÇAMENTOS!$B$5:$B$1323,"A pagar")</f>
        <v>0.0</v>
      </c>
      <c r="AQ37" s="20">
        <f>SUMIFS(LANÇAMENTOS!$F$5:$F$1323,LANÇAMENTOS!$D$5:$D$1323,$A37,LANÇAMENTOS!$A$5:$A$1323,AQ$4,LANÇAMENTOS!$B$5:$B$1323,"A pagar")</f>
        <v>0.0</v>
      </c>
      <c r="AR37" s="20">
        <f>SUMIFS(LANÇAMENTOS!$F$5:$F$1323,LANÇAMENTOS!$D$5:$D$1323,$A37,LANÇAMENTOS!$A$5:$A$1323,AR$4,LANÇAMENTOS!$B$5:$B$1323,"A pagar")</f>
        <v>0.0</v>
      </c>
      <c r="AS37" s="20">
        <f>SUMIFS(LANÇAMENTOS!$F$5:$F$1323,LANÇAMENTOS!$D$5:$D$1323,$A37,LANÇAMENTOS!$A$5:$A$1323,AS$4,LANÇAMENTOS!$B$5:$B$1323,"A pagar")</f>
        <v>0.0</v>
      </c>
      <c r="AT37" s="20">
        <f>SUMIFS(LANÇAMENTOS!$F$5:$F$1323,LANÇAMENTOS!$D$5:$D$1323,$A37,LANÇAMENTOS!$A$5:$A$1323,AT$4,LANÇAMENTOS!$B$5:$B$1323,"A pagar")</f>
        <v>2822.0</v>
      </c>
      <c r="AU37" s="20">
        <f>SUMIFS(LANÇAMENTOS!$F$5:$F$1323,LANÇAMENTOS!$D$5:$D$1323,$A37,LANÇAMENTOS!$A$5:$A$1323,AU$4,LANÇAMENTOS!$B$5:$B$1323,"A pagar")</f>
        <v>0.0</v>
      </c>
      <c r="AV37" s="20">
        <f>SUMIFS(LANÇAMENTOS!$F$5:$F$1323,LANÇAMENTOS!$D$5:$D$1323,$A37,LANÇAMENTOS!$A$5:$A$1323,AV$4,LANÇAMENTOS!$B$5:$B$1323,"A pagar")</f>
        <v>0.0</v>
      </c>
      <c r="AW37" s="20">
        <f>SUMIFS(LANÇAMENTOS!$F$5:$F$1323,LANÇAMENTOS!$D$5:$D$1323,$A37,LANÇAMENTOS!$A$5:$A$1323,AW$4,LANÇAMENTOS!$B$5:$B$1323,"A pagar")</f>
        <v>0.0</v>
      </c>
      <c r="AX37" s="20">
        <f>SUMIFS(LANÇAMENTOS!$F$5:$F$1323,LANÇAMENTOS!$D$5:$D$1323,$A37,LANÇAMENTOS!$A$5:$A$1323,AX$4,LANÇAMENTOS!$B$5:$B$1323,"A pagar")</f>
        <v>0.0</v>
      </c>
      <c r="AY37" s="20">
        <f>SUMIFS(LANÇAMENTOS!$F$5:$F$1323,LANÇAMENTOS!$D$5:$D$1323,$A37,LANÇAMENTOS!$A$5:$A$1323,AY$4,LANÇAMENTOS!$B$5:$B$1323,"A pagar")</f>
        <v>0.0</v>
      </c>
      <c r="AZ37" s="20">
        <f>SUMIFS(LANÇAMENTOS!$F$5:$F$1323,LANÇAMENTOS!$D$5:$D$1323,$A37,LANÇAMENTOS!$A$5:$A$1323,AZ$4,LANÇAMENTOS!$B$5:$B$1323,"A pagar")</f>
        <v>0.0</v>
      </c>
      <c r="BA37" s="20">
        <f>SUMIFS(LANÇAMENTOS!$F$5:$F$1323,LANÇAMENTOS!$D$5:$D$1323,$A37,LANÇAMENTOS!$A$5:$A$1323,BA$4,LANÇAMENTOS!$B$5:$B$1323,"A pagar")</f>
        <v>0.0</v>
      </c>
      <c r="BB37" s="20">
        <f>SUMIFS(LANÇAMENTOS!$F$5:$F$1323,LANÇAMENTOS!$D$5:$D$1323,$A37,LANÇAMENTOS!$A$5:$A$1323,BB$4,LANÇAMENTOS!$B$5:$B$1323,"A pagar")</f>
        <v>0.0</v>
      </c>
      <c r="BC37" s="20">
        <f>SUMIFS(LANÇAMENTOS!$F$5:$F$1323,LANÇAMENTOS!$D$5:$D$1323,$A37,LANÇAMENTOS!$A$5:$A$1323,BC$4,LANÇAMENTOS!$B$5:$B$1323,"A pagar")</f>
        <v>0.0</v>
      </c>
      <c r="BD37" s="20">
        <f>SUMIFS(LANÇAMENTOS!$F$5:$F$1323,LANÇAMENTOS!$D$5:$D$1323,$A37,LANÇAMENTOS!$A$5:$A$1323,BD$4,LANÇAMENTOS!$B$5:$B$1323,"A pagar")</f>
        <v>0.0</v>
      </c>
      <c r="BE37" s="20">
        <f>SUMIFS(LANÇAMENTOS!$F$5:$F$1323,LANÇAMENTOS!$D$5:$D$1323,$A37,LANÇAMENTOS!$A$5:$A$1323,BE$4,LANÇAMENTOS!$B$5:$B$1323,"A pagar")</f>
        <v>0.0</v>
      </c>
      <c r="BF37" s="20">
        <f>SUMIFS(LANÇAMENTOS!$F$5:$F$1323,LANÇAMENTOS!$D$5:$D$1323,$A37,LANÇAMENTOS!$A$5:$A$1323,BF$4,LANÇAMENTOS!$B$5:$B$1323,"A pagar")</f>
        <v>0.0</v>
      </c>
      <c r="BG37" s="20">
        <f>SUMIFS(LANÇAMENTOS!$F$5:$F$1323,LANÇAMENTOS!$D$5:$D$1323,$A37,LANÇAMENTOS!$A$5:$A$1323,BG$4,LANÇAMENTOS!$B$5:$B$1323,"A pagar")</f>
        <v>0.0</v>
      </c>
      <c r="BH37" s="20">
        <f>SUMIFS(LANÇAMENTOS!$F$5:$F$1323,LANÇAMENTOS!$D$5:$D$1323,$A37,LANÇAMENTOS!$A$5:$A$1323,BH$4,LANÇAMENTOS!$B$5:$B$1323,"A pagar")</f>
        <v>0.0</v>
      </c>
      <c r="BI37" s="20">
        <f>SUMIFS(LANÇAMENTOS!$F$5:$F$1323,LANÇAMENTOS!$D$5:$D$1323,$A37,LANÇAMENTOS!$A$5:$A$1323,BI$4,LANÇAMENTOS!$B$5:$B$1323,"A pagar")</f>
        <v>0.0</v>
      </c>
      <c r="BJ37" s="20">
        <f>SUMIFS(LANÇAMENTOS!$F$5:$F$1323,LANÇAMENTOS!$D$5:$D$1323,$A37,LANÇAMENTOS!$A$5:$A$1323,BJ$4,LANÇAMENTOS!$B$5:$B$1323,"A pagar")</f>
        <v>0.0</v>
      </c>
      <c r="BK37" s="20">
        <f>SUMIFS(LANÇAMENTOS!$F$5:$F$1323,LANÇAMENTOS!$D$5:$D$1323,$A37,LANÇAMENTOS!$A$5:$A$1323,BK$4,LANÇAMENTOS!$B$5:$B$1323,"A pagar")</f>
        <v>0.0</v>
      </c>
      <c r="BL37" s="20">
        <f>SUMIFS(LANÇAMENTOS!$F$5:$F$1323,LANÇAMENTOS!$D$5:$D$1323,$A37,LANÇAMENTOS!$A$5:$A$1323,BL$4,LANÇAMENTOS!$B$5:$B$1323,"A pagar")</f>
        <v>0.0</v>
      </c>
    </row>
    <row r="38">
      <c r="A38" s="6" t="inlineStr">
        <is>
          <t>L10</t>
        </is>
      </c>
      <c r="B38" s="6" t="inlineStr">
        <is>
          <t>A classificar (sem linha definida)</t>
        </is>
      </c>
      <c r="C38" s="19">
        <f>SUM(D38:BL38)</f>
        <v>116739.48734099997</v>
      </c>
      <c r="D38" s="20">
        <f>SUMIFS(LANÇAMENTOS!$F$5:$F$1323,LANÇAMENTOS!$D$5:$D$1323,$A38,LANÇAMENTOS!$A$5:$A$1323,D$4,LANÇAMENTOS!$B$5:$B$1323,"A pagar")</f>
        <v>0.0</v>
      </c>
      <c r="E38" s="20">
        <f>SUMIFS(LANÇAMENTOS!$F$5:$F$1323,LANÇAMENTOS!$D$5:$D$1323,$A38,LANÇAMENTOS!$A$5:$A$1323,E$4,LANÇAMENTOS!$B$5:$B$1323,"A pagar")</f>
        <v>0.0</v>
      </c>
      <c r="F38" s="20">
        <f>SUMIFS(LANÇAMENTOS!$F$5:$F$1323,LANÇAMENTOS!$D$5:$D$1323,$A38,LANÇAMENTOS!$A$5:$A$1323,F$4,LANÇAMENTOS!$B$5:$B$1323,"A pagar")</f>
        <v>0.0</v>
      </c>
      <c r="G38" s="20">
        <f>SUMIFS(LANÇAMENTOS!$F$5:$F$1323,LANÇAMENTOS!$D$5:$D$1323,$A38,LANÇAMENTOS!$A$5:$A$1323,G$4,LANÇAMENTOS!$B$5:$B$1323,"A pagar")</f>
        <v>0.0</v>
      </c>
      <c r="H38" s="20">
        <f>SUMIFS(LANÇAMENTOS!$F$5:$F$1323,LANÇAMENTOS!$D$5:$D$1323,$A38,LANÇAMENTOS!$A$5:$A$1323,H$4,LANÇAMENTOS!$B$5:$B$1323,"A pagar")</f>
        <v>0.0</v>
      </c>
      <c r="I38" s="20">
        <f>SUMIFS(LANÇAMENTOS!$F$5:$F$1323,LANÇAMENTOS!$D$5:$D$1323,$A38,LANÇAMENTOS!$A$5:$A$1323,I$4,LANÇAMENTOS!$B$5:$B$1323,"A pagar")</f>
        <v>0.0</v>
      </c>
      <c r="J38" s="20">
        <f>SUMIFS(LANÇAMENTOS!$F$5:$F$1323,LANÇAMENTOS!$D$5:$D$1323,$A38,LANÇAMENTOS!$A$5:$A$1323,J$4,LANÇAMENTOS!$B$5:$B$1323,"A pagar")</f>
        <v>0.0</v>
      </c>
      <c r="K38" s="20">
        <f>SUMIFS(LANÇAMENTOS!$F$5:$F$1323,LANÇAMENTOS!$D$5:$D$1323,$A38,LANÇAMENTOS!$A$5:$A$1323,K$4,LANÇAMENTOS!$B$5:$B$1323,"A pagar")</f>
        <v>0.0</v>
      </c>
      <c r="L38" s="20">
        <f>SUMIFS(LANÇAMENTOS!$F$5:$F$1323,LANÇAMENTOS!$D$5:$D$1323,$A38,LANÇAMENTOS!$A$5:$A$1323,L$4,LANÇAMENTOS!$B$5:$B$1323,"A pagar")</f>
        <v>0.0</v>
      </c>
      <c r="M38" s="20">
        <f>SUMIFS(LANÇAMENTOS!$F$5:$F$1323,LANÇAMENTOS!$D$5:$D$1323,$A38,LANÇAMENTOS!$A$5:$A$1323,M$4,LANÇAMENTOS!$B$5:$B$1323,"A pagar")</f>
        <v>0.0</v>
      </c>
      <c r="N38" s="20">
        <f>SUMIFS(LANÇAMENTOS!$F$5:$F$1323,LANÇAMENTOS!$D$5:$D$1323,$A38,LANÇAMENTOS!$A$5:$A$1323,N$4,LANÇAMENTOS!$B$5:$B$1323,"A pagar")</f>
        <v>0.0</v>
      </c>
      <c r="O38" s="20">
        <f>SUMIFS(LANÇAMENTOS!$F$5:$F$1323,LANÇAMENTOS!$D$5:$D$1323,$A38,LANÇAMENTOS!$A$5:$A$1323,O$4,LANÇAMENTOS!$B$5:$B$1323,"A pagar")</f>
        <v>0.0</v>
      </c>
      <c r="P38" s="20">
        <f>SUMIFS(LANÇAMENTOS!$F$5:$F$1323,LANÇAMENTOS!$D$5:$D$1323,$A38,LANÇAMENTOS!$A$5:$A$1323,P$4,LANÇAMENTOS!$B$5:$B$1323,"A pagar")</f>
        <v>0.0</v>
      </c>
      <c r="Q38" s="20">
        <f>SUMIFS(LANÇAMENTOS!$F$5:$F$1323,LANÇAMENTOS!$D$5:$D$1323,$A38,LANÇAMENTOS!$A$5:$A$1323,Q$4,LANÇAMENTOS!$B$5:$B$1323,"A pagar")</f>
        <v>0.0</v>
      </c>
      <c r="R38" s="20">
        <f>SUMIFS(LANÇAMENTOS!$F$5:$F$1323,LANÇAMENTOS!$D$5:$D$1323,$A38,LANÇAMENTOS!$A$5:$A$1323,R$4,LANÇAMENTOS!$B$5:$B$1323,"A pagar")</f>
        <v>0.0</v>
      </c>
      <c r="S38" s="20">
        <f>SUMIFS(LANÇAMENTOS!$F$5:$F$1323,LANÇAMENTOS!$D$5:$D$1323,$A38,LANÇAMENTOS!$A$5:$A$1323,S$4,LANÇAMENTOS!$B$5:$B$1323,"A pagar")</f>
        <v>0.0</v>
      </c>
      <c r="T38" s="20">
        <f>SUMIFS(LANÇAMENTOS!$F$5:$F$1323,LANÇAMENTOS!$D$5:$D$1323,$A38,LANÇAMENTOS!$A$5:$A$1323,T$4,LANÇAMENTOS!$B$5:$B$1323,"A pagar")</f>
        <v>0.0</v>
      </c>
      <c r="U38" s="20">
        <f>SUMIFS(LANÇAMENTOS!$F$5:$F$1323,LANÇAMENTOS!$D$5:$D$1323,$A38,LANÇAMENTOS!$A$5:$A$1323,U$4,LANÇAMENTOS!$B$5:$B$1323,"A pagar")</f>
        <v>0.0</v>
      </c>
      <c r="V38" s="20">
        <f>SUMIFS(LANÇAMENTOS!$F$5:$F$1323,LANÇAMENTOS!$D$5:$D$1323,$A38,LANÇAMENTOS!$A$5:$A$1323,V$4,LANÇAMENTOS!$B$5:$B$1323,"A pagar")</f>
        <v>0.0</v>
      </c>
      <c r="W38" s="20">
        <f>SUMIFS(LANÇAMENTOS!$F$5:$F$1323,LANÇAMENTOS!$D$5:$D$1323,$A38,LANÇAMENTOS!$A$5:$A$1323,W$4,LANÇAMENTOS!$B$5:$B$1323,"A pagar")</f>
        <v>0.0</v>
      </c>
      <c r="X38" s="20">
        <f>SUMIFS(LANÇAMENTOS!$F$5:$F$1323,LANÇAMENTOS!$D$5:$D$1323,$A38,LANÇAMENTOS!$A$5:$A$1323,X$4,LANÇAMENTOS!$B$5:$B$1323,"A pagar")</f>
        <v>0.0</v>
      </c>
      <c r="Y38" s="20">
        <f>SUMIFS(LANÇAMENTOS!$F$5:$F$1323,LANÇAMENTOS!$D$5:$D$1323,$A38,LANÇAMENTOS!$A$5:$A$1323,Y$4,LANÇAMENTOS!$B$5:$B$1323,"A pagar")</f>
        <v>0.0</v>
      </c>
      <c r="Z38" s="20">
        <f>SUMIFS(LANÇAMENTOS!$F$5:$F$1323,LANÇAMENTOS!$D$5:$D$1323,$A38,LANÇAMENTOS!$A$5:$A$1323,Z$4,LANÇAMENTOS!$B$5:$B$1323,"A pagar")</f>
        <v>0.0</v>
      </c>
      <c r="AA38" s="20">
        <f>SUMIFS(LANÇAMENTOS!$F$5:$F$1323,LANÇAMENTOS!$D$5:$D$1323,$A38,LANÇAMENTOS!$A$5:$A$1323,AA$4,LANÇAMENTOS!$B$5:$B$1323,"A pagar")</f>
        <v>0.0</v>
      </c>
      <c r="AB38" s="20">
        <f>SUMIFS(LANÇAMENTOS!$F$5:$F$1323,LANÇAMENTOS!$D$5:$D$1323,$A38,LANÇAMENTOS!$A$5:$A$1323,AB$4,LANÇAMENTOS!$B$5:$B$1323,"A pagar")</f>
        <v>0.0</v>
      </c>
      <c r="AC38" s="20">
        <f>SUMIFS(LANÇAMENTOS!$F$5:$F$1323,LANÇAMENTOS!$D$5:$D$1323,$A38,LANÇAMENTOS!$A$5:$A$1323,AC$4,LANÇAMENTOS!$B$5:$B$1323,"A pagar")</f>
        <v>0.0</v>
      </c>
      <c r="AD38" s="20">
        <f>SUMIFS(LANÇAMENTOS!$F$5:$F$1323,LANÇAMENTOS!$D$5:$D$1323,$A38,LANÇAMENTOS!$A$5:$A$1323,AD$4,LANÇAMENTOS!$B$5:$B$1323,"A pagar")</f>
        <v>0.0</v>
      </c>
      <c r="AE38" s="20">
        <f>SUMIFS(LANÇAMENTOS!$F$5:$F$1323,LANÇAMENTOS!$D$5:$D$1323,$A38,LANÇAMENTOS!$A$5:$A$1323,AE$4,LANÇAMENTOS!$B$5:$B$1323,"A pagar")</f>
        <v>0.0</v>
      </c>
      <c r="AF38" s="20">
        <f>SUMIFS(LANÇAMENTOS!$F$5:$F$1323,LANÇAMENTOS!$D$5:$D$1323,$A38,LANÇAMENTOS!$A$5:$A$1323,AF$4,LANÇAMENTOS!$B$5:$B$1323,"A pagar")</f>
        <v>96190.60134299999</v>
      </c>
      <c r="AG38" s="20">
        <f>SUMIFS(LANÇAMENTOS!$F$5:$F$1323,LANÇAMENTOS!$D$5:$D$1323,$A38,LANÇAMENTOS!$A$5:$A$1323,AG$4,LANÇAMENTOS!$B$5:$B$1323,"A pagar")</f>
        <v>4045.5421850000002</v>
      </c>
      <c r="AH38" s="20">
        <f>SUMIFS(LANÇAMENTOS!$F$5:$F$1323,LANÇAMENTOS!$D$5:$D$1323,$A38,LANÇAMENTOS!$A$5:$A$1323,AH$4,LANÇAMENTOS!$B$5:$B$1323,"A pagar")</f>
        <v>0.0</v>
      </c>
      <c r="AI38" s="20">
        <f>SUMIFS(LANÇAMENTOS!$F$5:$F$1323,LANÇAMENTOS!$D$5:$D$1323,$A38,LANÇAMENTOS!$A$5:$A$1323,AI$4,LANÇAMENTOS!$B$5:$B$1323,"A pagar")</f>
        <v>2678.291164</v>
      </c>
      <c r="AJ38" s="20">
        <f>SUMIFS(LANÇAMENTOS!$F$5:$F$1323,LANÇAMENTOS!$D$5:$D$1323,$A38,LANÇAMENTOS!$A$5:$A$1323,AJ$4,LANÇAMENTOS!$B$5:$B$1323,"A pagar")</f>
        <v>0.0</v>
      </c>
      <c r="AK38" s="20">
        <f>SUMIFS(LANÇAMENTOS!$F$5:$F$1323,LANÇAMENTOS!$D$5:$D$1323,$A38,LANÇAMENTOS!$A$5:$A$1323,AK$4,LANÇAMENTOS!$B$5:$B$1323,"A pagar")</f>
        <v>3394.20937</v>
      </c>
      <c r="AL38" s="20">
        <f>SUMIFS(LANÇAMENTOS!$F$5:$F$1323,LANÇAMENTOS!$D$5:$D$1323,$A38,LANÇAMENTOS!$A$5:$A$1323,AL$4,LANÇAMENTOS!$B$5:$B$1323,"A pagar")</f>
        <v>0.0</v>
      </c>
      <c r="AM38" s="20">
        <f>SUMIFS(LANÇAMENTOS!$F$5:$F$1323,LANÇAMENTOS!$D$5:$D$1323,$A38,LANÇAMENTOS!$A$5:$A$1323,AM$4,LANÇAMENTOS!$B$5:$B$1323,"A pagar")</f>
        <v>0.0</v>
      </c>
      <c r="AN38" s="20">
        <f>SUMIFS(LANÇAMENTOS!$F$5:$F$1323,LANÇAMENTOS!$D$5:$D$1323,$A38,LANÇAMENTOS!$A$5:$A$1323,AN$4,LANÇAMENTOS!$B$5:$B$1323,"A pagar")</f>
        <v>0.0</v>
      </c>
      <c r="AO38" s="20">
        <f>SUMIFS(LANÇAMENTOS!$F$5:$F$1323,LANÇAMENTOS!$D$5:$D$1323,$A38,LANÇAMENTOS!$A$5:$A$1323,AO$4,LANÇAMENTOS!$B$5:$B$1323,"A pagar")</f>
        <v>0.0</v>
      </c>
      <c r="AP38" s="20">
        <f>SUMIFS(LANÇAMENTOS!$F$5:$F$1323,LANÇAMENTOS!$D$5:$D$1323,$A38,LANÇAMENTOS!$A$5:$A$1323,AP$4,LANÇAMENTOS!$B$5:$B$1323,"A pagar")</f>
        <v>0.0</v>
      </c>
      <c r="AQ38" s="20">
        <f>SUMIFS(LANÇAMENTOS!$F$5:$F$1323,LANÇAMENTOS!$D$5:$D$1323,$A38,LANÇAMENTOS!$A$5:$A$1323,AQ$4,LANÇAMENTOS!$B$5:$B$1323,"A pagar")</f>
        <v>0.0</v>
      </c>
      <c r="AR38" s="20">
        <f>SUMIFS(LANÇAMENTOS!$F$5:$F$1323,LANÇAMENTOS!$D$5:$D$1323,$A38,LANÇAMENTOS!$A$5:$A$1323,AR$4,LANÇAMENTOS!$B$5:$B$1323,"A pagar")</f>
        <v>1502.10277</v>
      </c>
      <c r="AS38" s="20">
        <f>SUMIFS(LANÇAMENTOS!$F$5:$F$1323,LANÇAMENTOS!$D$5:$D$1323,$A38,LANÇAMENTOS!$A$5:$A$1323,AS$4,LANÇAMENTOS!$B$5:$B$1323,"A pagar")</f>
        <v>0.0</v>
      </c>
      <c r="AT38" s="20">
        <f>SUMIFS(LANÇAMENTOS!$F$5:$F$1323,LANÇAMENTOS!$D$5:$D$1323,$A38,LANÇAMENTOS!$A$5:$A$1323,AT$4,LANÇAMENTOS!$B$5:$B$1323,"A pagar")</f>
        <v>602.000508</v>
      </c>
      <c r="AU38" s="20">
        <f>SUMIFS(LANÇAMENTOS!$F$5:$F$1323,LANÇAMENTOS!$D$5:$D$1323,$A38,LANÇAMENTOS!$A$5:$A$1323,AU$4,LANÇAMENTOS!$B$5:$B$1323,"A pagar")</f>
        <v>0.0</v>
      </c>
      <c r="AV38" s="20">
        <f>SUMIFS(LANÇAMENTOS!$F$5:$F$1323,LANÇAMENTOS!$D$5:$D$1323,$A38,LANÇAMENTOS!$A$5:$A$1323,AV$4,LANÇAMENTOS!$B$5:$B$1323,"A pagar")</f>
        <v>0.0</v>
      </c>
      <c r="AW38" s="20">
        <f>SUMIFS(LANÇAMENTOS!$F$5:$F$1323,LANÇAMENTOS!$D$5:$D$1323,$A38,LANÇAMENTOS!$A$5:$A$1323,AW$4,LANÇAMENTOS!$B$5:$B$1323,"A pagar")</f>
        <v>0.0</v>
      </c>
      <c r="AX38" s="20">
        <f>SUMIFS(LANÇAMENTOS!$F$5:$F$1323,LANÇAMENTOS!$D$5:$D$1323,$A38,LANÇAMENTOS!$A$5:$A$1323,AX$4,LANÇAMENTOS!$B$5:$B$1323,"A pagar")</f>
        <v>0.0</v>
      </c>
      <c r="AY38" s="20">
        <f>SUMIFS(LANÇAMENTOS!$F$5:$F$1323,LANÇAMENTOS!$D$5:$D$1323,$A38,LANÇAMENTOS!$A$5:$A$1323,AY$4,LANÇAMENTOS!$B$5:$B$1323,"A pagar")</f>
        <v>7661.740001000001</v>
      </c>
      <c r="AZ38" s="20">
        <f>SUMIFS(LANÇAMENTOS!$F$5:$F$1323,LANÇAMENTOS!$D$5:$D$1323,$A38,LANÇAMENTOS!$A$5:$A$1323,AZ$4,LANÇAMENTOS!$B$5:$B$1323,"A pagar")</f>
        <v>0.0</v>
      </c>
      <c r="BA38" s="20">
        <f>SUMIFS(LANÇAMENTOS!$F$5:$F$1323,LANÇAMENTOS!$D$5:$D$1323,$A38,LANÇAMENTOS!$A$5:$A$1323,BA$4,LANÇAMENTOS!$B$5:$B$1323,"A pagar")</f>
        <v>0.0</v>
      </c>
      <c r="BB38" s="20">
        <f>SUMIFS(LANÇAMENTOS!$F$5:$F$1323,LANÇAMENTOS!$D$5:$D$1323,$A38,LANÇAMENTOS!$A$5:$A$1323,BB$4,LANÇAMENTOS!$B$5:$B$1323,"A pagar")</f>
        <v>0.0</v>
      </c>
      <c r="BC38" s="20">
        <f>SUMIFS(LANÇAMENTOS!$F$5:$F$1323,LANÇAMENTOS!$D$5:$D$1323,$A38,LANÇAMENTOS!$A$5:$A$1323,BC$4,LANÇAMENTOS!$B$5:$B$1323,"A pagar")</f>
        <v>0.0</v>
      </c>
      <c r="BD38" s="20">
        <f>SUMIFS(LANÇAMENTOS!$F$5:$F$1323,LANÇAMENTOS!$D$5:$D$1323,$A38,LANÇAMENTOS!$A$5:$A$1323,BD$4,LANÇAMENTOS!$B$5:$B$1323,"A pagar")</f>
        <v>0.0</v>
      </c>
      <c r="BE38" s="20">
        <f>SUMIFS(LANÇAMENTOS!$F$5:$F$1323,LANÇAMENTOS!$D$5:$D$1323,$A38,LANÇAMENTOS!$A$5:$A$1323,BE$4,LANÇAMENTOS!$B$5:$B$1323,"A pagar")</f>
        <v>0.0</v>
      </c>
      <c r="BF38" s="20">
        <f>SUMIFS(LANÇAMENTOS!$F$5:$F$1323,LANÇAMENTOS!$D$5:$D$1323,$A38,LANÇAMENTOS!$A$5:$A$1323,BF$4,LANÇAMENTOS!$B$5:$B$1323,"A pagar")</f>
        <v>0.0</v>
      </c>
      <c r="BG38" s="20">
        <f>SUMIFS(LANÇAMENTOS!$F$5:$F$1323,LANÇAMENTOS!$D$5:$D$1323,$A38,LANÇAMENTOS!$A$5:$A$1323,BG$4,LANÇAMENTOS!$B$5:$B$1323,"A pagar")</f>
        <v>0.0</v>
      </c>
      <c r="BH38" s="20">
        <f>SUMIFS(LANÇAMENTOS!$F$5:$F$1323,LANÇAMENTOS!$D$5:$D$1323,$A38,LANÇAMENTOS!$A$5:$A$1323,BH$4,LANÇAMENTOS!$B$5:$B$1323,"A pagar")</f>
        <v>0.0</v>
      </c>
      <c r="BI38" s="20">
        <f>SUMIFS(LANÇAMENTOS!$F$5:$F$1323,LANÇAMENTOS!$D$5:$D$1323,$A38,LANÇAMENTOS!$A$5:$A$1323,BI$4,LANÇAMENTOS!$B$5:$B$1323,"A pagar")</f>
        <v>0.0</v>
      </c>
      <c r="BJ38" s="20">
        <f>SUMIFS(LANÇAMENTOS!$F$5:$F$1323,LANÇAMENTOS!$D$5:$D$1323,$A38,LANÇAMENTOS!$A$5:$A$1323,BJ$4,LANÇAMENTOS!$B$5:$B$1323,"A pagar")</f>
        <v>0.0</v>
      </c>
      <c r="BK38" s="20">
        <f>SUMIFS(LANÇAMENTOS!$F$5:$F$1323,LANÇAMENTOS!$D$5:$D$1323,$A38,LANÇAMENTOS!$A$5:$A$1323,BK$4,LANÇAMENTOS!$B$5:$B$1323,"A pagar")</f>
        <v>0.0</v>
      </c>
      <c r="BL38" s="20">
        <f>SUMIFS(LANÇAMENTOS!$F$5:$F$1323,LANÇAMENTOS!$D$5:$D$1323,$A38,LANÇAMENTOS!$A$5:$A$1323,BL$4,LANÇAMENTOS!$B$5:$B$1323,"A pagar")</f>
        <v>665.0</v>
      </c>
    </row>
    <row r="39">
      <c r="A39" s="10" t="inlineStr">
        <is>
          <t>TOTAL</t>
        </is>
      </c>
      <c r="B39" s="11" t="n"/>
      <c r="C39" s="21">
        <f>SUM(C30:C38)</f>
        <v>154562.48734099997</v>
      </c>
      <c r="D39" s="21">
        <f>SUM(D30:D38)</f>
        <v>0.0</v>
      </c>
      <c r="E39" s="21">
        <f>SUM(E30:E38)</f>
        <v>0.0</v>
      </c>
      <c r="F39" s="21">
        <f>SUM(F30:F38)</f>
        <v>0.0</v>
      </c>
      <c r="G39" s="21">
        <f>SUM(G30:G38)</f>
        <v>0.0</v>
      </c>
      <c r="H39" s="21">
        <f>SUM(H30:H38)</f>
        <v>0.0</v>
      </c>
      <c r="I39" s="21">
        <f>SUM(I30:I38)</f>
        <v>0.0</v>
      </c>
      <c r="J39" s="21">
        <f>SUM(J30:J38)</f>
        <v>0.0</v>
      </c>
      <c r="K39" s="21">
        <f>SUM(K30:K38)</f>
        <v>0.0</v>
      </c>
      <c r="L39" s="21">
        <f>SUM(L30:L38)</f>
        <v>0.0</v>
      </c>
      <c r="M39" s="21">
        <f>SUM(M30:M38)</f>
        <v>0.0</v>
      </c>
      <c r="N39" s="21">
        <f>SUM(N30:N38)</f>
        <v>0.0</v>
      </c>
      <c r="O39" s="21">
        <f>SUM(O30:O38)</f>
        <v>0.0</v>
      </c>
      <c r="P39" s="21">
        <f>SUM(P30:P38)</f>
        <v>0.0</v>
      </c>
      <c r="Q39" s="21">
        <f>SUM(Q30:Q38)</f>
        <v>0.0</v>
      </c>
      <c r="R39" s="21">
        <f>SUM(R30:R38)</f>
        <v>0.0</v>
      </c>
      <c r="S39" s="21">
        <f>SUM(S30:S38)</f>
        <v>0.0</v>
      </c>
      <c r="T39" s="21">
        <f>SUM(T30:T38)</f>
        <v>0.0</v>
      </c>
      <c r="U39" s="21">
        <f>SUM(U30:U38)</f>
        <v>0.0</v>
      </c>
      <c r="V39" s="21">
        <f>SUM(V30:V38)</f>
        <v>0.0</v>
      </c>
      <c r="W39" s="21">
        <f>SUM(W30:W38)</f>
        <v>0.0</v>
      </c>
      <c r="X39" s="21">
        <f>SUM(X30:X38)</f>
        <v>0.0</v>
      </c>
      <c r="Y39" s="21">
        <f>SUM(Y30:Y38)</f>
        <v>0.0</v>
      </c>
      <c r="Z39" s="21">
        <f>SUM(Z30:Z38)</f>
        <v>0.0</v>
      </c>
      <c r="AA39" s="21">
        <f>SUM(AA30:AA38)</f>
        <v>0.0</v>
      </c>
      <c r="AB39" s="21">
        <f>SUM(AB30:AB38)</f>
        <v>0.0</v>
      </c>
      <c r="AC39" s="21">
        <f>SUM(AC30:AC38)</f>
        <v>0.0</v>
      </c>
      <c r="AD39" s="21">
        <f>SUM(AD30:AD38)</f>
        <v>0.0</v>
      </c>
      <c r="AE39" s="21">
        <f>SUM(AE30:AE38)</f>
        <v>0.0</v>
      </c>
      <c r="AF39" s="21">
        <f>SUM(AF30:AF38)</f>
        <v>110979.90134299999</v>
      </c>
      <c r="AG39" s="21">
        <f>SUM(AG30:AG38)</f>
        <v>24257.242185000003</v>
      </c>
      <c r="AH39" s="21">
        <f>SUM(AH30:AH38)</f>
        <v>0.0</v>
      </c>
      <c r="AI39" s="21">
        <f>SUM(AI30:AI38)</f>
        <v>2678.291164</v>
      </c>
      <c r="AJ39" s="21">
        <f>SUM(AJ30:AJ38)</f>
        <v>0.0</v>
      </c>
      <c r="AK39" s="21">
        <f>SUM(AK30:AK38)</f>
        <v>3394.20937</v>
      </c>
      <c r="AL39" s="21">
        <f>SUM(AL30:AL38)</f>
        <v>0.0</v>
      </c>
      <c r="AM39" s="21">
        <f>SUM(AM30:AM38)</f>
        <v>0.0</v>
      </c>
      <c r="AN39" s="21">
        <f>SUM(AN30:AN38)</f>
        <v>0.0</v>
      </c>
      <c r="AO39" s="21">
        <f>SUM(AO30:AO38)</f>
        <v>0.0</v>
      </c>
      <c r="AP39" s="21">
        <f>SUM(AP30:AP38)</f>
        <v>0.0</v>
      </c>
      <c r="AQ39" s="21">
        <f>SUM(AQ30:AQ38)</f>
        <v>0.0</v>
      </c>
      <c r="AR39" s="21">
        <f>SUM(AR30:AR38)</f>
        <v>1502.10277</v>
      </c>
      <c r="AS39" s="21">
        <f>SUM(AS30:AS38)</f>
        <v>0.0</v>
      </c>
      <c r="AT39" s="21">
        <f>SUM(AT30:AT38)</f>
        <v>3424.000508</v>
      </c>
      <c r="AU39" s="21">
        <f>SUM(AU30:AU38)</f>
        <v>0.0</v>
      </c>
      <c r="AV39" s="21">
        <f>SUM(AV30:AV38)</f>
        <v>0.0</v>
      </c>
      <c r="AW39" s="21">
        <f>SUM(AW30:AW38)</f>
        <v>0.0</v>
      </c>
      <c r="AX39" s="21">
        <f>SUM(AX30:AX38)</f>
        <v>0.0</v>
      </c>
      <c r="AY39" s="21">
        <f>SUM(AY30:AY38)</f>
        <v>7661.740001000001</v>
      </c>
      <c r="AZ39" s="21">
        <f>SUM(AZ30:AZ38)</f>
        <v>0.0</v>
      </c>
      <c r="BA39" s="21">
        <f>SUM(BA30:BA38)</f>
        <v>0.0</v>
      </c>
      <c r="BB39" s="21">
        <f>SUM(BB30:BB38)</f>
        <v>0.0</v>
      </c>
      <c r="BC39" s="21">
        <f>SUM(BC30:BC38)</f>
        <v>0.0</v>
      </c>
      <c r="BD39" s="21">
        <f>SUM(BD30:BD38)</f>
        <v>0.0</v>
      </c>
      <c r="BE39" s="21">
        <f>SUM(BE30:BE38)</f>
        <v>0.0</v>
      </c>
      <c r="BF39" s="21">
        <f>SUM(BF30:BF38)</f>
        <v>0.0</v>
      </c>
      <c r="BG39" s="21">
        <f>SUM(BG30:BG38)</f>
        <v>0.0</v>
      </c>
      <c r="BH39" s="21">
        <f>SUM(BH30:BH38)</f>
        <v>0.0</v>
      </c>
      <c r="BI39" s="21">
        <f>SUM(BI30:BI38)</f>
        <v>0.0</v>
      </c>
      <c r="BJ39" s="21">
        <f>SUM(BJ30:BJ38)</f>
        <v>0.0</v>
      </c>
      <c r="BK39" s="21">
        <f>SUM(BK30:BK38)</f>
        <v>0.0</v>
      </c>
      <c r="BL39" s="21">
        <f>SUM(BL30:BL38)</f>
        <v>665.0</v>
      </c>
    </row>
    <row r="41">
      <c r="A41" s="15" t="inlineStr">
        <is>
          <t>ACUMULADO</t>
        </is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/>
      <c r="AQ41" s="16" t="n"/>
      <c r="AR41" s="16" t="n"/>
      <c r="AS41" s="16" t="n"/>
      <c r="AT41" s="16" t="n"/>
      <c r="AU41" s="16" t="n"/>
      <c r="AV41" s="16" t="n"/>
      <c r="AW41" s="16" t="n"/>
      <c r="AX41" s="16" t="n"/>
      <c r="AY41" s="16" t="n"/>
      <c r="AZ41" s="16" t="n"/>
      <c r="BA41" s="16" t="n"/>
      <c r="BB41" s="16" t="n"/>
      <c r="BC41" s="16" t="n"/>
      <c r="BD41" s="16" t="n"/>
      <c r="BE41" s="16" t="n"/>
      <c r="BF41" s="16" t="n"/>
      <c r="BG41" s="16" t="n"/>
      <c r="BH41" s="16" t="n"/>
      <c r="BI41" s="16" t="n"/>
      <c r="BJ41" s="16" t="n"/>
      <c r="BK41" s="16" t="n"/>
      <c r="BL41" s="16" t="n"/>
    </row>
    <row r="42">
      <c r="A42" s="22" t="inlineStr">
        <is>
          <t>BAS</t>
        </is>
      </c>
      <c r="B42" s="22" t="inlineStr">
        <is>
          <t>Base sem INCC acumulada</t>
        </is>
      </c>
      <c r="C42" s="6" t="n"/>
      <c r="D42" s="20">
        <f>D15</f>
        <v>0.0</v>
      </c>
      <c r="E42" s="20">
        <f>E15+D42</f>
        <v>0.0</v>
      </c>
      <c r="F42" s="20">
        <f>F15+E42</f>
        <v>0.0</v>
      </c>
      <c r="G42" s="20">
        <f>G15+F42</f>
        <v>0.0</v>
      </c>
      <c r="H42" s="20">
        <f>H15+G42</f>
        <v>0.0</v>
      </c>
      <c r="I42" s="20">
        <f>I15+H42</f>
        <v>0.0</v>
      </c>
      <c r="J42" s="20">
        <f>J15+I42</f>
        <v>0.0</v>
      </c>
      <c r="K42" s="20">
        <f>K15+J42</f>
        <v>0.0</v>
      </c>
      <c r="L42" s="20">
        <f>L15+K42</f>
        <v>0.0</v>
      </c>
      <c r="M42" s="20">
        <f>M15+L42</f>
        <v>0.0</v>
      </c>
      <c r="N42" s="20">
        <f>N15+M42</f>
        <v>0.0</v>
      </c>
      <c r="O42" s="20">
        <f>O15+N42</f>
        <v>0.0</v>
      </c>
      <c r="P42" s="20">
        <f>P15+O42</f>
        <v>0.0</v>
      </c>
      <c r="Q42" s="20">
        <f>Q15+P42</f>
        <v>0.0</v>
      </c>
      <c r="R42" s="20">
        <f>R15+Q42</f>
        <v>0.0</v>
      </c>
      <c r="S42" s="20">
        <f>S15+R42</f>
        <v>0.0</v>
      </c>
      <c r="T42" s="20">
        <f>T15+S42</f>
        <v>0.0</v>
      </c>
      <c r="U42" s="20">
        <f>U15+T42</f>
        <v>0.0</v>
      </c>
      <c r="V42" s="20">
        <f>V15+U42</f>
        <v>0.0</v>
      </c>
      <c r="W42" s="20">
        <f>W15+V42</f>
        <v>0.0</v>
      </c>
      <c r="X42" s="20">
        <f>X15+W42</f>
        <v>0.0</v>
      </c>
      <c r="Y42" s="20">
        <f>Y15+X42</f>
        <v>0.0</v>
      </c>
      <c r="Z42" s="20">
        <f>Z15+Y42</f>
        <v>0.0</v>
      </c>
      <c r="AA42" s="20">
        <f>AA15+Z42</f>
        <v>0.0</v>
      </c>
      <c r="AB42" s="20">
        <f>AB15+AA42</f>
        <v>0.0</v>
      </c>
      <c r="AC42" s="20">
        <f>AC15+AB42</f>
        <v>0.0</v>
      </c>
      <c r="AD42" s="20">
        <f>AD15+AC42</f>
        <v>0.0</v>
      </c>
      <c r="AE42" s="20">
        <f>AE15+AD42</f>
        <v>0.0</v>
      </c>
      <c r="AF42" s="20">
        <f>AF15+AE42</f>
        <v>0.0</v>
      </c>
      <c r="AG42" s="20">
        <f>AG15+AF42</f>
        <v>0.0</v>
      </c>
      <c r="AH42" s="20">
        <f>AH15+AG42</f>
        <v>0.0</v>
      </c>
      <c r="AI42" s="20">
        <f>AI15+AH42</f>
        <v>0.0</v>
      </c>
      <c r="AJ42" s="20">
        <f>AJ15+AI42</f>
        <v>0.0</v>
      </c>
      <c r="AK42" s="20">
        <f>AK15+AJ42</f>
        <v>0.0</v>
      </c>
      <c r="AL42" s="20">
        <f>AL15+AK42</f>
        <v>0.0</v>
      </c>
      <c r="AM42" s="20">
        <f>AM15+AL42</f>
        <v>0.0</v>
      </c>
      <c r="AN42" s="20">
        <f>AN15+AM42</f>
        <v>0.0</v>
      </c>
      <c r="AO42" s="20">
        <f>AO15+AN42</f>
        <v>0.0</v>
      </c>
      <c r="AP42" s="20">
        <f>AP15+AO42</f>
        <v>0.0</v>
      </c>
      <c r="AQ42" s="20">
        <f>AQ15+AP42</f>
        <v>0.0</v>
      </c>
      <c r="AR42" s="20">
        <f>AR15+AQ42</f>
        <v>0.0</v>
      </c>
      <c r="AS42" s="20">
        <f>AS15+AR42</f>
        <v>0.0</v>
      </c>
      <c r="AT42" s="20">
        <f>AT15+AS42</f>
        <v>0.0</v>
      </c>
      <c r="AU42" s="20">
        <f>AU15+AT42</f>
        <v>0.0</v>
      </c>
      <c r="AV42" s="20">
        <f>AV15+AU42</f>
        <v>0.0</v>
      </c>
      <c r="AW42" s="20">
        <f>AW15+AV42</f>
        <v>0.0</v>
      </c>
      <c r="AX42" s="20">
        <f>AX15+AW42</f>
        <v>0.0</v>
      </c>
      <c r="AY42" s="20">
        <f>AY15+AX42</f>
        <v>0.0</v>
      </c>
      <c r="AZ42" s="20">
        <f>AZ15+AY42</f>
        <v>0.0</v>
      </c>
      <c r="BA42" s="20">
        <f>BA15+AZ42</f>
        <v>0.0</v>
      </c>
      <c r="BB42" s="20">
        <f>BB15+BA42</f>
        <v>0.0</v>
      </c>
      <c r="BC42" s="20">
        <f>BC15+BB42</f>
        <v>0.0</v>
      </c>
      <c r="BD42" s="20">
        <f>BD15+BC42</f>
        <v>0.0</v>
      </c>
      <c r="BE42" s="20">
        <f>BE15+BD42</f>
        <v>0.0</v>
      </c>
      <c r="BF42" s="20">
        <f>BF15+BE42</f>
        <v>0.0</v>
      </c>
      <c r="BG42" s="20">
        <f>BG15+BF42</f>
        <v>0.0</v>
      </c>
      <c r="BH42" s="20">
        <f>BH15+BG42</f>
        <v>0.0</v>
      </c>
      <c r="BI42" s="20">
        <f>BI15+BH42</f>
        <v>0.0</v>
      </c>
      <c r="BJ42" s="20">
        <f>BJ15+BI42</f>
        <v>0.0</v>
      </c>
      <c r="BK42" s="20">
        <f>BK15+BJ42</f>
        <v>0.0</v>
      </c>
      <c r="BL42" s="20">
        <f>BL15+BK42</f>
        <v>0.0</v>
      </c>
    </row>
    <row r="43">
      <c r="A43" s="22" t="inlineStr">
        <is>
          <t>REA</t>
        </is>
      </c>
      <c r="B43" s="22" t="inlineStr">
        <is>
          <t>Realizado acumulado (até a data-base)</t>
        </is>
      </c>
      <c r="C43" s="6" t="n"/>
      <c r="D43" s="20">
        <f>IF(D$4&gt;DataBase,NA(),D27)</f>
        <v>1113.0</v>
      </c>
      <c r="E43" s="20">
        <f>IF(E$4&gt;DataBase,NA(),E27+D43)</f>
        <v>2257.4</v>
      </c>
      <c r="F43" s="20">
        <f>IF(F$4&gt;DataBase,NA(),F27+E43)</f>
        <v>4324.4</v>
      </c>
      <c r="G43" s="20">
        <f>IF(G$4&gt;DataBase,NA(),G27+F43)</f>
        <v>8124.78</v>
      </c>
      <c r="H43" s="20">
        <f>IF(H$4&gt;DataBase,NA(),H27+G43)</f>
        <v>13189.961591</v>
      </c>
      <c r="I43" s="20">
        <f>IF(I$4&gt;DataBase,NA(),I27+H43)</f>
        <v>14474.671590999998</v>
      </c>
      <c r="J43" s="20">
        <f>IF(J$4&gt;DataBase,NA(),J27+I43)</f>
        <v>22938.181591</v>
      </c>
      <c r="K43" s="20">
        <f>IF(K$4&gt;DataBase,NA(),K27+J43)</f>
        <v>28962.721591</v>
      </c>
      <c r="L43" s="20">
        <f>IF(L$4&gt;DataBase,NA(),L27+K43)</f>
        <v>30955.431591</v>
      </c>
      <c r="M43" s="20">
        <f>IF(M$4&gt;DataBase,NA(),M27+L43)</f>
        <v>38025.501592</v>
      </c>
      <c r="N43" s="20">
        <f>IF(N$4&gt;DataBase,NA(),N27+M43)</f>
        <v>46526.071594</v>
      </c>
      <c r="O43" s="20">
        <f>IF(O$4&gt;DataBase,NA(),O27+N43)</f>
        <v>67291.691597</v>
      </c>
      <c r="P43" s="20">
        <f>IF(P$4&gt;DataBase,NA(),P27+O43)</f>
        <v>95285.621598</v>
      </c>
      <c r="Q43" s="20">
        <f>IF(Q$4&gt;DataBase,NA(),Q27+P43)</f>
        <v>126052.991598</v>
      </c>
      <c r="R43" s="20">
        <f>IF(R$4&gt;DataBase,NA(),R27+Q43)</f>
        <v>150120.82159799998</v>
      </c>
      <c r="S43" s="20">
        <f>IF(S$4&gt;DataBase,NA(),S27+R43)</f>
        <v>178927.861592</v>
      </c>
      <c r="T43" s="20">
        <f>IF(T$4&gt;DataBase,NA(),T27+S43)</f>
        <v>215988.77159</v>
      </c>
      <c r="U43" s="20">
        <f>IF(U$4&gt;DataBase,NA(),U27+T43)</f>
        <v>264499.19159</v>
      </c>
      <c r="V43" s="20">
        <f>IF(V$4&gt;DataBase,NA(),V27+U43)</f>
        <v>311582.021589</v>
      </c>
      <c r="W43" s="20">
        <f>IF(W$4&gt;DataBase,NA(),W27+V43)</f>
        <v>369910.539172</v>
      </c>
      <c r="X43" s="20">
        <f>IF(X$4&gt;DataBase,NA(),X27+W43)</f>
        <v>678810.95626</v>
      </c>
      <c r="Y43" s="20">
        <f>IF(Y$4&gt;DataBase,NA(),Y27+X43)</f>
        <v>873180.8362779999</v>
      </c>
      <c r="Z43" s="20">
        <f>IF(Z$4&gt;DataBase,NA(),Z27+Y43)</f>
        <v>1171182.0087259999</v>
      </c>
      <c r="AA43" s="20">
        <f>IF(AA$4&gt;DataBase,NA(),AA27+Z43)</f>
        <v>1324350.1666819998</v>
      </c>
      <c r="AB43" s="20">
        <f>IF(AB$4&gt;DataBase,NA(),AB27+AA43)</f>
        <v>1478009.7742219998</v>
      </c>
      <c r="AC43" s="20">
        <f>IF(AC$4&gt;DataBase,NA(),AC27+AB43)</f>
        <v>1615895.5508789998</v>
      </c>
      <c r="AD43" s="20">
        <f>IF(AD$4&gt;DataBase,NA(),AD27+AC43)</f>
        <v>1851875.1470989997</v>
      </c>
      <c r="AE43" s="20">
        <f>IF(AE$4&gt;DataBase,NA(),AE27+AD43)</f>
        <v>2008678.0473659998</v>
      </c>
      <c r="AF43" s="20">
        <f>IF(AF$4&gt;DataBase,NA(),AF27+AE43)</f>
        <v>2035408.2073659997</v>
      </c>
      <c r="AG43" s="20" t="e">
        <f>IF(AG$4&gt;DataBase,NA(),AG27+AF43)</f>
        <v>#N/A</v>
      </c>
      <c r="AH43" s="20" t="e">
        <f>IF(AH$4&gt;DataBase,NA(),AH27+AG43)</f>
        <v>#N/A</v>
      </c>
      <c r="AI43" s="20" t="e">
        <f>IF(AI$4&gt;DataBase,NA(),AI27+AH43)</f>
        <v>#N/A</v>
      </c>
      <c r="AJ43" s="20" t="e">
        <f>IF(AJ$4&gt;DataBase,NA(),AJ27+AI43)</f>
        <v>#N/A</v>
      </c>
      <c r="AK43" s="20" t="e">
        <f>IF(AK$4&gt;DataBase,NA(),AK27+AJ43)</f>
        <v>#N/A</v>
      </c>
      <c r="AL43" s="20" t="e">
        <f>IF(AL$4&gt;DataBase,NA(),AL27+AK43)</f>
        <v>#N/A</v>
      </c>
      <c r="AM43" s="20" t="e">
        <f>IF(AM$4&gt;DataBase,NA(),AM27+AL43)</f>
        <v>#N/A</v>
      </c>
      <c r="AN43" s="20" t="e">
        <f>IF(AN$4&gt;DataBase,NA(),AN27+AM43)</f>
        <v>#N/A</v>
      </c>
      <c r="AO43" s="20" t="e">
        <f>IF(AO$4&gt;DataBase,NA(),AO27+AN43)</f>
        <v>#N/A</v>
      </c>
      <c r="AP43" s="20" t="e">
        <f>IF(AP$4&gt;DataBase,NA(),AP27+AO43)</f>
        <v>#N/A</v>
      </c>
      <c r="AQ43" s="20" t="e">
        <f>IF(AQ$4&gt;DataBase,NA(),AQ27+AP43)</f>
        <v>#N/A</v>
      </c>
      <c r="AR43" s="20" t="e">
        <f>IF(AR$4&gt;DataBase,NA(),AR27+AQ43)</f>
        <v>#N/A</v>
      </c>
      <c r="AS43" s="20" t="e">
        <f>IF(AS$4&gt;DataBase,NA(),AS27+AR43)</f>
        <v>#N/A</v>
      </c>
      <c r="AT43" s="20" t="e">
        <f>IF(AT$4&gt;DataBase,NA(),AT27+AS43)</f>
        <v>#N/A</v>
      </c>
      <c r="AU43" s="20" t="e">
        <f>IF(AU$4&gt;DataBase,NA(),AU27+AT43)</f>
        <v>#N/A</v>
      </c>
      <c r="AV43" s="20" t="e">
        <f>IF(AV$4&gt;DataBase,NA(),AV27+AU43)</f>
        <v>#N/A</v>
      </c>
      <c r="AW43" s="20" t="e">
        <f>IF(AW$4&gt;DataBase,NA(),AW27+AV43)</f>
        <v>#N/A</v>
      </c>
      <c r="AX43" s="20" t="e">
        <f>IF(AX$4&gt;DataBase,NA(),AX27+AW43)</f>
        <v>#N/A</v>
      </c>
      <c r="AY43" s="20" t="e">
        <f>IF(AY$4&gt;DataBase,NA(),AY27+AX43)</f>
        <v>#N/A</v>
      </c>
      <c r="AZ43" s="20" t="e">
        <f>IF(AZ$4&gt;DataBase,NA(),AZ27+AY43)</f>
        <v>#N/A</v>
      </c>
      <c r="BA43" s="20" t="e">
        <f>IF(BA$4&gt;DataBase,NA(),BA27+AZ43)</f>
        <v>#N/A</v>
      </c>
      <c r="BB43" s="20" t="e">
        <f>IF(BB$4&gt;DataBase,NA(),BB27+BA43)</f>
        <v>#N/A</v>
      </c>
      <c r="BC43" s="20" t="e">
        <f>IF(BC$4&gt;DataBase,NA(),BC27+BB43)</f>
        <v>#N/A</v>
      </c>
      <c r="BD43" s="20" t="e">
        <f>IF(BD$4&gt;DataBase,NA(),BD27+BC43)</f>
        <v>#N/A</v>
      </c>
      <c r="BE43" s="20" t="e">
        <f>IF(BE$4&gt;DataBase,NA(),BE27+BD43)</f>
        <v>#N/A</v>
      </c>
      <c r="BF43" s="20" t="e">
        <f>IF(BF$4&gt;DataBase,NA(),BF27+BE43)</f>
        <v>#N/A</v>
      </c>
      <c r="BG43" s="20" t="e">
        <f>IF(BG$4&gt;DataBase,NA(),BG27+BF43)</f>
        <v>#N/A</v>
      </c>
      <c r="BH43" s="20" t="e">
        <f>IF(BH$4&gt;DataBase,NA(),BH27+BG43)</f>
        <v>#N/A</v>
      </c>
      <c r="BI43" s="20" t="e">
        <f>IF(BI$4&gt;DataBase,NA(),BI27+BH43)</f>
        <v>#N/A</v>
      </c>
      <c r="BJ43" s="20" t="e">
        <f>IF(BJ$4&gt;DataBase,NA(),BJ27+BI43)</f>
        <v>#N/A</v>
      </c>
      <c r="BK43" s="20" t="e">
        <f>IF(BK$4&gt;DataBase,NA(),BK27+BJ43)</f>
        <v>#N/A</v>
      </c>
      <c r="BL43" s="20" t="e">
        <f>IF(BL$4&gt;DataBase,NA(),BL27+BK43)</f>
        <v>#N/A</v>
      </c>
    </row>
    <row r="44">
      <c r="A44" s="22" t="inlineStr">
        <is>
          <t>R+A</t>
        </is>
      </c>
      <c r="B44" s="22" t="inlineStr">
        <is>
          <t>Realizado + a pagar acumulado</t>
        </is>
      </c>
      <c r="C44" s="6" t="n"/>
      <c r="D44" s="20">
        <f>D27+D39</f>
        <v>1113.0</v>
      </c>
      <c r="E44" s="20">
        <f>E27+E39+D44</f>
        <v>2257.4</v>
      </c>
      <c r="F44" s="20">
        <f>F27+F39+E44</f>
        <v>4324.4</v>
      </c>
      <c r="G44" s="20">
        <f>G27+G39+F44</f>
        <v>8124.78</v>
      </c>
      <c r="H44" s="20">
        <f>H27+H39+G44</f>
        <v>13189.961591</v>
      </c>
      <c r="I44" s="20">
        <f>I27+I39+H44</f>
        <v>14474.671590999998</v>
      </c>
      <c r="J44" s="20">
        <f>J27+J39+I44</f>
        <v>22938.181591</v>
      </c>
      <c r="K44" s="20">
        <f>K27+K39+J44</f>
        <v>28962.721591</v>
      </c>
      <c r="L44" s="20">
        <f>L27+L39+K44</f>
        <v>30955.431591</v>
      </c>
      <c r="M44" s="20">
        <f>M27+M39+L44</f>
        <v>38025.501592</v>
      </c>
      <c r="N44" s="20">
        <f>N27+N39+M44</f>
        <v>46526.071594</v>
      </c>
      <c r="O44" s="20">
        <f>O27+O39+N44</f>
        <v>67291.691597</v>
      </c>
      <c r="P44" s="20">
        <f>P27+P39+O44</f>
        <v>95285.621598</v>
      </c>
      <c r="Q44" s="20">
        <f>Q27+Q39+P44</f>
        <v>126052.991598</v>
      </c>
      <c r="R44" s="20">
        <f>R27+R39+Q44</f>
        <v>150120.82159799998</v>
      </c>
      <c r="S44" s="20">
        <f>S27+S39+R44</f>
        <v>178927.861592</v>
      </c>
      <c r="T44" s="20">
        <f>T27+T39+S44</f>
        <v>215988.77159</v>
      </c>
      <c r="U44" s="20">
        <f>U27+U39+T44</f>
        <v>264499.19159</v>
      </c>
      <c r="V44" s="20">
        <f>V27+V39+U44</f>
        <v>311582.021589</v>
      </c>
      <c r="W44" s="20">
        <f>W27+W39+V44</f>
        <v>369910.539172</v>
      </c>
      <c r="X44" s="20">
        <f>X27+X39+W44</f>
        <v>678810.95626</v>
      </c>
      <c r="Y44" s="20">
        <f>Y27+Y39+X44</f>
        <v>873180.8362779999</v>
      </c>
      <c r="Z44" s="20">
        <f>Z27+Z39+Y44</f>
        <v>1171182.0087259999</v>
      </c>
      <c r="AA44" s="20">
        <f>AA27+AA39+Z44</f>
        <v>1324350.1666819998</v>
      </c>
      <c r="AB44" s="20">
        <f>AB27+AB39+AA44</f>
        <v>1478009.7742219998</v>
      </c>
      <c r="AC44" s="20">
        <f>AC27+AC39+AB44</f>
        <v>1615895.5508789998</v>
      </c>
      <c r="AD44" s="20">
        <f>AD27+AD39+AC44</f>
        <v>1851875.1470989997</v>
      </c>
      <c r="AE44" s="20">
        <f>AE27+AE39+AD44</f>
        <v>2008678.0473659998</v>
      </c>
      <c r="AF44" s="20">
        <f>AF27+AF39+AE44</f>
        <v>2146388.1087089996</v>
      </c>
      <c r="AG44" s="20">
        <f>AG27+AG39+AF44</f>
        <v>2170645.3508939994</v>
      </c>
      <c r="AH44" s="20">
        <f>AH27+AH39+AG44</f>
        <v>2170645.3508939994</v>
      </c>
      <c r="AI44" s="20">
        <f>AI27+AI39+AH44</f>
        <v>2173323.6420579995</v>
      </c>
      <c r="AJ44" s="20">
        <f>AJ27+AJ39+AI44</f>
        <v>2173323.6420579995</v>
      </c>
      <c r="AK44" s="20">
        <f>AK27+AK39+AJ44</f>
        <v>2176717.8514279993</v>
      </c>
      <c r="AL44" s="20">
        <f>AL27+AL39+AK44</f>
        <v>2176717.8514279993</v>
      </c>
      <c r="AM44" s="20">
        <f>AM27+AM39+AL44</f>
        <v>2176717.8514279993</v>
      </c>
      <c r="AN44" s="20">
        <f>AN27+AN39+AM44</f>
        <v>2176717.8514279993</v>
      </c>
      <c r="AO44" s="20">
        <f>AO27+AO39+AN44</f>
        <v>2176717.8514279993</v>
      </c>
      <c r="AP44" s="20">
        <f>AP27+AP39+AO44</f>
        <v>2176717.8514279993</v>
      </c>
      <c r="AQ44" s="20">
        <f>AQ27+AQ39+AP44</f>
        <v>2176717.8514279993</v>
      </c>
      <c r="AR44" s="20">
        <f>AR27+AR39+AQ44</f>
        <v>2178219.9541979996</v>
      </c>
      <c r="AS44" s="20">
        <f>AS27+AS39+AR44</f>
        <v>2178219.9541979996</v>
      </c>
      <c r="AT44" s="20">
        <f>AT27+AT39+AS44</f>
        <v>2181643.9547059997</v>
      </c>
      <c r="AU44" s="20">
        <f>AU27+AU39+AT44</f>
        <v>2181643.9547059997</v>
      </c>
      <c r="AV44" s="20">
        <f>AV27+AV39+AU44</f>
        <v>2181643.9547059997</v>
      </c>
      <c r="AW44" s="20">
        <f>AW27+AW39+AV44</f>
        <v>2181643.9547059997</v>
      </c>
      <c r="AX44" s="20">
        <f>AX27+AX39+AW44</f>
        <v>2181643.9547059997</v>
      </c>
      <c r="AY44" s="20">
        <f>AY27+AY39+AX44</f>
        <v>2189305.6947069997</v>
      </c>
      <c r="AZ44" s="20">
        <f>AZ27+AZ39+AY44</f>
        <v>2189305.6947069997</v>
      </c>
      <c r="BA44" s="20">
        <f>BA27+BA39+AZ44</f>
        <v>2189305.6947069997</v>
      </c>
      <c r="BB44" s="20">
        <f>BB27+BB39+BA44</f>
        <v>2189305.6947069997</v>
      </c>
      <c r="BC44" s="20">
        <f>BC27+BC39+BB44</f>
        <v>2189305.6947069997</v>
      </c>
      <c r="BD44" s="20">
        <f>BD27+BD39+BC44</f>
        <v>2189305.6947069997</v>
      </c>
      <c r="BE44" s="20">
        <f>BE27+BE39+BD44</f>
        <v>2189305.6947069997</v>
      </c>
      <c r="BF44" s="20">
        <f>BF27+BF39+BE44</f>
        <v>2189305.6947069997</v>
      </c>
      <c r="BG44" s="20">
        <f>BG27+BG39+BF44</f>
        <v>2189305.6947069997</v>
      </c>
      <c r="BH44" s="20">
        <f>BH27+BH39+BG44</f>
        <v>2189305.6947069997</v>
      </c>
      <c r="BI44" s="20">
        <f>BI27+BI39+BH44</f>
        <v>2189305.6947069997</v>
      </c>
      <c r="BJ44" s="20">
        <f>BJ27+BJ39+BI44</f>
        <v>2189305.6947069997</v>
      </c>
      <c r="BK44" s="20">
        <f>BK27+BK39+BJ44</f>
        <v>2189305.6947069997</v>
      </c>
      <c r="BL44" s="20">
        <f>BL27+BL39+BK44</f>
        <v>2189970.6947069997</v>
      </c>
    </row>
  </sheetData>
  <conditionalFormatting sqref="D43:BL43">
    <cfRule type="expression" priority="1" dxfId="2">
      <formula>ISNA(D43)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6756"/>
    <outlinePr summaryBelow="1" summaryRight="1"/>
    <pageSetUpPr/>
  </sheetPr>
  <dimension ref="A1:J13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7" customWidth="1" min="4" max="4"/>
    <col width="46" customWidth="1" min="5" max="5"/>
    <col width="14" customWidth="1" min="6" max="6"/>
    <col width="26" customWidth="1" min="7" max="7"/>
    <col width="46" customWidth="1" min="8" max="8"/>
    <col width="10" customWidth="1" min="9" max="9"/>
    <col width="12" customWidth="1" min="10" max="10"/>
  </cols>
  <sheetData>
    <row r="1" ht="39.6" customHeight="1">
      <c r="A1" s="1" t="inlineStr">
        <is>
          <t>Ed. Jardim · Lançamentos do grupo 11 (PL530.001)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Fonte: planilha DADOS do financeiro, GRUPO 1 = obra, COD SERVIÇO = PL530.001, STATUS = PAGAS ou A PAGAR. Valor positivo = custo (sinal invertido do [VALOR REAL]).</t>
        </is>
      </c>
    </row>
    <row r="4">
      <c r="A4" s="5" t="inlineStr">
        <is>
          <t>Mês</t>
        </is>
      </c>
      <c r="B4" s="5" t="inlineStr">
        <is>
          <t>Tipo</t>
        </is>
      </c>
      <c r="C4" s="5" t="inlineStr">
        <is>
          <t>Código</t>
        </is>
      </c>
      <c r="D4" s="5" t="inlineStr">
        <is>
          <t>Linha</t>
        </is>
      </c>
      <c r="E4" s="5" t="inlineStr">
        <is>
          <t>Fornecedor</t>
        </is>
      </c>
      <c r="F4" s="5" t="inlineStr">
        <is>
          <t>Valor (R$)</t>
        </is>
      </c>
      <c r="G4" s="5" t="inlineStr">
        <is>
          <t>Categoria (financeiro)</t>
        </is>
      </c>
      <c r="H4" s="5" t="inlineStr">
        <is>
          <t>Descrição</t>
        </is>
      </c>
      <c r="I4" s="5" t="inlineStr">
        <is>
          <t>Data</t>
        </is>
      </c>
      <c r="J4" s="5" t="inlineStr">
        <is>
          <t>Processo</t>
        </is>
      </c>
    </row>
    <row r="5">
      <c r="A5" s="23" t="n">
        <v>45444</v>
      </c>
      <c r="B5" s="6" t="inlineStr">
        <is>
          <t>Pago</t>
        </is>
      </c>
      <c r="C5" s="6" t="inlineStr">
        <is>
          <t>PL530.001</t>
        </is>
      </c>
      <c r="D5" s="6" t="str">
        <f>IFERROR(VLOOKUP(E5,FORNECEDORES!$A$5:$F$999,6,FALSE),"L10")</f>
        <v>L03</v>
      </c>
      <c r="E5" s="6" t="inlineStr">
        <is>
          <t>LOCAFAZ LOCACAO DE EQUIPAMENTOS LTDA</t>
        </is>
      </c>
      <c r="F5" s="7" t="n">
        <v>328</v>
      </c>
      <c r="G5" s="6" t="inlineStr">
        <is>
          <t>LOCAÇÕES</t>
        </is>
      </c>
      <c r="H5" s="6" t="inlineStr">
        <is>
          <t>LOCAFAZ LOCACAO DE EQUIPAMENTOS LTDA</t>
        </is>
      </c>
      <c r="I5" s="24" t="n">
        <v>45454</v>
      </c>
      <c r="J5" s="6" t="n">
        <v>1228</v>
      </c>
    </row>
    <row r="6">
      <c r="A6" s="23" t="n">
        <v>45444</v>
      </c>
      <c r="B6" s="6" t="inlineStr">
        <is>
          <t>Pago</t>
        </is>
      </c>
      <c r="C6" s="6" t="inlineStr">
        <is>
          <t>PL530.001</t>
        </is>
      </c>
      <c r="D6" s="6" t="str">
        <f>IFERROR(VLOOKUP(E6,FORNECEDORES!$A$5:$F$999,6,FALSE),"L10")</f>
        <v>L03</v>
      </c>
      <c r="E6" s="6" t="inlineStr">
        <is>
          <t>LOCAFAZ LOCACAO DE EQUIPAMENTOS LTDA</t>
        </is>
      </c>
      <c r="F6" s="7" t="n">
        <v>190</v>
      </c>
      <c r="G6" s="6" t="inlineStr">
        <is>
          <t>LOCAÇÕES</t>
        </is>
      </c>
      <c r="H6" s="6" t="inlineStr">
        <is>
          <t>LOCAFAZ LOCACAO DE EQUIPAMENTOS LTDA</t>
        </is>
      </c>
      <c r="I6" s="24" t="n">
        <v>45450</v>
      </c>
      <c r="J6" s="6" t="n">
        <v>1227</v>
      </c>
    </row>
    <row r="7">
      <c r="A7" s="23" t="n">
        <v>45444</v>
      </c>
      <c r="B7" s="6" t="inlineStr">
        <is>
          <t>Pago</t>
        </is>
      </c>
      <c r="C7" s="6" t="inlineStr">
        <is>
          <t>PL530.001</t>
        </is>
      </c>
      <c r="D7" s="6" t="str">
        <f>IFERROR(VLOOKUP(E7,FORNECEDORES!$A$5:$F$999,6,FALSE),"L10")</f>
        <v>L03</v>
      </c>
      <c r="E7" s="6" t="inlineStr">
        <is>
          <t>LOCAFAZ LOCACAO DE EQUIPAMENTOS LTDA</t>
        </is>
      </c>
      <c r="F7" s="7" t="n">
        <v>60</v>
      </c>
      <c r="G7" s="6" t="inlineStr">
        <is>
          <t>LOCAÇÕES</t>
        </is>
      </c>
      <c r="H7" s="6" t="inlineStr">
        <is>
          <t>LOCAFAZ LOCACAO DE EQUIPAMENTOS LTDA</t>
        </is>
      </c>
      <c r="I7" s="24" t="n">
        <v>45460</v>
      </c>
      <c r="J7" s="6" t="n">
        <v>1262</v>
      </c>
    </row>
    <row r="8">
      <c r="A8" s="23" t="n">
        <v>45444</v>
      </c>
      <c r="B8" s="6" t="inlineStr">
        <is>
          <t>Pago</t>
        </is>
      </c>
      <c r="C8" s="6" t="inlineStr">
        <is>
          <t>PL530.001</t>
        </is>
      </c>
      <c r="D8" s="6" t="str">
        <f>IFERROR(VLOOKUP(E8,FORNECEDORES!$A$5:$F$999,6,FALSE),"L10")</f>
        <v>L03</v>
      </c>
      <c r="E8" s="6" t="inlineStr">
        <is>
          <t>LOCAFAZ LOCACAO DE EQUIPAMENTOS LTDA</t>
        </is>
      </c>
      <c r="F8" s="7" t="n">
        <v>60</v>
      </c>
      <c r="G8" s="6" t="inlineStr">
        <is>
          <t>LOCAÇÕES</t>
        </is>
      </c>
      <c r="H8" s="6" t="inlineStr">
        <is>
          <t>LOCAFAZ LOCACAO DE EQUIPAMENTOS LTDA</t>
        </is>
      </c>
      <c r="I8" s="24" t="n">
        <v>45450</v>
      </c>
      <c r="J8" s="6" t="n">
        <v>1229</v>
      </c>
    </row>
    <row r="9">
      <c r="A9" s="23" t="n">
        <v>45444</v>
      </c>
      <c r="B9" s="6" t="inlineStr">
        <is>
          <t>Pago</t>
        </is>
      </c>
      <c r="C9" s="6" t="inlineStr">
        <is>
          <t>PL530.001</t>
        </is>
      </c>
      <c r="D9" s="6" t="str">
        <f>IFERROR(VLOOKUP(E9,FORNECEDORES!$A$5:$F$999,6,FALSE),"L10")</f>
        <v>L03</v>
      </c>
      <c r="E9" s="6" t="inlineStr">
        <is>
          <t>LOCAFAZ LOCACAO DE EQUIPAMENTOS LTDA</t>
        </is>
      </c>
      <c r="F9" s="7" t="n">
        <v>190</v>
      </c>
      <c r="G9" s="6" t="inlineStr">
        <is>
          <t>LOCAÇÕES</t>
        </is>
      </c>
      <c r="H9" s="6" t="inlineStr">
        <is>
          <t>LOCAFAZ LOCACAO DE EQUIPAMENTOS LTDA</t>
        </is>
      </c>
      <c r="I9" s="24" t="n">
        <v>45450</v>
      </c>
      <c r="J9" s="6" t="n">
        <v>1230</v>
      </c>
    </row>
    <row r="10">
      <c r="A10" s="23" t="n">
        <v>45444</v>
      </c>
      <c r="B10" s="6" t="inlineStr">
        <is>
          <t>Pago</t>
        </is>
      </c>
      <c r="C10" s="6" t="inlineStr">
        <is>
          <t>PL530.001</t>
        </is>
      </c>
      <c r="D10" s="6" t="str">
        <f>IFERROR(VLOOKUP(E10,FORNECEDORES!$A$5:$F$999,6,FALSE),"L10")</f>
        <v>L03</v>
      </c>
      <c r="E10" s="6" t="inlineStr">
        <is>
          <t>LOCAFAZ LOCACAO DE EQUIPAMENTOS LTDA</t>
        </is>
      </c>
      <c r="F10" s="7" t="n">
        <v>285</v>
      </c>
      <c r="G10" s="6" t="inlineStr">
        <is>
          <t>LOCAÇÕES</t>
        </is>
      </c>
      <c r="H10" s="6" t="inlineStr">
        <is>
          <t>LOCAFAZ LOCACAO DE EQUIPAMENTOS LTDA</t>
        </is>
      </c>
      <c r="I10" s="24" t="n">
        <v>45456</v>
      </c>
      <c r="J10" s="6" t="n">
        <v>1261</v>
      </c>
    </row>
    <row r="11">
      <c r="A11" s="23" t="n">
        <v>45474</v>
      </c>
      <c r="B11" s="6" t="inlineStr">
        <is>
          <t>Pago</t>
        </is>
      </c>
      <c r="C11" s="6" t="inlineStr">
        <is>
          <t>PL530.001</t>
        </is>
      </c>
      <c r="D11" s="6" t="str">
        <f>IFERROR(VLOOKUP(E11,FORNECEDORES!$A$5:$F$999,6,FALSE),"L10")</f>
        <v>L08</v>
      </c>
      <c r="E11" s="6" t="inlineStr">
        <is>
          <t>ALFA COMERCIO DE EPI LTDA</t>
        </is>
      </c>
      <c r="F11" s="7" t="n">
        <v>24</v>
      </c>
      <c r="G11" s="6" t="inlineStr">
        <is>
          <t>EQUIPAMENTOS DE PROTEÇÃO INDIVIDUAL</t>
        </is>
      </c>
      <c r="H11" s="6" t="inlineStr">
        <is>
          <t>ALFA COMERCIO DE EPI LTDA</t>
        </is>
      </c>
      <c r="I11" s="24" t="n">
        <v>45475</v>
      </c>
      <c r="J11" s="6" t="n">
        <v>1155</v>
      </c>
    </row>
    <row r="12">
      <c r="A12" s="23" t="n">
        <v>45474</v>
      </c>
      <c r="B12" s="6" t="inlineStr">
        <is>
          <t>Pago</t>
        </is>
      </c>
      <c r="C12" s="6" t="inlineStr">
        <is>
          <t>PL530.001</t>
        </is>
      </c>
      <c r="D12" s="6" t="str">
        <f>IFERROR(VLOOKUP(E12,FORNECEDORES!$A$5:$F$999,6,FALSE),"L10")</f>
        <v>L08</v>
      </c>
      <c r="E12" s="6" t="inlineStr">
        <is>
          <t>ALFA COMERCIO DE EPI LTDA</t>
        </is>
      </c>
      <c r="F12" s="7" t="n">
        <v>71.40000000000001</v>
      </c>
      <c r="G12" s="6" t="inlineStr">
        <is>
          <t>EQUIPAMENTOS DE PROTEÇÃO INDIVIDUAL</t>
        </is>
      </c>
      <c r="H12" s="6" t="inlineStr">
        <is>
          <t>ALFA COMERCIO DE EPI LTDA</t>
        </is>
      </c>
      <c r="I12" s="24" t="n">
        <v>45475</v>
      </c>
      <c r="J12" s="6" t="n">
        <v>1155</v>
      </c>
    </row>
    <row r="13">
      <c r="A13" s="23" t="n">
        <v>45474</v>
      </c>
      <c r="B13" s="6" t="inlineStr">
        <is>
          <t>Pago</t>
        </is>
      </c>
      <c r="C13" s="6" t="inlineStr">
        <is>
          <t>PL530.001</t>
        </is>
      </c>
      <c r="D13" s="6" t="str">
        <f>IFERROR(VLOOKUP(E13,FORNECEDORES!$A$5:$F$999,6,FALSE),"L10")</f>
        <v>L08</v>
      </c>
      <c r="E13" s="6" t="inlineStr">
        <is>
          <t>ALFA COMERCIO DE EPI LTDA</t>
        </is>
      </c>
      <c r="F13" s="7" t="n">
        <v>236</v>
      </c>
      <c r="G13" s="6" t="inlineStr">
        <is>
          <t>EQUIPAMENTOS DE PROTEÇÃO INDIVIDUAL</t>
        </is>
      </c>
      <c r="H13" s="6" t="inlineStr">
        <is>
          <t>ALFA COMERCIO DE EPI LTDA</t>
        </is>
      </c>
      <c r="I13" s="24" t="n">
        <v>45475</v>
      </c>
      <c r="J13" s="6" t="n">
        <v>1155</v>
      </c>
    </row>
    <row r="14">
      <c r="A14" s="23" t="n">
        <v>45474</v>
      </c>
      <c r="B14" s="6" t="inlineStr">
        <is>
          <t>Pago</t>
        </is>
      </c>
      <c r="C14" s="6" t="inlineStr">
        <is>
          <t>PL530.001</t>
        </is>
      </c>
      <c r="D14" s="6" t="str">
        <f>IFERROR(VLOOKUP(E14,FORNECEDORES!$A$5:$F$999,6,FALSE),"L10")</f>
        <v>L03</v>
      </c>
      <c r="E14" s="6" t="inlineStr">
        <is>
          <t>LOCAFAZ LOCACAO DE EQUIPAMENTOS LTDA</t>
        </is>
      </c>
      <c r="F14" s="7" t="n">
        <v>100</v>
      </c>
      <c r="G14" s="6" t="inlineStr">
        <is>
          <t>LOCAÇÕES</t>
        </is>
      </c>
      <c r="H14" s="6" t="inlineStr">
        <is>
          <t>LOCAFAZ LOCACAO DE EQUIPAMENTOS LTDA</t>
        </is>
      </c>
      <c r="I14" s="24" t="n">
        <v>45498</v>
      </c>
      <c r="J14" s="6" t="n">
        <v>1387</v>
      </c>
    </row>
    <row r="15">
      <c r="A15" s="23" t="n">
        <v>45474</v>
      </c>
      <c r="B15" s="6" t="inlineStr">
        <is>
          <t>Pago</t>
        </is>
      </c>
      <c r="C15" s="6" t="inlineStr">
        <is>
          <t>PL530.001</t>
        </is>
      </c>
      <c r="D15" s="6" t="str">
        <f>IFERROR(VLOOKUP(E15,FORNECEDORES!$A$5:$F$999,6,FALSE),"L10")</f>
        <v>L03</v>
      </c>
      <c r="E15" s="6" t="inlineStr">
        <is>
          <t>LOCAFAZ LOCACAO DE EQUIPAMENTOS LTDA</t>
        </is>
      </c>
      <c r="F15" s="7" t="n">
        <v>285</v>
      </c>
      <c r="G15" s="6" t="inlineStr">
        <is>
          <t>LOCAÇÕES</t>
        </is>
      </c>
      <c r="H15" s="6" t="inlineStr">
        <is>
          <t>LOCAFAZ LOCACAO DE EQUIPAMENTOS LTDA</t>
        </is>
      </c>
      <c r="I15" s="24" t="n">
        <v>45488</v>
      </c>
      <c r="J15" s="6" t="n">
        <v>1322</v>
      </c>
    </row>
    <row r="16">
      <c r="A16" s="23" t="n">
        <v>45474</v>
      </c>
      <c r="B16" s="6" t="inlineStr">
        <is>
          <t>Pago</t>
        </is>
      </c>
      <c r="C16" s="6" t="inlineStr">
        <is>
          <t>PL530.001</t>
        </is>
      </c>
      <c r="D16" s="6" t="str">
        <f>IFERROR(VLOOKUP(E16,FORNECEDORES!$A$5:$F$999,6,FALSE),"L10")</f>
        <v>L03</v>
      </c>
      <c r="E16" s="6" t="inlineStr">
        <is>
          <t>LOCAFAZ LOCACAO DE EQUIPAMENTOS LTDA</t>
        </is>
      </c>
      <c r="F16" s="7" t="n">
        <v>328</v>
      </c>
      <c r="G16" s="6" t="inlineStr">
        <is>
          <t>LOCAÇÕES</t>
        </is>
      </c>
      <c r="H16" s="6" t="inlineStr">
        <is>
          <t>LOCAFAZ LOCACAO DE EQUIPAMENTOS LTDA</t>
        </is>
      </c>
      <c r="I16" s="24" t="n">
        <v>45483</v>
      </c>
      <c r="J16" s="6" t="n">
        <v>1321</v>
      </c>
    </row>
    <row r="17">
      <c r="A17" s="23" t="n">
        <v>45474</v>
      </c>
      <c r="B17" s="6" t="inlineStr">
        <is>
          <t>Pago</t>
        </is>
      </c>
      <c r="C17" s="6" t="inlineStr">
        <is>
          <t>PL530.001</t>
        </is>
      </c>
      <c r="D17" s="6" t="str">
        <f>IFERROR(VLOOKUP(E17,FORNECEDORES!$A$5:$F$999,6,FALSE),"L10")</f>
        <v>L03</v>
      </c>
      <c r="E17" s="6" t="inlineStr">
        <is>
          <t>LOCAFAZ LOCACAO DE EQUIPAMENTOS LTDA</t>
        </is>
      </c>
      <c r="F17" s="7" t="n">
        <v>100</v>
      </c>
      <c r="G17" s="6" t="inlineStr">
        <is>
          <t>LOCAÇÕES</t>
        </is>
      </c>
      <c r="H17" s="6" t="inlineStr">
        <is>
          <t>LOCAFAZ LOCACAO DE EQUIPAMENTOS LTDA</t>
        </is>
      </c>
      <c r="I17" s="24" t="n">
        <v>45498</v>
      </c>
      <c r="J17" s="6" t="n">
        <v>1388</v>
      </c>
    </row>
    <row r="18">
      <c r="A18" s="23" t="n">
        <v>45505</v>
      </c>
      <c r="B18" s="6" t="inlineStr">
        <is>
          <t>Pago</t>
        </is>
      </c>
      <c r="C18" s="6" t="inlineStr">
        <is>
          <t>PL530.001</t>
        </is>
      </c>
      <c r="D18" s="6" t="str">
        <f>IFERROR(VLOOKUP(E18,FORNECEDORES!$A$5:$F$999,6,FALSE),"L10")</f>
        <v>L03</v>
      </c>
      <c r="E18" s="6" t="inlineStr">
        <is>
          <t>LOCAFAZ LOCACAO DE EQUIPAMENTOS LTDA</t>
        </is>
      </c>
      <c r="F18" s="7" t="n">
        <v>328</v>
      </c>
      <c r="G18" s="6" t="inlineStr">
        <is>
          <t>LOCAÇÕES</t>
        </is>
      </c>
      <c r="H18" s="6" t="inlineStr">
        <is>
          <t>LOCAFAZ LOCACAO DE EQUIPAMENTOS LTDA</t>
        </is>
      </c>
      <c r="I18" s="24" t="n">
        <v>45511</v>
      </c>
      <c r="J18" s="6" t="n">
        <v>1396</v>
      </c>
    </row>
    <row r="19">
      <c r="A19" s="23" t="n">
        <v>45505</v>
      </c>
      <c r="B19" s="6" t="inlineStr">
        <is>
          <t>Pago</t>
        </is>
      </c>
      <c r="C19" s="6" t="inlineStr">
        <is>
          <t>PL530.001</t>
        </is>
      </c>
      <c r="D19" s="6" t="str">
        <f>IFERROR(VLOOKUP(E19,FORNECEDORES!$A$5:$F$999,6,FALSE),"L10")</f>
        <v>L03</v>
      </c>
      <c r="E19" s="6" t="inlineStr">
        <is>
          <t>LOCAFAZ LOCACAO DE EQUIPAMENTOS LTDA</t>
        </is>
      </c>
      <c r="F19" s="7" t="n">
        <v>65</v>
      </c>
      <c r="G19" s="6" t="inlineStr">
        <is>
          <t>LOCAÇÕES</t>
        </is>
      </c>
      <c r="H19" s="6" t="inlineStr">
        <is>
          <t>LOCAFAZ LOCACAO DE EQUIPAMENTOS LTDA</t>
        </is>
      </c>
      <c r="I19" s="24" t="n">
        <v>45513</v>
      </c>
      <c r="J19" s="6" t="n">
        <v>1431</v>
      </c>
    </row>
    <row r="20">
      <c r="A20" s="23" t="n">
        <v>45505</v>
      </c>
      <c r="B20" s="6" t="inlineStr">
        <is>
          <t>Pago</t>
        </is>
      </c>
      <c r="C20" s="6" t="inlineStr">
        <is>
          <t>PL530.001</t>
        </is>
      </c>
      <c r="D20" s="6" t="str">
        <f>IFERROR(VLOOKUP(E20,FORNECEDORES!$A$5:$F$999,6,FALSE),"L10")</f>
        <v>L03</v>
      </c>
      <c r="E20" s="6" t="inlineStr">
        <is>
          <t>LOCAFAZ LOCACAO DE EQUIPAMENTOS LTDA</t>
        </is>
      </c>
      <c r="F20" s="7" t="n">
        <v>285</v>
      </c>
      <c r="G20" s="6" t="inlineStr">
        <is>
          <t>LOCAÇÕES</t>
        </is>
      </c>
      <c r="H20" s="6" t="inlineStr">
        <is>
          <t>LOCAFAZ LOCACAO DE EQUIPAMENTOS LTDA</t>
        </is>
      </c>
      <c r="I20" s="24" t="n">
        <v>45518</v>
      </c>
      <c r="J20" s="6" t="n">
        <v>1433</v>
      </c>
    </row>
    <row r="21">
      <c r="A21" s="23" t="n">
        <v>45505</v>
      </c>
      <c r="B21" s="6" t="inlineStr">
        <is>
          <t>Pago</t>
        </is>
      </c>
      <c r="C21" s="6" t="inlineStr">
        <is>
          <t>PL530.001</t>
        </is>
      </c>
      <c r="D21" s="6" t="str">
        <f>IFERROR(VLOOKUP(E21,FORNECEDORES!$A$5:$F$999,6,FALSE),"L10")</f>
        <v>L03</v>
      </c>
      <c r="E21" s="6" t="inlineStr">
        <is>
          <t>LOCAFAZ LOCACAO DE EQUIPAMENTOS LTDA</t>
        </is>
      </c>
      <c r="F21" s="7" t="n">
        <v>274</v>
      </c>
      <c r="G21" s="6" t="inlineStr">
        <is>
          <t>LOCAÇÕES</t>
        </is>
      </c>
      <c r="H21" s="6" t="inlineStr">
        <is>
          <t>LOCAFAZ LOCACAO DE EQUIPAMENTOS LTDA</t>
        </is>
      </c>
      <c r="I21" s="24" t="n">
        <v>45513</v>
      </c>
      <c r="J21" s="6" t="n">
        <v>1431</v>
      </c>
    </row>
    <row r="22">
      <c r="A22" s="23" t="n">
        <v>45505</v>
      </c>
      <c r="B22" s="6" t="inlineStr">
        <is>
          <t>Pago</t>
        </is>
      </c>
      <c r="C22" s="6" t="inlineStr">
        <is>
          <t>PL530.001</t>
        </is>
      </c>
      <c r="D22" s="6" t="str">
        <f>IFERROR(VLOOKUP(E22,FORNECEDORES!$A$5:$F$999,6,FALSE),"L10")</f>
        <v>L03</v>
      </c>
      <c r="E22" s="6" t="inlineStr">
        <is>
          <t>LOCAFAZ LOCACAO DE EQUIPAMENTOS LTDA</t>
        </is>
      </c>
      <c r="F22" s="7" t="n">
        <v>88</v>
      </c>
      <c r="G22" s="6" t="inlineStr">
        <is>
          <t>LOCAÇÕES</t>
        </is>
      </c>
      <c r="H22" s="6" t="inlineStr">
        <is>
          <t>LOCAFAZ LOCACAO DE EQUIPAMENTOS LTDA</t>
        </is>
      </c>
      <c r="I22" s="24" t="n">
        <v>45513</v>
      </c>
      <c r="J22" s="6" t="n">
        <v>1431</v>
      </c>
    </row>
    <row r="23">
      <c r="A23" s="23" t="n">
        <v>45505</v>
      </c>
      <c r="B23" s="6" t="inlineStr">
        <is>
          <t>Pago</t>
        </is>
      </c>
      <c r="C23" s="6" t="inlineStr">
        <is>
          <t>PL530.001</t>
        </is>
      </c>
      <c r="D23" s="6" t="str">
        <f>IFERROR(VLOOKUP(E23,FORNECEDORES!$A$5:$F$999,6,FALSE),"L10")</f>
        <v>L03</v>
      </c>
      <c r="E23" s="6" t="inlineStr">
        <is>
          <t>LOCAFAZ LOCACAO DE EQUIPAMENTOS LTDA</t>
        </is>
      </c>
      <c r="F23" s="7" t="n">
        <v>65</v>
      </c>
      <c r="G23" s="6" t="inlineStr">
        <is>
          <t>LOCAÇÕES</t>
        </is>
      </c>
      <c r="H23" s="6" t="inlineStr">
        <is>
          <t>LOCAFAZ LOCACAO DE EQUIPAMENTOS LTDA</t>
        </is>
      </c>
      <c r="I23" s="24" t="n">
        <v>45532</v>
      </c>
      <c r="J23" s="6" t="n">
        <v>1498</v>
      </c>
    </row>
    <row r="24">
      <c r="A24" s="23" t="n">
        <v>45505</v>
      </c>
      <c r="B24" s="6" t="inlineStr">
        <is>
          <t>Pago</t>
        </is>
      </c>
      <c r="C24" s="6" t="inlineStr">
        <is>
          <t>PL530.001</t>
        </is>
      </c>
      <c r="D24" s="6" t="str">
        <f>IFERROR(VLOOKUP(E24,FORNECEDORES!$A$5:$F$999,6,FALSE),"L10")</f>
        <v>L03</v>
      </c>
      <c r="E24" s="6" t="inlineStr">
        <is>
          <t>LOCAFAZ LOCACAO DE EQUIPAMENTOS LTDA</t>
        </is>
      </c>
      <c r="F24" s="7" t="n">
        <v>500</v>
      </c>
      <c r="G24" s="6" t="inlineStr">
        <is>
          <t>LOCAÇÕES</t>
        </is>
      </c>
      <c r="H24" s="6" t="inlineStr">
        <is>
          <t>LOCAFAZ LOCACAO DE EQUIPAMENTOS LTDA</t>
        </is>
      </c>
      <c r="I24" s="24" t="n">
        <v>45532</v>
      </c>
      <c r="J24" s="6" t="n">
        <v>1498</v>
      </c>
    </row>
    <row r="25">
      <c r="A25" s="23" t="n">
        <v>45505</v>
      </c>
      <c r="B25" s="6" t="inlineStr">
        <is>
          <t>Pago</t>
        </is>
      </c>
      <c r="C25" s="6" t="inlineStr">
        <is>
          <t>PL530.001</t>
        </is>
      </c>
      <c r="D25" s="6" t="str">
        <f>IFERROR(VLOOKUP(E25,FORNECEDORES!$A$5:$F$999,6,FALSE),"L10")</f>
        <v>L03</v>
      </c>
      <c r="E25" s="6" t="inlineStr">
        <is>
          <t>LOCAFAZ LOCACAO DE EQUIPAMENTOS LTDA</t>
        </is>
      </c>
      <c r="F25" s="7" t="n">
        <v>88</v>
      </c>
      <c r="G25" s="6" t="inlineStr">
        <is>
          <t>LOCAÇÕES</t>
        </is>
      </c>
      <c r="H25" s="6" t="inlineStr">
        <is>
          <t>LOCAFAZ LOCACAO DE EQUIPAMENTOS LTDA</t>
        </is>
      </c>
      <c r="I25" s="24" t="n">
        <v>45532</v>
      </c>
      <c r="J25" s="6" t="n">
        <v>1498</v>
      </c>
    </row>
    <row r="26">
      <c r="A26" s="23" t="n">
        <v>45505</v>
      </c>
      <c r="B26" s="6" t="inlineStr">
        <is>
          <t>Pago</t>
        </is>
      </c>
      <c r="C26" s="6" t="inlineStr">
        <is>
          <t>PL530.001</t>
        </is>
      </c>
      <c r="D26" s="6" t="str">
        <f>IFERROR(VLOOKUP(E26,FORNECEDORES!$A$5:$F$999,6,FALSE),"L10")</f>
        <v>L03</v>
      </c>
      <c r="E26" s="6" t="inlineStr">
        <is>
          <t>LOCAFAZ LOCACAO DE EQUIPAMENTOS LTDA</t>
        </is>
      </c>
      <c r="F26" s="7" t="n">
        <v>274</v>
      </c>
      <c r="G26" s="6" t="inlineStr">
        <is>
          <t>LOCAÇÕES</t>
        </is>
      </c>
      <c r="H26" s="6" t="inlineStr">
        <is>
          <t>LOCAFAZ LOCACAO DE EQUIPAMENTOS LTDA</t>
        </is>
      </c>
      <c r="I26" s="24" t="n">
        <v>45532</v>
      </c>
      <c r="J26" s="6" t="n">
        <v>1498</v>
      </c>
    </row>
    <row r="27">
      <c r="A27" s="23" t="n">
        <v>45505</v>
      </c>
      <c r="B27" s="6" t="inlineStr">
        <is>
          <t>Pago</t>
        </is>
      </c>
      <c r="C27" s="6" t="inlineStr">
        <is>
          <t>PL530.001</t>
        </is>
      </c>
      <c r="D27" s="6" t="str">
        <f>IFERROR(VLOOKUP(E27,FORNECEDORES!$A$5:$F$999,6,FALSE),"L10")</f>
        <v>L03</v>
      </c>
      <c r="E27" s="6" t="inlineStr">
        <is>
          <t>LOCAFAZ LOCACAO DE EQUIPAMENTOS LTDA</t>
        </is>
      </c>
      <c r="F27" s="7" t="n">
        <v>100</v>
      </c>
      <c r="G27" s="6" t="inlineStr">
        <is>
          <t>LOCAÇÕES</t>
        </is>
      </c>
      <c r="H27" s="6" t="inlineStr">
        <is>
          <t>LOCAFAZ LOCACAO DE EQUIPAMENTOS LTDA</t>
        </is>
      </c>
      <c r="I27" s="24" t="n">
        <v>45513</v>
      </c>
      <c r="J27" s="6" t="n">
        <v>1432</v>
      </c>
    </row>
    <row r="28">
      <c r="A28" s="23" t="n">
        <v>45536</v>
      </c>
      <c r="B28" s="6" t="inlineStr">
        <is>
          <t>Pago</t>
        </is>
      </c>
      <c r="C28" s="6" t="inlineStr">
        <is>
          <t>PL530.001</t>
        </is>
      </c>
      <c r="D28" s="6" t="str">
        <f>IFERROR(VLOOKUP(E28,FORNECEDORES!$A$5:$F$999,6,FALSE),"L10")</f>
        <v>L03</v>
      </c>
      <c r="E28" s="6" t="inlineStr">
        <is>
          <t>ACESSO EQUIPAMENTOS LTDA</t>
        </is>
      </c>
      <c r="F28" s="7" t="n">
        <v>100</v>
      </c>
      <c r="G28" s="6" t="inlineStr">
        <is>
          <t>LOCAÇÕES</t>
        </is>
      </c>
      <c r="H28" s="6" t="inlineStr">
        <is>
          <t>ACESSO EQUIPAMENTOS LTDA</t>
        </is>
      </c>
      <c r="I28" s="24" t="n">
        <v>45538</v>
      </c>
      <c r="J28" s="6" t="n">
        <v>1528</v>
      </c>
    </row>
    <row r="29">
      <c r="A29" s="23" t="n">
        <v>45536</v>
      </c>
      <c r="B29" s="6" t="inlineStr">
        <is>
          <t>Pago</t>
        </is>
      </c>
      <c r="C29" s="6" t="inlineStr">
        <is>
          <t>PL530.001</t>
        </is>
      </c>
      <c r="D29" s="6" t="str">
        <f>IFERROR(VLOOKUP(E29,FORNECEDORES!$A$5:$F$999,6,FALSE),"L10")</f>
        <v>L03</v>
      </c>
      <c r="E29" s="6" t="inlineStr">
        <is>
          <t>EDIFICAR LOCACAO MANUTENCAO E SERVICOS LTDA</t>
        </is>
      </c>
      <c r="F29" s="7" t="n">
        <v>700</v>
      </c>
      <c r="G29" s="6" t="inlineStr">
        <is>
          <t>LOCAÇÕES</t>
        </is>
      </c>
      <c r="H29" s="6" t="inlineStr">
        <is>
          <t>EDIFICAR LOCACAO MANUTENCAO E SERVICOS LTDA</t>
        </is>
      </c>
      <c r="I29" s="24" t="n">
        <v>45558</v>
      </c>
      <c r="J29" s="6" t="n">
        <v>1614</v>
      </c>
    </row>
    <row r="30">
      <c r="A30" s="23" t="n">
        <v>45536</v>
      </c>
      <c r="B30" s="6" t="inlineStr">
        <is>
          <t>Pago</t>
        </is>
      </c>
      <c r="C30" s="6" t="inlineStr">
        <is>
          <t>PL530.001</t>
        </is>
      </c>
      <c r="D30" s="6" t="str">
        <f>IFERROR(VLOOKUP(E30,FORNECEDORES!$A$5:$F$999,6,FALSE),"L10")</f>
        <v>L10</v>
      </c>
      <c r="E30" s="6" t="inlineStr">
        <is>
          <t>FIAO LOCACOES E TRANSPORTES LTDA</t>
        </is>
      </c>
      <c r="F30" s="7" t="n">
        <v>2457</v>
      </c>
      <c r="G30" s="6" t="inlineStr">
        <is>
          <t>NÃO CLASSIFICADO</t>
        </is>
      </c>
      <c r="H30" s="6" t="inlineStr">
        <is>
          <t>FIAO LOCACOES DE MUNCK E TRANSPORTES EIRELI</t>
        </is>
      </c>
      <c r="I30" s="24" t="n">
        <v>45558</v>
      </c>
      <c r="J30" s="6" t="n">
        <v>1594</v>
      </c>
    </row>
    <row r="31">
      <c r="A31" s="23" t="n">
        <v>45536</v>
      </c>
      <c r="B31" s="6" t="inlineStr">
        <is>
          <t>Pago</t>
        </is>
      </c>
      <c r="C31" s="6" t="inlineStr">
        <is>
          <t>PL530.001</t>
        </is>
      </c>
      <c r="D31" s="6" t="str">
        <f>IFERROR(VLOOKUP(E31,FORNECEDORES!$A$5:$F$999,6,FALSE),"L10")</f>
        <v>L01</v>
      </c>
      <c r="E31" s="6" t="inlineStr">
        <is>
          <t>METROGERAIS METROLOGIA E ASSIST TEC EQUIP PRECISAO LTDA</t>
        </is>
      </c>
      <c r="F31" s="7" t="n">
        <v>238</v>
      </c>
      <c r="G31" s="6" t="inlineStr">
        <is>
          <t>DESPESAS</t>
        </is>
      </c>
      <c r="H31" s="6" t="inlineStr">
        <is>
          <t>METROGERAIS METROLOGIA E ASSIST TEC EQUIP PRECISAO</t>
        </is>
      </c>
      <c r="I31" s="24" t="n">
        <v>45559</v>
      </c>
      <c r="J31" s="6" t="n">
        <v>1505</v>
      </c>
    </row>
    <row r="32">
      <c r="A32" s="23" t="n">
        <v>45536</v>
      </c>
      <c r="B32" s="6" t="inlineStr">
        <is>
          <t>Pago</t>
        </is>
      </c>
      <c r="C32" s="6" t="inlineStr">
        <is>
          <t>PL530.001</t>
        </is>
      </c>
      <c r="D32" s="6" t="str">
        <f>IFERROR(VLOOKUP(E32,FORNECEDORES!$A$5:$F$999,6,FALSE),"L10")</f>
        <v>L01</v>
      </c>
      <c r="E32" s="6" t="inlineStr">
        <is>
          <t>MINAS FERRAMENTAS LTDA</t>
        </is>
      </c>
      <c r="F32" s="7" t="n">
        <v>25.83</v>
      </c>
      <c r="G32" s="6" t="inlineStr">
        <is>
          <t>EQUIPAMENTOS E FERRAMENTAS</t>
        </is>
      </c>
      <c r="H32" s="6" t="inlineStr">
        <is>
          <t>MINAS FERRAMENTAS LTDA</t>
        </is>
      </c>
      <c r="I32" s="24" t="n">
        <v>45560</v>
      </c>
      <c r="J32" s="6" t="n">
        <v>1504</v>
      </c>
    </row>
    <row r="33">
      <c r="A33" s="23" t="n">
        <v>45536</v>
      </c>
      <c r="B33" s="6" t="inlineStr">
        <is>
          <t>Pago</t>
        </is>
      </c>
      <c r="C33" s="6" t="inlineStr">
        <is>
          <t>PL530.001</t>
        </is>
      </c>
      <c r="D33" s="6" t="str">
        <f>IFERROR(VLOOKUP(E33,FORNECEDORES!$A$5:$F$999,6,FALSE),"L10")</f>
        <v>L01</v>
      </c>
      <c r="E33" s="6" t="inlineStr">
        <is>
          <t>MINAS FERRAMENTAS LTDA</t>
        </is>
      </c>
      <c r="F33" s="7" t="n">
        <v>56.45</v>
      </c>
      <c r="G33" s="6" t="inlineStr">
        <is>
          <t>EQUIPAMENTOS E FERRAMENTAS</t>
        </is>
      </c>
      <c r="H33" s="6" t="inlineStr">
        <is>
          <t>MINAS FERRAMENTAS LTDA</t>
        </is>
      </c>
      <c r="I33" s="24" t="n">
        <v>45560</v>
      </c>
      <c r="J33" s="6" t="n">
        <v>1504</v>
      </c>
    </row>
    <row r="34">
      <c r="A34" s="23" t="n">
        <v>45536</v>
      </c>
      <c r="B34" s="6" t="inlineStr">
        <is>
          <t>Pago</t>
        </is>
      </c>
      <c r="C34" s="6" t="inlineStr">
        <is>
          <t>PL530.001</t>
        </is>
      </c>
      <c r="D34" s="6" t="str">
        <f>IFERROR(VLOOKUP(E34,FORNECEDORES!$A$5:$F$999,6,FALSE),"L10")</f>
        <v>L01</v>
      </c>
      <c r="E34" s="6" t="inlineStr">
        <is>
          <t>MINAS FERRAMENTAS LTDA</t>
        </is>
      </c>
      <c r="F34" s="7" t="n">
        <v>40.6</v>
      </c>
      <c r="G34" s="6" t="inlineStr">
        <is>
          <t>EQUIPAMENTOS E FERRAMENTAS</t>
        </is>
      </c>
      <c r="H34" s="6" t="inlineStr">
        <is>
          <t>MINAS FERRAMENTAS LTDA</t>
        </is>
      </c>
      <c r="I34" s="24" t="n">
        <v>45560</v>
      </c>
      <c r="J34" s="6" t="n">
        <v>1504</v>
      </c>
    </row>
    <row r="35">
      <c r="A35" s="23" t="n">
        <v>45536</v>
      </c>
      <c r="B35" s="6" t="inlineStr">
        <is>
          <t>Pago</t>
        </is>
      </c>
      <c r="C35" s="6" t="inlineStr">
        <is>
          <t>PL530.001</t>
        </is>
      </c>
      <c r="D35" s="6" t="str">
        <f>IFERROR(VLOOKUP(E35,FORNECEDORES!$A$5:$F$999,6,FALSE),"L10")</f>
        <v>L01</v>
      </c>
      <c r="E35" s="6" t="inlineStr">
        <is>
          <t>MINAS FERRAMENTAS LTDA</t>
        </is>
      </c>
      <c r="F35" s="7" t="n">
        <v>166.59</v>
      </c>
      <c r="G35" s="6" t="inlineStr">
        <is>
          <t>EQUIPAMENTOS E FERRAMENTAS</t>
        </is>
      </c>
      <c r="H35" s="6" t="inlineStr">
        <is>
          <t>MINAS FERRAMENTAS LTDA</t>
        </is>
      </c>
      <c r="I35" s="24" t="n">
        <v>45560</v>
      </c>
      <c r="J35" s="6" t="n">
        <v>1504</v>
      </c>
    </row>
    <row r="36">
      <c r="A36" s="23" t="n">
        <v>45536</v>
      </c>
      <c r="B36" s="6" t="inlineStr">
        <is>
          <t>Pago</t>
        </is>
      </c>
      <c r="C36" s="6" t="inlineStr">
        <is>
          <t>PL530.001</t>
        </is>
      </c>
      <c r="D36" s="6" t="str">
        <f>IFERROR(VLOOKUP(E36,FORNECEDORES!$A$5:$F$999,6,FALSE),"L10")</f>
        <v>L01</v>
      </c>
      <c r="E36" s="6" t="inlineStr">
        <is>
          <t>MINAS FERRAMENTAS LTDA</t>
        </is>
      </c>
      <c r="F36" s="7" t="n">
        <v>15.91</v>
      </c>
      <c r="G36" s="6" t="inlineStr">
        <is>
          <t>EQUIPAMENTOS E FERRAMENTAS</t>
        </is>
      </c>
      <c r="H36" s="6" t="inlineStr">
        <is>
          <t>MINAS FERRAMENTAS LTDA</t>
        </is>
      </c>
      <c r="I36" s="24" t="n">
        <v>45560</v>
      </c>
      <c r="J36" s="6" t="n">
        <v>1504</v>
      </c>
    </row>
    <row r="37">
      <c r="A37" s="23" t="n">
        <v>45566</v>
      </c>
      <c r="B37" s="6" t="inlineStr">
        <is>
          <t>Pago</t>
        </is>
      </c>
      <c r="C37" s="6" t="inlineStr">
        <is>
          <t>PL530.001</t>
        </is>
      </c>
      <c r="D37" s="6" t="str">
        <f>IFERROR(VLOOKUP(E37,FORNECEDORES!$A$5:$F$999,6,FALSE),"L10")</f>
        <v>L03</v>
      </c>
      <c r="E37" s="6" t="inlineStr">
        <is>
          <t>ACESSO EQUIPAMENTOS LTDA</t>
        </is>
      </c>
      <c r="F37" s="7" t="n">
        <v>100</v>
      </c>
      <c r="G37" s="6" t="inlineStr">
        <is>
          <t>LOCAÇÕES</t>
        </is>
      </c>
      <c r="H37" s="6" t="inlineStr">
        <is>
          <t>ACESSO EQUIPAMENTOS LTDA</t>
        </is>
      </c>
      <c r="I37" s="24" t="n">
        <v>45569</v>
      </c>
      <c r="J37" s="6" t="n">
        <v>1654</v>
      </c>
    </row>
    <row r="38">
      <c r="A38" s="23" t="n">
        <v>45566</v>
      </c>
      <c r="B38" s="6" t="inlineStr">
        <is>
          <t>Pago</t>
        </is>
      </c>
      <c r="C38" s="6" t="inlineStr">
        <is>
          <t>PL530.001</t>
        </is>
      </c>
      <c r="D38" s="6" t="str">
        <f>IFERROR(VLOOKUP(E38,FORNECEDORES!$A$5:$F$999,6,FALSE),"L10")</f>
        <v>L08</v>
      </c>
      <c r="E38" s="6" t="inlineStr">
        <is>
          <t>BH SEG EQUIPAMENTOS DE PROTECAO INDIVIDUAL LTDA</t>
        </is>
      </c>
      <c r="F38" s="7" t="n">
        <v>25</v>
      </c>
      <c r="G38" s="6" t="inlineStr">
        <is>
          <t>FRETE</t>
        </is>
      </c>
      <c r="H38" s="6" t="inlineStr">
        <is>
          <t>BH SEG EQUIPAMENTOS DE PROTECAO INDIVIDUAL LTDA</t>
        </is>
      </c>
      <c r="I38" s="24" t="n">
        <v>45567</v>
      </c>
      <c r="J38" s="6" t="n">
        <v>1646</v>
      </c>
    </row>
    <row r="39">
      <c r="A39" s="23" t="n">
        <v>45566</v>
      </c>
      <c r="B39" s="6" t="inlineStr">
        <is>
          <t>Pago</t>
        </is>
      </c>
      <c r="C39" s="6" t="inlineStr">
        <is>
          <t>PL530.001</t>
        </is>
      </c>
      <c r="D39" s="6" t="str">
        <f>IFERROR(VLOOKUP(E39,FORNECEDORES!$A$5:$F$999,6,FALSE),"L10")</f>
        <v>L08</v>
      </c>
      <c r="E39" s="6" t="inlineStr">
        <is>
          <t>BH SEG EQUIPAMENTOS DE PROTECAO INDIVIDUAL LTDA</t>
        </is>
      </c>
      <c r="F39" s="7" t="n">
        <v>224.2</v>
      </c>
      <c r="G39" s="6" t="inlineStr">
        <is>
          <t>EQUIPAMENTOS DE PROTEÇÃO INDIVIDUAL</t>
        </is>
      </c>
      <c r="H39" s="6" t="inlineStr">
        <is>
          <t>BH SEG EQUIPAMENTOS DE PROTECAO INDIVIDUAL LTDA</t>
        </is>
      </c>
      <c r="I39" s="24" t="n">
        <v>45567</v>
      </c>
      <c r="J39" s="6" t="n">
        <v>1646</v>
      </c>
    </row>
    <row r="40">
      <c r="A40" s="23" t="n">
        <v>45566</v>
      </c>
      <c r="B40" s="6" t="inlineStr">
        <is>
          <t>Pago</t>
        </is>
      </c>
      <c r="C40" s="6" t="inlineStr">
        <is>
          <t>PL530.001</t>
        </is>
      </c>
      <c r="D40" s="6" t="str">
        <f>IFERROR(VLOOKUP(E40,FORNECEDORES!$A$5:$F$999,6,FALSE),"L10")</f>
        <v>L01</v>
      </c>
      <c r="E40" s="6" t="inlineStr">
        <is>
          <t>CASA FERREIRA GONCALVES LTDA</t>
        </is>
      </c>
      <c r="F40" s="7" t="n">
        <v>606.0599999999999</v>
      </c>
      <c r="G40" s="6" t="inlineStr">
        <is>
          <t>MATERIAL HIDRÁULICO</t>
        </is>
      </c>
      <c r="H40" s="6" t="inlineStr">
        <is>
          <t>CASA FERREIRA GONCALVES LTDA</t>
        </is>
      </c>
      <c r="I40" s="24" t="n">
        <v>45579</v>
      </c>
      <c r="J40" s="6" t="n">
        <v>1546</v>
      </c>
    </row>
    <row r="41">
      <c r="A41" s="23" t="n">
        <v>45566</v>
      </c>
      <c r="B41" s="6" t="inlineStr">
        <is>
          <t>Pago</t>
        </is>
      </c>
      <c r="C41" s="6" t="inlineStr">
        <is>
          <t>PL530.001</t>
        </is>
      </c>
      <c r="D41" s="6" t="str">
        <f>IFERROR(VLOOKUP(E41,FORNECEDORES!$A$5:$F$999,6,FALSE),"L10")</f>
        <v>L03</v>
      </c>
      <c r="E41" s="6" t="inlineStr">
        <is>
          <t>EDIFICAR LOCACAO MANUTENCAO E SERVICOS LTDA</t>
        </is>
      </c>
      <c r="F41" s="7" t="n">
        <v>700</v>
      </c>
      <c r="G41" s="6" t="inlineStr">
        <is>
          <t>LOCAÇÕES</t>
        </is>
      </c>
      <c r="H41" s="6" t="inlineStr">
        <is>
          <t>EDIFICAR LOCACAO MANUTENCAO E SERVICOS LTDA</t>
        </is>
      </c>
      <c r="I41" s="24" t="n">
        <v>45587</v>
      </c>
      <c r="J41" s="6" t="n">
        <v>1720</v>
      </c>
    </row>
    <row r="42">
      <c r="A42" s="23" t="n">
        <v>45566</v>
      </c>
      <c r="B42" s="6" t="inlineStr">
        <is>
          <t>Pago</t>
        </is>
      </c>
      <c r="C42" s="6" t="inlineStr">
        <is>
          <t>PL530.001</t>
        </is>
      </c>
      <c r="D42" s="6" t="str">
        <f>IFERROR(VLOOKUP(E42,FORNECEDORES!$A$5:$F$999,6,FALSE),"L10")</f>
        <v>L01</v>
      </c>
      <c r="E42" s="6" t="inlineStr">
        <is>
          <t>EXPRESSO M-2000 LTDA</t>
        </is>
      </c>
      <c r="F42" s="7" t="n">
        <v>217.36</v>
      </c>
      <c r="G42" s="6" t="inlineStr">
        <is>
          <t>FRETE</t>
        </is>
      </c>
      <c r="H42" s="6" t="inlineStr">
        <is>
          <t>EXPRESSO M-2000 LTDA</t>
        </is>
      </c>
      <c r="I42" s="24" t="n">
        <v>45594</v>
      </c>
      <c r="J42" s="6" t="n">
        <v>1637</v>
      </c>
    </row>
    <row r="43">
      <c r="A43" s="23" t="n">
        <v>45566</v>
      </c>
      <c r="B43" s="6" t="inlineStr">
        <is>
          <t>Pago</t>
        </is>
      </c>
      <c r="C43" s="6" t="inlineStr">
        <is>
          <t>PL530.001</t>
        </is>
      </c>
      <c r="D43" s="6" t="str">
        <f>IFERROR(VLOOKUP(E43,FORNECEDORES!$A$5:$F$999,6,FALSE),"L10")</f>
        <v>L10</v>
      </c>
      <c r="E43" s="6" t="inlineStr">
        <is>
          <t>FIAO LOCACOES E TRANSPORTES LTDA</t>
        </is>
      </c>
      <c r="F43" s="7" t="n">
        <v>143</v>
      </c>
      <c r="G43" s="6" t="inlineStr">
        <is>
          <t>NÃO CLASSIFICADO</t>
        </is>
      </c>
      <c r="H43" s="6" t="inlineStr">
        <is>
          <t>INSS RETIDO PJ - MINISTERIO DA PREVIDENCIA</t>
        </is>
      </c>
      <c r="I43" s="24" t="n">
        <v>45583</v>
      </c>
      <c r="J43" s="6" t="n">
        <v>1598</v>
      </c>
    </row>
    <row r="44">
      <c r="A44" s="23" t="n">
        <v>45566</v>
      </c>
      <c r="B44" s="6" t="inlineStr">
        <is>
          <t>Pago</t>
        </is>
      </c>
      <c r="C44" s="6" t="inlineStr">
        <is>
          <t>PL530.001</t>
        </is>
      </c>
      <c r="D44" s="6" t="str">
        <f>IFERROR(VLOOKUP(E44,FORNECEDORES!$A$5:$F$999,6,FALSE),"L10")</f>
        <v>L03</v>
      </c>
      <c r="E44" s="6" t="inlineStr">
        <is>
          <t>LOCAFAZ LOCACAO DE EQUIPAMENTOS LTDA</t>
        </is>
      </c>
      <c r="F44" s="7" t="n">
        <v>1140</v>
      </c>
      <c r="G44" s="6" t="inlineStr">
        <is>
          <t>LOCAÇÕES</t>
        </is>
      </c>
      <c r="H44" s="6" t="inlineStr">
        <is>
          <t>LOCAFAZ LOCACAO DE EQUIPAMENTOS LTDA</t>
        </is>
      </c>
      <c r="I44" s="24" t="n">
        <v>45595</v>
      </c>
      <c r="J44" s="6" t="n">
        <v>1749</v>
      </c>
    </row>
    <row r="45">
      <c r="A45" s="23" t="n">
        <v>45566</v>
      </c>
      <c r="B45" s="6" t="inlineStr">
        <is>
          <t>Pago</t>
        </is>
      </c>
      <c r="C45" s="6" t="inlineStr">
        <is>
          <t>PL530.001</t>
        </is>
      </c>
      <c r="D45" s="6" t="str">
        <f>IFERROR(VLOOKUP(E45,FORNECEDORES!$A$5:$F$999,6,FALSE),"L10")</f>
        <v>L01</v>
      </c>
      <c r="E45" s="6" t="inlineStr">
        <is>
          <t>MINAS FERRAMENTAS LTDA</t>
        </is>
      </c>
      <c r="F45" s="7" t="n">
        <v>167.46</v>
      </c>
      <c r="G45" s="6" t="inlineStr">
        <is>
          <t>EQUIPAMENTOS E FERRAMENTAS</t>
        </is>
      </c>
      <c r="H45" s="6" t="inlineStr">
        <is>
          <t>MINAS FERRAMENTAS LTDA</t>
        </is>
      </c>
      <c r="I45" s="24" t="n">
        <v>45595</v>
      </c>
      <c r="J45" s="6" t="n">
        <v>1635</v>
      </c>
    </row>
    <row r="46">
      <c r="A46" s="23" t="n">
        <v>45566</v>
      </c>
      <c r="B46" s="6" t="inlineStr">
        <is>
          <t>Pago</t>
        </is>
      </c>
      <c r="C46" s="6" t="inlineStr">
        <is>
          <t>PL530.001</t>
        </is>
      </c>
      <c r="D46" s="6" t="str">
        <f>IFERROR(VLOOKUP(E46,FORNECEDORES!$A$5:$F$999,6,FALSE),"L10")</f>
        <v>L01</v>
      </c>
      <c r="E46" s="6" t="inlineStr">
        <is>
          <t>MINAS FERRAMENTAS LTDA</t>
        </is>
      </c>
      <c r="F46" s="7" t="n">
        <v>218.98</v>
      </c>
      <c r="G46" s="6" t="inlineStr">
        <is>
          <t>EQUIPAMENTOS E FERRAMENTAS</t>
        </is>
      </c>
      <c r="H46" s="6" t="inlineStr">
        <is>
          <t>MINAS FERRAMENTAS LTDA</t>
        </is>
      </c>
      <c r="I46" s="24" t="n">
        <v>45595</v>
      </c>
      <c r="J46" s="6" t="n">
        <v>1635</v>
      </c>
    </row>
    <row r="47">
      <c r="A47" s="23" t="n">
        <v>45566</v>
      </c>
      <c r="B47" s="6" t="inlineStr">
        <is>
          <t>Pago</t>
        </is>
      </c>
      <c r="C47" s="6" t="inlineStr">
        <is>
          <t>PL530.001</t>
        </is>
      </c>
      <c r="D47" s="6" t="str">
        <f>IFERROR(VLOOKUP(E47,FORNECEDORES!$A$5:$F$999,6,FALSE),"L10")</f>
        <v>L01</v>
      </c>
      <c r="E47" s="6" t="inlineStr">
        <is>
          <t>MINAS FERRAMENTAS LTDA</t>
        </is>
      </c>
      <c r="F47" s="7" t="n">
        <v>116.31</v>
      </c>
      <c r="G47" s="6" t="inlineStr">
        <is>
          <t>EQUIPAMENTOS E FERRAMENTAS</t>
        </is>
      </c>
      <c r="H47" s="6" t="inlineStr">
        <is>
          <t>MINAS FERRAMENTAS LTDA</t>
        </is>
      </c>
      <c r="I47" s="24" t="n">
        <v>45595</v>
      </c>
      <c r="J47" s="6" t="n">
        <v>1635</v>
      </c>
    </row>
    <row r="48">
      <c r="A48" s="23" t="n">
        <v>45566</v>
      </c>
      <c r="B48" s="6" t="inlineStr">
        <is>
          <t>Pago</t>
        </is>
      </c>
      <c r="C48" s="6" t="inlineStr">
        <is>
          <t>PL530.001</t>
        </is>
      </c>
      <c r="D48" s="6" t="str">
        <f>IFERROR(VLOOKUP(E48,FORNECEDORES!$A$5:$F$999,6,FALSE),"L10")</f>
        <v>L01</v>
      </c>
      <c r="E48" s="6" t="inlineStr">
        <is>
          <t>MINAS FERRAMENTAS LTDA</t>
        </is>
      </c>
      <c r="F48" s="7" t="n">
        <v>144.09</v>
      </c>
      <c r="G48" s="6" t="inlineStr">
        <is>
          <t>EQUIPAMENTOS E FERRAMENTAS</t>
        </is>
      </c>
      <c r="H48" s="6" t="inlineStr">
        <is>
          <t>MINAS FERRAMENTAS LTDA</t>
        </is>
      </c>
      <c r="I48" s="24" t="n">
        <v>45595</v>
      </c>
      <c r="J48" s="6" t="n">
        <v>1635</v>
      </c>
    </row>
    <row r="49">
      <c r="A49" s="23" t="n">
        <v>45566</v>
      </c>
      <c r="B49" s="6" t="inlineStr">
        <is>
          <t>Pago</t>
        </is>
      </c>
      <c r="C49" s="6" t="inlineStr">
        <is>
          <t>PL530.001</t>
        </is>
      </c>
      <c r="D49" s="6" t="str">
        <f>IFERROR(VLOOKUP(E49,FORNECEDORES!$A$5:$F$999,6,FALSE),"L10")</f>
        <v>L01</v>
      </c>
      <c r="E49" s="6" t="inlineStr">
        <is>
          <t>MINAS FERRAMENTAS LTDA</t>
        </is>
      </c>
      <c r="F49" s="7" t="n">
        <v>12.72</v>
      </c>
      <c r="G49" s="6" t="inlineStr">
        <is>
          <t>EQUIPAMENTOS E FERRAMENTAS</t>
        </is>
      </c>
      <c r="H49" s="6" t="inlineStr">
        <is>
          <t>MINAS FERRAMENTAS LTDA</t>
        </is>
      </c>
      <c r="I49" s="24" t="n">
        <v>45595</v>
      </c>
      <c r="J49" s="6" t="n">
        <v>1635</v>
      </c>
    </row>
    <row r="50">
      <c r="A50" s="23" t="n">
        <v>45566</v>
      </c>
      <c r="B50" s="6" t="inlineStr">
        <is>
          <t>Pago</t>
        </is>
      </c>
      <c r="C50" s="6" t="inlineStr">
        <is>
          <t>PL530.001</t>
        </is>
      </c>
      <c r="D50" s="6" t="str">
        <f>IFERROR(VLOOKUP(E50,FORNECEDORES!$A$5:$F$999,6,FALSE),"L10")</f>
        <v>L08</v>
      </c>
      <c r="E50" s="6" t="inlineStr">
        <is>
          <t>TELAS PERAM COMERCIO IMPORTACAO E REPRESENTACOES LTDA.</t>
        </is>
      </c>
      <c r="F50" s="7" t="n">
        <v>1250</v>
      </c>
      <c r="G50" s="6" t="inlineStr">
        <is>
          <t>SINALIZAÇÃO</t>
        </is>
      </c>
      <c r="H50" s="6" t="inlineStr">
        <is>
          <t>TELAS PEREIRA MACHADO COMERCIO E REPRESENTACOES LT</t>
        </is>
      </c>
      <c r="I50" s="24" t="n">
        <v>45594</v>
      </c>
      <c r="J50" s="6" t="n">
        <v>1638</v>
      </c>
    </row>
    <row r="51">
      <c r="A51" s="23" t="n">
        <v>45597</v>
      </c>
      <c r="B51" s="6" t="inlineStr">
        <is>
          <t>Pago</t>
        </is>
      </c>
      <c r="C51" s="6" t="inlineStr">
        <is>
          <t>PL530.001</t>
        </is>
      </c>
      <c r="D51" s="6" t="str">
        <f>IFERROR(VLOOKUP(E51,FORNECEDORES!$A$5:$F$999,6,FALSE),"L10")</f>
        <v>L03</v>
      </c>
      <c r="E51" s="6" t="inlineStr">
        <is>
          <t>ACESSO EQUIPAMENTOS LTDA</t>
        </is>
      </c>
      <c r="F51" s="7" t="n">
        <v>100.48</v>
      </c>
      <c r="G51" s="6" t="inlineStr">
        <is>
          <t>LOCAÇÕES</t>
        </is>
      </c>
      <c r="H51" s="6" t="inlineStr">
        <is>
          <t>ACESSO EQUIPAMENTOS LTDA</t>
        </is>
      </c>
      <c r="I51" s="24" t="n">
        <v>45608</v>
      </c>
      <c r="J51" s="6" t="n">
        <v>1798</v>
      </c>
    </row>
    <row r="52">
      <c r="A52" s="23" t="n">
        <v>45597</v>
      </c>
      <c r="B52" s="6" t="inlineStr">
        <is>
          <t>Pago</t>
        </is>
      </c>
      <c r="C52" s="6" t="inlineStr">
        <is>
          <t>PL530.001</t>
        </is>
      </c>
      <c r="D52" s="6" t="str">
        <f>IFERROR(VLOOKUP(E52,FORNECEDORES!$A$5:$F$999,6,FALSE),"L10")</f>
        <v>L01</v>
      </c>
      <c r="E52" s="6" t="inlineStr">
        <is>
          <t>ELISANGELA R. ROCHA CORDEIRO SERVICOS EIRELI</t>
        </is>
      </c>
      <c r="F52" s="7" t="n">
        <v>969</v>
      </c>
      <c r="G52" s="6" t="inlineStr">
        <is>
          <t>EQUIPAMENTOS E FERRAMENTAS</t>
        </is>
      </c>
      <c r="H52" s="6" t="inlineStr">
        <is>
          <t>ELISANGELA R. ROCHA CORDEIRO SERVICOS EIRELI</t>
        </is>
      </c>
      <c r="I52" s="24" t="n">
        <v>45604</v>
      </c>
      <c r="J52" s="6" t="n">
        <v>1634</v>
      </c>
    </row>
    <row r="53">
      <c r="A53" s="23" t="n">
        <v>45597</v>
      </c>
      <c r="B53" s="6" t="inlineStr">
        <is>
          <t>Pago</t>
        </is>
      </c>
      <c r="C53" s="6" t="inlineStr">
        <is>
          <t>PL530.001</t>
        </is>
      </c>
      <c r="D53" s="6" t="str">
        <f>IFERROR(VLOOKUP(E53,FORNECEDORES!$A$5:$F$999,6,FALSE),"L10")</f>
        <v>L03</v>
      </c>
      <c r="E53" s="6" t="inlineStr">
        <is>
          <t>LOCAFAZ LOCACAO DE EQUIPAMENTOS LTDA</t>
        </is>
      </c>
      <c r="F53" s="7" t="n">
        <v>91.98</v>
      </c>
      <c r="G53" s="6" t="inlineStr">
        <is>
          <t>LOCAÇÕES</t>
        </is>
      </c>
      <c r="H53" s="6" t="inlineStr">
        <is>
          <t>LOCAFAZ LOCACAO DE EQUIPAMENTOS LTDA</t>
        </is>
      </c>
      <c r="I53" s="24" t="n">
        <v>45604</v>
      </c>
      <c r="J53" s="6" t="n">
        <v>1765</v>
      </c>
    </row>
    <row r="54">
      <c r="A54" s="23" t="n">
        <v>45597</v>
      </c>
      <c r="B54" s="6" t="inlineStr">
        <is>
          <t>Pago</t>
        </is>
      </c>
      <c r="C54" s="6" t="inlineStr">
        <is>
          <t>PL530.001</t>
        </is>
      </c>
      <c r="D54" s="6" t="str">
        <f>IFERROR(VLOOKUP(E54,FORNECEDORES!$A$5:$F$999,6,FALSE),"L10")</f>
        <v>L01</v>
      </c>
      <c r="E54" s="6" t="inlineStr">
        <is>
          <t>MINAS FERRAMENTAS LTDA</t>
        </is>
      </c>
      <c r="F54" s="7" t="n">
        <v>123.25</v>
      </c>
      <c r="G54" s="6" t="inlineStr">
        <is>
          <t>EQUIPAMENTOS E FERRAMENTAS</t>
        </is>
      </c>
      <c r="H54" s="6" t="inlineStr">
        <is>
          <t>MINAS FERRAMENTAS LTDA</t>
        </is>
      </c>
      <c r="I54" s="24" t="n">
        <v>45614</v>
      </c>
      <c r="J54" s="6" t="n">
        <v>1808</v>
      </c>
    </row>
    <row r="55">
      <c r="A55" s="23" t="n">
        <v>45627</v>
      </c>
      <c r="B55" s="6" t="inlineStr">
        <is>
          <t>Pago</t>
        </is>
      </c>
      <c r="C55" s="6" t="inlineStr">
        <is>
          <t>PL530.001</t>
        </is>
      </c>
      <c r="D55" s="6" t="str">
        <f>IFERROR(VLOOKUP(E55,FORNECEDORES!$A$5:$F$999,6,FALSE),"L10")</f>
        <v>L03</v>
      </c>
      <c r="E55" s="6" t="inlineStr">
        <is>
          <t>ACESSO EQUIPAMENTOS LTDA</t>
        </is>
      </c>
      <c r="F55" s="7" t="n">
        <v>100</v>
      </c>
      <c r="G55" s="6" t="inlineStr">
        <is>
          <t>LOCAÇÕES</t>
        </is>
      </c>
      <c r="H55" s="6" t="inlineStr">
        <is>
          <t>ACESSO EQUIPAMENTOS LTDA</t>
        </is>
      </c>
      <c r="I55" s="24" t="n">
        <v>45629</v>
      </c>
      <c r="J55" s="6" t="n">
        <v>1791</v>
      </c>
    </row>
    <row r="56">
      <c r="A56" s="23" t="n">
        <v>45627</v>
      </c>
      <c r="B56" s="6" t="inlineStr">
        <is>
          <t>Pago</t>
        </is>
      </c>
      <c r="C56" s="6" t="inlineStr">
        <is>
          <t>PL530.001</t>
        </is>
      </c>
      <c r="D56" s="6" t="str">
        <f>IFERROR(VLOOKUP(E56,FORNECEDORES!$A$5:$F$999,6,FALSE),"L10")</f>
        <v>L08</v>
      </c>
      <c r="E56" s="6" t="inlineStr">
        <is>
          <t>BH SEG EQUIPAMENTOS DE PROTECAO INDIVIDUAL LTDA</t>
        </is>
      </c>
      <c r="F56" s="7" t="n">
        <v>25</v>
      </c>
      <c r="G56" s="6" t="inlineStr">
        <is>
          <t>FRETE</t>
        </is>
      </c>
      <c r="H56" s="6" t="inlineStr">
        <is>
          <t>BH SEG EQUIPAMENTOS DE PROTECAO INDIVIDUAL LTDA</t>
        </is>
      </c>
      <c r="I56" s="24" t="n">
        <v>45639</v>
      </c>
      <c r="J56" s="6" t="n">
        <v>1944</v>
      </c>
    </row>
    <row r="57">
      <c r="A57" s="23" t="n">
        <v>45627</v>
      </c>
      <c r="B57" s="6" t="inlineStr">
        <is>
          <t>Pago</t>
        </is>
      </c>
      <c r="C57" s="6" t="inlineStr">
        <is>
          <t>PL530.001</t>
        </is>
      </c>
      <c r="D57" s="6" t="str">
        <f>IFERROR(VLOOKUP(E57,FORNECEDORES!$A$5:$F$999,6,FALSE),"L10")</f>
        <v>L08</v>
      </c>
      <c r="E57" s="6" t="inlineStr">
        <is>
          <t>BH SEG EQUIPAMENTOS DE PROTECAO INDIVIDUAL LTDA</t>
        </is>
      </c>
      <c r="F57" s="7" t="n">
        <v>76</v>
      </c>
      <c r="G57" s="6" t="inlineStr">
        <is>
          <t>EQUIPAMENTOS DE PROTEÇÃO INDIVIDUAL</t>
        </is>
      </c>
      <c r="H57" s="6" t="inlineStr">
        <is>
          <t>BH SEG EQUIPAMENTOS DE PROTECAO INDIVIDUAL LTDA</t>
        </is>
      </c>
      <c r="I57" s="24" t="n">
        <v>45639</v>
      </c>
      <c r="J57" s="6" t="n">
        <v>1944</v>
      </c>
    </row>
    <row r="58">
      <c r="A58" s="23" t="n">
        <v>45627</v>
      </c>
      <c r="B58" s="6" t="inlineStr">
        <is>
          <t>Pago</t>
        </is>
      </c>
      <c r="C58" s="6" t="inlineStr">
        <is>
          <t>PL530.001</t>
        </is>
      </c>
      <c r="D58" s="6" t="str">
        <f>IFERROR(VLOOKUP(E58,FORNECEDORES!$A$5:$F$999,6,FALSE),"L10")</f>
        <v>L03</v>
      </c>
      <c r="E58" s="6" t="inlineStr">
        <is>
          <t>EDIFICAR LOCACAO MANUTENCAO E SERVICOS LTDA</t>
        </is>
      </c>
      <c r="F58" s="7" t="n">
        <v>599.98</v>
      </c>
      <c r="G58" s="6" t="inlineStr">
        <is>
          <t>LOCAÇÕES</t>
        </is>
      </c>
      <c r="H58" s="6" t="inlineStr">
        <is>
          <t>EDIFICAR LOCACAO MANUTENCAO E SERVICOS LTDA</t>
        </is>
      </c>
      <c r="I58" s="24" t="n">
        <v>45653</v>
      </c>
      <c r="J58" s="6" t="n">
        <v>1988</v>
      </c>
    </row>
    <row r="59">
      <c r="A59" s="23" t="n">
        <v>45627</v>
      </c>
      <c r="B59" s="6" t="inlineStr">
        <is>
          <t>Pago</t>
        </is>
      </c>
      <c r="C59" s="6" t="inlineStr">
        <is>
          <t>PL530.001</t>
        </is>
      </c>
      <c r="D59" s="6" t="str">
        <f>IFERROR(VLOOKUP(E59,FORNECEDORES!$A$5:$F$999,6,FALSE),"L10")</f>
        <v>L03</v>
      </c>
      <c r="E59" s="6" t="inlineStr">
        <is>
          <t>EDIFICAR LOCACAO MANUTENCAO E SERVICOS LTDA</t>
        </is>
      </c>
      <c r="F59" s="7" t="n">
        <v>400.01</v>
      </c>
      <c r="G59" s="6" t="inlineStr">
        <is>
          <t>LOCAÇÕES</t>
        </is>
      </c>
      <c r="H59" s="6" t="inlineStr">
        <is>
          <t>EDIFICAR LOCACAO MANUTENCAO E SERVICOS LTDA</t>
        </is>
      </c>
      <c r="I59" s="24" t="n">
        <v>45653</v>
      </c>
      <c r="J59" s="6" t="n">
        <v>1988</v>
      </c>
    </row>
    <row r="60">
      <c r="A60" s="23" t="n">
        <v>45627</v>
      </c>
      <c r="B60" s="6" t="inlineStr">
        <is>
          <t>Pago</t>
        </is>
      </c>
      <c r="C60" s="6" t="inlineStr">
        <is>
          <t>PL530.001</t>
        </is>
      </c>
      <c r="D60" s="6" t="str">
        <f>IFERROR(VLOOKUP(E60,FORNECEDORES!$A$5:$F$999,6,FALSE),"L10")</f>
        <v>L03</v>
      </c>
      <c r="E60" s="6" t="inlineStr">
        <is>
          <t>EDIFICAR LOCACAO MANUTENCAO E SERVICOS LTDA</t>
        </is>
      </c>
      <c r="F60" s="7" t="n">
        <v>700.02</v>
      </c>
      <c r="G60" s="6" t="inlineStr">
        <is>
          <t>LOCAÇÕES</t>
        </is>
      </c>
      <c r="H60" s="6" t="inlineStr">
        <is>
          <t>EDIFICAR LOCACAO MANUTENCAO E SERVICOS LTDA</t>
        </is>
      </c>
      <c r="I60" s="24" t="n">
        <v>45653</v>
      </c>
      <c r="J60" s="6" t="n">
        <v>1988</v>
      </c>
    </row>
    <row r="61">
      <c r="A61" s="23" t="n">
        <v>45627</v>
      </c>
      <c r="B61" s="6" t="inlineStr">
        <is>
          <t>Pago</t>
        </is>
      </c>
      <c r="C61" s="6" t="inlineStr">
        <is>
          <t>PL530.001</t>
        </is>
      </c>
      <c r="D61" s="6" t="str">
        <f>IFERROR(VLOOKUP(E61,FORNECEDORES!$A$5:$F$999,6,FALSE),"L10")</f>
        <v>L03</v>
      </c>
      <c r="E61" s="6" t="inlineStr">
        <is>
          <t>EDIFICAR LOCACAO MANUTENCAO E SERVICOS LTDA</t>
        </is>
      </c>
      <c r="F61" s="7" t="n">
        <v>599.99</v>
      </c>
      <c r="G61" s="6" t="inlineStr">
        <is>
          <t>LOCAÇÕES</t>
        </is>
      </c>
      <c r="H61" s="6" t="inlineStr">
        <is>
          <t>EDIFICAR LOCACAO MANUTENCAO E SERVICOS LTDA</t>
        </is>
      </c>
      <c r="I61" s="24" t="n">
        <v>45653</v>
      </c>
      <c r="J61" s="6" t="n">
        <v>1987</v>
      </c>
    </row>
    <row r="62">
      <c r="A62" s="23" t="n">
        <v>45627</v>
      </c>
      <c r="B62" s="6" t="inlineStr">
        <is>
          <t>Pago</t>
        </is>
      </c>
      <c r="C62" s="6" t="inlineStr">
        <is>
          <t>PL530.001</t>
        </is>
      </c>
      <c r="D62" s="6" t="str">
        <f>IFERROR(VLOOKUP(E62,FORNECEDORES!$A$5:$F$999,6,FALSE),"L10")</f>
        <v>L03</v>
      </c>
      <c r="E62" s="6" t="inlineStr">
        <is>
          <t>EDIFICAR LOCACAO MANUTENCAO E SERVICOS LTDA</t>
        </is>
      </c>
      <c r="F62" s="7" t="n">
        <v>1400</v>
      </c>
      <c r="G62" s="6" t="inlineStr">
        <is>
          <t>LOCAÇÕES</t>
        </is>
      </c>
      <c r="H62" s="6" t="inlineStr">
        <is>
          <t>EDIFICAR LOCACAO MANUTENCAO E SERVICOS LTDA</t>
        </is>
      </c>
      <c r="I62" s="24" t="n">
        <v>45653</v>
      </c>
      <c r="J62" s="6" t="n">
        <v>1987</v>
      </c>
    </row>
    <row r="63">
      <c r="A63" s="23" t="n">
        <v>45627</v>
      </c>
      <c r="B63" s="6" t="inlineStr">
        <is>
          <t>Pago</t>
        </is>
      </c>
      <c r="C63" s="6" t="inlineStr">
        <is>
          <t>PL530.001</t>
        </is>
      </c>
      <c r="D63" s="6" t="str">
        <f>IFERROR(VLOOKUP(E63,FORNECEDORES!$A$5:$F$999,6,FALSE),"L10")</f>
        <v>L03</v>
      </c>
      <c r="E63" s="6" t="inlineStr">
        <is>
          <t>EDIFICAR LOCACAO MANUTENCAO E SERVICOS LTDA</t>
        </is>
      </c>
      <c r="F63" s="7" t="n">
        <v>700.02</v>
      </c>
      <c r="G63" s="6" t="inlineStr">
        <is>
          <t>LOCAÇÕES</t>
        </is>
      </c>
      <c r="H63" s="6" t="inlineStr">
        <is>
          <t>EDIFICAR LOCACAO MANUTENCAO E SERVICOS LTDA</t>
        </is>
      </c>
      <c r="I63" s="24" t="n">
        <v>45653</v>
      </c>
      <c r="J63" s="6" t="n">
        <v>1987</v>
      </c>
    </row>
    <row r="64">
      <c r="A64" s="23" t="n">
        <v>45627</v>
      </c>
      <c r="B64" s="6" t="inlineStr">
        <is>
          <t>Pago</t>
        </is>
      </c>
      <c r="C64" s="6" t="inlineStr">
        <is>
          <t>PL530.001</t>
        </is>
      </c>
      <c r="D64" s="6" t="str">
        <f>IFERROR(VLOOKUP(E64,FORNECEDORES!$A$5:$F$999,6,FALSE),"L10")</f>
        <v>L03</v>
      </c>
      <c r="E64" s="6" t="inlineStr">
        <is>
          <t>LOCAFAZ LOCACAO DE EQUIPAMENTOS LTDA</t>
        </is>
      </c>
      <c r="F64" s="7" t="n">
        <v>613</v>
      </c>
      <c r="G64" s="6" t="inlineStr">
        <is>
          <t>LOCAÇÕES</t>
        </is>
      </c>
      <c r="H64" s="6" t="inlineStr">
        <is>
          <t>LOCAFAZ LOCACAO DE EQUIPAMENTOS LTDA</t>
        </is>
      </c>
      <c r="I64" s="24" t="n">
        <v>45645</v>
      </c>
      <c r="J64" s="6" t="n">
        <v>1966</v>
      </c>
    </row>
    <row r="65">
      <c r="A65" s="23" t="n">
        <v>45627</v>
      </c>
      <c r="B65" s="6" t="inlineStr">
        <is>
          <t>Pago</t>
        </is>
      </c>
      <c r="C65" s="6" t="inlineStr">
        <is>
          <t>PL530.001</t>
        </is>
      </c>
      <c r="D65" s="6" t="str">
        <f>IFERROR(VLOOKUP(E65,FORNECEDORES!$A$5:$F$999,6,FALSE),"L10")</f>
        <v>L03</v>
      </c>
      <c r="E65" s="6" t="inlineStr">
        <is>
          <t>LOCAFAZ LOCACAO DE EQUIPAMENTOS LTDA</t>
        </is>
      </c>
      <c r="F65" s="7" t="n">
        <v>65</v>
      </c>
      <c r="G65" s="6" t="inlineStr">
        <is>
          <t>LOCAÇÕES</t>
        </is>
      </c>
      <c r="H65" s="6" t="inlineStr">
        <is>
          <t>LOCAFAZ LOCACAO DE EQUIPAMENTOS LTDA</t>
        </is>
      </c>
      <c r="I65" s="24" t="n">
        <v>45645</v>
      </c>
      <c r="J65" s="6" t="n">
        <v>1966</v>
      </c>
    </row>
    <row r="66">
      <c r="A66" s="23" t="n">
        <v>45627</v>
      </c>
      <c r="B66" s="6" t="inlineStr">
        <is>
          <t>Pago</t>
        </is>
      </c>
      <c r="C66" s="6" t="inlineStr">
        <is>
          <t>PL530.001</t>
        </is>
      </c>
      <c r="D66" s="6" t="str">
        <f>IFERROR(VLOOKUP(E66,FORNECEDORES!$A$5:$F$999,6,FALSE),"L10")</f>
        <v>L03</v>
      </c>
      <c r="E66" s="6" t="inlineStr">
        <is>
          <t>LOCAFAZ LOCACAO DE EQUIPAMENTOS LTDA</t>
        </is>
      </c>
      <c r="F66" s="7" t="n">
        <v>208</v>
      </c>
      <c r="G66" s="6" t="inlineStr">
        <is>
          <t>LOCAÇÕES</t>
        </is>
      </c>
      <c r="H66" s="6" t="inlineStr">
        <is>
          <t>LOCAFAZ LOCACAO DE EQUIPAMENTOS LTDA</t>
        </is>
      </c>
      <c r="I66" s="24" t="n">
        <v>45645</v>
      </c>
      <c r="J66" s="6" t="n">
        <v>1966</v>
      </c>
    </row>
    <row r="67">
      <c r="A67" s="23" t="n">
        <v>45627</v>
      </c>
      <c r="B67" s="6" t="inlineStr">
        <is>
          <t>Pago</t>
        </is>
      </c>
      <c r="C67" s="6" t="inlineStr">
        <is>
          <t>PL530.001</t>
        </is>
      </c>
      <c r="D67" s="6" t="str">
        <f>IFERROR(VLOOKUP(E67,FORNECEDORES!$A$5:$F$999,6,FALSE),"L10")</f>
        <v>L03</v>
      </c>
      <c r="E67" s="6" t="inlineStr">
        <is>
          <t>LOCAFAZ LOCACAO DE EQUIPAMENTOS LTDA</t>
        </is>
      </c>
      <c r="F67" s="7" t="n">
        <v>274</v>
      </c>
      <c r="G67" s="6" t="inlineStr">
        <is>
          <t>LOCAÇÕES</t>
        </is>
      </c>
      <c r="H67" s="6" t="inlineStr">
        <is>
          <t>LOCAFAZ LOCACAO DE EQUIPAMENTOS LTDA</t>
        </is>
      </c>
      <c r="I67" s="24" t="n">
        <v>45645</v>
      </c>
      <c r="J67" s="6" t="n">
        <v>1966</v>
      </c>
    </row>
    <row r="68">
      <c r="A68" s="23" t="n">
        <v>45627</v>
      </c>
      <c r="B68" s="6" t="inlineStr">
        <is>
          <t>Pago</t>
        </is>
      </c>
      <c r="C68" s="6" t="inlineStr">
        <is>
          <t>PL530.001</t>
        </is>
      </c>
      <c r="D68" s="6" t="str">
        <f>IFERROR(VLOOKUP(E68,FORNECEDORES!$A$5:$F$999,6,FALSE),"L10")</f>
        <v>L03</v>
      </c>
      <c r="E68" s="6" t="inlineStr">
        <is>
          <t>LOCAFAZ LOCACAO DE EQUIPAMENTOS LTDA</t>
        </is>
      </c>
      <c r="F68" s="7" t="n">
        <v>613</v>
      </c>
      <c r="G68" s="6" t="inlineStr">
        <is>
          <t>LOCAÇÕES</t>
        </is>
      </c>
      <c r="H68" s="6" t="inlineStr">
        <is>
          <t>LOCAFAZ LOCACAO DE EQUIPAMENTOS LTDA</t>
        </is>
      </c>
      <c r="I68" s="24" t="n">
        <v>45652</v>
      </c>
      <c r="J68" s="6" t="n">
        <v>1929</v>
      </c>
    </row>
    <row r="69">
      <c r="A69" s="23" t="n">
        <v>45627</v>
      </c>
      <c r="B69" s="6" t="inlineStr">
        <is>
          <t>Pago</t>
        </is>
      </c>
      <c r="C69" s="6" t="inlineStr">
        <is>
          <t>PL530.001</t>
        </is>
      </c>
      <c r="D69" s="6" t="str">
        <f>IFERROR(VLOOKUP(E69,FORNECEDORES!$A$5:$F$999,6,FALSE),"L10")</f>
        <v>L03</v>
      </c>
      <c r="E69" s="6" t="inlineStr">
        <is>
          <t>LOCAFAZ LOCACAO DE EQUIPAMENTOS LTDA</t>
        </is>
      </c>
      <c r="F69" s="7" t="n">
        <v>132</v>
      </c>
      <c r="G69" s="6" t="inlineStr">
        <is>
          <t>LOCAÇÕES</t>
        </is>
      </c>
      <c r="H69" s="6" t="inlineStr">
        <is>
          <t>LOCAFAZ LOCACAO DE EQUIPAMENTOS LTDA</t>
        </is>
      </c>
      <c r="I69" s="24" t="n">
        <v>45652</v>
      </c>
      <c r="J69" s="6" t="n">
        <v>1929</v>
      </c>
    </row>
    <row r="70">
      <c r="A70" s="23" t="n">
        <v>45627</v>
      </c>
      <c r="B70" s="6" t="inlineStr">
        <is>
          <t>Pago</t>
        </is>
      </c>
      <c r="C70" s="6" t="inlineStr">
        <is>
          <t>PL530.001</t>
        </is>
      </c>
      <c r="D70" s="6" t="str">
        <f>IFERROR(VLOOKUP(E70,FORNECEDORES!$A$5:$F$999,6,FALSE),"L10")</f>
        <v>L03</v>
      </c>
      <c r="E70" s="6" t="inlineStr">
        <is>
          <t>LOCAFAZ LOCACAO DE EQUIPAMENTOS LTDA</t>
        </is>
      </c>
      <c r="F70" s="7" t="n">
        <v>274</v>
      </c>
      <c r="G70" s="6" t="inlineStr">
        <is>
          <t>LOCAÇÕES</t>
        </is>
      </c>
      <c r="H70" s="6" t="inlineStr">
        <is>
          <t>LOCAFAZ LOCACAO DE EQUIPAMENTOS LTDA</t>
        </is>
      </c>
      <c r="I70" s="24" t="n">
        <v>45652</v>
      </c>
      <c r="J70" s="6" t="n">
        <v>1929</v>
      </c>
    </row>
    <row r="71">
      <c r="A71" s="23" t="n">
        <v>45627</v>
      </c>
      <c r="B71" s="6" t="inlineStr">
        <is>
          <t>Pago</t>
        </is>
      </c>
      <c r="C71" s="6" t="inlineStr">
        <is>
          <t>PL530.001</t>
        </is>
      </c>
      <c r="D71" s="6" t="str">
        <f>IFERROR(VLOOKUP(E71,FORNECEDORES!$A$5:$F$999,6,FALSE),"L10")</f>
        <v>L03</v>
      </c>
      <c r="E71" s="6" t="inlineStr">
        <is>
          <t>LOCAFAZ LOCACAO DE EQUIPAMENTOS LTDA</t>
        </is>
      </c>
      <c r="F71" s="7" t="n">
        <v>141</v>
      </c>
      <c r="G71" s="6" t="inlineStr">
        <is>
          <t>LOCAÇÕES</t>
        </is>
      </c>
      <c r="H71" s="6" t="inlineStr">
        <is>
          <t>LOCAFAZ LOCACAO DE EQUIPAMENTOS LTDA</t>
        </is>
      </c>
      <c r="I71" s="24" t="n">
        <v>45652</v>
      </c>
      <c r="J71" s="6" t="n">
        <v>1929</v>
      </c>
    </row>
    <row r="72">
      <c r="A72" s="23" t="n">
        <v>45627</v>
      </c>
      <c r="B72" s="6" t="inlineStr">
        <is>
          <t>Pago</t>
        </is>
      </c>
      <c r="C72" s="6" t="inlineStr">
        <is>
          <t>PL530.001</t>
        </is>
      </c>
      <c r="D72" s="6" t="str">
        <f>IFERROR(VLOOKUP(E72,FORNECEDORES!$A$5:$F$999,6,FALSE),"L10")</f>
        <v>L01</v>
      </c>
      <c r="E72" s="6" t="inlineStr">
        <is>
          <t>MINAS FERRAMENTAS LTDA</t>
        </is>
      </c>
      <c r="F72" s="7" t="n">
        <v>225.79</v>
      </c>
      <c r="G72" s="6" t="inlineStr">
        <is>
          <t>EQUIPAMENTOS E FERRAMENTAS</t>
        </is>
      </c>
      <c r="H72" s="6" t="inlineStr">
        <is>
          <t>MINAS FERRAMENTAS LTDA</t>
        </is>
      </c>
      <c r="I72" s="24" t="n">
        <v>45637</v>
      </c>
      <c r="J72" s="6" t="n">
        <v>1810</v>
      </c>
    </row>
    <row r="73">
      <c r="A73" s="23" t="n">
        <v>45627</v>
      </c>
      <c r="B73" s="6" t="inlineStr">
        <is>
          <t>Pago</t>
        </is>
      </c>
      <c r="C73" s="6" t="inlineStr">
        <is>
          <t>PL530.001</t>
        </is>
      </c>
      <c r="D73" s="6" t="str">
        <f>IFERROR(VLOOKUP(E73,FORNECEDORES!$A$5:$F$999,6,FALSE),"L10")</f>
        <v>L10</v>
      </c>
      <c r="E73" s="6" t="inlineStr">
        <is>
          <t>SHIRLE JUSTINO DE SOUZA HIRLE 08026685695</t>
        </is>
      </c>
      <c r="F73" s="7" t="n">
        <v>1316.7</v>
      </c>
      <c r="G73" s="6" t="inlineStr">
        <is>
          <t>NÃO CLASSIFICADO</t>
        </is>
      </c>
      <c r="H73" s="6" t="inlineStr">
        <is>
          <t>SHIRLE JUSTINO DE SOUZA HIRLE 08026685695</t>
        </is>
      </c>
      <c r="I73" s="24" t="n">
        <v>45652</v>
      </c>
      <c r="J73" s="6" t="n">
        <v>1974</v>
      </c>
    </row>
    <row r="74">
      <c r="A74" s="23" t="n">
        <v>45658</v>
      </c>
      <c r="B74" s="6" t="inlineStr">
        <is>
          <t>Pago</t>
        </is>
      </c>
      <c r="C74" s="6" t="inlineStr">
        <is>
          <t>PL530.001</t>
        </is>
      </c>
      <c r="D74" s="6" t="str">
        <f>IFERROR(VLOOKUP(E74,FORNECEDORES!$A$5:$F$999,6,FALSE),"L10")</f>
        <v>L03</v>
      </c>
      <c r="E74" s="6" t="inlineStr">
        <is>
          <t>ACESSO EQUIPAMENTOS LTDA</t>
        </is>
      </c>
      <c r="F74" s="7" t="n">
        <v>100</v>
      </c>
      <c r="G74" s="6" t="inlineStr">
        <is>
          <t>LOCAÇÕES</t>
        </is>
      </c>
      <c r="H74" s="6" t="inlineStr">
        <is>
          <t>ACESSO EQUIPAMENTOS LTDA</t>
        </is>
      </c>
      <c r="I74" s="24" t="n">
        <v>45665</v>
      </c>
      <c r="J74" s="6" t="n">
        <v>2022</v>
      </c>
    </row>
    <row r="75">
      <c r="A75" s="23" t="n">
        <v>45658</v>
      </c>
      <c r="B75" s="6" t="inlineStr">
        <is>
          <t>Pago</t>
        </is>
      </c>
      <c r="C75" s="6" t="inlineStr">
        <is>
          <t>PL530.001</t>
        </is>
      </c>
      <c r="D75" s="6" t="str">
        <f>IFERROR(VLOOKUP(E75,FORNECEDORES!$A$5:$F$999,6,FALSE),"L10")</f>
        <v>L01</v>
      </c>
      <c r="E75" s="6" t="inlineStr">
        <is>
          <t>COFERMETA SA</t>
        </is>
      </c>
      <c r="F75" s="7" t="n">
        <v>260.1</v>
      </c>
      <c r="G75" s="6" t="inlineStr">
        <is>
          <t>EQUIPAMENTOS DE PROTEÇÃO INDIVIDUAL</t>
        </is>
      </c>
      <c r="H75" s="6" t="inlineStr">
        <is>
          <t>COFERMETA SA</t>
        </is>
      </c>
      <c r="I75" s="24" t="n">
        <v>45665</v>
      </c>
      <c r="J75" s="6" t="n">
        <v>1906</v>
      </c>
    </row>
    <row r="76">
      <c r="A76" s="23" t="n">
        <v>45658</v>
      </c>
      <c r="B76" s="6" t="inlineStr">
        <is>
          <t>Pago</t>
        </is>
      </c>
      <c r="C76" s="6" t="inlineStr">
        <is>
          <t>PL530.001</t>
        </is>
      </c>
      <c r="D76" s="6" t="str">
        <f>IFERROR(VLOOKUP(E76,FORNECEDORES!$A$5:$F$999,6,FALSE),"L10")</f>
        <v>L03</v>
      </c>
      <c r="E76" s="6" t="inlineStr">
        <is>
          <t>EDIFICAR LOCACAO MANUTENCAO E SERVICOS LTDA</t>
        </is>
      </c>
      <c r="F76" s="7" t="n">
        <v>599.99</v>
      </c>
      <c r="G76" s="6" t="inlineStr">
        <is>
          <t>LOCAÇÕES</t>
        </is>
      </c>
      <c r="H76" s="6" t="inlineStr">
        <is>
          <t>EDIFICAR LOCACAO MANUTENCAO E SERVICOS LTDA</t>
        </is>
      </c>
      <c r="I76" s="24" t="n">
        <v>45681</v>
      </c>
      <c r="J76" s="6" t="n">
        <v>2060</v>
      </c>
    </row>
    <row r="77">
      <c r="A77" s="23" t="n">
        <v>45658</v>
      </c>
      <c r="B77" s="6" t="inlineStr">
        <is>
          <t>Pago</t>
        </is>
      </c>
      <c r="C77" s="6" t="inlineStr">
        <is>
          <t>PL530.001</t>
        </is>
      </c>
      <c r="D77" s="6" t="str">
        <f>IFERROR(VLOOKUP(E77,FORNECEDORES!$A$5:$F$999,6,FALSE),"L10")</f>
        <v>L03</v>
      </c>
      <c r="E77" s="6" t="inlineStr">
        <is>
          <t>EDIFICAR LOCACAO MANUTENCAO E SERVICOS LTDA</t>
        </is>
      </c>
      <c r="F77" s="7" t="n">
        <v>700.02</v>
      </c>
      <c r="G77" s="6" t="inlineStr">
        <is>
          <t>LOCAÇÕES</t>
        </is>
      </c>
      <c r="H77" s="6" t="inlineStr">
        <is>
          <t>EDIFICAR LOCACAO MANUTENCAO E SERVICOS LTDA</t>
        </is>
      </c>
      <c r="I77" s="24" t="n">
        <v>45681</v>
      </c>
      <c r="J77" s="6" t="n">
        <v>2060</v>
      </c>
    </row>
    <row r="78">
      <c r="A78" s="23" t="n">
        <v>45658</v>
      </c>
      <c r="B78" s="6" t="inlineStr">
        <is>
          <t>Pago</t>
        </is>
      </c>
      <c r="C78" s="6" t="inlineStr">
        <is>
          <t>PL530.001</t>
        </is>
      </c>
      <c r="D78" s="6" t="str">
        <f>IFERROR(VLOOKUP(E78,FORNECEDORES!$A$5:$F$999,6,FALSE),"L10")</f>
        <v>L03</v>
      </c>
      <c r="E78" s="6" t="inlineStr">
        <is>
          <t>EDIFICAR LOCACAO MANUTENCAO E SERVICOS LTDA</t>
        </is>
      </c>
      <c r="F78" s="7" t="n">
        <v>400</v>
      </c>
      <c r="G78" s="6" t="inlineStr">
        <is>
          <t>LOCAÇÕES</t>
        </is>
      </c>
      <c r="H78" s="6" t="inlineStr">
        <is>
          <t>EDIFICAR LOCACAO MANUTENCAO E SERVICOS LTDA</t>
        </is>
      </c>
      <c r="I78" s="24" t="n">
        <v>45681</v>
      </c>
      <c r="J78" s="6" t="n">
        <v>2060</v>
      </c>
    </row>
    <row r="79">
      <c r="A79" s="23" t="n">
        <v>45658</v>
      </c>
      <c r="B79" s="6" t="inlineStr">
        <is>
          <t>Pago</t>
        </is>
      </c>
      <c r="C79" s="6" t="inlineStr">
        <is>
          <t>PL530.001</t>
        </is>
      </c>
      <c r="D79" s="6" t="str">
        <f>IFERROR(VLOOKUP(E79,FORNECEDORES!$A$5:$F$999,6,FALSE),"L10")</f>
        <v>L03</v>
      </c>
      <c r="E79" s="6" t="inlineStr">
        <is>
          <t>LOCAFAZ LOCACAO DE EQUIPAMENTOS LTDA</t>
        </is>
      </c>
      <c r="F79" s="7" t="n">
        <v>207</v>
      </c>
      <c r="G79" s="6" t="inlineStr">
        <is>
          <t>LOCAÇÕES</t>
        </is>
      </c>
      <c r="H79" s="6" t="inlineStr">
        <is>
          <t>LOCAFAZ LOCACAO DE EQUIPAMENTOS LTDA</t>
        </is>
      </c>
      <c r="I79" s="24" t="n">
        <v>45686</v>
      </c>
      <c r="J79" s="6" t="n">
        <v>2109</v>
      </c>
    </row>
    <row r="80">
      <c r="A80" s="23" t="n">
        <v>45658</v>
      </c>
      <c r="B80" s="6" t="inlineStr">
        <is>
          <t>Pago</t>
        </is>
      </c>
      <c r="C80" s="6" t="inlineStr">
        <is>
          <t>PL530.001</t>
        </is>
      </c>
      <c r="D80" s="6" t="str">
        <f>IFERROR(VLOOKUP(E80,FORNECEDORES!$A$5:$F$999,6,FALSE),"L10")</f>
        <v>L03</v>
      </c>
      <c r="E80" s="6" t="inlineStr">
        <is>
          <t>LOCAFAZ LOCACAO DE EQUIPAMENTOS LTDA</t>
        </is>
      </c>
      <c r="F80" s="7" t="n">
        <v>274</v>
      </c>
      <c r="G80" s="6" t="inlineStr">
        <is>
          <t>LOCAÇÕES</t>
        </is>
      </c>
      <c r="H80" s="6" t="inlineStr">
        <is>
          <t>LOCAFAZ LOCACAO DE EQUIPAMENTOS LTDA</t>
        </is>
      </c>
      <c r="I80" s="24" t="n">
        <v>45686</v>
      </c>
      <c r="J80" s="6" t="n">
        <v>2109</v>
      </c>
    </row>
    <row r="81">
      <c r="A81" s="23" t="n">
        <v>45658</v>
      </c>
      <c r="B81" s="6" t="inlineStr">
        <is>
          <t>Pago</t>
        </is>
      </c>
      <c r="C81" s="6" t="inlineStr">
        <is>
          <t>PL530.001</t>
        </is>
      </c>
      <c r="D81" s="6" t="str">
        <f>IFERROR(VLOOKUP(E81,FORNECEDORES!$A$5:$F$999,6,FALSE),"L10")</f>
        <v>L03</v>
      </c>
      <c r="E81" s="6" t="inlineStr">
        <is>
          <t>LOCAFAZ LOCACAO DE EQUIPAMENTOS LTDA</t>
        </is>
      </c>
      <c r="F81" s="7" t="n">
        <v>460</v>
      </c>
      <c r="G81" s="6" t="inlineStr">
        <is>
          <t>LOCAÇÕES</t>
        </is>
      </c>
      <c r="H81" s="6" t="inlineStr">
        <is>
          <t>LOCAFAZ LOCACAO DE EQUIPAMENTOS LTDA</t>
        </is>
      </c>
      <c r="I81" s="24" t="n">
        <v>45686</v>
      </c>
      <c r="J81" s="6" t="n">
        <v>2109</v>
      </c>
    </row>
    <row r="82">
      <c r="A82" s="23" t="n">
        <v>45658</v>
      </c>
      <c r="B82" s="6" t="inlineStr">
        <is>
          <t>Pago</t>
        </is>
      </c>
      <c r="C82" s="6" t="inlineStr">
        <is>
          <t>PL530.001</t>
        </is>
      </c>
      <c r="D82" s="6" t="str">
        <f>IFERROR(VLOOKUP(E82,FORNECEDORES!$A$5:$F$999,6,FALSE),"L10")</f>
        <v>L03</v>
      </c>
      <c r="E82" s="6" t="inlineStr">
        <is>
          <t>LOCAFAZ LOCACAO DE EQUIPAMENTOS LTDA</t>
        </is>
      </c>
      <c r="F82" s="7" t="n">
        <v>1269</v>
      </c>
      <c r="G82" s="6" t="inlineStr">
        <is>
          <t>LOCAÇÕES</t>
        </is>
      </c>
      <c r="H82" s="6" t="inlineStr">
        <is>
          <t>LOCAFAZ LOCACAO DE EQUIPAMENTOS LTDA</t>
        </is>
      </c>
      <c r="I82" s="24" t="n">
        <v>45686</v>
      </c>
      <c r="J82" s="6" t="n">
        <v>2109</v>
      </c>
    </row>
    <row r="83">
      <c r="A83" s="23" t="n">
        <v>45658</v>
      </c>
      <c r="B83" s="6" t="inlineStr">
        <is>
          <t>Pago</t>
        </is>
      </c>
      <c r="C83" s="6" t="inlineStr">
        <is>
          <t>PL530.001</t>
        </is>
      </c>
      <c r="D83" s="6" t="str">
        <f>IFERROR(VLOOKUP(E83,FORNECEDORES!$A$5:$F$999,6,FALSE),"L10")</f>
        <v>L03</v>
      </c>
      <c r="E83" s="6" t="inlineStr">
        <is>
          <t>LOCAFAZ LOCACAO DE EQUIPAMENTOS LTDA</t>
        </is>
      </c>
      <c r="F83" s="7" t="n">
        <v>65</v>
      </c>
      <c r="G83" s="6" t="inlineStr">
        <is>
          <t>LOCAÇÕES</t>
        </is>
      </c>
      <c r="H83" s="6" t="inlineStr">
        <is>
          <t>LOCAFAZ LOCACAO DE EQUIPAMENTOS LTDA</t>
        </is>
      </c>
      <c r="I83" s="24" t="n">
        <v>45686</v>
      </c>
      <c r="J83" s="6" t="n">
        <v>2109</v>
      </c>
    </row>
    <row r="84">
      <c r="A84" s="23" t="n">
        <v>45658</v>
      </c>
      <c r="B84" s="6" t="inlineStr">
        <is>
          <t>Pago</t>
        </is>
      </c>
      <c r="C84" s="6" t="inlineStr">
        <is>
          <t>PL530.001</t>
        </is>
      </c>
      <c r="D84" s="6" t="str">
        <f>IFERROR(VLOOKUP(E84,FORNECEDORES!$A$5:$F$999,6,FALSE),"L10")</f>
        <v>L03</v>
      </c>
      <c r="E84" s="6" t="inlineStr">
        <is>
          <t>LOCAFAZ LOCACAO DE EQUIPAMENTOS LTDA</t>
        </is>
      </c>
      <c r="F84" s="7" t="n">
        <v>155</v>
      </c>
      <c r="G84" s="6" t="inlineStr">
        <is>
          <t>LOCAÇÕES</t>
        </is>
      </c>
      <c r="H84" s="6" t="inlineStr">
        <is>
          <t>LOCAFAZ LOCACAO DE EQUIPAMENTOS LTDA</t>
        </is>
      </c>
      <c r="I84" s="24" t="n">
        <v>45686</v>
      </c>
      <c r="J84" s="6" t="n">
        <v>2109</v>
      </c>
    </row>
    <row r="85">
      <c r="A85" s="23" t="n">
        <v>45658</v>
      </c>
      <c r="B85" s="6" t="inlineStr">
        <is>
          <t>Pago</t>
        </is>
      </c>
      <c r="C85" s="6" t="inlineStr">
        <is>
          <t>PL530.001</t>
        </is>
      </c>
      <c r="D85" s="6" t="str">
        <f>IFERROR(VLOOKUP(E85,FORNECEDORES!$A$5:$F$999,6,FALSE),"L10")</f>
        <v>L03</v>
      </c>
      <c r="E85" s="6" t="inlineStr">
        <is>
          <t>LOCAFAZ LOCACAO DE EQUIPAMENTOS LTDA</t>
        </is>
      </c>
      <c r="F85" s="7" t="n">
        <v>80</v>
      </c>
      <c r="G85" s="6" t="inlineStr">
        <is>
          <t>EQUIPAMENTOS E FERRAMENTAS</t>
        </is>
      </c>
      <c r="H85" s="6" t="inlineStr">
        <is>
          <t>LOCAFAZ LOCACAO DE EQUIPAMENTOS LTDA</t>
        </is>
      </c>
      <c r="I85" s="24" t="n">
        <v>45665</v>
      </c>
      <c r="J85" s="6" t="n">
        <v>1957</v>
      </c>
    </row>
    <row r="86">
      <c r="A86" s="23" t="n">
        <v>45658</v>
      </c>
      <c r="B86" s="6" t="inlineStr">
        <is>
          <t>Pago</t>
        </is>
      </c>
      <c r="C86" s="6" t="inlineStr">
        <is>
          <t>PL530.001</t>
        </is>
      </c>
      <c r="D86" s="6" t="str">
        <f>IFERROR(VLOOKUP(E86,FORNECEDORES!$A$5:$F$999,6,FALSE),"L10")</f>
        <v>L03</v>
      </c>
      <c r="E86" s="6" t="inlineStr">
        <is>
          <t>LOCAFAZ LOCACAO DE EQUIPAMENTOS LTDA</t>
        </is>
      </c>
      <c r="F86" s="7" t="n">
        <v>60</v>
      </c>
      <c r="G86" s="6" t="inlineStr">
        <is>
          <t>EQUIPAMENTOS E FERRAMENTAS</t>
        </is>
      </c>
      <c r="H86" s="6" t="inlineStr">
        <is>
          <t>LOCAFAZ LOCACAO DE EQUIPAMENTOS LTDA</t>
        </is>
      </c>
      <c r="I86" s="24" t="n">
        <v>45672</v>
      </c>
      <c r="J86" s="6" t="n">
        <v>1984</v>
      </c>
    </row>
    <row r="87">
      <c r="A87" s="23" t="n">
        <v>45658</v>
      </c>
      <c r="B87" s="6" t="inlineStr">
        <is>
          <t>Pago</t>
        </is>
      </c>
      <c r="C87" s="6" t="inlineStr">
        <is>
          <t>PL530.001</t>
        </is>
      </c>
      <c r="D87" s="6" t="str">
        <f>IFERROR(VLOOKUP(E87,FORNECEDORES!$A$5:$F$999,6,FALSE),"L10")</f>
        <v>L08</v>
      </c>
      <c r="E87" s="6" t="inlineStr">
        <is>
          <t>NEOBETEL EPI, EQUIPAMENTOS DE PROTECAO INDIVIDUAL LTDA</t>
        </is>
      </c>
      <c r="F87" s="7" t="n">
        <v>62.6</v>
      </c>
      <c r="G87" s="6" t="inlineStr">
        <is>
          <t>EQUIPAMENTOS DE PROTEÇÃO INDIVIDUAL</t>
        </is>
      </c>
      <c r="H87" s="6" t="inlineStr">
        <is>
          <t>NEOBETEL EPI, EQUIPAMENTOS DE PROTECAO INDIVIDUAL</t>
        </is>
      </c>
      <c r="I87" s="24" t="n">
        <v>45673</v>
      </c>
      <c r="J87" s="6" t="n">
        <v>1928</v>
      </c>
    </row>
    <row r="88">
      <c r="A88" s="23" t="n">
        <v>45658</v>
      </c>
      <c r="B88" s="6" t="inlineStr">
        <is>
          <t>Pago</t>
        </is>
      </c>
      <c r="C88" s="6" t="inlineStr">
        <is>
          <t>PL530.001</t>
        </is>
      </c>
      <c r="D88" s="6" t="str">
        <f>IFERROR(VLOOKUP(E88,FORNECEDORES!$A$5:$F$999,6,FALSE),"L10")</f>
        <v>L08</v>
      </c>
      <c r="E88" s="6" t="inlineStr">
        <is>
          <t>NEOBETEL EPI, EQUIPAMENTOS DE PROTECAO INDIVIDUAL LTDA</t>
        </is>
      </c>
      <c r="F88" s="7" t="n">
        <v>61.3</v>
      </c>
      <c r="G88" s="6" t="inlineStr">
        <is>
          <t>EQUIPAMENTOS DE PROTEÇÃO INDIVIDUAL</t>
        </is>
      </c>
      <c r="H88" s="6" t="inlineStr">
        <is>
          <t>NEOBETEL EPI, EQUIPAMENTOS DE PROTECAO INDIVIDUAL</t>
        </is>
      </c>
      <c r="I88" s="24" t="n">
        <v>45673</v>
      </c>
      <c r="J88" s="6" t="n">
        <v>1928</v>
      </c>
    </row>
    <row r="89">
      <c r="A89" s="23" t="n">
        <v>45658</v>
      </c>
      <c r="B89" s="6" t="inlineStr">
        <is>
          <t>Pago</t>
        </is>
      </c>
      <c r="C89" s="6" t="inlineStr">
        <is>
          <t>PL530.001</t>
        </is>
      </c>
      <c r="D89" s="6" t="str">
        <f>IFERROR(VLOOKUP(E89,FORNECEDORES!$A$5:$F$999,6,FALSE),"L10")</f>
        <v>L08</v>
      </c>
      <c r="E89" s="6" t="inlineStr">
        <is>
          <t>NEOBETEL EPI, EQUIPAMENTOS DE PROTECAO INDIVIDUAL LTDA</t>
        </is>
      </c>
      <c r="F89" s="7" t="n">
        <v>418.5</v>
      </c>
      <c r="G89" s="6" t="inlineStr">
        <is>
          <t>EQUIPAMENTOS DE PROTEÇÃO INDIVIDUAL</t>
        </is>
      </c>
      <c r="H89" s="6" t="inlineStr">
        <is>
          <t>NEOBETEL EPI, EQUIPAMENTOS DE PROTECAO INDIVIDUAL</t>
        </is>
      </c>
      <c r="I89" s="24" t="n">
        <v>45673</v>
      </c>
      <c r="J89" s="6" t="n">
        <v>1928</v>
      </c>
    </row>
    <row r="90">
      <c r="A90" s="23" t="n">
        <v>45658</v>
      </c>
      <c r="B90" s="6" t="inlineStr">
        <is>
          <t>Pago</t>
        </is>
      </c>
      <c r="C90" s="6" t="inlineStr">
        <is>
          <t>PL530.001</t>
        </is>
      </c>
      <c r="D90" s="6" t="str">
        <f>IFERROR(VLOOKUP(E90,FORNECEDORES!$A$5:$F$999,6,FALSE),"L10")</f>
        <v>L08</v>
      </c>
      <c r="E90" s="6" t="inlineStr">
        <is>
          <t>NEOBETEL EPI, EQUIPAMENTOS DE PROTECAO INDIVIDUAL LTDA</t>
        </is>
      </c>
      <c r="F90" s="7" t="n">
        <v>63.6</v>
      </c>
      <c r="G90" s="6" t="inlineStr">
        <is>
          <t>EQUIPAMENTOS DE PROTEÇÃO INDIVIDUAL</t>
        </is>
      </c>
      <c r="H90" s="6" t="inlineStr">
        <is>
          <t>NEOBETEL EPI, EQUIPAMENTOS DE PROTECAO INDIVIDUAL</t>
        </is>
      </c>
      <c r="I90" s="24" t="n">
        <v>45673</v>
      </c>
      <c r="J90" s="6" t="n">
        <v>1928</v>
      </c>
    </row>
    <row r="91">
      <c r="A91" s="23" t="n">
        <v>45658</v>
      </c>
      <c r="B91" s="6" t="inlineStr">
        <is>
          <t>Pago</t>
        </is>
      </c>
      <c r="C91" s="6" t="inlineStr">
        <is>
          <t>PL530.001</t>
        </is>
      </c>
      <c r="D91" s="6" t="str">
        <f>IFERROR(VLOOKUP(E91,FORNECEDORES!$A$5:$F$999,6,FALSE),"L10")</f>
        <v>L08</v>
      </c>
      <c r="E91" s="6" t="inlineStr">
        <is>
          <t>NEOBETEL EPI, EQUIPAMENTOS DE PROTECAO INDIVIDUAL LTDA</t>
        </is>
      </c>
      <c r="F91" s="7" t="n">
        <v>61.3</v>
      </c>
      <c r="G91" s="6" t="inlineStr">
        <is>
          <t>EQUIPAMENTOS DE PROTEÇÃO INDIVIDUAL</t>
        </is>
      </c>
      <c r="H91" s="6" t="inlineStr">
        <is>
          <t>NEOBETEL EPI, EQUIPAMENTOS DE PROTECAO INDIVIDUAL</t>
        </is>
      </c>
      <c r="I91" s="24" t="n">
        <v>45673</v>
      </c>
      <c r="J91" s="6" t="n">
        <v>1928</v>
      </c>
    </row>
    <row r="92">
      <c r="A92" s="23" t="n">
        <v>45658</v>
      </c>
      <c r="B92" s="6" t="inlineStr">
        <is>
          <t>Pago</t>
        </is>
      </c>
      <c r="C92" s="6" t="inlineStr">
        <is>
          <t>PL530.001</t>
        </is>
      </c>
      <c r="D92" s="6" t="str">
        <f>IFERROR(VLOOKUP(E92,FORNECEDORES!$A$5:$F$999,6,FALSE),"L10")</f>
        <v>L08</v>
      </c>
      <c r="E92" s="6" t="inlineStr">
        <is>
          <t>NEOBETEL EPI, EQUIPAMENTOS DE PROTECAO INDIVIDUAL LTDA</t>
        </is>
      </c>
      <c r="F92" s="7" t="n">
        <v>97.68000000000001</v>
      </c>
      <c r="G92" s="6" t="inlineStr">
        <is>
          <t>EQUIPAMENTOS DE PROTEÇÃO INDIVIDUAL</t>
        </is>
      </c>
      <c r="H92" s="6" t="inlineStr">
        <is>
          <t>NEOBETEL EPI, EQUIPAMENTOS DE PROTECAO INDIVIDUAL</t>
        </is>
      </c>
      <c r="I92" s="24" t="n">
        <v>45673</v>
      </c>
      <c r="J92" s="6" t="n">
        <v>1928</v>
      </c>
    </row>
    <row r="93">
      <c r="A93" s="23" t="n">
        <v>45658</v>
      </c>
      <c r="B93" s="6" t="inlineStr">
        <is>
          <t>Pago</t>
        </is>
      </c>
      <c r="C93" s="6" t="inlineStr">
        <is>
          <t>PL530.001</t>
        </is>
      </c>
      <c r="D93" s="6" t="str">
        <f>IFERROR(VLOOKUP(E93,FORNECEDORES!$A$5:$F$999,6,FALSE),"L10")</f>
        <v>L08</v>
      </c>
      <c r="E93" s="6" t="inlineStr">
        <is>
          <t>NEOBETEL EPI, EQUIPAMENTOS DE PROTECAO INDIVIDUAL LTDA</t>
        </is>
      </c>
      <c r="F93" s="7" t="n">
        <v>347</v>
      </c>
      <c r="G93" s="6" t="inlineStr">
        <is>
          <t>EQUIPAMENTOS DE PROTEÇÃO INDIVIDUAL</t>
        </is>
      </c>
      <c r="H93" s="6" t="inlineStr">
        <is>
          <t>NEOBETEL EPI, EQUIPAMENTOS DE PROTECAO INDIVIDUAL</t>
        </is>
      </c>
      <c r="I93" s="24" t="n">
        <v>45673</v>
      </c>
      <c r="J93" s="6" t="n">
        <v>1928</v>
      </c>
    </row>
    <row r="94">
      <c r="A94" s="23" t="n">
        <v>45658</v>
      </c>
      <c r="B94" s="6" t="inlineStr">
        <is>
          <t>Pago</t>
        </is>
      </c>
      <c r="C94" s="6" t="inlineStr">
        <is>
          <t>PL530.001</t>
        </is>
      </c>
      <c r="D94" s="6" t="str">
        <f>IFERROR(VLOOKUP(E94,FORNECEDORES!$A$5:$F$999,6,FALSE),"L10")</f>
        <v>L08</v>
      </c>
      <c r="E94" s="6" t="inlineStr">
        <is>
          <t>NEOBETEL EPI, EQUIPAMENTOS DE PROTECAO INDIVIDUAL LTDA</t>
        </is>
      </c>
      <c r="F94" s="7" t="n">
        <v>29.26</v>
      </c>
      <c r="G94" s="6" t="inlineStr">
        <is>
          <t>EQUIPAMENTOS DE PROTEÇÃO INDIVIDUAL</t>
        </is>
      </c>
      <c r="H94" s="6" t="inlineStr">
        <is>
          <t>NEOBETEL EPI, EQUIPAMENTOS DE PROTECAO INDIVIDUAL</t>
        </is>
      </c>
      <c r="I94" s="24" t="n">
        <v>45673</v>
      </c>
      <c r="J94" s="6" t="n">
        <v>1928</v>
      </c>
    </row>
    <row r="95">
      <c r="A95" s="23" t="n">
        <v>45658</v>
      </c>
      <c r="B95" s="6" t="inlineStr">
        <is>
          <t>Pago</t>
        </is>
      </c>
      <c r="C95" s="6" t="inlineStr">
        <is>
          <t>PL530.001</t>
        </is>
      </c>
      <c r="D95" s="6" t="str">
        <f>IFERROR(VLOOKUP(E95,FORNECEDORES!$A$5:$F$999,6,FALSE),"L10")</f>
        <v>L08</v>
      </c>
      <c r="E95" s="6" t="inlineStr">
        <is>
          <t>NEOBETEL EPI, EQUIPAMENTOS DE PROTECAO INDIVIDUAL LTDA</t>
        </is>
      </c>
      <c r="F95" s="7" t="n">
        <v>29.9</v>
      </c>
      <c r="G95" s="6" t="inlineStr">
        <is>
          <t>EQUIPAMENTOS DE PROTEÇÃO INDIVIDUAL</t>
        </is>
      </c>
      <c r="H95" s="6" t="inlineStr">
        <is>
          <t>NEOBETEL EPI, EQUIPAMENTOS DE PROTECAO INDIVIDUAL</t>
        </is>
      </c>
      <c r="I95" s="24" t="n">
        <v>45673</v>
      </c>
      <c r="J95" s="6" t="n">
        <v>1928</v>
      </c>
    </row>
    <row r="96">
      <c r="A96" s="23" t="n">
        <v>45658</v>
      </c>
      <c r="B96" s="6" t="inlineStr">
        <is>
          <t>Pago</t>
        </is>
      </c>
      <c r="C96" s="6" t="inlineStr">
        <is>
          <t>PL530.001</t>
        </is>
      </c>
      <c r="D96" s="6" t="str">
        <f>IFERROR(VLOOKUP(E96,FORNECEDORES!$A$5:$F$999,6,FALSE),"L10")</f>
        <v>L10</v>
      </c>
      <c r="E96" s="6" t="inlineStr">
        <is>
          <t>SHIRLE JUSTINO DE SOUZA HIRLE 08026685695</t>
        </is>
      </c>
      <c r="F96" s="7" t="n">
        <v>169.4</v>
      </c>
      <c r="G96" s="6" t="inlineStr">
        <is>
          <t>NÃO CLASSIFICADO</t>
        </is>
      </c>
      <c r="H96" s="6" t="inlineStr">
        <is>
          <t>INSS RETIDO PJ - MINISTERIO DA PREVIDENCIA</t>
        </is>
      </c>
      <c r="I96" s="24" t="n">
        <v>45677</v>
      </c>
      <c r="J96" s="6" t="n">
        <v>1976</v>
      </c>
    </row>
    <row r="97">
      <c r="A97" s="23" t="n">
        <v>45658</v>
      </c>
      <c r="B97" s="6" t="inlineStr">
        <is>
          <t>Pago</t>
        </is>
      </c>
      <c r="C97" s="6" t="inlineStr">
        <is>
          <t>PL530.001</t>
        </is>
      </c>
      <c r="D97" s="6" t="str">
        <f>IFERROR(VLOOKUP(E97,FORNECEDORES!$A$5:$F$999,6,FALSE),"L10")</f>
        <v>L10</v>
      </c>
      <c r="E97" s="6" t="inlineStr">
        <is>
          <t>SHIRLE JUSTINO DE SOUZA HIRLE 08026685695</t>
        </is>
      </c>
      <c r="F97" s="7" t="n">
        <v>53.9</v>
      </c>
      <c r="G97" s="6" t="inlineStr">
        <is>
          <t>NÃO CLASSIFICADO</t>
        </is>
      </c>
      <c r="H97" s="6" t="inlineStr">
        <is>
          <t>PREFEITURA DE BELO HORIZONTE - ISSQN RETIDO</t>
        </is>
      </c>
      <c r="I97" s="24" t="n">
        <v>45665</v>
      </c>
      <c r="J97" s="6" t="n">
        <v>1990</v>
      </c>
    </row>
    <row r="98">
      <c r="A98" s="23" t="n">
        <v>45689</v>
      </c>
      <c r="B98" s="6" t="inlineStr">
        <is>
          <t>Pago</t>
        </is>
      </c>
      <c r="C98" s="6" t="inlineStr">
        <is>
          <t>PL530.001</t>
        </is>
      </c>
      <c r="D98" s="6" t="str">
        <f>IFERROR(VLOOKUP(E98,FORNECEDORES!$A$5:$F$999,6,FALSE),"L10")</f>
        <v>L03</v>
      </c>
      <c r="E98" s="6" t="inlineStr">
        <is>
          <t>ACESSO EQUIPAMENTOS LTDA</t>
        </is>
      </c>
      <c r="F98" s="7" t="n">
        <v>100</v>
      </c>
      <c r="G98" s="6" t="inlineStr">
        <is>
          <t>LOCAÇÕES</t>
        </is>
      </c>
      <c r="H98" s="6" t="inlineStr">
        <is>
          <t>ACESSO EQUIPAMENTOS LTDA</t>
        </is>
      </c>
      <c r="I98" s="24" t="n">
        <v>45691</v>
      </c>
      <c r="J98" s="6" t="n">
        <v>2023</v>
      </c>
    </row>
    <row r="99">
      <c r="A99" s="23" t="n">
        <v>45689</v>
      </c>
      <c r="B99" s="6" t="inlineStr">
        <is>
          <t>Pago</t>
        </is>
      </c>
      <c r="C99" s="6" t="inlineStr">
        <is>
          <t>PL530.001</t>
        </is>
      </c>
      <c r="D99" s="6" t="str">
        <f>IFERROR(VLOOKUP(E99,FORNECEDORES!$A$5:$F$999,6,FALSE),"L10")</f>
        <v>L08</v>
      </c>
      <c r="E99" s="6" t="inlineStr">
        <is>
          <t>BH SEG EQUIPAMENTOS DE PROTECAO INDIVIDUAL LTDA</t>
        </is>
      </c>
      <c r="F99" s="7" t="n">
        <v>25</v>
      </c>
      <c r="G99" s="6" t="inlineStr">
        <is>
          <t>FRETE</t>
        </is>
      </c>
      <c r="H99" s="6" t="inlineStr">
        <is>
          <t>BH SEG EQUIPAMENTOS DE PROTECAO INDIVIDUAL LTDA</t>
        </is>
      </c>
      <c r="I99" s="24" t="n">
        <v>45705</v>
      </c>
      <c r="J99" s="6" t="n">
        <v>2161</v>
      </c>
    </row>
    <row r="100">
      <c r="A100" s="23" t="n">
        <v>45689</v>
      </c>
      <c r="B100" s="6" t="inlineStr">
        <is>
          <t>Pago</t>
        </is>
      </c>
      <c r="C100" s="6" t="inlineStr">
        <is>
          <t>PL530.001</t>
        </is>
      </c>
      <c r="D100" s="6" t="str">
        <f>IFERROR(VLOOKUP(E100,FORNECEDORES!$A$5:$F$999,6,FALSE),"L10")</f>
        <v>L08</v>
      </c>
      <c r="E100" s="6" t="inlineStr">
        <is>
          <t>BH SEG EQUIPAMENTOS DE PROTECAO INDIVIDUAL LTDA</t>
        </is>
      </c>
      <c r="F100" s="7" t="n">
        <v>31.06</v>
      </c>
      <c r="G100" s="6" t="inlineStr">
        <is>
          <t>EQUIPAMENTOS DE PROTEÇÃO INDIVIDUAL</t>
        </is>
      </c>
      <c r="H100" s="6" t="inlineStr">
        <is>
          <t>BH SEG EQUIPAMENTOS DE PROTECAO INDIVIDUAL LTDA</t>
        </is>
      </c>
      <c r="I100" s="24" t="n">
        <v>45705</v>
      </c>
      <c r="J100" s="6" t="n">
        <v>2161</v>
      </c>
    </row>
    <row r="101">
      <c r="A101" s="23" t="n">
        <v>45689</v>
      </c>
      <c r="B101" s="6" t="inlineStr">
        <is>
          <t>Pago</t>
        </is>
      </c>
      <c r="C101" s="6" t="inlineStr">
        <is>
          <t>PL530.001</t>
        </is>
      </c>
      <c r="D101" s="6" t="str">
        <f>IFERROR(VLOOKUP(E101,FORNECEDORES!$A$5:$F$999,6,FALSE),"L10")</f>
        <v>L01</v>
      </c>
      <c r="E101" s="6" t="inlineStr">
        <is>
          <t>COFERMETA SA</t>
        </is>
      </c>
      <c r="F101" s="7" t="n">
        <v>153.75</v>
      </c>
      <c r="G101" s="6" t="inlineStr">
        <is>
          <t>EQUIPAMENTOS DE PROTEÇÃO INDIVIDUAL</t>
        </is>
      </c>
      <c r="H101" s="6" t="inlineStr">
        <is>
          <t>COFERMETA SA</t>
        </is>
      </c>
      <c r="I101" s="24" t="n">
        <v>45701</v>
      </c>
      <c r="J101" s="6" t="n">
        <v>2055</v>
      </c>
    </row>
    <row r="102">
      <c r="A102" s="23" t="n">
        <v>45689</v>
      </c>
      <c r="B102" s="6" t="inlineStr">
        <is>
          <t>Pago</t>
        </is>
      </c>
      <c r="C102" s="6" t="inlineStr">
        <is>
          <t>PL530.001</t>
        </is>
      </c>
      <c r="D102" s="6" t="str">
        <f>IFERROR(VLOOKUP(E102,FORNECEDORES!$A$5:$F$999,6,FALSE),"L10")</f>
        <v>L01</v>
      </c>
      <c r="E102" s="6" t="inlineStr">
        <is>
          <t>CRISTIANE E SILVIA COMERCIO LTDA</t>
        </is>
      </c>
      <c r="F102" s="7" t="n">
        <v>12.5</v>
      </c>
      <c r="G102" s="6" t="inlineStr">
        <is>
          <t>EQUIPAMENTOS E FERRAMENTAS</t>
        </is>
      </c>
      <c r="H102" s="6" t="inlineStr">
        <is>
          <t>CRISTIANE E SILVIA COMERCIO LTDA</t>
        </is>
      </c>
      <c r="I102" s="24" t="n">
        <v>45716</v>
      </c>
      <c r="J102" s="6" t="n">
        <v>2186</v>
      </c>
    </row>
    <row r="103">
      <c r="A103" s="23" t="n">
        <v>45689</v>
      </c>
      <c r="B103" s="6" t="inlineStr">
        <is>
          <t>Pago</t>
        </is>
      </c>
      <c r="C103" s="6" t="inlineStr">
        <is>
          <t>PL530.001</t>
        </is>
      </c>
      <c r="D103" s="6" t="str">
        <f>IFERROR(VLOOKUP(E103,FORNECEDORES!$A$5:$F$999,6,FALSE),"L10")</f>
        <v>L01</v>
      </c>
      <c r="E103" s="6" t="inlineStr">
        <is>
          <t>CRISTIANE E SILVIA COMERCIO LTDA</t>
        </is>
      </c>
      <c r="F103" s="7" t="n">
        <v>148.5</v>
      </c>
      <c r="G103" s="6" t="inlineStr">
        <is>
          <t>EQUIPAMENTOS E FERRAMENTAS</t>
        </is>
      </c>
      <c r="H103" s="6" t="inlineStr">
        <is>
          <t>CRISTIANE E SILVIA COMERCIO LTDA</t>
        </is>
      </c>
      <c r="I103" s="24" t="n">
        <v>45716</v>
      </c>
      <c r="J103" s="6" t="n">
        <v>2186</v>
      </c>
    </row>
    <row r="104">
      <c r="A104" s="23" t="n">
        <v>45689</v>
      </c>
      <c r="B104" s="6" t="inlineStr">
        <is>
          <t>Pago</t>
        </is>
      </c>
      <c r="C104" s="6" t="inlineStr">
        <is>
          <t>PL530.001</t>
        </is>
      </c>
      <c r="D104" s="6" t="str">
        <f>IFERROR(VLOOKUP(E104,FORNECEDORES!$A$5:$F$999,6,FALSE),"L10")</f>
        <v>L01</v>
      </c>
      <c r="E104" s="6" t="inlineStr">
        <is>
          <t>CRISTIANE E SILVIA COMERCIO LTDA</t>
        </is>
      </c>
      <c r="F104" s="7" t="n">
        <v>13.5</v>
      </c>
      <c r="G104" s="6" t="inlineStr">
        <is>
          <t>EQUIPAMENTOS E FERRAMENTAS</t>
        </is>
      </c>
      <c r="H104" s="6" t="inlineStr">
        <is>
          <t>CRISTIANE E SILVIA COMERCIO LTDA</t>
        </is>
      </c>
      <c r="I104" s="24" t="n">
        <v>45716</v>
      </c>
      <c r="J104" s="6" t="n">
        <v>2186</v>
      </c>
    </row>
    <row r="105">
      <c r="A105" s="23" t="n">
        <v>45689</v>
      </c>
      <c r="B105" s="6" t="inlineStr">
        <is>
          <t>Pago</t>
        </is>
      </c>
      <c r="C105" s="6" t="inlineStr">
        <is>
          <t>PL530.001</t>
        </is>
      </c>
      <c r="D105" s="6" t="str">
        <f>IFERROR(VLOOKUP(E105,FORNECEDORES!$A$5:$F$999,6,FALSE),"L10")</f>
        <v>L01</v>
      </c>
      <c r="E105" s="6" t="inlineStr">
        <is>
          <t>CRISTIANE E SILVIA COMERCIO LTDA</t>
        </is>
      </c>
      <c r="F105" s="7" t="n">
        <v>36.9</v>
      </c>
      <c r="G105" s="6" t="inlineStr">
        <is>
          <t>EQUIPAMENTOS E FERRAMENTAS</t>
        </is>
      </c>
      <c r="H105" s="6" t="inlineStr">
        <is>
          <t>CRISTIANE E SILVIA COMERCIO LTDA</t>
        </is>
      </c>
      <c r="I105" s="24" t="n">
        <v>45716</v>
      </c>
      <c r="J105" s="6" t="n">
        <v>2186</v>
      </c>
    </row>
    <row r="106">
      <c r="A106" s="23" t="n">
        <v>45689</v>
      </c>
      <c r="B106" s="6" t="inlineStr">
        <is>
          <t>Pago</t>
        </is>
      </c>
      <c r="C106" s="6" t="inlineStr">
        <is>
          <t>PL530.001</t>
        </is>
      </c>
      <c r="D106" s="6" t="str">
        <f>IFERROR(VLOOKUP(E106,FORNECEDORES!$A$5:$F$999,6,FALSE),"L10")</f>
        <v>L01</v>
      </c>
      <c r="E106" s="6" t="inlineStr">
        <is>
          <t>CRISTIANE E SILVIA COMERCIO LTDA</t>
        </is>
      </c>
      <c r="F106" s="7" t="n">
        <v>11.5</v>
      </c>
      <c r="G106" s="6" t="inlineStr">
        <is>
          <t>EQUIPAMENTOS E FERRAMENTAS</t>
        </is>
      </c>
      <c r="H106" s="6" t="inlineStr">
        <is>
          <t>CRISTIANE E SILVIA COMERCIO LTDA</t>
        </is>
      </c>
      <c r="I106" s="24" t="n">
        <v>45716</v>
      </c>
      <c r="J106" s="6" t="n">
        <v>2186</v>
      </c>
    </row>
    <row r="107">
      <c r="A107" s="23" t="n">
        <v>45689</v>
      </c>
      <c r="B107" s="6" t="inlineStr">
        <is>
          <t>Pago</t>
        </is>
      </c>
      <c r="C107" s="6" t="inlineStr">
        <is>
          <t>PL530.001</t>
        </is>
      </c>
      <c r="D107" s="6" t="str">
        <f>IFERROR(VLOOKUP(E107,FORNECEDORES!$A$5:$F$999,6,FALSE),"L10")</f>
        <v>L01</v>
      </c>
      <c r="E107" s="6" t="inlineStr">
        <is>
          <t>TECIDOS E ARMARINHOS MIGUEL BARTOLOMEU S/A</t>
        </is>
      </c>
      <c r="F107" s="7" t="n">
        <v>1460</v>
      </c>
      <c r="G107" s="6" t="inlineStr">
        <is>
          <t>MATERIAL ELÉTRICO</t>
        </is>
      </c>
      <c r="H107" s="6" t="inlineStr">
        <is>
          <t>TECIDOS E ARMARINHOS MIGUEL BARTOLOMEU S/A</t>
        </is>
      </c>
      <c r="I107" s="24" t="n">
        <v>45714</v>
      </c>
      <c r="J107" s="6" t="n">
        <v>2103</v>
      </c>
    </row>
    <row r="108">
      <c r="A108" s="23" t="n">
        <v>45717</v>
      </c>
      <c r="B108" s="6" t="inlineStr">
        <is>
          <t>Pago</t>
        </is>
      </c>
      <c r="C108" s="6" t="inlineStr">
        <is>
          <t>PL530.001</t>
        </is>
      </c>
      <c r="D108" s="6" t="str">
        <f>IFERROR(VLOOKUP(E108,FORNECEDORES!$A$5:$F$999,6,FALSE),"L10")</f>
        <v>L01</v>
      </c>
      <c r="E108" s="6" t="inlineStr">
        <is>
          <t>CASA DO FRENTISTA COMERCIO DE MAQUINAS LTDA</t>
        </is>
      </c>
      <c r="F108" s="7" t="n">
        <v>105.6</v>
      </c>
      <c r="G108" s="6" t="inlineStr">
        <is>
          <t>FRETE</t>
        </is>
      </c>
      <c r="H108" s="6" t="inlineStr">
        <is>
          <t>CASA DO FRENTISTA COMERCIO DE MAQUINAS LTDA</t>
        </is>
      </c>
      <c r="I108" s="24" t="n">
        <v>45728</v>
      </c>
      <c r="J108" s="6" t="n">
        <v>2301</v>
      </c>
    </row>
    <row r="109">
      <c r="A109" s="23" t="n">
        <v>45717</v>
      </c>
      <c r="B109" s="6" t="inlineStr">
        <is>
          <t>Pago</t>
        </is>
      </c>
      <c r="C109" s="6" t="inlineStr">
        <is>
          <t>PL530.001</t>
        </is>
      </c>
      <c r="D109" s="6" t="str">
        <f>IFERROR(VLOOKUP(E109,FORNECEDORES!$A$5:$F$999,6,FALSE),"L10")</f>
        <v>L01</v>
      </c>
      <c r="E109" s="6" t="inlineStr">
        <is>
          <t>CASA DO FRENTISTA COMERCIO DE MAQUINAS LTDA</t>
        </is>
      </c>
      <c r="F109" s="7" t="n">
        <v>1487.88</v>
      </c>
      <c r="G109" s="6" t="inlineStr">
        <is>
          <t>EQUIPAMENTOS E FERRAMENTAS</t>
        </is>
      </c>
      <c r="H109" s="6" t="inlineStr">
        <is>
          <t>CASA DO FRENTISTA COMERCIO DE MAQUINAS LTDA</t>
        </is>
      </c>
      <c r="I109" s="24" t="n">
        <v>45728</v>
      </c>
      <c r="J109" s="6" t="n">
        <v>2301</v>
      </c>
    </row>
    <row r="110">
      <c r="A110" s="23" t="n">
        <v>45717</v>
      </c>
      <c r="B110" s="6" t="inlineStr">
        <is>
          <t>Pago</t>
        </is>
      </c>
      <c r="C110" s="6" t="inlineStr">
        <is>
          <t>PL530.001</t>
        </is>
      </c>
      <c r="D110" s="6" t="str">
        <f>IFERROR(VLOOKUP(E110,FORNECEDORES!$A$5:$F$999,6,FALSE),"L10")</f>
        <v>L07</v>
      </c>
      <c r="E110" s="6" t="inlineStr">
        <is>
          <t>CORDAL MINAS COMERCIO DE CABOS E ACESSORIOS LTDA</t>
        </is>
      </c>
      <c r="F110" s="7" t="n">
        <v>84</v>
      </c>
      <c r="G110" s="6" t="inlineStr">
        <is>
          <t>FERRAGENS EM GERAL</t>
        </is>
      </c>
      <c r="H110" s="6" t="inlineStr">
        <is>
          <t>CORDAL MINAS COMERCIO DE CABOS E ACESSORIOS LTDA</t>
        </is>
      </c>
      <c r="I110" s="24" t="n">
        <v>45721</v>
      </c>
      <c r="J110" s="6" t="n">
        <v>2119</v>
      </c>
    </row>
    <row r="111">
      <c r="A111" s="23" t="n">
        <v>45717</v>
      </c>
      <c r="B111" s="6" t="inlineStr">
        <is>
          <t>Pago</t>
        </is>
      </c>
      <c r="C111" s="6" t="inlineStr">
        <is>
          <t>PL530.001</t>
        </is>
      </c>
      <c r="D111" s="6" t="str">
        <f>IFERROR(VLOOKUP(E111,FORNECEDORES!$A$5:$F$999,6,FALSE),"L10")</f>
        <v>L03</v>
      </c>
      <c r="E111" s="6" t="inlineStr">
        <is>
          <t>EDIFICAR LOCACAO MANUTENCAO E SERVICOS LTDA</t>
        </is>
      </c>
      <c r="F111" s="7" t="n">
        <v>1100.01</v>
      </c>
      <c r="G111" s="6" t="inlineStr">
        <is>
          <t>LOCAÇÕES</t>
        </is>
      </c>
      <c r="H111" s="6" t="inlineStr">
        <is>
          <t>EDIFICAR LOCACAO MANUTENCAO E SERVICOS LTDA</t>
        </is>
      </c>
      <c r="I111" s="24" t="n">
        <v>45721</v>
      </c>
      <c r="J111" s="6" t="n">
        <v>2243</v>
      </c>
    </row>
    <row r="112">
      <c r="A112" s="23" t="n">
        <v>45717</v>
      </c>
      <c r="B112" s="6" t="inlineStr">
        <is>
          <t>Pago</t>
        </is>
      </c>
      <c r="C112" s="6" t="inlineStr">
        <is>
          <t>PL530.001</t>
        </is>
      </c>
      <c r="D112" s="6" t="str">
        <f>IFERROR(VLOOKUP(E112,FORNECEDORES!$A$5:$F$999,6,FALSE),"L10")</f>
        <v>L03</v>
      </c>
      <c r="E112" s="6" t="inlineStr">
        <is>
          <t>EDIFICAR LOCACAO MANUTENCAO E SERVICOS LTDA</t>
        </is>
      </c>
      <c r="F112" s="7" t="n">
        <v>599.99</v>
      </c>
      <c r="G112" s="6" t="inlineStr">
        <is>
          <t>LOCAÇÕES</t>
        </is>
      </c>
      <c r="H112" s="6" t="inlineStr">
        <is>
          <t>EDIFICAR LOCACAO MANUTENCAO E SERVICOS LTDA</t>
        </is>
      </c>
      <c r="I112" s="24" t="n">
        <v>45721</v>
      </c>
      <c r="J112" s="6" t="n">
        <v>2243</v>
      </c>
    </row>
    <row r="113">
      <c r="A113" s="23" t="n">
        <v>45717</v>
      </c>
      <c r="B113" s="6" t="inlineStr">
        <is>
          <t>Pago</t>
        </is>
      </c>
      <c r="C113" s="6" t="inlineStr">
        <is>
          <t>PL530.001</t>
        </is>
      </c>
      <c r="D113" s="6" t="str">
        <f>IFERROR(VLOOKUP(E113,FORNECEDORES!$A$5:$F$999,6,FALSE),"L10")</f>
        <v>L01</v>
      </c>
      <c r="E113" s="6" t="inlineStr">
        <is>
          <t>LOJA DOS PARAFUSOS LTDA</t>
        </is>
      </c>
      <c r="F113" s="7" t="n">
        <v>1410</v>
      </c>
      <c r="G113" s="6" t="inlineStr">
        <is>
          <t>ACESSÓRIOS DE FIXAÇÃO</t>
        </is>
      </c>
      <c r="H113" s="6" t="inlineStr">
        <is>
          <t>LOJA DOS PARAFUSOS LTDA</t>
        </is>
      </c>
      <c r="I113" s="24" t="n">
        <v>45736</v>
      </c>
      <c r="J113" s="6" t="n">
        <v>2171</v>
      </c>
    </row>
    <row r="114">
      <c r="A114" s="23" t="n">
        <v>45717</v>
      </c>
      <c r="B114" s="6" t="inlineStr">
        <is>
          <t>Pago</t>
        </is>
      </c>
      <c r="C114" s="6" t="inlineStr">
        <is>
          <t>PL530.001</t>
        </is>
      </c>
      <c r="D114" s="6" t="str">
        <f>IFERROR(VLOOKUP(E114,FORNECEDORES!$A$5:$F$999,6,FALSE),"L10")</f>
        <v>L01</v>
      </c>
      <c r="E114" s="6" t="inlineStr">
        <is>
          <t>MINAS FERRAMENTAS LTDA</t>
        </is>
      </c>
      <c r="F114" s="7" t="n">
        <v>27.54</v>
      </c>
      <c r="G114" s="6" t="inlineStr">
        <is>
          <t>EQUIPAMENTOS E FERRAMENTAS</t>
        </is>
      </c>
      <c r="H114" s="6" t="inlineStr">
        <is>
          <t>MINAS FERRAMENTAS LTDA</t>
        </is>
      </c>
      <c r="I114" s="24" t="n">
        <v>45728</v>
      </c>
      <c r="J114" s="6" t="n">
        <v>2136</v>
      </c>
    </row>
    <row r="115">
      <c r="A115" s="23" t="n">
        <v>45717</v>
      </c>
      <c r="B115" s="6" t="inlineStr">
        <is>
          <t>Pago</t>
        </is>
      </c>
      <c r="C115" s="6" t="inlineStr">
        <is>
          <t>PL530.001</t>
        </is>
      </c>
      <c r="D115" s="6" t="str">
        <f>IFERROR(VLOOKUP(E115,FORNECEDORES!$A$5:$F$999,6,FALSE),"L10")</f>
        <v>L08</v>
      </c>
      <c r="E115" s="6" t="inlineStr">
        <is>
          <t>NEOBETEL EPI, EQUIPAMENTOS DE PROTECAO INDIVIDUAL LTDA</t>
        </is>
      </c>
      <c r="F115" s="7" t="n">
        <v>49.4</v>
      </c>
      <c r="G115" s="6" t="inlineStr">
        <is>
          <t>EQUIPAMENTOS DE PROTEÇÃO INDIVIDUAL</t>
        </is>
      </c>
      <c r="H115" s="6" t="inlineStr">
        <is>
          <t>NEOBETEL EPI, EQUIPAMENTOS DE PROTECAO INDIVIDUAL</t>
        </is>
      </c>
      <c r="I115" s="24" t="n">
        <v>45743</v>
      </c>
      <c r="J115" s="6" t="n">
        <v>2160</v>
      </c>
    </row>
    <row r="116">
      <c r="A116" s="23" t="n">
        <v>45717</v>
      </c>
      <c r="B116" s="6" t="inlineStr">
        <is>
          <t>Pago</t>
        </is>
      </c>
      <c r="C116" s="6" t="inlineStr">
        <is>
          <t>PL530.001</t>
        </is>
      </c>
      <c r="D116" s="6" t="str">
        <f>IFERROR(VLOOKUP(E116,FORNECEDORES!$A$5:$F$999,6,FALSE),"L10")</f>
        <v>L08</v>
      </c>
      <c r="E116" s="6" t="inlineStr">
        <is>
          <t>NEOBETEL EPI, EQUIPAMENTOS DE PROTECAO INDIVIDUAL LTDA</t>
        </is>
      </c>
      <c r="F116" s="7" t="n">
        <v>146.52</v>
      </c>
      <c r="G116" s="6" t="inlineStr">
        <is>
          <t>EQUIPAMENTOS DE PROTEÇÃO INDIVIDUAL</t>
        </is>
      </c>
      <c r="H116" s="6" t="inlineStr">
        <is>
          <t>NEOBETEL EPI, EQUIPAMENTOS DE PROTECAO INDIVIDUAL</t>
        </is>
      </c>
      <c r="I116" s="24" t="n">
        <v>45743</v>
      </c>
      <c r="J116" s="6" t="n">
        <v>2160</v>
      </c>
    </row>
    <row r="117">
      <c r="A117" s="23" t="n">
        <v>45717</v>
      </c>
      <c r="B117" s="6" t="inlineStr">
        <is>
          <t>Pago</t>
        </is>
      </c>
      <c r="C117" s="6" t="inlineStr">
        <is>
          <t>PL530.001</t>
        </is>
      </c>
      <c r="D117" s="6" t="str">
        <f>IFERROR(VLOOKUP(E117,FORNECEDORES!$A$5:$F$999,6,FALSE),"L10")</f>
        <v>L08</v>
      </c>
      <c r="E117" s="6" t="inlineStr">
        <is>
          <t>NEOBETEL EPI, EQUIPAMENTOS DE PROTECAO INDIVIDUAL LTDA</t>
        </is>
      </c>
      <c r="F117" s="7" t="n">
        <v>146.52</v>
      </c>
      <c r="G117" s="6" t="inlineStr">
        <is>
          <t>EQUIPAMENTOS DE PROTEÇÃO INDIVIDUAL</t>
        </is>
      </c>
      <c r="H117" s="6" t="inlineStr">
        <is>
          <t>NEOBETEL EPI, EQUIPAMENTOS DE PROTECAO INDIVIDUAL</t>
        </is>
      </c>
      <c r="I117" s="24" t="n">
        <v>45743</v>
      </c>
      <c r="J117" s="6" t="n">
        <v>2160</v>
      </c>
    </row>
    <row r="118">
      <c r="A118" s="23" t="n">
        <v>45717</v>
      </c>
      <c r="B118" s="6" t="inlineStr">
        <is>
          <t>Pago</t>
        </is>
      </c>
      <c r="C118" s="6" t="inlineStr">
        <is>
          <t>PL530.001</t>
        </is>
      </c>
      <c r="D118" s="6" t="str">
        <f>IFERROR(VLOOKUP(E118,FORNECEDORES!$A$5:$F$999,6,FALSE),"L10")</f>
        <v>L08</v>
      </c>
      <c r="E118" s="6" t="inlineStr">
        <is>
          <t>NEOBETEL EPI, EQUIPAMENTOS DE PROTECAO INDIVIDUAL LTDA</t>
        </is>
      </c>
      <c r="F118" s="7" t="n">
        <v>306.06</v>
      </c>
      <c r="G118" s="6" t="inlineStr">
        <is>
          <t>EQUIPAMENTOS DE PROTEÇÃO INDIVIDUAL</t>
        </is>
      </c>
      <c r="H118" s="6" t="inlineStr">
        <is>
          <t>NEOBETEL EPI, EQUIPAMENTOS DE PROTECAO INDIVIDUAL</t>
        </is>
      </c>
      <c r="I118" s="24" t="n">
        <v>45743</v>
      </c>
      <c r="J118" s="6" t="n">
        <v>2160</v>
      </c>
    </row>
    <row r="119">
      <c r="A119" s="23" t="n">
        <v>45717</v>
      </c>
      <c r="B119" s="6" t="inlineStr">
        <is>
          <t>Pago</t>
        </is>
      </c>
      <c r="C119" s="6" t="inlineStr">
        <is>
          <t>PL530.001</t>
        </is>
      </c>
      <c r="D119" s="6" t="str">
        <f>IFERROR(VLOOKUP(E119,FORNECEDORES!$A$5:$F$999,6,FALSE),"L10")</f>
        <v>L08</v>
      </c>
      <c r="E119" s="6" t="inlineStr">
        <is>
          <t>NEOBETEL EPI, EQUIPAMENTOS DE PROTECAO INDIVIDUAL LTDA</t>
        </is>
      </c>
      <c r="F119" s="7" t="n">
        <v>146.52</v>
      </c>
      <c r="G119" s="6" t="inlineStr">
        <is>
          <t>EQUIPAMENTOS DE PROTEÇÃO INDIVIDUAL</t>
        </is>
      </c>
      <c r="H119" s="6" t="inlineStr">
        <is>
          <t>NEOBETEL EPI, EQUIPAMENTOS DE PROTECAO INDIVIDUAL</t>
        </is>
      </c>
      <c r="I119" s="24" t="n">
        <v>45743</v>
      </c>
      <c r="J119" s="6" t="n">
        <v>2160</v>
      </c>
    </row>
    <row r="120">
      <c r="A120" s="23" t="n">
        <v>45717</v>
      </c>
      <c r="B120" s="6" t="inlineStr">
        <is>
          <t>Pago</t>
        </is>
      </c>
      <c r="C120" s="6" t="inlineStr">
        <is>
          <t>PL530.001</t>
        </is>
      </c>
      <c r="D120" s="6" t="str">
        <f>IFERROR(VLOOKUP(E120,FORNECEDORES!$A$5:$F$999,6,FALSE),"L10")</f>
        <v>L08</v>
      </c>
      <c r="E120" s="6" t="inlineStr">
        <is>
          <t>NEOBETEL EPI, EQUIPAMENTOS DE PROTECAO INDIVIDUAL LTDA</t>
        </is>
      </c>
      <c r="F120" s="7" t="n">
        <v>306.06</v>
      </c>
      <c r="G120" s="6" t="inlineStr">
        <is>
          <t>EQUIPAMENTOS DE PROTEÇÃO INDIVIDUAL</t>
        </is>
      </c>
      <c r="H120" s="6" t="inlineStr">
        <is>
          <t>NEOBETEL EPI, EQUIPAMENTOS DE PROTECAO INDIVIDUAL</t>
        </is>
      </c>
      <c r="I120" s="24" t="n">
        <v>45743</v>
      </c>
      <c r="J120" s="6" t="n">
        <v>2160</v>
      </c>
    </row>
    <row r="121">
      <c r="A121" s="23" t="n">
        <v>45717</v>
      </c>
      <c r="B121" s="6" t="inlineStr">
        <is>
          <t>Pago</t>
        </is>
      </c>
      <c r="C121" s="6" t="inlineStr">
        <is>
          <t>PL530.001</t>
        </is>
      </c>
      <c r="D121" s="6" t="str">
        <f>IFERROR(VLOOKUP(E121,FORNECEDORES!$A$5:$F$999,6,FALSE),"L10")</f>
        <v>L08</v>
      </c>
      <c r="E121" s="6" t="inlineStr">
        <is>
          <t>NEOBETEL EPI, EQUIPAMENTOS DE PROTECAO INDIVIDUAL LTDA</t>
        </is>
      </c>
      <c r="F121" s="7" t="n">
        <v>204.04</v>
      </c>
      <c r="G121" s="6" t="inlineStr">
        <is>
          <t>EQUIPAMENTOS DE PROTEÇÃO INDIVIDUAL</t>
        </is>
      </c>
      <c r="H121" s="6" t="inlineStr">
        <is>
          <t>NEOBETEL EPI, EQUIPAMENTOS DE PROTECAO INDIVIDUAL</t>
        </is>
      </c>
      <c r="I121" s="24" t="n">
        <v>45743</v>
      </c>
      <c r="J121" s="6" t="n">
        <v>2160</v>
      </c>
    </row>
    <row r="122">
      <c r="A122" s="23" t="n">
        <v>45717</v>
      </c>
      <c r="B122" s="6" t="inlineStr">
        <is>
          <t>Pago</t>
        </is>
      </c>
      <c r="C122" s="6" t="inlineStr">
        <is>
          <t>PL530.001</t>
        </is>
      </c>
      <c r="D122" s="6" t="str">
        <f>IFERROR(VLOOKUP(E122,FORNECEDORES!$A$5:$F$999,6,FALSE),"L10")</f>
        <v>L08</v>
      </c>
      <c r="E122" s="6" t="inlineStr">
        <is>
          <t>NEOBETEL EPI, EQUIPAMENTOS DE PROTECAO INDIVIDUAL LTDA</t>
        </is>
      </c>
      <c r="F122" s="7" t="n">
        <v>204.04</v>
      </c>
      <c r="G122" s="6" t="inlineStr">
        <is>
          <t>EQUIPAMENTOS DE PROTEÇÃO INDIVIDUAL</t>
        </is>
      </c>
      <c r="H122" s="6" t="inlineStr">
        <is>
          <t>NEOBETEL EPI, EQUIPAMENTOS DE PROTECAO INDIVIDUAL</t>
        </is>
      </c>
      <c r="I122" s="24" t="n">
        <v>45743</v>
      </c>
      <c r="J122" s="6" t="n">
        <v>2160</v>
      </c>
    </row>
    <row r="123">
      <c r="A123" s="23" t="n">
        <v>45717</v>
      </c>
      <c r="B123" s="6" t="inlineStr">
        <is>
          <t>Pago</t>
        </is>
      </c>
      <c r="C123" s="6" t="inlineStr">
        <is>
          <t>PL530.001</t>
        </is>
      </c>
      <c r="D123" s="6" t="str">
        <f>IFERROR(VLOOKUP(E123,FORNECEDORES!$A$5:$F$999,6,FALSE),"L10")</f>
        <v>L08</v>
      </c>
      <c r="E123" s="6" t="inlineStr">
        <is>
          <t>NEOBETEL EPI, EQUIPAMENTOS DE PROTECAO INDIVIDUAL LTDA</t>
        </is>
      </c>
      <c r="F123" s="7" t="n">
        <v>9.74</v>
      </c>
      <c r="G123" s="6" t="inlineStr">
        <is>
          <t>EQUIPAMENTOS DE PROTEÇÃO INDIVIDUAL</t>
        </is>
      </c>
      <c r="H123" s="6" t="inlineStr">
        <is>
          <t>NEOBETEL EPI, EQUIPAMENTOS DE PROTECAO INDIVIDUAL</t>
        </is>
      </c>
      <c r="I123" s="24" t="n">
        <v>45743</v>
      </c>
      <c r="J123" s="6" t="n">
        <v>2160</v>
      </c>
    </row>
    <row r="124">
      <c r="A124" s="23" t="n">
        <v>45717</v>
      </c>
      <c r="B124" s="6" t="inlineStr">
        <is>
          <t>Pago</t>
        </is>
      </c>
      <c r="C124" s="6" t="inlineStr">
        <is>
          <t>PL530.001</t>
        </is>
      </c>
      <c r="D124" s="6" t="str">
        <f>IFERROR(VLOOKUP(E124,FORNECEDORES!$A$5:$F$999,6,FALSE),"L10")</f>
        <v>L08</v>
      </c>
      <c r="E124" s="6" t="inlineStr">
        <is>
          <t>NEOBETEL EPI, EQUIPAMENTOS DE PROTECAO INDIVIDUAL LTDA</t>
        </is>
      </c>
      <c r="F124" s="7" t="n">
        <v>48.84</v>
      </c>
      <c r="G124" s="6" t="inlineStr">
        <is>
          <t>EQUIPAMENTOS DE PROTEÇÃO INDIVIDUAL</t>
        </is>
      </c>
      <c r="H124" s="6" t="inlineStr">
        <is>
          <t>NEOBETEL EPI, EQUIPAMENTOS DE PROTECAO INDIVIDUAL</t>
        </is>
      </c>
      <c r="I124" s="24" t="n">
        <v>45743</v>
      </c>
      <c r="J124" s="6" t="n">
        <v>2160</v>
      </c>
    </row>
    <row r="125">
      <c r="A125" s="23" t="n">
        <v>45717</v>
      </c>
      <c r="B125" s="6" t="inlineStr">
        <is>
          <t>Pago</t>
        </is>
      </c>
      <c r="C125" s="6" t="inlineStr">
        <is>
          <t>PL530.001</t>
        </is>
      </c>
      <c r="D125" s="6" t="str">
        <f>IFERROR(VLOOKUP(E125,FORNECEDORES!$A$5:$F$999,6,FALSE),"L10")</f>
        <v>L08</v>
      </c>
      <c r="E125" s="6" t="inlineStr">
        <is>
          <t>NEOBETEL EPI, EQUIPAMENTOS DE PROTECAO INDIVIDUAL LTDA</t>
        </is>
      </c>
      <c r="F125" s="7" t="n">
        <v>204.04</v>
      </c>
      <c r="G125" s="6" t="inlineStr">
        <is>
          <t>EQUIPAMENTOS DE PROTEÇÃO INDIVIDUAL</t>
        </is>
      </c>
      <c r="H125" s="6" t="inlineStr">
        <is>
          <t>NEOBETEL EPI, EQUIPAMENTOS DE PROTECAO INDIVIDUAL</t>
        </is>
      </c>
      <c r="I125" s="24" t="n">
        <v>45743</v>
      </c>
      <c r="J125" s="6" t="n">
        <v>2160</v>
      </c>
    </row>
    <row r="126">
      <c r="A126" s="23" t="n">
        <v>45717</v>
      </c>
      <c r="B126" s="6" t="inlineStr">
        <is>
          <t>Pago</t>
        </is>
      </c>
      <c r="C126" s="6" t="inlineStr">
        <is>
          <t>PL530.001</t>
        </is>
      </c>
      <c r="D126" s="6" t="str">
        <f>IFERROR(VLOOKUP(E126,FORNECEDORES!$A$5:$F$999,6,FALSE),"L10")</f>
        <v>L08</v>
      </c>
      <c r="E126" s="6" t="inlineStr">
        <is>
          <t>S &amp; S IND. E COM. DE CONFECCOES LTDA</t>
        </is>
      </c>
      <c r="F126" s="7" t="n">
        <v>49.93</v>
      </c>
      <c r="G126" s="6" t="inlineStr">
        <is>
          <t>EQUIPAMENTOS DE PROTEÇÃO INDIVIDUAL</t>
        </is>
      </c>
      <c r="H126" s="6" t="inlineStr">
        <is>
          <t>S &amp; S IND. E COM. DE CONFECCOES LTDA</t>
        </is>
      </c>
      <c r="I126" s="24" t="n">
        <v>45742</v>
      </c>
      <c r="J126" s="6" t="n">
        <v>2118</v>
      </c>
    </row>
    <row r="127">
      <c r="A127" s="23" t="n">
        <v>45717</v>
      </c>
      <c r="B127" s="6" t="inlineStr">
        <is>
          <t>Pago</t>
        </is>
      </c>
      <c r="C127" s="6" t="inlineStr">
        <is>
          <t>PL530.001</t>
        </is>
      </c>
      <c r="D127" s="6" t="str">
        <f>IFERROR(VLOOKUP(E127,FORNECEDORES!$A$5:$F$999,6,FALSE),"L10")</f>
        <v>L08</v>
      </c>
      <c r="E127" s="6" t="inlineStr">
        <is>
          <t>S &amp; S IND. E COM. DE CONFECCOES LTDA</t>
        </is>
      </c>
      <c r="F127" s="7" t="n">
        <v>74.90000000000001</v>
      </c>
      <c r="G127" s="6" t="inlineStr">
        <is>
          <t>EQUIPAMENTOS DE PROTEÇÃO INDIVIDUAL</t>
        </is>
      </c>
      <c r="H127" s="6" t="inlineStr">
        <is>
          <t>S &amp; S IND. E COM. DE CONFECCOES LTDA</t>
        </is>
      </c>
      <c r="I127" s="24" t="n">
        <v>45742</v>
      </c>
      <c r="J127" s="6" t="n">
        <v>2118</v>
      </c>
    </row>
    <row r="128">
      <c r="A128" s="23" t="n">
        <v>45717</v>
      </c>
      <c r="B128" s="6" t="inlineStr">
        <is>
          <t>Pago</t>
        </is>
      </c>
      <c r="C128" s="6" t="inlineStr">
        <is>
          <t>PL530.001</t>
        </is>
      </c>
      <c r="D128" s="6" t="str">
        <f>IFERROR(VLOOKUP(E128,FORNECEDORES!$A$5:$F$999,6,FALSE),"L10")</f>
        <v>L08</v>
      </c>
      <c r="E128" s="6" t="inlineStr">
        <is>
          <t>S &amp; S IND. E COM. DE CONFECCOES LTDA</t>
        </is>
      </c>
      <c r="F128" s="7" t="n">
        <v>49.93</v>
      </c>
      <c r="G128" s="6" t="inlineStr">
        <is>
          <t>EQUIPAMENTOS DE PROTEÇÃO INDIVIDUAL</t>
        </is>
      </c>
      <c r="H128" s="6" t="inlineStr">
        <is>
          <t>S &amp; S IND. E COM. DE CONFECCOES LTDA</t>
        </is>
      </c>
      <c r="I128" s="24" t="n">
        <v>45742</v>
      </c>
      <c r="J128" s="6" t="n">
        <v>2118</v>
      </c>
    </row>
    <row r="129">
      <c r="A129" s="23" t="n">
        <v>45717</v>
      </c>
      <c r="B129" s="6" t="inlineStr">
        <is>
          <t>Pago</t>
        </is>
      </c>
      <c r="C129" s="6" t="inlineStr">
        <is>
          <t>PL530.001</t>
        </is>
      </c>
      <c r="D129" s="6" t="str">
        <f>IFERROR(VLOOKUP(E129,FORNECEDORES!$A$5:$F$999,6,FALSE),"L10")</f>
        <v>L08</v>
      </c>
      <c r="E129" s="6" t="inlineStr">
        <is>
          <t>S &amp; S IND. E COM. DE CONFECCOES LTDA</t>
        </is>
      </c>
      <c r="F129" s="7" t="n">
        <v>45.27</v>
      </c>
      <c r="G129" s="6" t="inlineStr">
        <is>
          <t>EQUIPAMENTOS DE PROTEÇÃO INDIVIDUAL</t>
        </is>
      </c>
      <c r="H129" s="6" t="inlineStr">
        <is>
          <t>S &amp; S IND. E COM. DE CONFECCOES LTDA</t>
        </is>
      </c>
      <c r="I129" s="24" t="n">
        <v>45742</v>
      </c>
      <c r="J129" s="6" t="n">
        <v>2118</v>
      </c>
    </row>
    <row r="130">
      <c r="A130" s="23" t="n">
        <v>45717</v>
      </c>
      <c r="B130" s="6" t="inlineStr">
        <is>
          <t>Pago</t>
        </is>
      </c>
      <c r="C130" s="6" t="inlineStr">
        <is>
          <t>PL530.001</t>
        </is>
      </c>
      <c r="D130" s="6" t="str">
        <f>IFERROR(VLOOKUP(E130,FORNECEDORES!$A$5:$F$999,6,FALSE),"L10")</f>
        <v>L08</v>
      </c>
      <c r="E130" s="6" t="inlineStr">
        <is>
          <t>S &amp; S IND. E COM. DE CONFECCOES LTDA</t>
        </is>
      </c>
      <c r="F130" s="7" t="n">
        <v>49.93</v>
      </c>
      <c r="G130" s="6" t="inlineStr">
        <is>
          <t>EQUIPAMENTOS DE PROTEÇÃO INDIVIDUAL</t>
        </is>
      </c>
      <c r="H130" s="6" t="inlineStr">
        <is>
          <t>S &amp; S IND. E COM. DE CONFECCOES LTDA</t>
        </is>
      </c>
      <c r="I130" s="24" t="n">
        <v>45742</v>
      </c>
      <c r="J130" s="6" t="n">
        <v>2118</v>
      </c>
    </row>
    <row r="131">
      <c r="A131" s="23" t="n">
        <v>45717</v>
      </c>
      <c r="B131" s="6" t="inlineStr">
        <is>
          <t>Pago</t>
        </is>
      </c>
      <c r="C131" s="6" t="inlineStr">
        <is>
          <t>PL530.001</t>
        </is>
      </c>
      <c r="D131" s="6" t="str">
        <f>IFERROR(VLOOKUP(E131,FORNECEDORES!$A$5:$F$999,6,FALSE),"L10")</f>
        <v>L08</v>
      </c>
      <c r="E131" s="6" t="inlineStr">
        <is>
          <t>S &amp; S IND. E COM. DE CONFECCOES LTDA</t>
        </is>
      </c>
      <c r="F131" s="7" t="n">
        <v>49.93</v>
      </c>
      <c r="G131" s="6" t="inlineStr">
        <is>
          <t>EQUIPAMENTOS DE PROTEÇÃO INDIVIDUAL</t>
        </is>
      </c>
      <c r="H131" s="6" t="inlineStr">
        <is>
          <t>S &amp; S IND. E COM. DE CONFECCOES LTDA</t>
        </is>
      </c>
      <c r="I131" s="24" t="n">
        <v>45742</v>
      </c>
      <c r="J131" s="6" t="n">
        <v>2118</v>
      </c>
    </row>
    <row r="132">
      <c r="A132" s="23" t="n">
        <v>45717</v>
      </c>
      <c r="B132" s="6" t="inlineStr">
        <is>
          <t>Pago</t>
        </is>
      </c>
      <c r="C132" s="6" t="inlineStr">
        <is>
          <t>PL530.001</t>
        </is>
      </c>
      <c r="D132" s="6" t="str">
        <f>IFERROR(VLOOKUP(E132,FORNECEDORES!$A$5:$F$999,6,FALSE),"L10")</f>
        <v>L08</v>
      </c>
      <c r="E132" s="6" t="inlineStr">
        <is>
          <t>S &amp; S IND. E COM. DE CONFECCOES LTDA</t>
        </is>
      </c>
      <c r="F132" s="7" t="n">
        <v>45.27</v>
      </c>
      <c r="G132" s="6" t="inlineStr">
        <is>
          <t>EQUIPAMENTOS DE PROTEÇÃO INDIVIDUAL</t>
        </is>
      </c>
      <c r="H132" s="6" t="inlineStr">
        <is>
          <t>S &amp; S IND. E COM. DE CONFECCOES LTDA</t>
        </is>
      </c>
      <c r="I132" s="24" t="n">
        <v>45742</v>
      </c>
      <c r="J132" s="6" t="n">
        <v>2118</v>
      </c>
    </row>
    <row r="133">
      <c r="A133" s="23" t="n">
        <v>45717</v>
      </c>
      <c r="B133" s="6" t="inlineStr">
        <is>
          <t>Pago</t>
        </is>
      </c>
      <c r="C133" s="6" t="inlineStr">
        <is>
          <t>PL530.001</t>
        </is>
      </c>
      <c r="D133" s="6" t="str">
        <f>IFERROR(VLOOKUP(E133,FORNECEDORES!$A$5:$F$999,6,FALSE),"L10")</f>
        <v>L08</v>
      </c>
      <c r="E133" s="6" t="inlineStr">
        <is>
          <t>S &amp; S IND. E COM. DE CONFECCOES LTDA</t>
        </is>
      </c>
      <c r="F133" s="7" t="n">
        <v>45.27</v>
      </c>
      <c r="G133" s="6" t="inlineStr">
        <is>
          <t>EQUIPAMENTOS DE PROTEÇÃO INDIVIDUAL</t>
        </is>
      </c>
      <c r="H133" s="6" t="inlineStr">
        <is>
          <t>S &amp; S IND. E COM. DE CONFECCOES LTDA</t>
        </is>
      </c>
      <c r="I133" s="24" t="n">
        <v>45742</v>
      </c>
      <c r="J133" s="6" t="n">
        <v>2118</v>
      </c>
    </row>
    <row r="134">
      <c r="A134" s="23" t="n">
        <v>45717</v>
      </c>
      <c r="B134" s="6" t="inlineStr">
        <is>
          <t>Pago</t>
        </is>
      </c>
      <c r="C134" s="6" t="inlineStr">
        <is>
          <t>PL530.001</t>
        </is>
      </c>
      <c r="D134" s="6" t="str">
        <f>IFERROR(VLOOKUP(E134,FORNECEDORES!$A$5:$F$999,6,FALSE),"L10")</f>
        <v>L01</v>
      </c>
      <c r="E134" s="6" t="inlineStr">
        <is>
          <t>TECIDOS E ARMARINHOS MIGUEL BARTOLOMEU S/A</t>
        </is>
      </c>
      <c r="F134" s="7" t="n">
        <v>72.84</v>
      </c>
      <c r="G134" s="6" t="inlineStr">
        <is>
          <t>EQUIPAMENTOS E FERRAMENTAS</t>
        </is>
      </c>
      <c r="H134" s="6" t="inlineStr">
        <is>
          <t>TECIDOS E ARMARINHOS MIGUEL BARTOLOMEU S/A</t>
        </is>
      </c>
      <c r="I134" s="24" t="n">
        <v>45741</v>
      </c>
      <c r="J134" s="6" t="n">
        <v>2197</v>
      </c>
    </row>
    <row r="135">
      <c r="A135" s="23" t="n">
        <v>45748</v>
      </c>
      <c r="B135" s="6" t="inlineStr">
        <is>
          <t>Pago</t>
        </is>
      </c>
      <c r="C135" s="6" t="inlineStr">
        <is>
          <t>PL530.001</t>
        </is>
      </c>
      <c r="D135" s="6" t="str">
        <f>IFERROR(VLOOKUP(E135,FORNECEDORES!$A$5:$F$999,6,FALSE),"L10")</f>
        <v>L10</v>
      </c>
      <c r="E135" s="6" t="inlineStr">
        <is>
          <t>59.857.558 RONEI MARCELO DOS REIS</t>
        </is>
      </c>
      <c r="F135" s="7" t="n">
        <v>2977.4</v>
      </c>
      <c r="G135" s="6" t="inlineStr">
        <is>
          <t>NÃO CLASSIFICADO</t>
        </is>
      </c>
      <c r="H135" s="6" t="inlineStr">
        <is>
          <t>59.857.558 RONEI MARCELO DOS REIS</t>
        </is>
      </c>
      <c r="I135" s="24" t="n">
        <v>45748</v>
      </c>
      <c r="J135" s="6" t="n">
        <v>2411</v>
      </c>
    </row>
    <row r="136">
      <c r="A136" s="23" t="n">
        <v>45748</v>
      </c>
      <c r="B136" s="6" t="inlineStr">
        <is>
          <t>Pago</t>
        </is>
      </c>
      <c r="C136" s="6" t="inlineStr">
        <is>
          <t>PL530.001</t>
        </is>
      </c>
      <c r="D136" s="6" t="str">
        <f>IFERROR(VLOOKUP(E136,FORNECEDORES!$A$5:$F$999,6,FALSE),"L10")</f>
        <v>L01</v>
      </c>
      <c r="E136" s="6" t="inlineStr">
        <is>
          <t>COFERMETA SA</t>
        </is>
      </c>
      <c r="F136" s="7" t="n">
        <v>60.27</v>
      </c>
      <c r="G136" s="6" t="inlineStr">
        <is>
          <t>EQUIPAMENTOS E FERRAMENTAS</t>
        </is>
      </c>
      <c r="H136" s="6" t="inlineStr">
        <is>
          <t>COFERMETA SA</t>
        </is>
      </c>
      <c r="I136" s="24" t="n">
        <v>45754</v>
      </c>
      <c r="J136" s="6" t="n">
        <v>2200</v>
      </c>
    </row>
    <row r="137">
      <c r="A137" s="23" t="n">
        <v>45748</v>
      </c>
      <c r="B137" s="6" t="inlineStr">
        <is>
          <t>Pago</t>
        </is>
      </c>
      <c r="C137" s="6" t="inlineStr">
        <is>
          <t>PL530.001</t>
        </is>
      </c>
      <c r="D137" s="6" t="str">
        <f>IFERROR(VLOOKUP(E137,FORNECEDORES!$A$5:$F$999,6,FALSE),"L10")</f>
        <v>L01</v>
      </c>
      <c r="E137" s="6" t="inlineStr">
        <is>
          <t>COFERMETA SA</t>
        </is>
      </c>
      <c r="F137" s="7" t="n">
        <v>50.98</v>
      </c>
      <c r="G137" s="6" t="inlineStr">
        <is>
          <t>EQUIPAMENTOS E FERRAMENTAS</t>
        </is>
      </c>
      <c r="H137" s="6" t="inlineStr">
        <is>
          <t>COFERMETA SA</t>
        </is>
      </c>
      <c r="I137" s="24" t="n">
        <v>45754</v>
      </c>
      <c r="J137" s="6" t="n">
        <v>2200</v>
      </c>
    </row>
    <row r="138">
      <c r="A138" s="23" t="n">
        <v>45748</v>
      </c>
      <c r="B138" s="6" t="inlineStr">
        <is>
          <t>Pago</t>
        </is>
      </c>
      <c r="C138" s="6" t="inlineStr">
        <is>
          <t>PL530.001</t>
        </is>
      </c>
      <c r="D138" s="6" t="str">
        <f>IFERROR(VLOOKUP(E138,FORNECEDORES!$A$5:$F$999,6,FALSE),"L10")</f>
        <v>L01</v>
      </c>
      <c r="E138" s="6" t="inlineStr">
        <is>
          <t>COFERMETA SA</t>
        </is>
      </c>
      <c r="F138" s="7" t="n">
        <v>45.85</v>
      </c>
      <c r="G138" s="6" t="inlineStr">
        <is>
          <t>EQUIPAMENTOS E FERRAMENTAS</t>
        </is>
      </c>
      <c r="H138" s="6" t="inlineStr">
        <is>
          <t>COFERMETA SA</t>
        </is>
      </c>
      <c r="I138" s="24" t="n">
        <v>45754</v>
      </c>
      <c r="J138" s="6" t="n">
        <v>2200</v>
      </c>
    </row>
    <row r="139">
      <c r="A139" s="23" t="n">
        <v>45748</v>
      </c>
      <c r="B139" s="6" t="inlineStr">
        <is>
          <t>Pago</t>
        </is>
      </c>
      <c r="C139" s="6" t="inlineStr">
        <is>
          <t>PL530.001</t>
        </is>
      </c>
      <c r="D139" s="6" t="str">
        <f>IFERROR(VLOOKUP(E139,FORNECEDORES!$A$5:$F$999,6,FALSE),"L10")</f>
        <v>L01</v>
      </c>
      <c r="E139" s="6" t="inlineStr">
        <is>
          <t>COFERMETA SA</t>
        </is>
      </c>
      <c r="F139" s="7" t="n">
        <v>35.45</v>
      </c>
      <c r="G139" s="6" t="inlineStr">
        <is>
          <t>EQUIPAMENTOS E FERRAMENTAS</t>
        </is>
      </c>
      <c r="H139" s="6" t="inlineStr">
        <is>
          <t>COFERMETA SA</t>
        </is>
      </c>
      <c r="I139" s="24" t="n">
        <v>45754</v>
      </c>
      <c r="J139" s="6" t="n">
        <v>2200</v>
      </c>
    </row>
    <row r="140">
      <c r="A140" s="23" t="n">
        <v>45748</v>
      </c>
      <c r="B140" s="6" t="inlineStr">
        <is>
          <t>Pago</t>
        </is>
      </c>
      <c r="C140" s="6" t="inlineStr">
        <is>
          <t>PL530.001</t>
        </is>
      </c>
      <c r="D140" s="6" t="str">
        <f>IFERROR(VLOOKUP(E140,FORNECEDORES!$A$5:$F$999,6,FALSE),"L10")</f>
        <v>L07</v>
      </c>
      <c r="E140" s="6" t="inlineStr">
        <is>
          <t>CORDAL BH COMERCIO DE CABOS E ACESSORIOS LTDA</t>
        </is>
      </c>
      <c r="F140" s="7" t="n">
        <v>160</v>
      </c>
      <c r="G140" s="6" t="inlineStr">
        <is>
          <t>EQUIPAMENTOS E FERRAMENTAS</t>
        </is>
      </c>
      <c r="H140" s="6" t="inlineStr">
        <is>
          <t>CORDAL BH COMERCIO DE CABOS E ACESSORIOS LTDA</t>
        </is>
      </c>
      <c r="I140" s="24" t="n">
        <v>45777</v>
      </c>
      <c r="J140" s="6" t="n">
        <v>2435</v>
      </c>
    </row>
    <row r="141">
      <c r="A141" s="23" t="n">
        <v>45748</v>
      </c>
      <c r="B141" s="6" t="inlineStr">
        <is>
          <t>Pago</t>
        </is>
      </c>
      <c r="C141" s="6" t="inlineStr">
        <is>
          <t>PL530.001</t>
        </is>
      </c>
      <c r="D141" s="6" t="str">
        <f>IFERROR(VLOOKUP(E141,FORNECEDORES!$A$5:$F$999,6,FALSE),"L10")</f>
        <v>L07</v>
      </c>
      <c r="E141" s="6" t="inlineStr">
        <is>
          <t>CORDAL BH COMERCIO DE CABOS E ACESSORIOS LTDA</t>
        </is>
      </c>
      <c r="F141" s="7" t="n">
        <v>440</v>
      </c>
      <c r="G141" s="6" t="inlineStr">
        <is>
          <t>EQUIPAMENTOS E FERRAMENTAS</t>
        </is>
      </c>
      <c r="H141" s="6" t="inlineStr">
        <is>
          <t>CORDAL BH COMERCIO DE CABOS E ACESSORIOS LTDA</t>
        </is>
      </c>
      <c r="I141" s="24" t="n">
        <v>45777</v>
      </c>
      <c r="J141" s="6" t="n">
        <v>2435</v>
      </c>
    </row>
    <row r="142">
      <c r="A142" s="23" t="n">
        <v>45748</v>
      </c>
      <c r="B142" s="6" t="inlineStr">
        <is>
          <t>Pago</t>
        </is>
      </c>
      <c r="C142" s="6" t="inlineStr">
        <is>
          <t>PL530.001</t>
        </is>
      </c>
      <c r="D142" s="6" t="str">
        <f>IFERROR(VLOOKUP(E142,FORNECEDORES!$A$5:$F$999,6,FALSE),"L10")</f>
        <v>L07</v>
      </c>
      <c r="E142" s="6" t="inlineStr">
        <is>
          <t>CORDAL BH COMERCIO DE CABOS E ACESSORIOS LTDA</t>
        </is>
      </c>
      <c r="F142" s="7" t="n">
        <v>1125</v>
      </c>
      <c r="G142" s="6" t="inlineStr">
        <is>
          <t>ACESSÓRIOS DE FIXAÇÃO</t>
        </is>
      </c>
      <c r="H142" s="6" t="inlineStr">
        <is>
          <t>CORDAL BH COMERCIO DE CABOS E ACESSORIOS LTDA</t>
        </is>
      </c>
      <c r="I142" s="24" t="n">
        <v>45777</v>
      </c>
      <c r="J142" s="6" t="n">
        <v>2434</v>
      </c>
    </row>
    <row r="143">
      <c r="A143" s="23" t="n">
        <v>45748</v>
      </c>
      <c r="B143" s="6" t="inlineStr">
        <is>
          <t>Pago</t>
        </is>
      </c>
      <c r="C143" s="6" t="inlineStr">
        <is>
          <t>PL530.001</t>
        </is>
      </c>
      <c r="D143" s="6" t="str">
        <f>IFERROR(VLOOKUP(E143,FORNECEDORES!$A$5:$F$999,6,FALSE),"L10")</f>
        <v>L03</v>
      </c>
      <c r="E143" s="6" t="inlineStr">
        <is>
          <t>DATRON TECNOLOGIA E LOCACAO LTDA</t>
        </is>
      </c>
      <c r="F143" s="7" t="n">
        <v>375</v>
      </c>
      <c r="G143" s="6" t="inlineStr">
        <is>
          <t>LOCAÇÕES</t>
        </is>
      </c>
      <c r="H143" s="6" t="inlineStr">
        <is>
          <t>DATRON TECNOLOGIA E LOCACAO LTDA</t>
        </is>
      </c>
      <c r="I143" s="24" t="n">
        <v>45772</v>
      </c>
      <c r="J143" s="6" t="n">
        <v>2533</v>
      </c>
    </row>
    <row r="144">
      <c r="A144" s="23" t="n">
        <v>45748</v>
      </c>
      <c r="B144" s="6" t="inlineStr">
        <is>
          <t>Pago</t>
        </is>
      </c>
      <c r="C144" s="6" t="inlineStr">
        <is>
          <t>PL530.001</t>
        </is>
      </c>
      <c r="D144" s="6" t="str">
        <f>IFERROR(VLOOKUP(E144,FORNECEDORES!$A$5:$F$999,6,FALSE),"L10")</f>
        <v>L03</v>
      </c>
      <c r="E144" s="6" t="inlineStr">
        <is>
          <t>EDIFICAR LOCACAO MANUTENCAO E SERVICOS LTDA</t>
        </is>
      </c>
      <c r="F144" s="7" t="n">
        <v>1700</v>
      </c>
      <c r="G144" s="6" t="inlineStr">
        <is>
          <t>LOCAÇÕES</t>
        </is>
      </c>
      <c r="H144" s="6" t="inlineStr">
        <is>
          <t>EDIFICAR LOCACAO MANUTENCAO E SERVICOS LTDA</t>
        </is>
      </c>
      <c r="I144" s="24" t="n">
        <v>45761</v>
      </c>
      <c r="J144" s="6" t="n">
        <v>2398</v>
      </c>
    </row>
    <row r="145">
      <c r="A145" s="23" t="n">
        <v>45748</v>
      </c>
      <c r="B145" s="6" t="inlineStr">
        <is>
          <t>Pago</t>
        </is>
      </c>
      <c r="C145" s="6" t="inlineStr">
        <is>
          <t>PL530.001</t>
        </is>
      </c>
      <c r="D145" s="6" t="str">
        <f>IFERROR(VLOOKUP(E145,FORNECEDORES!$A$5:$F$999,6,FALSE),"L10")</f>
        <v>L01</v>
      </c>
      <c r="E145" s="6" t="inlineStr">
        <is>
          <t>MINAS FERRAMENTAS LTDA</t>
        </is>
      </c>
      <c r="F145" s="7" t="n">
        <v>68.68000000000001</v>
      </c>
      <c r="G145" s="6" t="inlineStr">
        <is>
          <t>EQUIPAMENTOS E FERRAMENTAS</t>
        </is>
      </c>
      <c r="H145" s="6" t="inlineStr">
        <is>
          <t>MINAS FERRAMENTAS LTDA</t>
        </is>
      </c>
      <c r="I145" s="24" t="n">
        <v>45757</v>
      </c>
      <c r="J145" s="6" t="n">
        <v>2199</v>
      </c>
    </row>
    <row r="146">
      <c r="A146" s="23" t="n">
        <v>45748</v>
      </c>
      <c r="B146" s="6" t="inlineStr">
        <is>
          <t>Pago</t>
        </is>
      </c>
      <c r="C146" s="6" t="inlineStr">
        <is>
          <t>PL530.001</t>
        </is>
      </c>
      <c r="D146" s="6" t="str">
        <f>IFERROR(VLOOKUP(E146,FORNECEDORES!$A$5:$F$999,6,FALSE),"L10")</f>
        <v>L01</v>
      </c>
      <c r="E146" s="6" t="inlineStr">
        <is>
          <t>MINAS FERRAMENTAS LTDA</t>
        </is>
      </c>
      <c r="F146" s="7" t="n">
        <v>37.99</v>
      </c>
      <c r="G146" s="6" t="inlineStr">
        <is>
          <t>EQUIPAMENTOS E FERRAMENTAS</t>
        </is>
      </c>
      <c r="H146" s="6" t="inlineStr">
        <is>
          <t>MINAS FERRAMENTAS LTDA</t>
        </is>
      </c>
      <c r="I146" s="24" t="n">
        <v>45757</v>
      </c>
      <c r="J146" s="6" t="n">
        <v>2199</v>
      </c>
    </row>
    <row r="147">
      <c r="A147" s="23" t="n">
        <v>45748</v>
      </c>
      <c r="B147" s="6" t="inlineStr">
        <is>
          <t>Pago</t>
        </is>
      </c>
      <c r="C147" s="6" t="inlineStr">
        <is>
          <t>PL530.001</t>
        </is>
      </c>
      <c r="D147" s="6" t="str">
        <f>IFERROR(VLOOKUP(E147,FORNECEDORES!$A$5:$F$999,6,FALSE),"L10")</f>
        <v>L01</v>
      </c>
      <c r="E147" s="6" t="inlineStr">
        <is>
          <t>MINAS FERRAMENTAS LTDA</t>
        </is>
      </c>
      <c r="F147" s="7" t="n">
        <v>18.13</v>
      </c>
      <c r="G147" s="6" t="inlineStr">
        <is>
          <t>EQUIPAMENTOS E FERRAMENTAS</t>
        </is>
      </c>
      <c r="H147" s="6" t="inlineStr">
        <is>
          <t>MINAS FERRAMENTAS LTDA</t>
        </is>
      </c>
      <c r="I147" s="24" t="n">
        <v>45757</v>
      </c>
      <c r="J147" s="6" t="n">
        <v>2199</v>
      </c>
    </row>
    <row r="148">
      <c r="A148" s="23" t="n">
        <v>45748</v>
      </c>
      <c r="B148" s="6" t="inlineStr">
        <is>
          <t>Pago</t>
        </is>
      </c>
      <c r="C148" s="6" t="inlineStr">
        <is>
          <t>PL530.001</t>
        </is>
      </c>
      <c r="D148" s="6" t="str">
        <f>IFERROR(VLOOKUP(E148,FORNECEDORES!$A$5:$F$999,6,FALSE),"L10")</f>
        <v>L01</v>
      </c>
      <c r="E148" s="6" t="inlineStr">
        <is>
          <t>MINAS FERRAMENTAS LTDA</t>
        </is>
      </c>
      <c r="F148" s="7" t="n">
        <v>104.78</v>
      </c>
      <c r="G148" s="6" t="inlineStr">
        <is>
          <t>EQUIPAMENTOS E FERRAMENTAS</t>
        </is>
      </c>
      <c r="H148" s="6" t="inlineStr">
        <is>
          <t>MINAS FERRAMENTAS LTDA</t>
        </is>
      </c>
      <c r="I148" s="24" t="n">
        <v>45761</v>
      </c>
      <c r="J148" s="6" t="n">
        <v>2196</v>
      </c>
    </row>
    <row r="149">
      <c r="A149" s="23" t="n">
        <v>45748</v>
      </c>
      <c r="B149" s="6" t="inlineStr">
        <is>
          <t>Pago</t>
        </is>
      </c>
      <c r="C149" s="6" t="inlineStr">
        <is>
          <t>PL530.001</t>
        </is>
      </c>
      <c r="D149" s="6" t="str">
        <f>IFERROR(VLOOKUP(E149,FORNECEDORES!$A$5:$F$999,6,FALSE),"L10")</f>
        <v>L01</v>
      </c>
      <c r="E149" s="6" t="inlineStr">
        <is>
          <t>MINAS FERRAMENTAS LTDA</t>
        </is>
      </c>
      <c r="F149" s="7" t="n">
        <v>37.4</v>
      </c>
      <c r="G149" s="6" t="inlineStr">
        <is>
          <t>EQUIPAMENTOS E FERRAMENTAS</t>
        </is>
      </c>
      <c r="H149" s="6" t="inlineStr">
        <is>
          <t>MINAS FERRAMENTAS LTDA</t>
        </is>
      </c>
      <c r="I149" s="24" t="n">
        <v>45777</v>
      </c>
      <c r="J149" s="6" t="n">
        <v>2414</v>
      </c>
    </row>
    <row r="150">
      <c r="A150" s="23" t="n">
        <v>45748</v>
      </c>
      <c r="B150" s="6" t="inlineStr">
        <is>
          <t>Pago</t>
        </is>
      </c>
      <c r="C150" s="6" t="inlineStr">
        <is>
          <t>PL530.001</t>
        </is>
      </c>
      <c r="D150" s="6" t="str">
        <f>IFERROR(VLOOKUP(E150,FORNECEDORES!$A$5:$F$999,6,FALSE),"L10")</f>
        <v>L03</v>
      </c>
      <c r="E150" s="6" t="inlineStr">
        <is>
          <t>ORIGINAL LOCACOES LTDA</t>
        </is>
      </c>
      <c r="F150" s="7" t="n">
        <v>306.1</v>
      </c>
      <c r="G150" s="6" t="inlineStr">
        <is>
          <t>LOCAÇÕES</t>
        </is>
      </c>
      <c r="H150" s="6" t="inlineStr">
        <is>
          <t>ORIGINAL LOCACOES LTDA</t>
        </is>
      </c>
      <c r="I150" s="24" t="n">
        <v>45751</v>
      </c>
      <c r="J150" s="6" t="n">
        <v>2447</v>
      </c>
    </row>
    <row r="151">
      <c r="A151" s="23" t="n">
        <v>45748</v>
      </c>
      <c r="B151" s="6" t="inlineStr">
        <is>
          <t>Pago</t>
        </is>
      </c>
      <c r="C151" s="6" t="inlineStr">
        <is>
          <t>PL530.001</t>
        </is>
      </c>
      <c r="D151" s="6" t="str">
        <f>IFERROR(VLOOKUP(E151,FORNECEDORES!$A$5:$F$999,6,FALSE),"L10")</f>
        <v>L03</v>
      </c>
      <c r="E151" s="6" t="inlineStr">
        <is>
          <t>ORIGINAL LOCACOES LTDA</t>
        </is>
      </c>
      <c r="F151" s="7" t="n">
        <v>428.54</v>
      </c>
      <c r="G151" s="6" t="inlineStr">
        <is>
          <t>LOCAÇÕES</t>
        </is>
      </c>
      <c r="H151" s="6" t="inlineStr">
        <is>
          <t>ORIGINAL LOCACOES LTDA</t>
        </is>
      </c>
      <c r="I151" s="24" t="n">
        <v>45751</v>
      </c>
      <c r="J151" s="6" t="n">
        <v>2447</v>
      </c>
    </row>
    <row r="152">
      <c r="A152" s="23" t="n">
        <v>45748</v>
      </c>
      <c r="B152" s="6" t="inlineStr">
        <is>
          <t>Pago</t>
        </is>
      </c>
      <c r="C152" s="6" t="inlineStr">
        <is>
          <t>PL530.001</t>
        </is>
      </c>
      <c r="D152" s="6" t="str">
        <f>IFERROR(VLOOKUP(E152,FORNECEDORES!$A$5:$F$999,6,FALSE),"L10")</f>
        <v>L08</v>
      </c>
      <c r="E152" s="6" t="inlineStr">
        <is>
          <t>S &amp; S IND. E COM. DE CONFECCOES LTDA</t>
        </is>
      </c>
      <c r="F152" s="7" t="n">
        <v>88.17</v>
      </c>
      <c r="G152" s="6" t="inlineStr">
        <is>
          <t>EQUIPAMENTOS DE PROTEÇÃO INDIVIDUAL</t>
        </is>
      </c>
      <c r="H152" s="6" t="inlineStr">
        <is>
          <t>S &amp; S IND. E COM. DE CONFECCOES LTDA</t>
        </is>
      </c>
      <c r="I152" s="24" t="n">
        <v>45761</v>
      </c>
      <c r="J152" s="6" t="n">
        <v>2117</v>
      </c>
    </row>
    <row r="153">
      <c r="A153" s="23" t="n">
        <v>45748</v>
      </c>
      <c r="B153" s="6" t="inlineStr">
        <is>
          <t>Pago</t>
        </is>
      </c>
      <c r="C153" s="6" t="inlineStr">
        <is>
          <t>PL530.001</t>
        </is>
      </c>
      <c r="D153" s="6" t="str">
        <f>IFERROR(VLOOKUP(E153,FORNECEDORES!$A$5:$F$999,6,FALSE),"L10")</f>
        <v>L08</v>
      </c>
      <c r="E153" s="6" t="inlineStr">
        <is>
          <t>S &amp; S IND. E COM. DE CONFECCOES LTDA</t>
        </is>
      </c>
      <c r="F153" s="7" t="n">
        <v>88.17</v>
      </c>
      <c r="G153" s="6" t="inlineStr">
        <is>
          <t>EQUIPAMENTOS DE PROTEÇÃO INDIVIDUAL</t>
        </is>
      </c>
      <c r="H153" s="6" t="inlineStr">
        <is>
          <t>S &amp; S IND. E COM. DE CONFECCOES LTDA</t>
        </is>
      </c>
      <c r="I153" s="24" t="n">
        <v>45761</v>
      </c>
      <c r="J153" s="6" t="n">
        <v>2117</v>
      </c>
    </row>
    <row r="154">
      <c r="A154" s="23" t="n">
        <v>45748</v>
      </c>
      <c r="B154" s="6" t="inlineStr">
        <is>
          <t>Pago</t>
        </is>
      </c>
      <c r="C154" s="6" t="inlineStr">
        <is>
          <t>PL530.001</t>
        </is>
      </c>
      <c r="D154" s="6" t="str">
        <f>IFERROR(VLOOKUP(E154,FORNECEDORES!$A$5:$F$999,6,FALSE),"L10")</f>
        <v>L08</v>
      </c>
      <c r="E154" s="6" t="inlineStr">
        <is>
          <t>S &amp; S IND. E COM. DE CONFECCOES LTDA</t>
        </is>
      </c>
      <c r="F154" s="7" t="n">
        <v>88.17</v>
      </c>
      <c r="G154" s="6" t="inlineStr">
        <is>
          <t>EQUIPAMENTOS DE PROTEÇÃO INDIVIDUAL</t>
        </is>
      </c>
      <c r="H154" s="6" t="inlineStr">
        <is>
          <t>S &amp; S IND. E COM. DE CONFECCOES LTDA</t>
        </is>
      </c>
      <c r="I154" s="24" t="n">
        <v>45761</v>
      </c>
      <c r="J154" s="6" t="n">
        <v>2117</v>
      </c>
    </row>
    <row r="155">
      <c r="A155" s="23" t="n">
        <v>45748</v>
      </c>
      <c r="B155" s="6" t="inlineStr">
        <is>
          <t>Pago</t>
        </is>
      </c>
      <c r="C155" s="6" t="inlineStr">
        <is>
          <t>PL530.001</t>
        </is>
      </c>
      <c r="D155" s="6" t="str">
        <f>IFERROR(VLOOKUP(E155,FORNECEDORES!$A$5:$F$999,6,FALSE),"L10")</f>
        <v>L08</v>
      </c>
      <c r="E155" s="6" t="inlineStr">
        <is>
          <t>S &amp; S IND. E COM. DE CONFECCOES LTDA</t>
        </is>
      </c>
      <c r="F155" s="7" t="n">
        <v>88.17</v>
      </c>
      <c r="G155" s="6" t="inlineStr">
        <is>
          <t>EQUIPAMENTOS DE PROTEÇÃO INDIVIDUAL</t>
        </is>
      </c>
      <c r="H155" s="6" t="inlineStr">
        <is>
          <t>S &amp; S IND. E COM. DE CONFECCOES LTDA</t>
        </is>
      </c>
      <c r="I155" s="24" t="n">
        <v>45761</v>
      </c>
      <c r="J155" s="6" t="n">
        <v>2117</v>
      </c>
    </row>
    <row r="156">
      <c r="A156" s="23" t="n">
        <v>45748</v>
      </c>
      <c r="B156" s="6" t="inlineStr">
        <is>
          <t>Pago</t>
        </is>
      </c>
      <c r="C156" s="6" t="inlineStr">
        <is>
          <t>PL530.001</t>
        </is>
      </c>
      <c r="D156" s="6" t="str">
        <f>IFERROR(VLOOKUP(E156,FORNECEDORES!$A$5:$F$999,6,FALSE),"L10")</f>
        <v>L08</v>
      </c>
      <c r="E156" s="6" t="inlineStr">
        <is>
          <t>S &amp; S IND. E COM. DE CONFECCOES LTDA</t>
        </is>
      </c>
      <c r="F156" s="7" t="n">
        <v>88.17</v>
      </c>
      <c r="G156" s="6" t="inlineStr">
        <is>
          <t>EQUIPAMENTOS DE PROTEÇÃO INDIVIDUAL</t>
        </is>
      </c>
      <c r="H156" s="6" t="inlineStr">
        <is>
          <t>S &amp; S IND. E COM. DE CONFECCOES LTDA</t>
        </is>
      </c>
      <c r="I156" s="24" t="n">
        <v>45761</v>
      </c>
      <c r="J156" s="6" t="n">
        <v>2117</v>
      </c>
    </row>
    <row r="157">
      <c r="A157" s="23" t="n">
        <v>45748</v>
      </c>
      <c r="B157" s="6" t="inlineStr">
        <is>
          <t>Pago</t>
        </is>
      </c>
      <c r="C157" s="6" t="inlineStr">
        <is>
          <t>PL530.001</t>
        </is>
      </c>
      <c r="D157" s="6" t="str">
        <f>IFERROR(VLOOKUP(E157,FORNECEDORES!$A$5:$F$999,6,FALSE),"L10")</f>
        <v>L08</v>
      </c>
      <c r="E157" s="6" t="inlineStr">
        <is>
          <t>S &amp; S IND. E COM. DE CONFECCOES LTDA</t>
        </is>
      </c>
      <c r="F157" s="7" t="n">
        <v>88.17</v>
      </c>
      <c r="G157" s="6" t="inlineStr">
        <is>
          <t>EQUIPAMENTOS DE PROTEÇÃO INDIVIDUAL</t>
        </is>
      </c>
      <c r="H157" s="6" t="inlineStr">
        <is>
          <t>S &amp; S IND. E COM. DE CONFECCOES LTDA</t>
        </is>
      </c>
      <c r="I157" s="24" t="n">
        <v>45761</v>
      </c>
      <c r="J157" s="6" t="n">
        <v>2117</v>
      </c>
    </row>
    <row r="158">
      <c r="A158" s="23" t="n">
        <v>45778</v>
      </c>
      <c r="B158" s="6" t="inlineStr">
        <is>
          <t>Pago</t>
        </is>
      </c>
      <c r="C158" s="6" t="inlineStr">
        <is>
          <t>PL530.001</t>
        </is>
      </c>
      <c r="D158" s="6" t="str">
        <f>IFERROR(VLOOKUP(E158,FORNECEDORES!$A$5:$F$999,6,FALSE),"L10")</f>
        <v>L03</v>
      </c>
      <c r="E158" s="6" t="inlineStr">
        <is>
          <t>DATRON TECNOLOGIA E LOCACAO LTDA</t>
        </is>
      </c>
      <c r="F158" s="7" t="n">
        <v>375</v>
      </c>
      <c r="G158" s="6" t="inlineStr">
        <is>
          <t>LOCAÇÕES</t>
        </is>
      </c>
      <c r="H158" s="6" t="inlineStr">
        <is>
          <t>DATRON TECNOLOGIA E LOCACAO LTDA</t>
        </is>
      </c>
      <c r="I158" s="24" t="n">
        <v>45792</v>
      </c>
      <c r="J158" s="6" t="n">
        <v>2603</v>
      </c>
    </row>
    <row r="159">
      <c r="A159" s="23" t="n">
        <v>45778</v>
      </c>
      <c r="B159" s="6" t="inlineStr">
        <is>
          <t>Pago</t>
        </is>
      </c>
      <c r="C159" s="6" t="inlineStr">
        <is>
          <t>PL530.001</t>
        </is>
      </c>
      <c r="D159" s="6" t="str">
        <f>IFERROR(VLOOKUP(E159,FORNECEDORES!$A$5:$F$999,6,FALSE),"L10")</f>
        <v>L03</v>
      </c>
      <c r="E159" s="6" t="inlineStr">
        <is>
          <t>EDIFICAR LOCACAO MANUTENCAO E SERVICOS LTDA</t>
        </is>
      </c>
      <c r="F159" s="7" t="n">
        <v>864.01</v>
      </c>
      <c r="G159" s="6" t="inlineStr">
        <is>
          <t>LOCAÇÕES</t>
        </is>
      </c>
      <c r="H159" s="6" t="inlineStr">
        <is>
          <t>EDIFICAR LOCACAO MANUTENCAO E SERVICOS LTDA</t>
        </is>
      </c>
      <c r="I159" s="24" t="n">
        <v>45793</v>
      </c>
      <c r="J159" s="6" t="n">
        <v>2627</v>
      </c>
    </row>
    <row r="160">
      <c r="A160" s="23" t="n">
        <v>45778</v>
      </c>
      <c r="B160" s="6" t="inlineStr">
        <is>
          <t>Pago</t>
        </is>
      </c>
      <c r="C160" s="6" t="inlineStr">
        <is>
          <t>PL530.001</t>
        </is>
      </c>
      <c r="D160" s="6" t="str">
        <f>IFERROR(VLOOKUP(E160,FORNECEDORES!$A$5:$F$999,6,FALSE),"L10")</f>
        <v>L03</v>
      </c>
      <c r="E160" s="6" t="inlineStr">
        <is>
          <t>EDIFICAR LOCACAO MANUTENCAO E SERVICOS LTDA</t>
        </is>
      </c>
      <c r="F160" s="7" t="n">
        <v>700.02</v>
      </c>
      <c r="G160" s="6" t="inlineStr">
        <is>
          <t>LOCAÇÕES</t>
        </is>
      </c>
      <c r="H160" s="6" t="inlineStr">
        <is>
          <t>EDIFICAR LOCACAO MANUTENCAO E SERVICOS LTDA</t>
        </is>
      </c>
      <c r="I160" s="24" t="n">
        <v>45793</v>
      </c>
      <c r="J160" s="6" t="n">
        <v>2627</v>
      </c>
    </row>
    <row r="161">
      <c r="A161" s="23" t="n">
        <v>45778</v>
      </c>
      <c r="B161" s="6" t="inlineStr">
        <is>
          <t>Pago</t>
        </is>
      </c>
      <c r="C161" s="6" t="inlineStr">
        <is>
          <t>PL530.001</t>
        </is>
      </c>
      <c r="D161" s="6" t="str">
        <f>IFERROR(VLOOKUP(E161,FORNECEDORES!$A$5:$F$999,6,FALSE),"L10")</f>
        <v>L03</v>
      </c>
      <c r="E161" s="6" t="inlineStr">
        <is>
          <t>EDIFICAR LOCACAO MANUTENCAO E SERVICOS LTDA</t>
        </is>
      </c>
      <c r="F161" s="7" t="n">
        <v>400.01</v>
      </c>
      <c r="G161" s="6" t="inlineStr">
        <is>
          <t>LOCAÇÕES</t>
        </is>
      </c>
      <c r="H161" s="6" t="inlineStr">
        <is>
          <t>EDIFICAR LOCACAO MANUTENCAO E SERVICOS LTDA</t>
        </is>
      </c>
      <c r="I161" s="24" t="n">
        <v>45793</v>
      </c>
      <c r="J161" s="6" t="n">
        <v>2627</v>
      </c>
    </row>
    <row r="162">
      <c r="A162" s="23" t="n">
        <v>45778</v>
      </c>
      <c r="B162" s="6" t="inlineStr">
        <is>
          <t>Pago</t>
        </is>
      </c>
      <c r="C162" s="6" t="inlineStr">
        <is>
          <t>PL530.001</t>
        </is>
      </c>
      <c r="D162" s="6" t="str">
        <f>IFERROR(VLOOKUP(E162,FORNECEDORES!$A$5:$F$999,6,FALSE),"L10")</f>
        <v>L03</v>
      </c>
      <c r="E162" s="6" t="inlineStr">
        <is>
          <t>EDIFICAR LOCACAO MANUTENCAO E SERVICOS LTDA</t>
        </is>
      </c>
      <c r="F162" s="7" t="n">
        <v>419.99</v>
      </c>
      <c r="G162" s="6" t="inlineStr">
        <is>
          <t>LOCAÇÕES</t>
        </is>
      </c>
      <c r="H162" s="6" t="inlineStr">
        <is>
          <t>EDIFICAR LOCACAO MANUTENCAO E SERVICOS LTDA</t>
        </is>
      </c>
      <c r="I162" s="24" t="n">
        <v>45793</v>
      </c>
      <c r="J162" s="6" t="n">
        <v>2627</v>
      </c>
    </row>
    <row r="163">
      <c r="A163" s="23" t="n">
        <v>45778</v>
      </c>
      <c r="B163" s="6" t="inlineStr">
        <is>
          <t>Pago</t>
        </is>
      </c>
      <c r="C163" s="6" t="inlineStr">
        <is>
          <t>PL530.001</t>
        </is>
      </c>
      <c r="D163" s="6" t="str">
        <f>IFERROR(VLOOKUP(E163,FORNECEDORES!$A$5:$F$999,6,FALSE),"L10")</f>
        <v>L10</v>
      </c>
      <c r="E163" s="6" t="inlineStr">
        <is>
          <t>FIAO LOCACOES E TRANSPORTES LTDA</t>
        </is>
      </c>
      <c r="F163" s="7" t="n">
        <v>2806.65</v>
      </c>
      <c r="G163" s="6" t="inlineStr">
        <is>
          <t>NÃO CLASSIFICADO</t>
        </is>
      </c>
      <c r="H163" s="6" t="inlineStr">
        <is>
          <t>FIAO LOCACOES E TRANSPORTES LTDA</t>
        </is>
      </c>
      <c r="I163" s="24" t="n">
        <v>45807</v>
      </c>
      <c r="J163" s="6" t="n">
        <v>2683</v>
      </c>
    </row>
    <row r="164">
      <c r="A164" s="23" t="n">
        <v>45778</v>
      </c>
      <c r="B164" s="6" t="inlineStr">
        <is>
          <t>Pago</t>
        </is>
      </c>
      <c r="C164" s="6" t="inlineStr">
        <is>
          <t>PL530.001</t>
        </is>
      </c>
      <c r="D164" s="6" t="str">
        <f>IFERROR(VLOOKUP(E164,FORNECEDORES!$A$5:$F$999,6,FALSE),"L10")</f>
        <v>L10</v>
      </c>
      <c r="E164" s="6" t="inlineStr">
        <is>
          <t>FIAO LOCACOES E TRANSPORTES LTDA</t>
        </is>
      </c>
      <c r="F164" s="7" t="n">
        <v>3222.45</v>
      </c>
      <c r="G164" s="6" t="inlineStr">
        <is>
          <t>NÃO CLASSIFICADO</t>
        </is>
      </c>
      <c r="H164" s="6" t="inlineStr">
        <is>
          <t>FIAO LOCACOES E TRANSPORTES LTDA</t>
        </is>
      </c>
      <c r="I164" s="24" t="n">
        <v>45805</v>
      </c>
      <c r="J164" s="6" t="n">
        <v>2667</v>
      </c>
    </row>
    <row r="165">
      <c r="A165" s="23" t="n">
        <v>45778</v>
      </c>
      <c r="B165" s="6" t="inlineStr">
        <is>
          <t>Pago</t>
        </is>
      </c>
      <c r="C165" s="6" t="inlineStr">
        <is>
          <t>PL530.001</t>
        </is>
      </c>
      <c r="D165" s="6" t="str">
        <f>IFERROR(VLOOKUP(E165,FORNECEDORES!$A$5:$F$999,6,FALSE),"L10")</f>
        <v>L03</v>
      </c>
      <c r="E165" s="6" t="inlineStr">
        <is>
          <t>LOCAFAZ LOCACAO DE EQUIPAMENTOS LTDA</t>
        </is>
      </c>
      <c r="F165" s="7" t="n">
        <v>2080</v>
      </c>
      <c r="G165" s="6" t="inlineStr">
        <is>
          <t>LOCAÇÕES</t>
        </is>
      </c>
      <c r="H165" s="6" t="inlineStr">
        <is>
          <t>LOCAFAZ LOCACAO DE EQUIPAMENTOS LTDA</t>
        </is>
      </c>
      <c r="I165" s="24" t="n">
        <v>45807</v>
      </c>
      <c r="J165" s="6" t="n">
        <v>2782</v>
      </c>
    </row>
    <row r="166">
      <c r="A166" s="23" t="n">
        <v>45778</v>
      </c>
      <c r="B166" s="6" t="inlineStr">
        <is>
          <t>Pago</t>
        </is>
      </c>
      <c r="C166" s="6" t="inlineStr">
        <is>
          <t>PL530.001</t>
        </is>
      </c>
      <c r="D166" s="6" t="str">
        <f>IFERROR(VLOOKUP(E166,FORNECEDORES!$A$5:$F$999,6,FALSE),"L10")</f>
        <v>L03</v>
      </c>
      <c r="E166" s="6" t="inlineStr">
        <is>
          <t>LOCAFAZ LOCACAO DE EQUIPAMENTOS LTDA</t>
        </is>
      </c>
      <c r="F166" s="7" t="n">
        <v>1859</v>
      </c>
      <c r="G166" s="6" t="inlineStr">
        <is>
          <t>LOCAÇÕES</t>
        </is>
      </c>
      <c r="H166" s="6" t="inlineStr">
        <is>
          <t>LOCAFAZ LOCACAO DE EQUIPAMENTOS LTDA</t>
        </is>
      </c>
      <c r="I166" s="24" t="n">
        <v>45789</v>
      </c>
      <c r="J166" s="6" t="n">
        <v>2642</v>
      </c>
    </row>
    <row r="167">
      <c r="A167" s="23" t="n">
        <v>45778</v>
      </c>
      <c r="B167" s="6" t="inlineStr">
        <is>
          <t>Pago</t>
        </is>
      </c>
      <c r="C167" s="6" t="inlineStr">
        <is>
          <t>PL530.001</t>
        </is>
      </c>
      <c r="D167" s="6" t="str">
        <f>IFERROR(VLOOKUP(E167,FORNECEDORES!$A$5:$F$999,6,FALSE),"L10")</f>
        <v>L03</v>
      </c>
      <c r="E167" s="6" t="inlineStr">
        <is>
          <t>LOCAFAZ LOCACAO DE EQUIPAMENTOS LTDA</t>
        </is>
      </c>
      <c r="F167" s="7" t="n">
        <v>2051</v>
      </c>
      <c r="G167" s="6" t="inlineStr">
        <is>
          <t>LOCAÇÕES</t>
        </is>
      </c>
      <c r="H167" s="6" t="inlineStr">
        <is>
          <t>LOCAFAZ LOCACAO DE EQUIPAMENTOS LTDA</t>
        </is>
      </c>
      <c r="I167" s="24" t="n">
        <v>45789</v>
      </c>
      <c r="J167" s="6" t="n">
        <v>2642</v>
      </c>
    </row>
    <row r="168">
      <c r="A168" s="23" t="n">
        <v>45778</v>
      </c>
      <c r="B168" s="6" t="inlineStr">
        <is>
          <t>Pago</t>
        </is>
      </c>
      <c r="C168" s="6" t="inlineStr">
        <is>
          <t>PL530.001</t>
        </is>
      </c>
      <c r="D168" s="6" t="str">
        <f>IFERROR(VLOOKUP(E168,FORNECEDORES!$A$5:$F$999,6,FALSE),"L10")</f>
        <v>L03</v>
      </c>
      <c r="E168" s="6" t="inlineStr">
        <is>
          <t>LOCAFAZ LOCACAO DE EQUIPAMENTOS LTDA</t>
        </is>
      </c>
      <c r="F168" s="7" t="n">
        <v>1448.06</v>
      </c>
      <c r="G168" s="6" t="inlineStr">
        <is>
          <t>LOCAÇÕES</t>
        </is>
      </c>
      <c r="H168" s="6" t="inlineStr">
        <is>
          <t>LOCAFAZ LOCACAO DE EQUIPAMENTOS LTDA</t>
        </is>
      </c>
      <c r="I168" s="24" t="n">
        <v>45805</v>
      </c>
      <c r="J168" s="6" t="n">
        <v>2770</v>
      </c>
    </row>
    <row r="169">
      <c r="A169" s="23" t="n">
        <v>45778</v>
      </c>
      <c r="B169" s="6" t="inlineStr">
        <is>
          <t>Pago</t>
        </is>
      </c>
      <c r="C169" s="6" t="inlineStr">
        <is>
          <t>PL530.001</t>
        </is>
      </c>
      <c r="D169" s="6" t="str">
        <f>IFERROR(VLOOKUP(E169,FORNECEDORES!$A$5:$F$999,6,FALSE),"L10")</f>
        <v>L03</v>
      </c>
      <c r="E169" s="6" t="inlineStr">
        <is>
          <t>ORIGINAL LOCACOES LTDA</t>
        </is>
      </c>
      <c r="F169" s="7" t="n">
        <v>300</v>
      </c>
      <c r="G169" s="6" t="inlineStr">
        <is>
          <t>LOCAÇÕES</t>
        </is>
      </c>
      <c r="H169" s="6" t="inlineStr">
        <is>
          <t>ORIGINAL LOCACOES LTDA</t>
        </is>
      </c>
      <c r="I169" s="24" t="n">
        <v>45779</v>
      </c>
      <c r="J169" s="6" t="n">
        <v>2591</v>
      </c>
    </row>
    <row r="170">
      <c r="A170" s="23" t="n">
        <v>45778</v>
      </c>
      <c r="B170" s="6" t="inlineStr">
        <is>
          <t>Pago</t>
        </is>
      </c>
      <c r="C170" s="6" t="inlineStr">
        <is>
          <t>PL530.001</t>
        </is>
      </c>
      <c r="D170" s="6" t="str">
        <f>IFERROR(VLOOKUP(E170,FORNECEDORES!$A$5:$F$999,6,FALSE),"L10")</f>
        <v>L03</v>
      </c>
      <c r="E170" s="6" t="inlineStr">
        <is>
          <t>ORIGINAL LOCACOES LTDA</t>
        </is>
      </c>
      <c r="F170" s="7" t="n">
        <v>300</v>
      </c>
      <c r="G170" s="6" t="inlineStr">
        <is>
          <t>LOCAÇÕES</t>
        </is>
      </c>
      <c r="H170" s="6" t="inlineStr">
        <is>
          <t>ORIGINAL LOCACOES LTDA</t>
        </is>
      </c>
      <c r="I170" s="24" t="n">
        <v>45805</v>
      </c>
      <c r="J170" s="6" t="n">
        <v>2769</v>
      </c>
    </row>
    <row r="171">
      <c r="A171" s="23" t="n">
        <v>45778</v>
      </c>
      <c r="B171" s="6" t="inlineStr">
        <is>
          <t>Pago</t>
        </is>
      </c>
      <c r="C171" s="6" t="inlineStr">
        <is>
          <t>PL530.001</t>
        </is>
      </c>
      <c r="D171" s="6" t="str">
        <f>IFERROR(VLOOKUP(E171,FORNECEDORES!$A$5:$F$999,6,FALSE),"L10")</f>
        <v>L03</v>
      </c>
      <c r="E171" s="6" t="inlineStr">
        <is>
          <t>ORIGINAL LOCACOES LTDA</t>
        </is>
      </c>
      <c r="F171" s="7" t="n">
        <v>3000</v>
      </c>
      <c r="G171" s="6" t="inlineStr">
        <is>
          <t>LOCAÇÕES</t>
        </is>
      </c>
      <c r="H171" s="6" t="inlineStr">
        <is>
          <t>ORIGINAL LOCACOES LTDA</t>
        </is>
      </c>
      <c r="I171" s="24" t="n">
        <v>45805</v>
      </c>
      <c r="J171" s="6" t="n">
        <v>2771</v>
      </c>
    </row>
    <row r="172">
      <c r="A172" s="23" t="n">
        <v>45778</v>
      </c>
      <c r="B172" s="6" t="inlineStr">
        <is>
          <t>Pago</t>
        </is>
      </c>
      <c r="C172" s="6" t="inlineStr">
        <is>
          <t>PL530.001</t>
        </is>
      </c>
      <c r="D172" s="6" t="str">
        <f>IFERROR(VLOOKUP(E172,FORNECEDORES!$A$5:$F$999,6,FALSE),"L10")</f>
        <v>L08</v>
      </c>
      <c r="E172" s="6" t="inlineStr">
        <is>
          <t>S &amp; S IND. E COM. DE CONFECCOES LTDA</t>
        </is>
      </c>
      <c r="F172" s="7" t="n">
        <v>49.93</v>
      </c>
      <c r="G172" s="6" t="inlineStr">
        <is>
          <t>EQUIPAMENTOS DE PROTEÇÃO INDIVIDUAL</t>
        </is>
      </c>
      <c r="H172" s="6" t="inlineStr">
        <is>
          <t>S &amp; S IND. E COM. DE CONFECCOES LTDA</t>
        </is>
      </c>
      <c r="I172" s="24" t="n">
        <v>45786</v>
      </c>
      <c r="J172" s="6" t="n">
        <v>2118</v>
      </c>
    </row>
    <row r="173">
      <c r="A173" s="23" t="n">
        <v>45778</v>
      </c>
      <c r="B173" s="6" t="inlineStr">
        <is>
          <t>Pago</t>
        </is>
      </c>
      <c r="C173" s="6" t="inlineStr">
        <is>
          <t>PL530.001</t>
        </is>
      </c>
      <c r="D173" s="6" t="str">
        <f>IFERROR(VLOOKUP(E173,FORNECEDORES!$A$5:$F$999,6,FALSE),"L10")</f>
        <v>L08</v>
      </c>
      <c r="E173" s="6" t="inlineStr">
        <is>
          <t>S &amp; S IND. E COM. DE CONFECCOES LTDA</t>
        </is>
      </c>
      <c r="F173" s="7" t="n">
        <v>49.93</v>
      </c>
      <c r="G173" s="6" t="inlineStr">
        <is>
          <t>EQUIPAMENTOS DE PROTEÇÃO INDIVIDUAL</t>
        </is>
      </c>
      <c r="H173" s="6" t="inlineStr">
        <is>
          <t>S &amp; S IND. E COM. DE CONFECCOES LTDA</t>
        </is>
      </c>
      <c r="I173" s="24" t="n">
        <v>45786</v>
      </c>
      <c r="J173" s="6" t="n">
        <v>2118</v>
      </c>
    </row>
    <row r="174">
      <c r="A174" s="23" t="n">
        <v>45778</v>
      </c>
      <c r="B174" s="6" t="inlineStr">
        <is>
          <t>Pago</t>
        </is>
      </c>
      <c r="C174" s="6" t="inlineStr">
        <is>
          <t>PL530.001</t>
        </is>
      </c>
      <c r="D174" s="6" t="str">
        <f>IFERROR(VLOOKUP(E174,FORNECEDORES!$A$5:$F$999,6,FALSE),"L10")</f>
        <v>L08</v>
      </c>
      <c r="E174" s="6" t="inlineStr">
        <is>
          <t>S &amp; S IND. E COM. DE CONFECCOES LTDA</t>
        </is>
      </c>
      <c r="F174" s="7" t="n">
        <v>74.90000000000001</v>
      </c>
      <c r="G174" s="6" t="inlineStr">
        <is>
          <t>EQUIPAMENTOS DE PROTEÇÃO INDIVIDUAL</t>
        </is>
      </c>
      <c r="H174" s="6" t="inlineStr">
        <is>
          <t>S &amp; S IND. E COM. DE CONFECCOES LTDA</t>
        </is>
      </c>
      <c r="I174" s="24" t="n">
        <v>45786</v>
      </c>
      <c r="J174" s="6" t="n">
        <v>2118</v>
      </c>
    </row>
    <row r="175">
      <c r="A175" s="23" t="n">
        <v>45778</v>
      </c>
      <c r="B175" s="6" t="inlineStr">
        <is>
          <t>Pago</t>
        </is>
      </c>
      <c r="C175" s="6" t="inlineStr">
        <is>
          <t>PL530.001</t>
        </is>
      </c>
      <c r="D175" s="6" t="str">
        <f>IFERROR(VLOOKUP(E175,FORNECEDORES!$A$5:$F$999,6,FALSE),"L10")</f>
        <v>L08</v>
      </c>
      <c r="E175" s="6" t="inlineStr">
        <is>
          <t>S &amp; S IND. E COM. DE CONFECCOES LTDA</t>
        </is>
      </c>
      <c r="F175" s="7" t="n">
        <v>45.27</v>
      </c>
      <c r="G175" s="6" t="inlineStr">
        <is>
          <t>EQUIPAMENTOS DE PROTEÇÃO INDIVIDUAL</t>
        </is>
      </c>
      <c r="H175" s="6" t="inlineStr">
        <is>
          <t>S &amp; S IND. E COM. DE CONFECCOES LTDA</t>
        </is>
      </c>
      <c r="I175" s="24" t="n">
        <v>45786</v>
      </c>
      <c r="J175" s="6" t="n">
        <v>2118</v>
      </c>
    </row>
    <row r="176">
      <c r="A176" s="23" t="n">
        <v>45778</v>
      </c>
      <c r="B176" s="6" t="inlineStr">
        <is>
          <t>Pago</t>
        </is>
      </c>
      <c r="C176" s="6" t="inlineStr">
        <is>
          <t>PL530.001</t>
        </is>
      </c>
      <c r="D176" s="6" t="str">
        <f>IFERROR(VLOOKUP(E176,FORNECEDORES!$A$5:$F$999,6,FALSE),"L10")</f>
        <v>L08</v>
      </c>
      <c r="E176" s="6" t="inlineStr">
        <is>
          <t>S &amp; S IND. E COM. DE CONFECCOES LTDA</t>
        </is>
      </c>
      <c r="F176" s="7" t="n">
        <v>49.93</v>
      </c>
      <c r="G176" s="6" t="inlineStr">
        <is>
          <t>EQUIPAMENTOS DE PROTEÇÃO INDIVIDUAL</t>
        </is>
      </c>
      <c r="H176" s="6" t="inlineStr">
        <is>
          <t>S &amp; S IND. E COM. DE CONFECCOES LTDA</t>
        </is>
      </c>
      <c r="I176" s="24" t="n">
        <v>45786</v>
      </c>
      <c r="J176" s="6" t="n">
        <v>2118</v>
      </c>
    </row>
    <row r="177">
      <c r="A177" s="23" t="n">
        <v>45778</v>
      </c>
      <c r="B177" s="6" t="inlineStr">
        <is>
          <t>Pago</t>
        </is>
      </c>
      <c r="C177" s="6" t="inlineStr">
        <is>
          <t>PL530.001</t>
        </is>
      </c>
      <c r="D177" s="6" t="str">
        <f>IFERROR(VLOOKUP(E177,FORNECEDORES!$A$5:$F$999,6,FALSE),"L10")</f>
        <v>L08</v>
      </c>
      <c r="E177" s="6" t="inlineStr">
        <is>
          <t>S &amp; S IND. E COM. DE CONFECCOES LTDA</t>
        </is>
      </c>
      <c r="F177" s="7" t="n">
        <v>45.27</v>
      </c>
      <c r="G177" s="6" t="inlineStr">
        <is>
          <t>EQUIPAMENTOS DE PROTEÇÃO INDIVIDUAL</t>
        </is>
      </c>
      <c r="H177" s="6" t="inlineStr">
        <is>
          <t>S &amp; S IND. E COM. DE CONFECCOES LTDA</t>
        </is>
      </c>
      <c r="I177" s="24" t="n">
        <v>45786</v>
      </c>
      <c r="J177" s="6" t="n">
        <v>2118</v>
      </c>
    </row>
    <row r="178">
      <c r="A178" s="23" t="n">
        <v>45778</v>
      </c>
      <c r="B178" s="6" t="inlineStr">
        <is>
          <t>Pago</t>
        </is>
      </c>
      <c r="C178" s="6" t="inlineStr">
        <is>
          <t>PL530.001</t>
        </is>
      </c>
      <c r="D178" s="6" t="str">
        <f>IFERROR(VLOOKUP(E178,FORNECEDORES!$A$5:$F$999,6,FALSE),"L10")</f>
        <v>L08</v>
      </c>
      <c r="E178" s="6" t="inlineStr">
        <is>
          <t>S &amp; S IND. E COM. DE CONFECCOES LTDA</t>
        </is>
      </c>
      <c r="F178" s="7" t="n">
        <v>49.93</v>
      </c>
      <c r="G178" s="6" t="inlineStr">
        <is>
          <t>EQUIPAMENTOS DE PROTEÇÃO INDIVIDUAL</t>
        </is>
      </c>
      <c r="H178" s="6" t="inlineStr">
        <is>
          <t>S &amp; S IND. E COM. DE CONFECCOES LTDA</t>
        </is>
      </c>
      <c r="I178" s="24" t="n">
        <v>45786</v>
      </c>
      <c r="J178" s="6" t="n">
        <v>2118</v>
      </c>
    </row>
    <row r="179">
      <c r="A179" s="23" t="n">
        <v>45778</v>
      </c>
      <c r="B179" s="6" t="inlineStr">
        <is>
          <t>Pago</t>
        </is>
      </c>
      <c r="C179" s="6" t="inlineStr">
        <is>
          <t>PL530.001</t>
        </is>
      </c>
      <c r="D179" s="6" t="str">
        <f>IFERROR(VLOOKUP(E179,FORNECEDORES!$A$5:$F$999,6,FALSE),"L10")</f>
        <v>L08</v>
      </c>
      <c r="E179" s="6" t="inlineStr">
        <is>
          <t>S &amp; S IND. E COM. DE CONFECCOES LTDA</t>
        </is>
      </c>
      <c r="F179" s="7" t="n">
        <v>45.27</v>
      </c>
      <c r="G179" s="6" t="inlineStr">
        <is>
          <t>EQUIPAMENTOS DE PROTEÇÃO INDIVIDUAL</t>
        </is>
      </c>
      <c r="H179" s="6" t="inlineStr">
        <is>
          <t>S &amp; S IND. E COM. DE CONFECCOES LTDA</t>
        </is>
      </c>
      <c r="I179" s="24" t="n">
        <v>45786</v>
      </c>
      <c r="J179" s="6" t="n">
        <v>2118</v>
      </c>
    </row>
    <row r="180">
      <c r="A180" s="23" t="n">
        <v>45778</v>
      </c>
      <c r="B180" s="6" t="inlineStr">
        <is>
          <t>Pago</t>
        </is>
      </c>
      <c r="C180" s="6" t="inlineStr">
        <is>
          <t>PL530.001</t>
        </is>
      </c>
      <c r="D180" s="6" t="str">
        <f>IFERROR(VLOOKUP(E180,FORNECEDORES!$A$5:$F$999,6,FALSE),"L10")</f>
        <v>L08</v>
      </c>
      <c r="E180" s="6" t="inlineStr">
        <is>
          <t>S &amp; S IND. E COM. DE CONFECCOES LTDA</t>
        </is>
      </c>
      <c r="F180" s="7" t="n">
        <v>88.17</v>
      </c>
      <c r="G180" s="6" t="inlineStr">
        <is>
          <t>EQUIPAMENTOS DE PROTEÇÃO INDIVIDUAL</t>
        </is>
      </c>
      <c r="H180" s="6" t="inlineStr">
        <is>
          <t>S &amp; S IND. E COM. DE CONFECCOES LTDA</t>
        </is>
      </c>
      <c r="I180" s="24" t="n">
        <v>45789</v>
      </c>
      <c r="J180" s="6" t="n">
        <v>2117</v>
      </c>
    </row>
    <row r="181">
      <c r="A181" s="23" t="n">
        <v>45778</v>
      </c>
      <c r="B181" s="6" t="inlineStr">
        <is>
          <t>Pago</t>
        </is>
      </c>
      <c r="C181" s="6" t="inlineStr">
        <is>
          <t>PL530.001</t>
        </is>
      </c>
      <c r="D181" s="6" t="str">
        <f>IFERROR(VLOOKUP(E181,FORNECEDORES!$A$5:$F$999,6,FALSE),"L10")</f>
        <v>L08</v>
      </c>
      <c r="E181" s="6" t="inlineStr">
        <is>
          <t>S &amp; S IND. E COM. DE CONFECCOES LTDA</t>
        </is>
      </c>
      <c r="F181" s="7" t="n">
        <v>88.17</v>
      </c>
      <c r="G181" s="6" t="inlineStr">
        <is>
          <t>EQUIPAMENTOS DE PROTEÇÃO INDIVIDUAL</t>
        </is>
      </c>
      <c r="H181" s="6" t="inlineStr">
        <is>
          <t>S &amp; S IND. E COM. DE CONFECCOES LTDA</t>
        </is>
      </c>
      <c r="I181" s="24" t="n">
        <v>45789</v>
      </c>
      <c r="J181" s="6" t="n">
        <v>2117</v>
      </c>
    </row>
    <row r="182">
      <c r="A182" s="23" t="n">
        <v>45778</v>
      </c>
      <c r="B182" s="6" t="inlineStr">
        <is>
          <t>Pago</t>
        </is>
      </c>
      <c r="C182" s="6" t="inlineStr">
        <is>
          <t>PL530.001</t>
        </is>
      </c>
      <c r="D182" s="6" t="str">
        <f>IFERROR(VLOOKUP(E182,FORNECEDORES!$A$5:$F$999,6,FALSE),"L10")</f>
        <v>L08</v>
      </c>
      <c r="E182" s="6" t="inlineStr">
        <is>
          <t>S &amp; S IND. E COM. DE CONFECCOES LTDA</t>
        </is>
      </c>
      <c r="F182" s="7" t="n">
        <v>88.17</v>
      </c>
      <c r="G182" s="6" t="inlineStr">
        <is>
          <t>EQUIPAMENTOS DE PROTEÇÃO INDIVIDUAL</t>
        </is>
      </c>
      <c r="H182" s="6" t="inlineStr">
        <is>
          <t>S &amp; S IND. E COM. DE CONFECCOES LTDA</t>
        </is>
      </c>
      <c r="I182" s="24" t="n">
        <v>45789</v>
      </c>
      <c r="J182" s="6" t="n">
        <v>2117</v>
      </c>
    </row>
    <row r="183">
      <c r="A183" s="23" t="n">
        <v>45778</v>
      </c>
      <c r="B183" s="6" t="inlineStr">
        <is>
          <t>Pago</t>
        </is>
      </c>
      <c r="C183" s="6" t="inlineStr">
        <is>
          <t>PL530.001</t>
        </is>
      </c>
      <c r="D183" s="6" t="str">
        <f>IFERROR(VLOOKUP(E183,FORNECEDORES!$A$5:$F$999,6,FALSE),"L10")</f>
        <v>L08</v>
      </c>
      <c r="E183" s="6" t="inlineStr">
        <is>
          <t>S &amp; S IND. E COM. DE CONFECCOES LTDA</t>
        </is>
      </c>
      <c r="F183" s="7" t="n">
        <v>88.17</v>
      </c>
      <c r="G183" s="6" t="inlineStr">
        <is>
          <t>EQUIPAMENTOS DE PROTEÇÃO INDIVIDUAL</t>
        </is>
      </c>
      <c r="H183" s="6" t="inlineStr">
        <is>
          <t>S &amp; S IND. E COM. DE CONFECCOES LTDA</t>
        </is>
      </c>
      <c r="I183" s="24" t="n">
        <v>45789</v>
      </c>
      <c r="J183" s="6" t="n">
        <v>2117</v>
      </c>
    </row>
    <row r="184">
      <c r="A184" s="23" t="n">
        <v>45778</v>
      </c>
      <c r="B184" s="6" t="inlineStr">
        <is>
          <t>Pago</t>
        </is>
      </c>
      <c r="C184" s="6" t="inlineStr">
        <is>
          <t>PL530.001</t>
        </is>
      </c>
      <c r="D184" s="6" t="str">
        <f>IFERROR(VLOOKUP(E184,FORNECEDORES!$A$5:$F$999,6,FALSE),"L10")</f>
        <v>L08</v>
      </c>
      <c r="E184" s="6" t="inlineStr">
        <is>
          <t>S &amp; S IND. E COM. DE CONFECCOES LTDA</t>
        </is>
      </c>
      <c r="F184" s="7" t="n">
        <v>88.17</v>
      </c>
      <c r="G184" s="6" t="inlineStr">
        <is>
          <t>EQUIPAMENTOS DE PROTEÇÃO INDIVIDUAL</t>
        </is>
      </c>
      <c r="H184" s="6" t="inlineStr">
        <is>
          <t>S &amp; S IND. E COM. DE CONFECCOES LTDA</t>
        </is>
      </c>
      <c r="I184" s="24" t="n">
        <v>45789</v>
      </c>
      <c r="J184" s="6" t="n">
        <v>2117</v>
      </c>
    </row>
    <row r="185">
      <c r="A185" s="23" t="n">
        <v>45778</v>
      </c>
      <c r="B185" s="6" t="inlineStr">
        <is>
          <t>Pago</t>
        </is>
      </c>
      <c r="C185" s="6" t="inlineStr">
        <is>
          <t>PL530.001</t>
        </is>
      </c>
      <c r="D185" s="6" t="str">
        <f>IFERROR(VLOOKUP(E185,FORNECEDORES!$A$5:$F$999,6,FALSE),"L10")</f>
        <v>L08</v>
      </c>
      <c r="E185" s="6" t="inlineStr">
        <is>
          <t>S &amp; S IND. E COM. DE CONFECCOES LTDA</t>
        </is>
      </c>
      <c r="F185" s="7" t="n">
        <v>88.17</v>
      </c>
      <c r="G185" s="6" t="inlineStr">
        <is>
          <t>EQUIPAMENTOS DE PROTEÇÃO INDIVIDUAL</t>
        </is>
      </c>
      <c r="H185" s="6" t="inlineStr">
        <is>
          <t>S &amp; S IND. E COM. DE CONFECCOES LTDA</t>
        </is>
      </c>
      <c r="I185" s="24" t="n">
        <v>45789</v>
      </c>
      <c r="J185" s="6" t="n">
        <v>2117</v>
      </c>
    </row>
    <row r="186">
      <c r="A186" s="23" t="n">
        <v>45809</v>
      </c>
      <c r="B186" s="6" t="inlineStr">
        <is>
          <t>Pago</t>
        </is>
      </c>
      <c r="C186" s="6" t="inlineStr">
        <is>
          <t>PL530.001</t>
        </is>
      </c>
      <c r="D186" s="6" t="str">
        <f>IFERROR(VLOOKUP(E186,FORNECEDORES!$A$5:$F$999,6,FALSE),"L10")</f>
        <v>L01</v>
      </c>
      <c r="E186" s="6" t="inlineStr">
        <is>
          <t>A.F SILVA EQUIPAMENTOS LTDA</t>
        </is>
      </c>
      <c r="F186" s="7" t="n">
        <v>750</v>
      </c>
      <c r="G186" s="6" t="inlineStr">
        <is>
          <t>EQUIPAMENTOS E FERRAMENTAS</t>
        </is>
      </c>
      <c r="H186" s="6" t="inlineStr">
        <is>
          <t>A.F SILVA EQUIPAMENTOS LTDA</t>
        </is>
      </c>
      <c r="I186" s="24" t="n">
        <v>45831</v>
      </c>
      <c r="J186" s="6" t="n">
        <v>2926</v>
      </c>
    </row>
    <row r="187">
      <c r="A187" s="23" t="n">
        <v>45809</v>
      </c>
      <c r="B187" s="6" t="inlineStr">
        <is>
          <t>Pago</t>
        </is>
      </c>
      <c r="C187" s="6" t="inlineStr">
        <is>
          <t>PL530.001</t>
        </is>
      </c>
      <c r="D187" s="6" t="str">
        <f>IFERROR(VLOOKUP(E187,FORNECEDORES!$A$5:$F$999,6,FALSE),"L10")</f>
        <v>L01</v>
      </c>
      <c r="E187" s="6" t="inlineStr">
        <is>
          <t>COFERMETA SA</t>
        </is>
      </c>
      <c r="F187" s="7" t="n">
        <v>246</v>
      </c>
      <c r="G187" s="6" t="inlineStr">
        <is>
          <t>EQUIPAMENTOS E FERRAMENTAS</t>
        </is>
      </c>
      <c r="H187" s="6" t="inlineStr">
        <is>
          <t>COFERMETA SA</t>
        </is>
      </c>
      <c r="I187" s="24" t="n">
        <v>45828</v>
      </c>
      <c r="J187" s="6" t="n">
        <v>2611</v>
      </c>
    </row>
    <row r="188">
      <c r="A188" s="23" t="n">
        <v>45809</v>
      </c>
      <c r="B188" s="6" t="inlineStr">
        <is>
          <t>Pago</t>
        </is>
      </c>
      <c r="C188" s="6" t="inlineStr">
        <is>
          <t>PL530.001</t>
        </is>
      </c>
      <c r="D188" s="6" t="str">
        <f>IFERROR(VLOOKUP(E188,FORNECEDORES!$A$5:$F$999,6,FALSE),"L10")</f>
        <v>L07</v>
      </c>
      <c r="E188" s="6" t="inlineStr">
        <is>
          <t>CORDAL BH COMERCIO DE CABOS E ACESSORIOS LTDA</t>
        </is>
      </c>
      <c r="F188" s="7" t="n">
        <v>195</v>
      </c>
      <c r="G188" s="6" t="inlineStr">
        <is>
          <t>ACESSÓRIOS DE FIXAÇÃO</t>
        </is>
      </c>
      <c r="H188" s="6" t="inlineStr">
        <is>
          <t>CORDAL BH COMERCIO DE CABOS E ACESSORIOS LTDA</t>
        </is>
      </c>
      <c r="I188" s="24" t="n">
        <v>45834</v>
      </c>
      <c r="J188" s="6" t="n">
        <v>2772</v>
      </c>
    </row>
    <row r="189">
      <c r="A189" s="23" t="n">
        <v>45809</v>
      </c>
      <c r="B189" s="6" t="inlineStr">
        <is>
          <t>Pago</t>
        </is>
      </c>
      <c r="C189" s="6" t="inlineStr">
        <is>
          <t>PL530.001</t>
        </is>
      </c>
      <c r="D189" s="6" t="str">
        <f>IFERROR(VLOOKUP(E189,FORNECEDORES!$A$5:$F$999,6,FALSE),"L10")</f>
        <v>L07</v>
      </c>
      <c r="E189" s="6" t="inlineStr">
        <is>
          <t>CORDAL BH COMERCIO DE CABOS E ACESSORIOS LTDA</t>
        </is>
      </c>
      <c r="F189" s="7" t="n">
        <v>1500</v>
      </c>
      <c r="G189" s="6" t="inlineStr">
        <is>
          <t>EQUIPAMENTOS E FERRAMENTAS</t>
        </is>
      </c>
      <c r="H189" s="6" t="inlineStr">
        <is>
          <t>CORDAL BH COMERCIO DE CABOS E ACESSORIOS LTDA</t>
        </is>
      </c>
      <c r="I189" s="24" t="n">
        <v>45834</v>
      </c>
      <c r="J189" s="6" t="n">
        <v>2772</v>
      </c>
    </row>
    <row r="190">
      <c r="A190" s="23" t="n">
        <v>45809</v>
      </c>
      <c r="B190" s="6" t="inlineStr">
        <is>
          <t>Pago</t>
        </is>
      </c>
      <c r="C190" s="6" t="inlineStr">
        <is>
          <t>PL530.001</t>
        </is>
      </c>
      <c r="D190" s="6" t="str">
        <f>IFERROR(VLOOKUP(E190,FORNECEDORES!$A$5:$F$999,6,FALSE),"L10")</f>
        <v>L03</v>
      </c>
      <c r="E190" s="6" t="inlineStr">
        <is>
          <t>DATRON TECNOLOGIA E LOCACAO LTDA</t>
        </is>
      </c>
      <c r="F190" s="7" t="n">
        <v>375</v>
      </c>
      <c r="G190" s="6" t="inlineStr">
        <is>
          <t>LOCAÇÕES</t>
        </is>
      </c>
      <c r="H190" s="6" t="inlineStr">
        <is>
          <t>DATRON TECNOLOGIA E LOCACAO LTDA</t>
        </is>
      </c>
      <c r="I190" s="24" t="n">
        <v>45824</v>
      </c>
      <c r="J190" s="6" t="n">
        <v>2792</v>
      </c>
    </row>
    <row r="191">
      <c r="A191" s="23" t="n">
        <v>45809</v>
      </c>
      <c r="B191" s="6" t="inlineStr">
        <is>
          <t>Pago</t>
        </is>
      </c>
      <c r="C191" s="6" t="inlineStr">
        <is>
          <t>PL530.001</t>
        </is>
      </c>
      <c r="D191" s="6" t="str">
        <f>IFERROR(VLOOKUP(E191,FORNECEDORES!$A$5:$F$999,6,FALSE),"L10")</f>
        <v>L03</v>
      </c>
      <c r="E191" s="6" t="inlineStr">
        <is>
          <t>EDIFICAR LOCACAO MANUTENCAO E SERVICOS LTDA</t>
        </is>
      </c>
      <c r="F191" s="7" t="n">
        <v>2359.8</v>
      </c>
      <c r="G191" s="6" t="inlineStr">
        <is>
          <t>LOCAÇÕES</t>
        </is>
      </c>
      <c r="H191" s="6" t="inlineStr">
        <is>
          <t>EDIFICAR LOCACAO MANUTENCAO E SERVICOS LTDA</t>
        </is>
      </c>
      <c r="I191" s="24" t="n">
        <v>45811</v>
      </c>
      <c r="J191" s="6" t="n">
        <v>2802</v>
      </c>
    </row>
    <row r="192">
      <c r="A192" s="23" t="n">
        <v>45809</v>
      </c>
      <c r="B192" s="6" t="inlineStr">
        <is>
          <t>Pago</t>
        </is>
      </c>
      <c r="C192" s="6" t="inlineStr">
        <is>
          <t>PL530.001</t>
        </is>
      </c>
      <c r="D192" s="6" t="str">
        <f>IFERROR(VLOOKUP(E192,FORNECEDORES!$A$5:$F$999,6,FALSE),"L10")</f>
        <v>L01</v>
      </c>
      <c r="E192" s="6" t="inlineStr">
        <is>
          <t>ELISANGELA R. ROCHA CORDEIRO SERVICOS EIRELI</t>
        </is>
      </c>
      <c r="F192" s="7" t="n">
        <v>1177.5</v>
      </c>
      <c r="G192" s="6" t="inlineStr">
        <is>
          <t>EQUIPAMENTOS E FERRAMENTAS</t>
        </is>
      </c>
      <c r="H192" s="6" t="inlineStr">
        <is>
          <t>ELISANGELA R. ROCHA CORDEIRO SERVICOS EIRELI</t>
        </is>
      </c>
      <c r="I192" s="24" t="n">
        <v>45817</v>
      </c>
      <c r="J192" s="6" t="n">
        <v>2562</v>
      </c>
    </row>
    <row r="193">
      <c r="A193" s="23" t="n">
        <v>45809</v>
      </c>
      <c r="B193" s="6" t="inlineStr">
        <is>
          <t>Pago</t>
        </is>
      </c>
      <c r="C193" s="6" t="inlineStr">
        <is>
          <t>PL530.001</t>
        </is>
      </c>
      <c r="D193" s="6" t="str">
        <f>IFERROR(VLOOKUP(E193,FORNECEDORES!$A$5:$F$999,6,FALSE),"L10")</f>
        <v>L01</v>
      </c>
      <c r="E193" s="6" t="inlineStr">
        <is>
          <t>ELISANGELA R. ROCHA CORDEIRO SERVICOS EIRELI</t>
        </is>
      </c>
      <c r="F193" s="7" t="n">
        <v>1512.5</v>
      </c>
      <c r="G193" s="6" t="inlineStr">
        <is>
          <t>EQUIPAMENTOS E FERRAMENTAS</t>
        </is>
      </c>
      <c r="H193" s="6" t="inlineStr">
        <is>
          <t>ELISANGELA R. ROCHA CORDEIRO SERVICOS EIRELI</t>
        </is>
      </c>
      <c r="I193" s="24" t="n">
        <v>45814</v>
      </c>
      <c r="J193" s="6" t="n">
        <v>2562</v>
      </c>
    </row>
    <row r="194">
      <c r="A194" s="23" t="n">
        <v>45809</v>
      </c>
      <c r="B194" s="6" t="inlineStr">
        <is>
          <t>Pago</t>
        </is>
      </c>
      <c r="C194" s="6" t="inlineStr">
        <is>
          <t>PL530.001</t>
        </is>
      </c>
      <c r="D194" s="6" t="str">
        <f>IFERROR(VLOOKUP(E194,FORNECEDORES!$A$5:$F$999,6,FALSE),"L10")</f>
        <v>L01</v>
      </c>
      <c r="E194" s="6" t="inlineStr">
        <is>
          <t>ELISANGELA R. ROCHA CORDEIRO SERVICOS EIRELI</t>
        </is>
      </c>
      <c r="F194" s="7" t="n">
        <v>1090</v>
      </c>
      <c r="G194" s="6" t="inlineStr">
        <is>
          <t>EQUIPAMENTOS E FERRAMENTAS</t>
        </is>
      </c>
      <c r="H194" s="6" t="inlineStr">
        <is>
          <t>ELISANGELA R. ROCHA CORDEIRO SERVICOS EIRELI</t>
        </is>
      </c>
      <c r="I194" s="24" t="n">
        <v>45817</v>
      </c>
      <c r="J194" s="6" t="n">
        <v>2613</v>
      </c>
    </row>
    <row r="195">
      <c r="A195" s="23" t="n">
        <v>45809</v>
      </c>
      <c r="B195" s="6" t="inlineStr">
        <is>
          <t>Pago</t>
        </is>
      </c>
      <c r="C195" s="6" t="inlineStr">
        <is>
          <t>PL530.001</t>
        </is>
      </c>
      <c r="D195" s="6" t="str">
        <f>IFERROR(VLOOKUP(E195,FORNECEDORES!$A$5:$F$999,6,FALSE),"L10")</f>
        <v>L01</v>
      </c>
      <c r="E195" s="6" t="inlineStr">
        <is>
          <t>ELISANGELA R. ROCHA CORDEIRO SERVICOS EIRELI</t>
        </is>
      </c>
      <c r="F195" s="7" t="n">
        <v>330</v>
      </c>
      <c r="G195" s="6" t="inlineStr">
        <is>
          <t>EQUIPAMENTOS E FERRAMENTAS</t>
        </is>
      </c>
      <c r="H195" s="6" t="inlineStr">
        <is>
          <t>ELISANGELA R. ROCHA CORDEIRO SERVICOS EIRELI</t>
        </is>
      </c>
      <c r="I195" s="24" t="n">
        <v>45817</v>
      </c>
      <c r="J195" s="6" t="n">
        <v>2613</v>
      </c>
    </row>
    <row r="196">
      <c r="A196" s="23" t="n">
        <v>45809</v>
      </c>
      <c r="B196" s="6" t="inlineStr">
        <is>
          <t>Pago</t>
        </is>
      </c>
      <c r="C196" s="6" t="inlineStr">
        <is>
          <t>PL530.001</t>
        </is>
      </c>
      <c r="D196" s="6" t="str">
        <f>IFERROR(VLOOKUP(E196,FORNECEDORES!$A$5:$F$999,6,FALSE),"L10")</f>
        <v>L01</v>
      </c>
      <c r="E196" s="6" t="inlineStr">
        <is>
          <t>ELISANGELA R. ROCHA CORDEIRO SERVICOS EIRELI</t>
        </is>
      </c>
      <c r="F196" s="7" t="n">
        <v>92.5</v>
      </c>
      <c r="G196" s="6" t="inlineStr">
        <is>
          <t>EQUIPAMENTOS E FERRAMENTAS</t>
        </is>
      </c>
      <c r="H196" s="6" t="inlineStr">
        <is>
          <t>ELISANGELA R. ROCHA CORDEIRO SERVICOS EIRELI</t>
        </is>
      </c>
      <c r="I196" s="24" t="n">
        <v>45817</v>
      </c>
      <c r="J196" s="6" t="n">
        <v>2613</v>
      </c>
    </row>
    <row r="197">
      <c r="A197" s="23" t="n">
        <v>45809</v>
      </c>
      <c r="B197" s="6" t="inlineStr">
        <is>
          <t>Pago</t>
        </is>
      </c>
      <c r="C197" s="6" t="inlineStr">
        <is>
          <t>PL530.001</t>
        </is>
      </c>
      <c r="D197" s="6" t="str">
        <f>IFERROR(VLOOKUP(E197,FORNECEDORES!$A$5:$F$999,6,FALSE),"L10")</f>
        <v>L03</v>
      </c>
      <c r="E197" s="6" t="inlineStr">
        <is>
          <t>EUROLINK IMPORTACAO E LOCACAO DE EQUIPAMENTOS LTDA</t>
        </is>
      </c>
      <c r="F197" s="7" t="n">
        <v>800</v>
      </c>
      <c r="G197" s="6" t="inlineStr">
        <is>
          <t>LOCAÇÕES</t>
        </is>
      </c>
      <c r="H197" s="6" t="inlineStr">
        <is>
          <t>EUROLINK IMPORTACAO E LOCACAO DE EQUIPAMENTOS LTDA</t>
        </is>
      </c>
      <c r="I197" s="24" t="n">
        <v>45828</v>
      </c>
      <c r="J197" s="6" t="n">
        <v>2893</v>
      </c>
    </row>
    <row r="198">
      <c r="A198" s="23" t="n">
        <v>45809</v>
      </c>
      <c r="B198" s="6" t="inlineStr">
        <is>
          <t>Pago</t>
        </is>
      </c>
      <c r="C198" s="6" t="inlineStr">
        <is>
          <t>PL530.001</t>
        </is>
      </c>
      <c r="D198" s="6" t="str">
        <f>IFERROR(VLOOKUP(E198,FORNECEDORES!$A$5:$F$999,6,FALSE),"L10")</f>
        <v>L10</v>
      </c>
      <c r="E198" s="6" t="inlineStr">
        <is>
          <t>FIAO LOCACOES E TRANSPORTES LTDA</t>
        </is>
      </c>
      <c r="F198" s="7" t="n">
        <v>3222.45</v>
      </c>
      <c r="G198" s="6" t="inlineStr">
        <is>
          <t>NÃO CLASSIFICADO</t>
        </is>
      </c>
      <c r="H198" s="6" t="inlineStr">
        <is>
          <t>FIAO LOCACOES E TRANSPORTES LTDA</t>
        </is>
      </c>
      <c r="I198" s="24" t="n">
        <v>45824</v>
      </c>
      <c r="J198" s="6" t="n">
        <v>2828</v>
      </c>
    </row>
    <row r="199">
      <c r="A199" s="23" t="n">
        <v>45809</v>
      </c>
      <c r="B199" s="6" t="inlineStr">
        <is>
          <t>Pago</t>
        </is>
      </c>
      <c r="C199" s="6" t="inlineStr">
        <is>
          <t>PL530.001</t>
        </is>
      </c>
      <c r="D199" s="6" t="str">
        <f>IFERROR(VLOOKUP(E199,FORNECEDORES!$A$5:$F$999,6,FALSE),"L10")</f>
        <v>L10</v>
      </c>
      <c r="E199" s="6" t="inlineStr">
        <is>
          <t>FIAO LOCACOES E TRANSPORTES LTDA</t>
        </is>
      </c>
      <c r="F199" s="7" t="n">
        <v>187.55</v>
      </c>
      <c r="G199" s="6" t="inlineStr">
        <is>
          <t>NÃO CLASSIFICADO</t>
        </is>
      </c>
      <c r="H199" s="6" t="inlineStr">
        <is>
          <t>INSS RETIDO PJ - MINISTERIO DA PREVIDENCIA</t>
        </is>
      </c>
      <c r="I199" s="24" t="n">
        <v>45828</v>
      </c>
      <c r="J199" s="6" t="n">
        <v>2705</v>
      </c>
    </row>
    <row r="200">
      <c r="A200" s="23" t="n">
        <v>45809</v>
      </c>
      <c r="B200" s="6" t="inlineStr">
        <is>
          <t>Pago</t>
        </is>
      </c>
      <c r="C200" s="6" t="inlineStr">
        <is>
          <t>PL530.001</t>
        </is>
      </c>
      <c r="D200" s="6" t="str">
        <f>IFERROR(VLOOKUP(E200,FORNECEDORES!$A$5:$F$999,6,FALSE),"L10")</f>
        <v>L10</v>
      </c>
      <c r="E200" s="6" t="inlineStr">
        <is>
          <t>FIAO LOCACOES E TRANSPORTES LTDA</t>
        </is>
      </c>
      <c r="F200" s="7" t="n">
        <v>163.35</v>
      </c>
      <c r="G200" s="6" t="inlineStr">
        <is>
          <t>NÃO CLASSIFICADO</t>
        </is>
      </c>
      <c r="H200" s="6" t="inlineStr">
        <is>
          <t>INSS RETIDO PJ - MINISTERIO DA PREVIDENCIA</t>
        </is>
      </c>
      <c r="I200" s="24" t="n">
        <v>45828</v>
      </c>
      <c r="J200" s="6" t="n">
        <v>2739</v>
      </c>
    </row>
    <row r="201">
      <c r="A201" s="23" t="n">
        <v>45809</v>
      </c>
      <c r="B201" s="6" t="inlineStr">
        <is>
          <t>Pago</t>
        </is>
      </c>
      <c r="C201" s="6" t="inlineStr">
        <is>
          <t>PL530.001</t>
        </is>
      </c>
      <c r="D201" s="6" t="str">
        <f>IFERROR(VLOOKUP(E201,FORNECEDORES!$A$5:$F$999,6,FALSE),"L10")</f>
        <v>L01</v>
      </c>
      <c r="E201" s="6" t="inlineStr">
        <is>
          <t>METROGERAIS METROLOGIA E ASSIST TEC EQUIP PRECISAO LTDA</t>
        </is>
      </c>
      <c r="F201" s="7" t="n">
        <v>105.13</v>
      </c>
      <c r="G201" s="6" t="inlineStr">
        <is>
          <t>NÃO CLASSIFICADO</t>
        </is>
      </c>
      <c r="H201" s="6" t="inlineStr">
        <is>
          <t>METROGERAIS METROLOGIA E ASSIST TEC EQUIP PRECISAO</t>
        </is>
      </c>
      <c r="I201" s="24" t="n">
        <v>45834</v>
      </c>
      <c r="J201" s="6" t="n">
        <v>2904</v>
      </c>
    </row>
    <row r="202">
      <c r="A202" s="23" t="n">
        <v>45809</v>
      </c>
      <c r="B202" s="6" t="inlineStr">
        <is>
          <t>Pago</t>
        </is>
      </c>
      <c r="C202" s="6" t="inlineStr">
        <is>
          <t>PL530.001</t>
        </is>
      </c>
      <c r="D202" s="6" t="str">
        <f>IFERROR(VLOOKUP(E202,FORNECEDORES!$A$5:$F$999,6,FALSE),"L10")</f>
        <v>L01</v>
      </c>
      <c r="E202" s="6" t="inlineStr">
        <is>
          <t>MINAS FERRAMENTAS LTDA</t>
        </is>
      </c>
      <c r="F202" s="7" t="n">
        <v>101.2</v>
      </c>
      <c r="G202" s="6" t="inlineStr">
        <is>
          <t>EQUIPAMENTOS E FERRAMENTAS</t>
        </is>
      </c>
      <c r="H202" s="6" t="inlineStr">
        <is>
          <t>MINAS FERRAMENTAS LTDA</t>
        </is>
      </c>
      <c r="I202" s="24" t="n">
        <v>45831</v>
      </c>
      <c r="J202" s="6" t="n">
        <v>2702</v>
      </c>
    </row>
    <row r="203">
      <c r="A203" s="23" t="n">
        <v>45809</v>
      </c>
      <c r="B203" s="6" t="inlineStr">
        <is>
          <t>Pago</t>
        </is>
      </c>
      <c r="C203" s="6" t="inlineStr">
        <is>
          <t>PL530.001</t>
        </is>
      </c>
      <c r="D203" s="6" t="str">
        <f>IFERROR(VLOOKUP(E203,FORNECEDORES!$A$5:$F$999,6,FALSE),"L10")</f>
        <v>L03</v>
      </c>
      <c r="E203" s="6" t="inlineStr">
        <is>
          <t>ORIGINAL LOCACOES LTDA</t>
        </is>
      </c>
      <c r="F203" s="7" t="n">
        <v>3349.96</v>
      </c>
      <c r="G203" s="6" t="inlineStr">
        <is>
          <t>LOCAÇÕES</t>
        </is>
      </c>
      <c r="H203" s="6" t="inlineStr">
        <is>
          <t>ORIGINAL LOCACOES LTDA</t>
        </is>
      </c>
      <c r="I203" s="24" t="n">
        <v>45831</v>
      </c>
      <c r="J203" s="6" t="n">
        <v>2945</v>
      </c>
    </row>
    <row r="204">
      <c r="A204" s="23" t="n">
        <v>45809</v>
      </c>
      <c r="B204" s="6" t="inlineStr">
        <is>
          <t>Pago</t>
        </is>
      </c>
      <c r="C204" s="6" t="inlineStr">
        <is>
          <t>PL530.001</t>
        </is>
      </c>
      <c r="D204" s="6" t="str">
        <f>IFERROR(VLOOKUP(E204,FORNECEDORES!$A$5:$F$999,6,FALSE),"L10")</f>
        <v>L02</v>
      </c>
      <c r="E204" s="6" t="inlineStr">
        <is>
          <t>REPELUB REVENDEDORA DE PETROLEO E LUBRIFICANTES S.A.</t>
        </is>
      </c>
      <c r="F204" s="7" t="n">
        <v>6310</v>
      </c>
      <c r="G204" s="6" t="inlineStr">
        <is>
          <t>INSUMOS PARA CONTRATO</t>
        </is>
      </c>
      <c r="H204" s="6" t="inlineStr">
        <is>
          <t>REPELUB REVENDEDORA DE PETROLEO E LUBRIFICANTES S.</t>
        </is>
      </c>
      <c r="I204" s="24" t="n">
        <v>45810</v>
      </c>
      <c r="J204" s="6" t="n">
        <v>2726</v>
      </c>
    </row>
    <row r="205">
      <c r="A205" s="23" t="n">
        <v>45809</v>
      </c>
      <c r="B205" s="6" t="inlineStr">
        <is>
          <t>Pago</t>
        </is>
      </c>
      <c r="C205" s="6" t="inlineStr">
        <is>
          <t>PL530.001</t>
        </is>
      </c>
      <c r="D205" s="6" t="str">
        <f>IFERROR(VLOOKUP(E205,FORNECEDORES!$A$5:$F$999,6,FALSE),"L10")</f>
        <v>L02</v>
      </c>
      <c r="E205" s="6" t="inlineStr">
        <is>
          <t>REPELUB REVENDEDORA DE PETROLEO E LUBRIFICANTES S.A.</t>
        </is>
      </c>
      <c r="F205" s="7" t="n">
        <v>1413.44</v>
      </c>
      <c r="G205" s="6" t="inlineStr">
        <is>
          <t>INSUMOS PARA CONTRATO</t>
        </is>
      </c>
      <c r="H205" s="6" t="inlineStr">
        <is>
          <t>REPELUB REVENDEDORA DE PETROLEO E LUBRIFICANTES S.</t>
        </is>
      </c>
      <c r="I205" s="24" t="n">
        <v>45828</v>
      </c>
      <c r="J205" s="6" t="n">
        <v>2860</v>
      </c>
    </row>
    <row r="206">
      <c r="A206" s="23" t="n">
        <v>45809</v>
      </c>
      <c r="B206" s="6" t="inlineStr">
        <is>
          <t>Pago</t>
        </is>
      </c>
      <c r="C206" s="6" t="inlineStr">
        <is>
          <t>PL530.001</t>
        </is>
      </c>
      <c r="D206" s="6" t="str">
        <f>IFERROR(VLOOKUP(E206,FORNECEDORES!$A$5:$F$999,6,FALSE),"L10")</f>
        <v>L02</v>
      </c>
      <c r="E206" s="6" t="inlineStr">
        <is>
          <t>REPELUB REVENDEDORA DE PETROLEO E LUBRIFICANTES S.A.</t>
        </is>
      </c>
      <c r="F206" s="7" t="n">
        <v>1773.11</v>
      </c>
      <c r="G206" s="6" t="inlineStr">
        <is>
          <t>INSUMOS PARA CONTRATO</t>
        </is>
      </c>
      <c r="H206" s="6" t="inlineStr">
        <is>
          <t>REPELUB REVENDEDORA DE PETROLEO E LUBRIFICANTES S.</t>
        </is>
      </c>
      <c r="I206" s="24" t="n">
        <v>45826</v>
      </c>
      <c r="J206" s="6" t="n">
        <v>2852</v>
      </c>
    </row>
    <row r="207">
      <c r="A207" s="23" t="n">
        <v>45809</v>
      </c>
      <c r="B207" s="6" t="inlineStr">
        <is>
          <t>Pago</t>
        </is>
      </c>
      <c r="C207" s="6" t="inlineStr">
        <is>
          <t>PL530.001</t>
        </is>
      </c>
      <c r="D207" s="6" t="str">
        <f>IFERROR(VLOOKUP(E207,FORNECEDORES!$A$5:$F$999,6,FALSE),"L10")</f>
        <v>L08</v>
      </c>
      <c r="E207" s="6" t="inlineStr">
        <is>
          <t>S &amp; S IND. E COM. DE CONFECCOES LTDA</t>
        </is>
      </c>
      <c r="F207" s="7" t="n">
        <v>45.27</v>
      </c>
      <c r="G207" s="6" t="inlineStr">
        <is>
          <t>EQUIPAMENTOS DE PROTEÇÃO INDIVIDUAL</t>
        </is>
      </c>
      <c r="H207" s="6" t="inlineStr">
        <is>
          <t>S &amp; S IND. E COM. DE CONFECCOES LTDA</t>
        </is>
      </c>
      <c r="I207" s="24" t="n">
        <v>45817</v>
      </c>
      <c r="J207" s="6" t="n">
        <v>2118</v>
      </c>
    </row>
    <row r="208">
      <c r="A208" s="23" t="n">
        <v>45809</v>
      </c>
      <c r="B208" s="6" t="inlineStr">
        <is>
          <t>Pago</t>
        </is>
      </c>
      <c r="C208" s="6" t="inlineStr">
        <is>
          <t>PL530.001</t>
        </is>
      </c>
      <c r="D208" s="6" t="str">
        <f>IFERROR(VLOOKUP(E208,FORNECEDORES!$A$5:$F$999,6,FALSE),"L10")</f>
        <v>L08</v>
      </c>
      <c r="E208" s="6" t="inlineStr">
        <is>
          <t>S &amp; S IND. E COM. DE CONFECCOES LTDA</t>
        </is>
      </c>
      <c r="F208" s="7" t="n">
        <v>49.93</v>
      </c>
      <c r="G208" s="6" t="inlineStr">
        <is>
          <t>EQUIPAMENTOS DE PROTEÇÃO INDIVIDUAL</t>
        </is>
      </c>
      <c r="H208" s="6" t="inlineStr">
        <is>
          <t>S &amp; S IND. E COM. DE CONFECCOES LTDA</t>
        </is>
      </c>
      <c r="I208" s="24" t="n">
        <v>45817</v>
      </c>
      <c r="J208" s="6" t="n">
        <v>2118</v>
      </c>
    </row>
    <row r="209">
      <c r="A209" s="23" t="n">
        <v>45809</v>
      </c>
      <c r="B209" s="6" t="inlineStr">
        <is>
          <t>Pago</t>
        </is>
      </c>
      <c r="C209" s="6" t="inlineStr">
        <is>
          <t>PL530.001</t>
        </is>
      </c>
      <c r="D209" s="6" t="str">
        <f>IFERROR(VLOOKUP(E209,FORNECEDORES!$A$5:$F$999,6,FALSE),"L10")</f>
        <v>L08</v>
      </c>
      <c r="E209" s="6" t="inlineStr">
        <is>
          <t>S &amp; S IND. E COM. DE CONFECCOES LTDA</t>
        </is>
      </c>
      <c r="F209" s="7" t="n">
        <v>74.90000000000001</v>
      </c>
      <c r="G209" s="6" t="inlineStr">
        <is>
          <t>EQUIPAMENTOS DE PROTEÇÃO INDIVIDUAL</t>
        </is>
      </c>
      <c r="H209" s="6" t="inlineStr">
        <is>
          <t>S &amp; S IND. E COM. DE CONFECCOES LTDA</t>
        </is>
      </c>
      <c r="I209" s="24" t="n">
        <v>45817</v>
      </c>
      <c r="J209" s="6" t="n">
        <v>2118</v>
      </c>
    </row>
    <row r="210">
      <c r="A210" s="23" t="n">
        <v>45809</v>
      </c>
      <c r="B210" s="6" t="inlineStr">
        <is>
          <t>Pago</t>
        </is>
      </c>
      <c r="C210" s="6" t="inlineStr">
        <is>
          <t>PL530.001</t>
        </is>
      </c>
      <c r="D210" s="6" t="str">
        <f>IFERROR(VLOOKUP(E210,FORNECEDORES!$A$5:$F$999,6,FALSE),"L10")</f>
        <v>L08</v>
      </c>
      <c r="E210" s="6" t="inlineStr">
        <is>
          <t>S &amp; S IND. E COM. DE CONFECCOES LTDA</t>
        </is>
      </c>
      <c r="F210" s="7" t="n">
        <v>49.93</v>
      </c>
      <c r="G210" s="6" t="inlineStr">
        <is>
          <t>EQUIPAMENTOS DE PROTEÇÃO INDIVIDUAL</t>
        </is>
      </c>
      <c r="H210" s="6" t="inlineStr">
        <is>
          <t>S &amp; S IND. E COM. DE CONFECCOES LTDA</t>
        </is>
      </c>
      <c r="I210" s="24" t="n">
        <v>45817</v>
      </c>
      <c r="J210" s="6" t="n">
        <v>2118</v>
      </c>
    </row>
    <row r="211">
      <c r="A211" s="23" t="n">
        <v>45809</v>
      </c>
      <c r="B211" s="6" t="inlineStr">
        <is>
          <t>Pago</t>
        </is>
      </c>
      <c r="C211" s="6" t="inlineStr">
        <is>
          <t>PL530.001</t>
        </is>
      </c>
      <c r="D211" s="6" t="str">
        <f>IFERROR(VLOOKUP(E211,FORNECEDORES!$A$5:$F$999,6,FALSE),"L10")</f>
        <v>L08</v>
      </c>
      <c r="E211" s="6" t="inlineStr">
        <is>
          <t>S &amp; S IND. E COM. DE CONFECCOES LTDA</t>
        </is>
      </c>
      <c r="F211" s="7" t="n">
        <v>49.93</v>
      </c>
      <c r="G211" s="6" t="inlineStr">
        <is>
          <t>EQUIPAMENTOS DE PROTEÇÃO INDIVIDUAL</t>
        </is>
      </c>
      <c r="H211" s="6" t="inlineStr">
        <is>
          <t>S &amp; S IND. E COM. DE CONFECCOES LTDA</t>
        </is>
      </c>
      <c r="I211" s="24" t="n">
        <v>45817</v>
      </c>
      <c r="J211" s="6" t="n">
        <v>2118</v>
      </c>
    </row>
    <row r="212">
      <c r="A212" s="23" t="n">
        <v>45809</v>
      </c>
      <c r="B212" s="6" t="inlineStr">
        <is>
          <t>Pago</t>
        </is>
      </c>
      <c r="C212" s="6" t="inlineStr">
        <is>
          <t>PL530.001</t>
        </is>
      </c>
      <c r="D212" s="6" t="str">
        <f>IFERROR(VLOOKUP(E212,FORNECEDORES!$A$5:$F$999,6,FALSE),"L10")</f>
        <v>L08</v>
      </c>
      <c r="E212" s="6" t="inlineStr">
        <is>
          <t>S &amp; S IND. E COM. DE CONFECCOES LTDA</t>
        </is>
      </c>
      <c r="F212" s="7" t="n">
        <v>49.93</v>
      </c>
      <c r="G212" s="6" t="inlineStr">
        <is>
          <t>EQUIPAMENTOS DE PROTEÇÃO INDIVIDUAL</t>
        </is>
      </c>
      <c r="H212" s="6" t="inlineStr">
        <is>
          <t>S &amp; S IND. E COM. DE CONFECCOES LTDA</t>
        </is>
      </c>
      <c r="I212" s="24" t="n">
        <v>45817</v>
      </c>
      <c r="J212" s="6" t="n">
        <v>2118</v>
      </c>
    </row>
    <row r="213">
      <c r="A213" s="23" t="n">
        <v>45809</v>
      </c>
      <c r="B213" s="6" t="inlineStr">
        <is>
          <t>Pago</t>
        </is>
      </c>
      <c r="C213" s="6" t="inlineStr">
        <is>
          <t>PL530.001</t>
        </is>
      </c>
      <c r="D213" s="6" t="str">
        <f>IFERROR(VLOOKUP(E213,FORNECEDORES!$A$5:$F$999,6,FALSE),"L10")</f>
        <v>L08</v>
      </c>
      <c r="E213" s="6" t="inlineStr">
        <is>
          <t>S &amp; S IND. E COM. DE CONFECCOES LTDA</t>
        </is>
      </c>
      <c r="F213" s="7" t="n">
        <v>45.27</v>
      </c>
      <c r="G213" s="6" t="inlineStr">
        <is>
          <t>EQUIPAMENTOS DE PROTEÇÃO INDIVIDUAL</t>
        </is>
      </c>
      <c r="H213" s="6" t="inlineStr">
        <is>
          <t>S &amp; S IND. E COM. DE CONFECCOES LTDA</t>
        </is>
      </c>
      <c r="I213" s="24" t="n">
        <v>45817</v>
      </c>
      <c r="J213" s="6" t="n">
        <v>2118</v>
      </c>
    </row>
    <row r="214">
      <c r="A214" s="23" t="n">
        <v>45809</v>
      </c>
      <c r="B214" s="6" t="inlineStr">
        <is>
          <t>Pago</t>
        </is>
      </c>
      <c r="C214" s="6" t="inlineStr">
        <is>
          <t>PL530.001</t>
        </is>
      </c>
      <c r="D214" s="6" t="str">
        <f>IFERROR(VLOOKUP(E214,FORNECEDORES!$A$5:$F$999,6,FALSE),"L10")</f>
        <v>L08</v>
      </c>
      <c r="E214" s="6" t="inlineStr">
        <is>
          <t>S &amp; S IND. E COM. DE CONFECCOES LTDA</t>
        </is>
      </c>
      <c r="F214" s="7" t="n">
        <v>45.27</v>
      </c>
      <c r="G214" s="6" t="inlineStr">
        <is>
          <t>EQUIPAMENTOS DE PROTEÇÃO INDIVIDUAL</t>
        </is>
      </c>
      <c r="H214" s="6" t="inlineStr">
        <is>
          <t>S &amp; S IND. E COM. DE CONFECCOES LTDA</t>
        </is>
      </c>
      <c r="I214" s="24" t="n">
        <v>45817</v>
      </c>
      <c r="J214" s="6" t="n">
        <v>2118</v>
      </c>
    </row>
    <row r="215">
      <c r="A215" s="23" t="n">
        <v>45809</v>
      </c>
      <c r="B215" s="6" t="inlineStr">
        <is>
          <t>Pago</t>
        </is>
      </c>
      <c r="C215" s="6" t="inlineStr">
        <is>
          <t>PL530.001</t>
        </is>
      </c>
      <c r="D215" s="6" t="str">
        <f>IFERROR(VLOOKUP(E215,FORNECEDORES!$A$5:$F$999,6,FALSE),"L10")</f>
        <v>L08</v>
      </c>
      <c r="E215" s="6" t="inlineStr">
        <is>
          <t>S &amp; S IND. E COM. DE CONFECCOES LTDA</t>
        </is>
      </c>
      <c r="F215" s="7" t="n">
        <v>88.17</v>
      </c>
      <c r="G215" s="6" t="inlineStr">
        <is>
          <t>EQUIPAMENTOS DE PROTEÇÃO INDIVIDUAL</t>
        </is>
      </c>
      <c r="H215" s="6" t="inlineStr">
        <is>
          <t>S &amp; S IND. E COM. DE CONFECCOES LTDA</t>
        </is>
      </c>
      <c r="I215" s="24" t="n">
        <v>45819</v>
      </c>
      <c r="J215" s="6" t="n">
        <v>2117</v>
      </c>
    </row>
    <row r="216">
      <c r="A216" s="23" t="n">
        <v>45809</v>
      </c>
      <c r="B216" s="6" t="inlineStr">
        <is>
          <t>Pago</t>
        </is>
      </c>
      <c r="C216" s="6" t="inlineStr">
        <is>
          <t>PL530.001</t>
        </is>
      </c>
      <c r="D216" s="6" t="str">
        <f>IFERROR(VLOOKUP(E216,FORNECEDORES!$A$5:$F$999,6,FALSE),"L10")</f>
        <v>L08</v>
      </c>
      <c r="E216" s="6" t="inlineStr">
        <is>
          <t>S &amp; S IND. E COM. DE CONFECCOES LTDA</t>
        </is>
      </c>
      <c r="F216" s="7" t="n">
        <v>88.17</v>
      </c>
      <c r="G216" s="6" t="inlineStr">
        <is>
          <t>EQUIPAMENTOS DE PROTEÇÃO INDIVIDUAL</t>
        </is>
      </c>
      <c r="H216" s="6" t="inlineStr">
        <is>
          <t>S &amp; S IND. E COM. DE CONFECCOES LTDA</t>
        </is>
      </c>
      <c r="I216" s="24" t="n">
        <v>45819</v>
      </c>
      <c r="J216" s="6" t="n">
        <v>2117</v>
      </c>
    </row>
    <row r="217">
      <c r="A217" s="23" t="n">
        <v>45809</v>
      </c>
      <c r="B217" s="6" t="inlineStr">
        <is>
          <t>Pago</t>
        </is>
      </c>
      <c r="C217" s="6" t="inlineStr">
        <is>
          <t>PL530.001</t>
        </is>
      </c>
      <c r="D217" s="6" t="str">
        <f>IFERROR(VLOOKUP(E217,FORNECEDORES!$A$5:$F$999,6,FALSE),"L10")</f>
        <v>L08</v>
      </c>
      <c r="E217" s="6" t="inlineStr">
        <is>
          <t>S &amp; S IND. E COM. DE CONFECCOES LTDA</t>
        </is>
      </c>
      <c r="F217" s="7" t="n">
        <v>88.17</v>
      </c>
      <c r="G217" s="6" t="inlineStr">
        <is>
          <t>EQUIPAMENTOS DE PROTEÇÃO INDIVIDUAL</t>
        </is>
      </c>
      <c r="H217" s="6" t="inlineStr">
        <is>
          <t>S &amp; S IND. E COM. DE CONFECCOES LTDA</t>
        </is>
      </c>
      <c r="I217" s="24" t="n">
        <v>45819</v>
      </c>
      <c r="J217" s="6" t="n">
        <v>2117</v>
      </c>
    </row>
    <row r="218">
      <c r="A218" s="23" t="n">
        <v>45809</v>
      </c>
      <c r="B218" s="6" t="inlineStr">
        <is>
          <t>Pago</t>
        </is>
      </c>
      <c r="C218" s="6" t="inlineStr">
        <is>
          <t>PL530.001</t>
        </is>
      </c>
      <c r="D218" s="6" t="str">
        <f>IFERROR(VLOOKUP(E218,FORNECEDORES!$A$5:$F$999,6,FALSE),"L10")</f>
        <v>L08</v>
      </c>
      <c r="E218" s="6" t="inlineStr">
        <is>
          <t>S &amp; S IND. E COM. DE CONFECCOES LTDA</t>
        </is>
      </c>
      <c r="F218" s="7" t="n">
        <v>88.17</v>
      </c>
      <c r="G218" s="6" t="inlineStr">
        <is>
          <t>EQUIPAMENTOS DE PROTEÇÃO INDIVIDUAL</t>
        </is>
      </c>
      <c r="H218" s="6" t="inlineStr">
        <is>
          <t>S &amp; S IND. E COM. DE CONFECCOES LTDA</t>
        </is>
      </c>
      <c r="I218" s="24" t="n">
        <v>45819</v>
      </c>
      <c r="J218" s="6" t="n">
        <v>2117</v>
      </c>
    </row>
    <row r="219">
      <c r="A219" s="23" t="n">
        <v>45809</v>
      </c>
      <c r="B219" s="6" t="inlineStr">
        <is>
          <t>Pago</t>
        </is>
      </c>
      <c r="C219" s="6" t="inlineStr">
        <is>
          <t>PL530.001</t>
        </is>
      </c>
      <c r="D219" s="6" t="str">
        <f>IFERROR(VLOOKUP(E219,FORNECEDORES!$A$5:$F$999,6,FALSE),"L10")</f>
        <v>L08</v>
      </c>
      <c r="E219" s="6" t="inlineStr">
        <is>
          <t>S &amp; S IND. E COM. DE CONFECCOES LTDA</t>
        </is>
      </c>
      <c r="F219" s="7" t="n">
        <v>88.17</v>
      </c>
      <c r="G219" s="6" t="inlineStr">
        <is>
          <t>EQUIPAMENTOS DE PROTEÇÃO INDIVIDUAL</t>
        </is>
      </c>
      <c r="H219" s="6" t="inlineStr">
        <is>
          <t>S &amp; S IND. E COM. DE CONFECCOES LTDA</t>
        </is>
      </c>
      <c r="I219" s="24" t="n">
        <v>45819</v>
      </c>
      <c r="J219" s="6" t="n">
        <v>2117</v>
      </c>
    </row>
    <row r="220">
      <c r="A220" s="23" t="n">
        <v>45809</v>
      </c>
      <c r="B220" s="6" t="inlineStr">
        <is>
          <t>Pago</t>
        </is>
      </c>
      <c r="C220" s="6" t="inlineStr">
        <is>
          <t>PL530.001</t>
        </is>
      </c>
      <c r="D220" s="6" t="str">
        <f>IFERROR(VLOOKUP(E220,FORNECEDORES!$A$5:$F$999,6,FALSE),"L10")</f>
        <v>L08</v>
      </c>
      <c r="E220" s="6" t="inlineStr">
        <is>
          <t>S &amp; S IND. E COM. DE CONFECCOES LTDA</t>
        </is>
      </c>
      <c r="F220" s="7" t="n">
        <v>88.17</v>
      </c>
      <c r="G220" s="6" t="inlineStr">
        <is>
          <t>EQUIPAMENTOS DE PROTEÇÃO INDIVIDUAL</t>
        </is>
      </c>
      <c r="H220" s="6" t="inlineStr">
        <is>
          <t>S &amp; S IND. E COM. DE CONFECCOES LTDA</t>
        </is>
      </c>
      <c r="I220" s="24" t="n">
        <v>45819</v>
      </c>
      <c r="J220" s="6" t="n">
        <v>2117</v>
      </c>
    </row>
    <row r="221">
      <c r="A221" s="23" t="n">
        <v>45839</v>
      </c>
      <c r="B221" s="6" t="inlineStr">
        <is>
          <t>Pago</t>
        </is>
      </c>
      <c r="C221" s="6" t="inlineStr">
        <is>
          <t>PL530.001</t>
        </is>
      </c>
      <c r="D221" s="6" t="str">
        <f>IFERROR(VLOOKUP(E221,FORNECEDORES!$A$5:$F$999,6,FALSE),"L10")</f>
        <v>L01</v>
      </c>
      <c r="E221" s="6" t="inlineStr">
        <is>
          <t>BILHARES E SINUCAS COMERCIO DE ARTIGOS RECREATIVOS ESPORTIVOS E BRINQUEDOS LTDA</t>
        </is>
      </c>
      <c r="F221" s="7" t="n">
        <v>1300</v>
      </c>
      <c r="G221" s="6" t="inlineStr">
        <is>
          <t>EQUIPAMENTOS DE GINÁSTICA E BRINQUEDOS</t>
        </is>
      </c>
      <c r="H221" s="6" t="inlineStr">
        <is>
          <t>BILHARES E SINUCAS COMERCIO DE ARTIGOS RECREATIVOS</t>
        </is>
      </c>
      <c r="I221" s="24" t="n">
        <v>45847</v>
      </c>
      <c r="J221" s="6" t="n">
        <v>3050</v>
      </c>
    </row>
    <row r="222">
      <c r="A222" s="23" t="n">
        <v>45839</v>
      </c>
      <c r="B222" s="6" t="inlineStr">
        <is>
          <t>Pago</t>
        </is>
      </c>
      <c r="C222" s="6" t="inlineStr">
        <is>
          <t>PL530.001</t>
        </is>
      </c>
      <c r="D222" s="6" t="str">
        <f>IFERROR(VLOOKUP(E222,FORNECEDORES!$A$5:$F$999,6,FALSE),"L10")</f>
        <v>L01</v>
      </c>
      <c r="E222" s="6" t="inlineStr">
        <is>
          <t>BILHARES E SINUCAS COMERCIO DE ARTIGOS RECREATIVOS ESPORTIVOS E BRINQUEDOS LTDA</t>
        </is>
      </c>
      <c r="F222" s="7" t="n">
        <v>1300</v>
      </c>
      <c r="G222" s="6" t="inlineStr">
        <is>
          <t>EQUIPAMENTOS DE GINÁSTICA E BRINQUEDOS</t>
        </is>
      </c>
      <c r="H222" s="6" t="inlineStr">
        <is>
          <t>BILHARES E SINUCAS COMERCIO DE ARTIGOS RECREATIVOS</t>
        </is>
      </c>
      <c r="I222" s="24" t="n">
        <v>45855</v>
      </c>
      <c r="J222" s="6" t="n">
        <v>3050</v>
      </c>
    </row>
    <row r="223">
      <c r="A223" s="23" t="n">
        <v>45839</v>
      </c>
      <c r="B223" s="6" t="inlineStr">
        <is>
          <t>Pago</t>
        </is>
      </c>
      <c r="C223" s="6" t="inlineStr">
        <is>
          <t>PL530.001</t>
        </is>
      </c>
      <c r="D223" s="6" t="str">
        <f>IFERROR(VLOOKUP(E223,FORNECEDORES!$A$5:$F$999,6,FALSE),"L10")</f>
        <v>L01</v>
      </c>
      <c r="E223" s="6" t="inlineStr">
        <is>
          <t>BILHARES E SINUCAS COMERCIO DE ARTIGOS RECREATIVOS ESPORTIVOS E BRINQUEDOS LTDA</t>
        </is>
      </c>
      <c r="F223" s="7" t="n">
        <v>75</v>
      </c>
      <c r="G223" s="6" t="inlineStr">
        <is>
          <t>FRETE</t>
        </is>
      </c>
      <c r="H223" s="6" t="inlineStr">
        <is>
          <t>BILHARES E SINUCAS COMERCIO DE ARTIGOS RECREATIVOS</t>
        </is>
      </c>
      <c r="I223" s="24" t="n">
        <v>45847</v>
      </c>
      <c r="J223" s="6" t="n">
        <v>3050</v>
      </c>
    </row>
    <row r="224">
      <c r="A224" s="23" t="n">
        <v>45839</v>
      </c>
      <c r="B224" s="6" t="inlineStr">
        <is>
          <t>Pago</t>
        </is>
      </c>
      <c r="C224" s="6" t="inlineStr">
        <is>
          <t>PL530.001</t>
        </is>
      </c>
      <c r="D224" s="6" t="str">
        <f>IFERROR(VLOOKUP(E224,FORNECEDORES!$A$5:$F$999,6,FALSE),"L10")</f>
        <v>L01</v>
      </c>
      <c r="E224" s="6" t="inlineStr">
        <is>
          <t>BILHARES E SINUCAS COMERCIO DE ARTIGOS RECREATIVOS ESPORTIVOS E BRINQUEDOS LTDA</t>
        </is>
      </c>
      <c r="F224" s="7" t="n">
        <v>75</v>
      </c>
      <c r="G224" s="6" t="inlineStr">
        <is>
          <t>FRETE</t>
        </is>
      </c>
      <c r="H224" s="6" t="inlineStr">
        <is>
          <t>BILHARES E SINUCAS COMERCIO DE ARTIGOS RECREATIVOS</t>
        </is>
      </c>
      <c r="I224" s="24" t="n">
        <v>45855</v>
      </c>
      <c r="J224" s="6" t="n">
        <v>3050</v>
      </c>
    </row>
    <row r="225">
      <c r="A225" s="23" t="n">
        <v>45839</v>
      </c>
      <c r="B225" s="6" t="inlineStr">
        <is>
          <t>Pago</t>
        </is>
      </c>
      <c r="C225" s="6" t="inlineStr">
        <is>
          <t>PL530.001</t>
        </is>
      </c>
      <c r="D225" s="6" t="str">
        <f>IFERROR(VLOOKUP(E225,FORNECEDORES!$A$5:$F$999,6,FALSE),"L10")</f>
        <v>L08</v>
      </c>
      <c r="E225" s="6" t="inlineStr">
        <is>
          <t>BUNZL EQUIPAMENTOS PARA PROTECAO INDIVIDUAL LTDA</t>
        </is>
      </c>
      <c r="F225" s="7" t="n">
        <v>437.5</v>
      </c>
      <c r="G225" s="6" t="inlineStr">
        <is>
          <t>EQUIPAMENTOS DE PROTEÇÃO INDIVIDUAL</t>
        </is>
      </c>
      <c r="H225" s="6" t="inlineStr">
        <is>
          <t>BUNZL EQUIPAMENTOS PARA PROTECAO INDIVIDUAL LTDA</t>
        </is>
      </c>
      <c r="I225" s="24" t="n">
        <v>45866</v>
      </c>
      <c r="J225" s="6" t="n">
        <v>2930</v>
      </c>
    </row>
    <row r="226">
      <c r="A226" s="23" t="n">
        <v>45839</v>
      </c>
      <c r="B226" s="6" t="inlineStr">
        <is>
          <t>Pago</t>
        </is>
      </c>
      <c r="C226" s="6" t="inlineStr">
        <is>
          <t>PL530.001</t>
        </is>
      </c>
      <c r="D226" s="6" t="str">
        <f>IFERROR(VLOOKUP(E226,FORNECEDORES!$A$5:$F$999,6,FALSE),"L10")</f>
        <v>L08</v>
      </c>
      <c r="E226" s="6" t="inlineStr">
        <is>
          <t>BUNZL EQUIPAMENTOS PARA PROTECAO INDIVIDUAL LTDA</t>
        </is>
      </c>
      <c r="F226" s="7" t="n">
        <v>1000</v>
      </c>
      <c r="G226" s="6" t="inlineStr">
        <is>
          <t>EQUIPAMENTOS DE PROTEÇÃO INDIVIDUAL</t>
        </is>
      </c>
      <c r="H226" s="6" t="inlineStr">
        <is>
          <t>BUNZL EQUIPAMENTOS PARA PROTECAO INDIVIDUAL LTDA</t>
        </is>
      </c>
      <c r="I226" s="24" t="n">
        <v>45866</v>
      </c>
      <c r="J226" s="6" t="n">
        <v>2930</v>
      </c>
    </row>
    <row r="227">
      <c r="A227" s="23" t="n">
        <v>45839</v>
      </c>
      <c r="B227" s="6" t="inlineStr">
        <is>
          <t>Pago</t>
        </is>
      </c>
      <c r="C227" s="6" t="inlineStr">
        <is>
          <t>PL530.001</t>
        </is>
      </c>
      <c r="D227" s="6" t="str">
        <f>IFERROR(VLOOKUP(E227,FORNECEDORES!$A$5:$F$999,6,FALSE),"L10")</f>
        <v>L01</v>
      </c>
      <c r="E227" s="6" t="inlineStr">
        <is>
          <t>COFERMETA SA</t>
        </is>
      </c>
      <c r="F227" s="7" t="n">
        <v>910</v>
      </c>
      <c r="G227" s="6" t="inlineStr">
        <is>
          <t>EQUIPAMENTOS E FERRAMENTAS</t>
        </is>
      </c>
      <c r="H227" s="6" t="inlineStr">
        <is>
          <t>COFERMETA SA</t>
        </is>
      </c>
      <c r="I227" s="24" t="n">
        <v>45859</v>
      </c>
      <c r="J227" s="6" t="n">
        <v>2847</v>
      </c>
    </row>
    <row r="228">
      <c r="A228" s="23" t="n">
        <v>45839</v>
      </c>
      <c r="B228" s="6" t="inlineStr">
        <is>
          <t>Pago</t>
        </is>
      </c>
      <c r="C228" s="6" t="inlineStr">
        <is>
          <t>PL530.001</t>
        </is>
      </c>
      <c r="D228" s="6" t="str">
        <f>IFERROR(VLOOKUP(E228,FORNECEDORES!$A$5:$F$999,6,FALSE),"L10")</f>
        <v>L01</v>
      </c>
      <c r="E228" s="6" t="inlineStr">
        <is>
          <t>COFERMETA SA</t>
        </is>
      </c>
      <c r="F228" s="7" t="n">
        <v>173.7</v>
      </c>
      <c r="G228" s="6" t="inlineStr">
        <is>
          <t>EQUIPAMENTOS E FERRAMENTAS</t>
        </is>
      </c>
      <c r="H228" s="6" t="inlineStr">
        <is>
          <t>COFERMETA SA</t>
        </is>
      </c>
      <c r="I228" s="24" t="n">
        <v>45866</v>
      </c>
      <c r="J228" s="6" t="n">
        <v>2898</v>
      </c>
    </row>
    <row r="229">
      <c r="A229" s="23" t="n">
        <v>45839</v>
      </c>
      <c r="B229" s="6" t="inlineStr">
        <is>
          <t>Pago</t>
        </is>
      </c>
      <c r="C229" s="6" t="inlineStr">
        <is>
          <t>PL530.001</t>
        </is>
      </c>
      <c r="D229" s="6" t="str">
        <f>IFERROR(VLOOKUP(E229,FORNECEDORES!$A$5:$F$999,6,FALSE),"L10")</f>
        <v>L03</v>
      </c>
      <c r="E229" s="6" t="inlineStr">
        <is>
          <t>DATRON TECNOLOGIA E LOCACAO LTDA</t>
        </is>
      </c>
      <c r="F229" s="7" t="n">
        <v>375</v>
      </c>
      <c r="G229" s="6" t="inlineStr">
        <is>
          <t>LOCAÇÕES</t>
        </is>
      </c>
      <c r="H229" s="6" t="inlineStr">
        <is>
          <t>DATRON TECNOLOGIA E LOCACAO LTDA</t>
        </is>
      </c>
      <c r="I229" s="24" t="n">
        <v>45853</v>
      </c>
      <c r="J229" s="6" t="n">
        <v>3051</v>
      </c>
    </row>
    <row r="230">
      <c r="A230" s="23" t="n">
        <v>45839</v>
      </c>
      <c r="B230" s="6" t="inlineStr">
        <is>
          <t>Pago</t>
        </is>
      </c>
      <c r="C230" s="6" t="inlineStr">
        <is>
          <t>PL530.001</t>
        </is>
      </c>
      <c r="D230" s="6" t="str">
        <f>IFERROR(VLOOKUP(E230,FORNECEDORES!$A$5:$F$999,6,FALSE),"L10")</f>
        <v>L03</v>
      </c>
      <c r="E230" s="6" t="inlineStr">
        <is>
          <t>EDIFICAR LOCACAO MANUTENCAO E SERVICOS LTDA</t>
        </is>
      </c>
      <c r="F230" s="7" t="n">
        <v>4396.81</v>
      </c>
      <c r="G230" s="6" t="inlineStr">
        <is>
          <t>LOCAÇÕES</t>
        </is>
      </c>
      <c r="H230" s="6" t="inlineStr">
        <is>
          <t>EDIFICAR LOCACAO MANUTENCAO E SERVICOS LTDA</t>
        </is>
      </c>
      <c r="I230" s="24" t="n">
        <v>45845</v>
      </c>
      <c r="J230" s="6" t="n">
        <v>3042</v>
      </c>
    </row>
    <row r="231">
      <c r="A231" s="23" t="n">
        <v>45839</v>
      </c>
      <c r="B231" s="6" t="inlineStr">
        <is>
          <t>Pago</t>
        </is>
      </c>
      <c r="C231" s="6" t="inlineStr">
        <is>
          <t>PL530.001</t>
        </is>
      </c>
      <c r="D231" s="6" t="str">
        <f>IFERROR(VLOOKUP(E231,FORNECEDORES!$A$5:$F$999,6,FALSE),"L10")</f>
        <v>L03</v>
      </c>
      <c r="E231" s="6" t="inlineStr">
        <is>
          <t>EUROLINK IMPORTACAO E LOCACAO DE EQUIPAMENTOS LTDA</t>
        </is>
      </c>
      <c r="F231" s="7" t="n">
        <v>1200</v>
      </c>
      <c r="G231" s="6" t="inlineStr">
        <is>
          <t>LOCAÇÕES</t>
        </is>
      </c>
      <c r="H231" s="6" t="inlineStr">
        <is>
          <t>EUROLINK IMPORTACAO E LOCACAO DE EQUIPAMENTOS LTDA</t>
        </is>
      </c>
      <c r="I231" s="24" t="n">
        <v>45859</v>
      </c>
      <c r="J231" s="6" t="n">
        <v>3087</v>
      </c>
    </row>
    <row r="232">
      <c r="A232" s="23" t="n">
        <v>45839</v>
      </c>
      <c r="B232" s="6" t="inlineStr">
        <is>
          <t>Pago</t>
        </is>
      </c>
      <c r="C232" s="6" t="inlineStr">
        <is>
          <t>PL530.001</t>
        </is>
      </c>
      <c r="D232" s="6" t="str">
        <f>IFERROR(VLOOKUP(E232,FORNECEDORES!$A$5:$F$999,6,FALSE),"L10")</f>
        <v>L10</v>
      </c>
      <c r="E232" s="6" t="inlineStr">
        <is>
          <t>FIAO LOCACOES E TRANSPORTES LTDA</t>
        </is>
      </c>
      <c r="F232" s="7" t="n">
        <v>831.6</v>
      </c>
      <c r="G232" s="6" t="inlineStr">
        <is>
          <t>NÃO CLASSIFICADO</t>
        </is>
      </c>
      <c r="H232" s="6" t="inlineStr">
        <is>
          <t>FIAO LOCACOES E TRANSPORTES LTDA</t>
        </is>
      </c>
      <c r="I232" s="24" t="n">
        <v>45863</v>
      </c>
      <c r="J232" s="6" t="n">
        <v>3093</v>
      </c>
    </row>
    <row r="233">
      <c r="A233" s="23" t="n">
        <v>45839</v>
      </c>
      <c r="B233" s="6" t="inlineStr">
        <is>
          <t>Pago</t>
        </is>
      </c>
      <c r="C233" s="6" t="inlineStr">
        <is>
          <t>PL530.001</t>
        </is>
      </c>
      <c r="D233" s="6" t="str">
        <f>IFERROR(VLOOKUP(E233,FORNECEDORES!$A$5:$F$999,6,FALSE),"L10")</f>
        <v>L10</v>
      </c>
      <c r="E233" s="6" t="inlineStr">
        <is>
          <t>FIAO LOCACOES E TRANSPORTES LTDA</t>
        </is>
      </c>
      <c r="F233" s="7" t="n">
        <v>6029.1</v>
      </c>
      <c r="G233" s="6" t="inlineStr">
        <is>
          <t>NÃO CLASSIFICADO</t>
        </is>
      </c>
      <c r="H233" s="6" t="inlineStr">
        <is>
          <t>FIAO LOCACOES E TRANSPORTES LTDA</t>
        </is>
      </c>
      <c r="I233" s="24" t="n">
        <v>45855</v>
      </c>
      <c r="J233" s="6" t="n">
        <v>3072</v>
      </c>
    </row>
    <row r="234">
      <c r="A234" s="23" t="n">
        <v>45839</v>
      </c>
      <c r="B234" s="6" t="inlineStr">
        <is>
          <t>Pago</t>
        </is>
      </c>
      <c r="C234" s="6" t="inlineStr">
        <is>
          <t>PL530.001</t>
        </is>
      </c>
      <c r="D234" s="6" t="str">
        <f>IFERROR(VLOOKUP(E234,FORNECEDORES!$A$5:$F$999,6,FALSE),"L10")</f>
        <v>L10</v>
      </c>
      <c r="E234" s="6" t="inlineStr">
        <is>
          <t>FIAO LOCACOES E TRANSPORTES LTDA</t>
        </is>
      </c>
      <c r="F234" s="7" t="n">
        <v>187.55</v>
      </c>
      <c r="G234" s="6" t="inlineStr">
        <is>
          <t>NÃO CLASSIFICADO</t>
        </is>
      </c>
      <c r="H234" s="6" t="inlineStr">
        <is>
          <t>INSS RETIDO PJ - MINISTERIO DA PREVIDENCIA</t>
        </is>
      </c>
      <c r="I234" s="24" t="n">
        <v>45856</v>
      </c>
      <c r="J234" s="6" t="n">
        <v>2901</v>
      </c>
    </row>
    <row r="235">
      <c r="A235" s="23" t="n">
        <v>45839</v>
      </c>
      <c r="B235" s="6" t="inlineStr">
        <is>
          <t>Pago</t>
        </is>
      </c>
      <c r="C235" s="6" t="inlineStr">
        <is>
          <t>PL530.001</t>
        </is>
      </c>
      <c r="D235" s="6" t="str">
        <f>IFERROR(VLOOKUP(E235,FORNECEDORES!$A$5:$F$999,6,FALSE),"L10")</f>
        <v>L03</v>
      </c>
      <c r="E235" s="6" t="inlineStr">
        <is>
          <t>LOC MASTER LOCADORA DE EQUIPAMENTOS LTDA</t>
        </is>
      </c>
      <c r="F235" s="7" t="n">
        <v>990</v>
      </c>
      <c r="G235" s="6" t="inlineStr">
        <is>
          <t>LOCAÇÕES</t>
        </is>
      </c>
      <c r="H235" s="6" t="inlineStr">
        <is>
          <t>LOC MASTER LOCADORA DE EQUIPAMENTOS LTDA</t>
        </is>
      </c>
      <c r="I235" s="24" t="n">
        <v>45841</v>
      </c>
      <c r="J235" s="6" t="n">
        <v>3011</v>
      </c>
    </row>
    <row r="236">
      <c r="A236" s="23" t="n">
        <v>45839</v>
      </c>
      <c r="B236" s="6" t="inlineStr">
        <is>
          <t>Pago</t>
        </is>
      </c>
      <c r="C236" s="6" t="inlineStr">
        <is>
          <t>PL530.001</t>
        </is>
      </c>
      <c r="D236" s="6" t="str">
        <f>IFERROR(VLOOKUP(E236,FORNECEDORES!$A$5:$F$999,6,FALSE),"L10")</f>
        <v>L03</v>
      </c>
      <c r="E236" s="6" t="inlineStr">
        <is>
          <t>LOC MASTER LOCADORA DE EQUIPAMENTOS LTDA</t>
        </is>
      </c>
      <c r="F236" s="7" t="n">
        <v>990</v>
      </c>
      <c r="G236" s="6" t="inlineStr">
        <is>
          <t>LOCAÇÕES</t>
        </is>
      </c>
      <c r="H236" s="6" t="inlineStr">
        <is>
          <t>LOC MASTER LOCADORA DE EQUIPAMENTOS LTDA</t>
        </is>
      </c>
      <c r="I236" s="24" t="n">
        <v>45866</v>
      </c>
      <c r="J236" s="6" t="n">
        <v>3080</v>
      </c>
    </row>
    <row r="237">
      <c r="A237" s="23" t="n">
        <v>45839</v>
      </c>
      <c r="B237" s="6" t="inlineStr">
        <is>
          <t>Pago</t>
        </is>
      </c>
      <c r="C237" s="6" t="inlineStr">
        <is>
          <t>PL530.001</t>
        </is>
      </c>
      <c r="D237" s="6" t="str">
        <f>IFERROR(VLOOKUP(E237,FORNECEDORES!$A$5:$F$999,6,FALSE),"L10")</f>
        <v>L03</v>
      </c>
      <c r="E237" s="6" t="inlineStr">
        <is>
          <t>LOC MASTER LOCADORA DE EQUIPAMENTOS LTDA</t>
        </is>
      </c>
      <c r="F237" s="7" t="n">
        <v>600</v>
      </c>
      <c r="G237" s="6" t="inlineStr">
        <is>
          <t>FRETE</t>
        </is>
      </c>
      <c r="H237" s="6" t="inlineStr">
        <is>
          <t>LOC MASTER LOCADORA DE EQUIPAMENTOS LTDA</t>
        </is>
      </c>
      <c r="I237" s="24" t="n">
        <v>45841</v>
      </c>
      <c r="J237" s="6" t="n">
        <v>3011</v>
      </c>
    </row>
    <row r="238">
      <c r="A238" s="23" t="n">
        <v>45839</v>
      </c>
      <c r="B238" s="6" t="inlineStr">
        <is>
          <t>Pago</t>
        </is>
      </c>
      <c r="C238" s="6" t="inlineStr">
        <is>
          <t>PL530.001</t>
        </is>
      </c>
      <c r="D238" s="6" t="str">
        <f>IFERROR(VLOOKUP(E238,FORNECEDORES!$A$5:$F$999,6,FALSE),"L10")</f>
        <v>L03</v>
      </c>
      <c r="E238" s="6" t="inlineStr">
        <is>
          <t>LOCAFAZ LOCACAO DE EQUIPAMENTOS LTDA</t>
        </is>
      </c>
      <c r="F238" s="7" t="n">
        <v>1366.58</v>
      </c>
      <c r="G238" s="6" t="inlineStr">
        <is>
          <t>LOCAÇÕES</t>
        </is>
      </c>
      <c r="H238" s="6" t="inlineStr">
        <is>
          <t>LOCAFAZ LOCACAO DE EQUIPAMENTOS LTDA</t>
        </is>
      </c>
      <c r="I238" s="24" t="n">
        <v>45869</v>
      </c>
      <c r="J238" s="6" t="n">
        <v>3210</v>
      </c>
    </row>
    <row r="239">
      <c r="A239" s="23" t="n">
        <v>45839</v>
      </c>
      <c r="B239" s="6" t="inlineStr">
        <is>
          <t>Pago</t>
        </is>
      </c>
      <c r="C239" s="6" t="inlineStr">
        <is>
          <t>PL530.001</t>
        </is>
      </c>
      <c r="D239" s="6" t="str">
        <f>IFERROR(VLOOKUP(E239,FORNECEDORES!$A$5:$F$999,6,FALSE),"L10")</f>
        <v>L03</v>
      </c>
      <c r="E239" s="6" t="inlineStr">
        <is>
          <t>LOCAFAZ LOCACAO DE EQUIPAMENTOS LTDA</t>
        </is>
      </c>
      <c r="F239" s="7" t="n">
        <v>1366.58</v>
      </c>
      <c r="G239" s="6" t="inlineStr">
        <is>
          <t>LOCAÇÕES</t>
        </is>
      </c>
      <c r="H239" s="6" t="inlineStr">
        <is>
          <t>LOCAFAZ LOCACAO DE EQUIPAMENTOS LTDA</t>
        </is>
      </c>
      <c r="I239" s="24" t="n">
        <v>45869</v>
      </c>
      <c r="J239" s="6" t="n">
        <v>3209</v>
      </c>
    </row>
    <row r="240">
      <c r="A240" s="23" t="n">
        <v>45839</v>
      </c>
      <c r="B240" s="6" t="inlineStr">
        <is>
          <t>Pago</t>
        </is>
      </c>
      <c r="C240" s="6" t="inlineStr">
        <is>
          <t>PL530.001</t>
        </is>
      </c>
      <c r="D240" s="6" t="str">
        <f>IFERROR(VLOOKUP(E240,FORNECEDORES!$A$5:$F$999,6,FALSE),"L10")</f>
        <v>L03</v>
      </c>
      <c r="E240" s="6" t="inlineStr">
        <is>
          <t>LOCAFAZ LOCACAO DE EQUIPAMENTOS LTDA</t>
        </is>
      </c>
      <c r="F240" s="7" t="n">
        <v>1324.23</v>
      </c>
      <c r="G240" s="6" t="inlineStr">
        <is>
          <t>LOCAÇÕES</t>
        </is>
      </c>
      <c r="H240" s="6" t="inlineStr">
        <is>
          <t>LOCAFAZ LOCACAO DE EQUIPAMENTOS LTDA</t>
        </is>
      </c>
      <c r="I240" s="24" t="n">
        <v>45869</v>
      </c>
      <c r="J240" s="6" t="n">
        <v>3208</v>
      </c>
    </row>
    <row r="241">
      <c r="A241" s="23" t="n">
        <v>45839</v>
      </c>
      <c r="B241" s="6" t="inlineStr">
        <is>
          <t>Pago</t>
        </is>
      </c>
      <c r="C241" s="6" t="inlineStr">
        <is>
          <t>PL530.001</t>
        </is>
      </c>
      <c r="D241" s="6" t="str">
        <f>IFERROR(VLOOKUP(E241,FORNECEDORES!$A$5:$F$999,6,FALSE),"L10")</f>
        <v>L01</v>
      </c>
      <c r="E241" s="6" t="inlineStr">
        <is>
          <t>MINAS FERRAMENTAS LTDA</t>
        </is>
      </c>
      <c r="F241" s="7" t="n">
        <v>250.02</v>
      </c>
      <c r="G241" s="6" t="inlineStr">
        <is>
          <t>EQUIPAMENTOS E FERRAMENTAS</t>
        </is>
      </c>
      <c r="H241" s="6" t="inlineStr">
        <is>
          <t>MINAS FERRAMENTAS LTDA</t>
        </is>
      </c>
      <c r="I241" s="24" t="n">
        <v>45863</v>
      </c>
      <c r="J241" s="6" t="n">
        <v>2976</v>
      </c>
    </row>
    <row r="242">
      <c r="A242" s="23" t="n">
        <v>45839</v>
      </c>
      <c r="B242" s="6" t="inlineStr">
        <is>
          <t>Pago</t>
        </is>
      </c>
      <c r="C242" s="6" t="inlineStr">
        <is>
          <t>PL530.001</t>
        </is>
      </c>
      <c r="D242" s="6" t="str">
        <f>IFERROR(VLOOKUP(E242,FORNECEDORES!$A$5:$F$999,6,FALSE),"L10")</f>
        <v>L01</v>
      </c>
      <c r="E242" s="6" t="inlineStr">
        <is>
          <t>MINAS FERRAMENTAS LTDA</t>
        </is>
      </c>
      <c r="F242" s="7" t="n">
        <v>704.66</v>
      </c>
      <c r="G242" s="6" t="inlineStr">
        <is>
          <t>EQUIPAMENTOS E FERRAMENTAS</t>
        </is>
      </c>
      <c r="H242" s="6" t="inlineStr">
        <is>
          <t>MINAS FERRAMENTAS LTDA</t>
        </is>
      </c>
      <c r="I242" s="24" t="n">
        <v>45863</v>
      </c>
      <c r="J242" s="6" t="n">
        <v>2976</v>
      </c>
    </row>
    <row r="243">
      <c r="A243" s="23" t="n">
        <v>45839</v>
      </c>
      <c r="B243" s="6" t="inlineStr">
        <is>
          <t>Pago</t>
        </is>
      </c>
      <c r="C243" s="6" t="inlineStr">
        <is>
          <t>PL530.001</t>
        </is>
      </c>
      <c r="D243" s="6" t="str">
        <f>IFERROR(VLOOKUP(E243,FORNECEDORES!$A$5:$F$999,6,FALSE),"L10")</f>
        <v>L01</v>
      </c>
      <c r="E243" s="6" t="inlineStr">
        <is>
          <t>MINAS FERRAMENTAS LTDA</t>
        </is>
      </c>
      <c r="F243" s="7" t="n">
        <v>34.95</v>
      </c>
      <c r="G243" s="6" t="inlineStr">
        <is>
          <t>EQUIPAMENTOS E FERRAMENTAS</t>
        </is>
      </c>
      <c r="H243" s="6" t="inlineStr">
        <is>
          <t>MINAS FERRAMENTAS LTDA</t>
        </is>
      </c>
      <c r="I243" s="24" t="n">
        <v>45840</v>
      </c>
      <c r="J243" s="6" t="n">
        <v>2783</v>
      </c>
    </row>
    <row r="244">
      <c r="A244" s="23" t="n">
        <v>45839</v>
      </c>
      <c r="B244" s="6" t="inlineStr">
        <is>
          <t>Pago</t>
        </is>
      </c>
      <c r="C244" s="6" t="inlineStr">
        <is>
          <t>PL530.001</t>
        </is>
      </c>
      <c r="D244" s="6" t="str">
        <f>IFERROR(VLOOKUP(E244,FORNECEDORES!$A$5:$F$999,6,FALSE),"L10")</f>
        <v>L01</v>
      </c>
      <c r="E244" s="6" t="inlineStr">
        <is>
          <t>MINAS FERRAMENTAS LTDA</t>
        </is>
      </c>
      <c r="F244" s="7" t="n">
        <v>17.19</v>
      </c>
      <c r="G244" s="6" t="inlineStr">
        <is>
          <t>EQUIPAMENTOS E FERRAMENTAS</t>
        </is>
      </c>
      <c r="H244" s="6" t="inlineStr">
        <is>
          <t>MINAS FERRAMENTAS LTDA</t>
        </is>
      </c>
      <c r="I244" s="24" t="n">
        <v>45840</v>
      </c>
      <c r="J244" s="6" t="n">
        <v>2783</v>
      </c>
    </row>
    <row r="245">
      <c r="A245" s="23" t="n">
        <v>45839</v>
      </c>
      <c r="B245" s="6" t="inlineStr">
        <is>
          <t>Pago</t>
        </is>
      </c>
      <c r="C245" s="6" t="inlineStr">
        <is>
          <t>PL530.001</t>
        </is>
      </c>
      <c r="D245" s="6" t="str">
        <f>IFERROR(VLOOKUP(E245,FORNECEDORES!$A$5:$F$999,6,FALSE),"L10")</f>
        <v>L08</v>
      </c>
      <c r="E245" s="6" t="inlineStr">
        <is>
          <t>NEOBETEL EPI, EQUIPAMENTOS DE PROTECAO INDIVIDUAL LTDA</t>
        </is>
      </c>
      <c r="F245" s="7" t="n">
        <v>74.8</v>
      </c>
      <c r="G245" s="6" t="inlineStr">
        <is>
          <t>SINALIZAÇÃO</t>
        </is>
      </c>
      <c r="H245" s="6" t="inlineStr">
        <is>
          <t>NEOBETEL EPI, EQUIPAMENTOS DE PROTECAO INDIVIDUAL</t>
        </is>
      </c>
      <c r="I245" s="24" t="n">
        <v>45840</v>
      </c>
      <c r="J245" s="6" t="n">
        <v>2823</v>
      </c>
    </row>
    <row r="246">
      <c r="A246" s="23" t="n">
        <v>45839</v>
      </c>
      <c r="B246" s="6" t="inlineStr">
        <is>
          <t>Pago</t>
        </is>
      </c>
      <c r="C246" s="6" t="inlineStr">
        <is>
          <t>PL530.001</t>
        </is>
      </c>
      <c r="D246" s="6" t="str">
        <f>IFERROR(VLOOKUP(E246,FORNECEDORES!$A$5:$F$999,6,FALSE),"L10")</f>
        <v>L08</v>
      </c>
      <c r="E246" s="6" t="inlineStr">
        <is>
          <t>NEOBETEL EPI, EQUIPAMENTOS DE PROTECAO INDIVIDUAL LTDA</t>
        </is>
      </c>
      <c r="F246" s="7" t="n">
        <v>173.8</v>
      </c>
      <c r="G246" s="6" t="inlineStr">
        <is>
          <t>EQUIPAMENTOS DE PROTEÇÃO INDIVIDUAL</t>
        </is>
      </c>
      <c r="H246" s="6" t="inlineStr">
        <is>
          <t>NEOBETEL EPI, EQUIPAMENTOS DE PROTECAO INDIVIDUAL</t>
        </is>
      </c>
      <c r="I246" s="24" t="n">
        <v>45840</v>
      </c>
      <c r="J246" s="6" t="n">
        <v>2823</v>
      </c>
    </row>
    <row r="247">
      <c r="A247" s="23" t="n">
        <v>45839</v>
      </c>
      <c r="B247" s="6" t="inlineStr">
        <is>
          <t>Pago</t>
        </is>
      </c>
      <c r="C247" s="6" t="inlineStr">
        <is>
          <t>PL530.001</t>
        </is>
      </c>
      <c r="D247" s="6" t="str">
        <f>IFERROR(VLOOKUP(E247,FORNECEDORES!$A$5:$F$999,6,FALSE),"L10")</f>
        <v>L08</v>
      </c>
      <c r="E247" s="6" t="inlineStr">
        <is>
          <t>NEOBETEL EPI, EQUIPAMENTOS DE PROTECAO INDIVIDUAL LTDA</t>
        </is>
      </c>
      <c r="F247" s="7" t="n">
        <v>63.3</v>
      </c>
      <c r="G247" s="6" t="inlineStr">
        <is>
          <t>EQUIPAMENTOS DE PROTEÇÃO INDIVIDUAL</t>
        </is>
      </c>
      <c r="H247" s="6" t="inlineStr">
        <is>
          <t>NEOBETEL EPI, EQUIPAMENTOS DE PROTECAO INDIVIDUAL</t>
        </is>
      </c>
      <c r="I247" s="24" t="n">
        <v>45840</v>
      </c>
      <c r="J247" s="6" t="n">
        <v>2823</v>
      </c>
    </row>
    <row r="248">
      <c r="A248" s="23" t="n">
        <v>45839</v>
      </c>
      <c r="B248" s="6" t="inlineStr">
        <is>
          <t>Pago</t>
        </is>
      </c>
      <c r="C248" s="6" t="inlineStr">
        <is>
          <t>PL530.001</t>
        </is>
      </c>
      <c r="D248" s="6" t="str">
        <f>IFERROR(VLOOKUP(E248,FORNECEDORES!$A$5:$F$999,6,FALSE),"L10")</f>
        <v>L08</v>
      </c>
      <c r="E248" s="6" t="inlineStr">
        <is>
          <t>NEOBETEL EPI, EQUIPAMENTOS DE PROTECAO INDIVIDUAL LTDA</t>
        </is>
      </c>
      <c r="F248" s="7" t="n">
        <v>104.8</v>
      </c>
      <c r="G248" s="6" t="inlineStr">
        <is>
          <t>EQUIPAMENTOS DE PROTEÇÃO INDIVIDUAL</t>
        </is>
      </c>
      <c r="H248" s="6" t="inlineStr">
        <is>
          <t>NEOBETEL EPI, EQUIPAMENTOS DE PROTECAO INDIVIDUAL</t>
        </is>
      </c>
      <c r="I248" s="24" t="n">
        <v>45840</v>
      </c>
      <c r="J248" s="6" t="n">
        <v>2823</v>
      </c>
    </row>
    <row r="249">
      <c r="A249" s="23" t="n">
        <v>45839</v>
      </c>
      <c r="B249" s="6" t="inlineStr">
        <is>
          <t>Pago</t>
        </is>
      </c>
      <c r="C249" s="6" t="inlineStr">
        <is>
          <t>PL530.001</t>
        </is>
      </c>
      <c r="D249" s="6" t="str">
        <f>IFERROR(VLOOKUP(E249,FORNECEDORES!$A$5:$F$999,6,FALSE),"L10")</f>
        <v>L08</v>
      </c>
      <c r="E249" s="6" t="inlineStr">
        <is>
          <t>NEOBETEL EPI, EQUIPAMENTOS DE PROTECAO INDIVIDUAL LTDA</t>
        </is>
      </c>
      <c r="F249" s="7" t="n">
        <v>25.2</v>
      </c>
      <c r="G249" s="6" t="inlineStr">
        <is>
          <t>EQUIPAMENTOS DE PROTEÇÃO INDIVIDUAL</t>
        </is>
      </c>
      <c r="H249" s="6" t="inlineStr">
        <is>
          <t>NEOBETEL EPI, EQUIPAMENTOS DE PROTECAO INDIVIDUAL</t>
        </is>
      </c>
      <c r="I249" s="24" t="n">
        <v>45840</v>
      </c>
      <c r="J249" s="6" t="n">
        <v>2823</v>
      </c>
    </row>
    <row r="250">
      <c r="A250" s="23" t="n">
        <v>45839</v>
      </c>
      <c r="B250" s="6" t="inlineStr">
        <is>
          <t>Pago</t>
        </is>
      </c>
      <c r="C250" s="6" t="inlineStr">
        <is>
          <t>PL530.001</t>
        </is>
      </c>
      <c r="D250" s="6" t="str">
        <f>IFERROR(VLOOKUP(E250,FORNECEDORES!$A$5:$F$999,6,FALSE),"L10")</f>
        <v>L03</v>
      </c>
      <c r="E250" s="6" t="inlineStr">
        <is>
          <t>ORIGINAL LOCACOES LTDA</t>
        </is>
      </c>
      <c r="F250" s="7" t="n">
        <v>410</v>
      </c>
      <c r="G250" s="6" t="inlineStr">
        <is>
          <t>LOCAÇÕES</t>
        </is>
      </c>
      <c r="H250" s="6" t="inlineStr">
        <is>
          <t>ORIGINAL LOCACOES LTDA</t>
        </is>
      </c>
      <c r="I250" s="24" t="n">
        <v>45859</v>
      </c>
      <c r="J250" s="6" t="n">
        <v>3082</v>
      </c>
    </row>
    <row r="251">
      <c r="A251" s="23" t="n">
        <v>45839</v>
      </c>
      <c r="B251" s="6" t="inlineStr">
        <is>
          <t>Pago</t>
        </is>
      </c>
      <c r="C251" s="6" t="inlineStr">
        <is>
          <t>PL530.001</t>
        </is>
      </c>
      <c r="D251" s="6" t="str">
        <f>IFERROR(VLOOKUP(E251,FORNECEDORES!$A$5:$F$999,6,FALSE),"L10")</f>
        <v>L03</v>
      </c>
      <c r="E251" s="6" t="inlineStr">
        <is>
          <t>ORIGINAL LOCACOES LTDA</t>
        </is>
      </c>
      <c r="F251" s="7" t="n">
        <v>2799.97</v>
      </c>
      <c r="G251" s="6" t="inlineStr">
        <is>
          <t>LOCAÇÕES</t>
        </is>
      </c>
      <c r="H251" s="6" t="inlineStr">
        <is>
          <t>ORIGINAL LOCACOES LTDA</t>
        </is>
      </c>
      <c r="I251" s="24" t="n">
        <v>45856</v>
      </c>
      <c r="J251" s="6" t="n">
        <v>3052</v>
      </c>
    </row>
    <row r="252">
      <c r="A252" s="23" t="n">
        <v>45839</v>
      </c>
      <c r="B252" s="6" t="inlineStr">
        <is>
          <t>Pago</t>
        </is>
      </c>
      <c r="C252" s="6" t="inlineStr">
        <is>
          <t>PL530.001</t>
        </is>
      </c>
      <c r="D252" s="6" t="str">
        <f>IFERROR(VLOOKUP(E252,FORNECEDORES!$A$5:$F$999,6,FALSE),"L10")</f>
        <v>L03</v>
      </c>
      <c r="E252" s="6" t="inlineStr">
        <is>
          <t>ORIGINAL LOCACOES LTDA</t>
        </is>
      </c>
      <c r="F252" s="7" t="n">
        <v>1180.03</v>
      </c>
      <c r="G252" s="6" t="inlineStr">
        <is>
          <t>LOCAÇÕES</t>
        </is>
      </c>
      <c r="H252" s="6" t="inlineStr">
        <is>
          <t>ORIGINAL LOCACOES LTDA</t>
        </is>
      </c>
      <c r="I252" s="24" t="n">
        <v>45856</v>
      </c>
      <c r="J252" s="6" t="n">
        <v>3052</v>
      </c>
    </row>
    <row r="253">
      <c r="A253" s="23" t="n">
        <v>45870</v>
      </c>
      <c r="B253" s="6" t="inlineStr">
        <is>
          <t>Pago</t>
        </is>
      </c>
      <c r="C253" s="6" t="inlineStr">
        <is>
          <t>PL530.001</t>
        </is>
      </c>
      <c r="D253" s="6" t="str">
        <f>IFERROR(VLOOKUP(E253,FORNECEDORES!$A$5:$F$999,6,FALSE),"L10")</f>
        <v>L10</v>
      </c>
      <c r="E253" s="6" t="inlineStr">
        <is>
          <t>ACOTEL INDUSTRIA E COMERCIO LTDA</t>
        </is>
      </c>
      <c r="F253" s="7" t="n">
        <v>4586.94</v>
      </c>
      <c r="G253" s="6" t="inlineStr">
        <is>
          <t>SERRALHERIA</t>
        </is>
      </c>
      <c r="H253" s="6" t="inlineStr">
        <is>
          <t>ACOTEL INDUSTRIA E COMERCIO LTDA</t>
        </is>
      </c>
      <c r="I253" s="24" t="n">
        <v>45891</v>
      </c>
      <c r="J253" s="6" t="n">
        <v>3053</v>
      </c>
    </row>
    <row r="254">
      <c r="A254" s="23" t="n">
        <v>45870</v>
      </c>
      <c r="B254" s="6" t="inlineStr">
        <is>
          <t>Pago</t>
        </is>
      </c>
      <c r="C254" s="6" t="inlineStr">
        <is>
          <t>PL530.001</t>
        </is>
      </c>
      <c r="D254" s="6" t="str">
        <f>IFERROR(VLOOKUP(E254,FORNECEDORES!$A$5:$F$999,6,FALSE),"L10")</f>
        <v>L10</v>
      </c>
      <c r="E254" s="6" t="inlineStr">
        <is>
          <t>ACOTEL INDUSTRIA E COMERCIO LTDA</t>
        </is>
      </c>
      <c r="F254" s="7" t="n">
        <v>206.06</v>
      </c>
      <c r="G254" s="6" t="inlineStr">
        <is>
          <t>FRETE</t>
        </is>
      </c>
      <c r="H254" s="6" t="inlineStr">
        <is>
          <t>ACOTEL INDUSTRIA E COMERCIO LTDA</t>
        </is>
      </c>
      <c r="I254" s="24" t="n">
        <v>45891</v>
      </c>
      <c r="J254" s="6" t="n">
        <v>3053</v>
      </c>
    </row>
    <row r="255">
      <c r="A255" s="23" t="n">
        <v>45870</v>
      </c>
      <c r="B255" s="6" t="inlineStr">
        <is>
          <t>Pago</t>
        </is>
      </c>
      <c r="C255" s="6" t="inlineStr">
        <is>
          <t>PL530.001</t>
        </is>
      </c>
      <c r="D255" s="6" t="str">
        <f>IFERROR(VLOOKUP(E255,FORNECEDORES!$A$5:$F$999,6,FALSE),"L10")</f>
        <v>L08</v>
      </c>
      <c r="E255" s="6" t="inlineStr">
        <is>
          <t>BUNZL EQUIPAMENTOS PARA PROTECAO INDIVIDUAL LTDA</t>
        </is>
      </c>
      <c r="F255" s="7" t="n">
        <v>1000</v>
      </c>
      <c r="G255" s="6" t="inlineStr">
        <is>
          <t>EQUIPAMENTOS DE PROTEÇÃO INDIVIDUAL</t>
        </is>
      </c>
      <c r="H255" s="6" t="inlineStr">
        <is>
          <t>BUNZL EQUIPAMENTOS PARA PROTECAO INDIVIDUAL LTDA</t>
        </is>
      </c>
      <c r="I255" s="24" t="n">
        <v>45894</v>
      </c>
      <c r="J255" s="6" t="n">
        <v>2930</v>
      </c>
    </row>
    <row r="256">
      <c r="A256" s="23" t="n">
        <v>45870</v>
      </c>
      <c r="B256" s="6" t="inlineStr">
        <is>
          <t>Pago</t>
        </is>
      </c>
      <c r="C256" s="6" t="inlineStr">
        <is>
          <t>PL530.001</t>
        </is>
      </c>
      <c r="D256" s="6" t="str">
        <f>IFERROR(VLOOKUP(E256,FORNECEDORES!$A$5:$F$999,6,FALSE),"L10")</f>
        <v>L08</v>
      </c>
      <c r="E256" s="6" t="inlineStr">
        <is>
          <t>BUNZL EQUIPAMENTOS PARA PROTECAO INDIVIDUAL LTDA</t>
        </is>
      </c>
      <c r="F256" s="7" t="n">
        <v>437.5</v>
      </c>
      <c r="G256" s="6" t="inlineStr">
        <is>
          <t>EQUIPAMENTOS DE PROTEÇÃO INDIVIDUAL</t>
        </is>
      </c>
      <c r="H256" s="6" t="inlineStr">
        <is>
          <t>BUNZL EQUIPAMENTOS PARA PROTECAO INDIVIDUAL LTDA</t>
        </is>
      </c>
      <c r="I256" s="24" t="n">
        <v>45894</v>
      </c>
      <c r="J256" s="6" t="n">
        <v>2930</v>
      </c>
    </row>
    <row r="257">
      <c r="A257" s="23" t="n">
        <v>45870</v>
      </c>
      <c r="B257" s="6" t="inlineStr">
        <is>
          <t>Pago</t>
        </is>
      </c>
      <c r="C257" s="6" t="inlineStr">
        <is>
          <t>PL530.001</t>
        </is>
      </c>
      <c r="D257" s="6" t="str">
        <f>IFERROR(VLOOKUP(E257,FORNECEDORES!$A$5:$F$999,6,FALSE),"L10")</f>
        <v>L03</v>
      </c>
      <c r="E257" s="6" t="inlineStr">
        <is>
          <t>DATRON TECNOLOGIA E LOCACAO LTDA</t>
        </is>
      </c>
      <c r="F257" s="7" t="n">
        <v>375</v>
      </c>
      <c r="G257" s="6" t="inlineStr">
        <is>
          <t>LOCAÇÕES</t>
        </is>
      </c>
      <c r="H257" s="6" t="inlineStr">
        <is>
          <t>DATRON TECNOLOGIA E LOCACAO LTDA</t>
        </is>
      </c>
      <c r="I257" s="24" t="n">
        <v>45883</v>
      </c>
      <c r="J257" s="6" t="n">
        <v>3196</v>
      </c>
    </row>
    <row r="258">
      <c r="A258" s="23" t="n">
        <v>45870</v>
      </c>
      <c r="B258" s="6" t="inlineStr">
        <is>
          <t>Pago</t>
        </is>
      </c>
      <c r="C258" s="6" t="inlineStr">
        <is>
          <t>PL530.001</t>
        </is>
      </c>
      <c r="D258" s="6" t="str">
        <f>IFERROR(VLOOKUP(E258,FORNECEDORES!$A$5:$F$999,6,FALSE),"L10")</f>
        <v>L03</v>
      </c>
      <c r="E258" s="6" t="inlineStr">
        <is>
          <t>EDIFICAR LOCACAO MANUTENCAO E SERVICOS LTDA</t>
        </is>
      </c>
      <c r="F258" s="7" t="n">
        <v>3801.8</v>
      </c>
      <c r="G258" s="6" t="inlineStr">
        <is>
          <t>LOCAÇÕES</t>
        </is>
      </c>
      <c r="H258" s="6" t="inlineStr">
        <is>
          <t>EDIFICAR LOCACAO MANUTENCAO E SERVICOS LTDA</t>
        </is>
      </c>
      <c r="I258" s="24" t="n">
        <v>45873</v>
      </c>
      <c r="J258" s="6" t="n">
        <v>3200</v>
      </c>
    </row>
    <row r="259">
      <c r="A259" s="23" t="n">
        <v>45870</v>
      </c>
      <c r="B259" s="6" t="inlineStr">
        <is>
          <t>Pago</t>
        </is>
      </c>
      <c r="C259" s="6" t="inlineStr">
        <is>
          <t>PL530.001</t>
        </is>
      </c>
      <c r="D259" s="6" t="str">
        <f>IFERROR(VLOOKUP(E259,FORNECEDORES!$A$5:$F$999,6,FALSE),"L10")</f>
        <v>L03</v>
      </c>
      <c r="E259" s="6" t="inlineStr">
        <is>
          <t>EUROLINK IMPORTACAO E LOCACAO DE EQUIPAMENTOS LTDA</t>
        </is>
      </c>
      <c r="F259" s="7" t="n">
        <v>1245.32</v>
      </c>
      <c r="G259" s="6" t="inlineStr">
        <is>
          <t>LOCAÇÕES</t>
        </is>
      </c>
      <c r="H259" s="6" t="inlineStr">
        <is>
          <t>EUROLINK IMPORTACAO E LOCACAO DE EQUIPAMENTOS LTDA</t>
        </is>
      </c>
      <c r="I259" s="24" t="n">
        <v>45889</v>
      </c>
      <c r="J259" s="6" t="n">
        <v>3313</v>
      </c>
    </row>
    <row r="260">
      <c r="A260" s="23" t="n">
        <v>45870</v>
      </c>
      <c r="B260" s="6" t="inlineStr">
        <is>
          <t>Pago</t>
        </is>
      </c>
      <c r="C260" s="6" t="inlineStr">
        <is>
          <t>PL530.001</t>
        </is>
      </c>
      <c r="D260" s="6" t="str">
        <f>IFERROR(VLOOKUP(E260,FORNECEDORES!$A$5:$F$999,6,FALSE),"L10")</f>
        <v>L10</v>
      </c>
      <c r="E260" s="6" t="inlineStr">
        <is>
          <t>FIAO LOCACOES E TRANSPORTES LTDA</t>
        </is>
      </c>
      <c r="F260" s="7" t="n">
        <v>4885.65</v>
      </c>
      <c r="G260" s="6" t="inlineStr">
        <is>
          <t>NÃO CLASSIFICADO</t>
        </is>
      </c>
      <c r="H260" s="6" t="inlineStr">
        <is>
          <t>FIAO LOCACOES E TRANSPORTES LTDA</t>
        </is>
      </c>
      <c r="I260" s="24" t="n">
        <v>45881</v>
      </c>
      <c r="J260" s="6" t="n">
        <v>3227</v>
      </c>
    </row>
    <row r="261">
      <c r="A261" s="23" t="n">
        <v>45870</v>
      </c>
      <c r="B261" s="6" t="inlineStr">
        <is>
          <t>Pago</t>
        </is>
      </c>
      <c r="C261" s="6" t="inlineStr">
        <is>
          <t>PL530.001</t>
        </is>
      </c>
      <c r="D261" s="6" t="str">
        <f>IFERROR(VLOOKUP(E261,FORNECEDORES!$A$5:$F$999,6,FALSE),"L10")</f>
        <v>L10</v>
      </c>
      <c r="E261" s="6" t="inlineStr">
        <is>
          <t>FIAO LOCACOES E TRANSPORTES LTDA</t>
        </is>
      </c>
      <c r="F261" s="7" t="n">
        <v>350.9</v>
      </c>
      <c r="G261" s="6" t="inlineStr">
        <is>
          <t>NÃO CLASSIFICADO</t>
        </is>
      </c>
      <c r="H261" s="6" t="inlineStr">
        <is>
          <t>INSS RETIDO PJ - MINISTERIO DA PREVIDENCIA</t>
        </is>
      </c>
      <c r="I261" s="24" t="n">
        <v>45889</v>
      </c>
      <c r="J261" s="6" t="n">
        <v>3098</v>
      </c>
    </row>
    <row r="262">
      <c r="A262" s="23" t="n">
        <v>45870</v>
      </c>
      <c r="B262" s="6" t="inlineStr">
        <is>
          <t>Pago</t>
        </is>
      </c>
      <c r="C262" s="6" t="inlineStr">
        <is>
          <t>PL530.001</t>
        </is>
      </c>
      <c r="D262" s="6" t="str">
        <f>IFERROR(VLOOKUP(E262,FORNECEDORES!$A$5:$F$999,6,FALSE),"L10")</f>
        <v>L10</v>
      </c>
      <c r="E262" s="6" t="inlineStr">
        <is>
          <t>FIAO LOCACOES E TRANSPORTES LTDA</t>
        </is>
      </c>
      <c r="F262" s="7" t="n">
        <v>48.4</v>
      </c>
      <c r="G262" s="6" t="inlineStr">
        <is>
          <t>NÃO CLASSIFICADO</t>
        </is>
      </c>
      <c r="H262" s="6" t="inlineStr">
        <is>
          <t>INSS RETIDO PJ - MINISTERIO DA PREVIDENCIA</t>
        </is>
      </c>
      <c r="I262" s="24" t="n">
        <v>45889</v>
      </c>
      <c r="J262" s="6" t="n">
        <v>3160</v>
      </c>
    </row>
    <row r="263">
      <c r="A263" s="23" t="n">
        <v>45870</v>
      </c>
      <c r="B263" s="6" t="inlineStr">
        <is>
          <t>Pago</t>
        </is>
      </c>
      <c r="C263" s="6" t="inlineStr">
        <is>
          <t>PL530.001</t>
        </is>
      </c>
      <c r="D263" s="6" t="str">
        <f>IFERROR(VLOOKUP(E263,FORNECEDORES!$A$5:$F$999,6,FALSE),"L10")</f>
        <v>L03</v>
      </c>
      <c r="E263" s="6" t="inlineStr">
        <is>
          <t>LOC MASTER LOCADORA DE EQUIPAMENTOS LTDA</t>
        </is>
      </c>
      <c r="F263" s="7" t="n">
        <v>990</v>
      </c>
      <c r="G263" s="6" t="inlineStr">
        <is>
          <t>LOCAÇÕES</t>
        </is>
      </c>
      <c r="H263" s="6" t="inlineStr">
        <is>
          <t>LOC MASTER LOCADORA DE EQUIPAMENTOS LTDA</t>
        </is>
      </c>
      <c r="I263" s="24" t="n">
        <v>45895</v>
      </c>
      <c r="J263" s="6" t="n">
        <v>3330</v>
      </c>
    </row>
    <row r="264">
      <c r="A264" s="23" t="n">
        <v>45870</v>
      </c>
      <c r="B264" s="6" t="inlineStr">
        <is>
          <t>Pago</t>
        </is>
      </c>
      <c r="C264" s="6" t="inlineStr">
        <is>
          <t>PL530.001</t>
        </is>
      </c>
      <c r="D264" s="6" t="str">
        <f>IFERROR(VLOOKUP(E264,FORNECEDORES!$A$5:$F$999,6,FALSE),"L10")</f>
        <v>L01</v>
      </c>
      <c r="E264" s="6" t="inlineStr">
        <is>
          <t>MINAS FERRAMENTAS LTDA</t>
        </is>
      </c>
      <c r="F264" s="7" t="n">
        <v>43.08</v>
      </c>
      <c r="G264" s="6" t="inlineStr">
        <is>
          <t>FERRAGENS EM GERAL</t>
        </is>
      </c>
      <c r="H264" s="6" t="inlineStr">
        <is>
          <t>MINAS FERRAMENTAS LTDA</t>
        </is>
      </c>
      <c r="I264" s="24" t="n">
        <v>45890</v>
      </c>
      <c r="J264" s="6" t="n">
        <v>3154</v>
      </c>
    </row>
    <row r="265">
      <c r="A265" s="23" t="n">
        <v>45870</v>
      </c>
      <c r="B265" s="6" t="inlineStr">
        <is>
          <t>Pago</t>
        </is>
      </c>
      <c r="C265" s="6" t="inlineStr">
        <is>
          <t>PL530.001</t>
        </is>
      </c>
      <c r="D265" s="6" t="str">
        <f>IFERROR(VLOOKUP(E265,FORNECEDORES!$A$5:$F$999,6,FALSE),"L10")</f>
        <v>L01</v>
      </c>
      <c r="E265" s="6" t="inlineStr">
        <is>
          <t>MINAS FERRAMENTAS LTDA</t>
        </is>
      </c>
      <c r="F265" s="7" t="n">
        <v>65.87</v>
      </c>
      <c r="G265" s="6" t="inlineStr">
        <is>
          <t>EQUIPAMENTOS E FERRAMENTAS</t>
        </is>
      </c>
      <c r="H265" s="6" t="inlineStr">
        <is>
          <t>MINAS FERRAMENTAS LTDA</t>
        </is>
      </c>
      <c r="I265" s="24" t="n">
        <v>45890</v>
      </c>
      <c r="J265" s="6" t="n">
        <v>3154</v>
      </c>
    </row>
    <row r="266">
      <c r="A266" s="23" t="n">
        <v>45870</v>
      </c>
      <c r="B266" s="6" t="inlineStr">
        <is>
          <t>Pago</t>
        </is>
      </c>
      <c r="C266" s="6" t="inlineStr">
        <is>
          <t>PL530.001</t>
        </is>
      </c>
      <c r="D266" s="6" t="str">
        <f>IFERROR(VLOOKUP(E266,FORNECEDORES!$A$5:$F$999,6,FALSE),"L10")</f>
        <v>L01</v>
      </c>
      <c r="E266" s="6" t="inlineStr">
        <is>
          <t>MINAS FERRAMENTAS LTDA</t>
        </is>
      </c>
      <c r="F266" s="7" t="n">
        <v>16.29</v>
      </c>
      <c r="G266" s="6" t="inlineStr">
        <is>
          <t>EQUIPAMENTOS E FERRAMENTAS</t>
        </is>
      </c>
      <c r="H266" s="6" t="inlineStr">
        <is>
          <t>MINAS FERRAMENTAS LTDA</t>
        </is>
      </c>
      <c r="I266" s="24" t="n">
        <v>45890</v>
      </c>
      <c r="J266" s="6" t="n">
        <v>3154</v>
      </c>
    </row>
    <row r="267">
      <c r="A267" s="23" t="n">
        <v>45870</v>
      </c>
      <c r="B267" s="6" t="inlineStr">
        <is>
          <t>Pago</t>
        </is>
      </c>
      <c r="C267" s="6" t="inlineStr">
        <is>
          <t>PL530.001</t>
        </is>
      </c>
      <c r="D267" s="6" t="str">
        <f>IFERROR(VLOOKUP(E267,FORNECEDORES!$A$5:$F$999,6,FALSE),"L10")</f>
        <v>L01</v>
      </c>
      <c r="E267" s="6" t="inlineStr">
        <is>
          <t>MINAS FERRAMENTAS LTDA</t>
        </is>
      </c>
      <c r="F267" s="7" t="n">
        <v>17.51</v>
      </c>
      <c r="G267" s="6" t="inlineStr">
        <is>
          <t>EQUIPAMENTOS E FERRAMENTAS</t>
        </is>
      </c>
      <c r="H267" s="6" t="inlineStr">
        <is>
          <t>MINAS FERRAMENTAS LTDA</t>
        </is>
      </c>
      <c r="I267" s="24" t="n">
        <v>45890</v>
      </c>
      <c r="J267" s="6" t="n">
        <v>3154</v>
      </c>
    </row>
    <row r="268">
      <c r="A268" s="23" t="n">
        <v>45870</v>
      </c>
      <c r="B268" s="6" t="inlineStr">
        <is>
          <t>Pago</t>
        </is>
      </c>
      <c r="C268" s="6" t="inlineStr">
        <is>
          <t>PL530.001</t>
        </is>
      </c>
      <c r="D268" s="6" t="str">
        <f>IFERROR(VLOOKUP(E268,FORNECEDORES!$A$5:$F$999,6,FALSE),"L10")</f>
        <v>L01</v>
      </c>
      <c r="E268" s="6" t="inlineStr">
        <is>
          <t>MINAS FERRAMENTAS LTDA</t>
        </is>
      </c>
      <c r="F268" s="7" t="n">
        <v>6.03</v>
      </c>
      <c r="G268" s="6" t="inlineStr">
        <is>
          <t>EQUIPAMENTOS E FERRAMENTAS</t>
        </is>
      </c>
      <c r="H268" s="6" t="inlineStr">
        <is>
          <t>MINAS FERRAMENTAS LTDA</t>
        </is>
      </c>
      <c r="I268" s="24" t="n">
        <v>45890</v>
      </c>
      <c r="J268" s="6" t="n">
        <v>3154</v>
      </c>
    </row>
    <row r="269">
      <c r="A269" s="23" t="n">
        <v>45870</v>
      </c>
      <c r="B269" s="6" t="inlineStr">
        <is>
          <t>Pago</t>
        </is>
      </c>
      <c r="C269" s="6" t="inlineStr">
        <is>
          <t>PL530.001</t>
        </is>
      </c>
      <c r="D269" s="6" t="str">
        <f>IFERROR(VLOOKUP(E269,FORNECEDORES!$A$5:$F$999,6,FALSE),"L10")</f>
        <v>L01</v>
      </c>
      <c r="E269" s="6" t="inlineStr">
        <is>
          <t>MINAS FERRAMENTAS LTDA</t>
        </is>
      </c>
      <c r="F269" s="7" t="n">
        <v>25.08</v>
      </c>
      <c r="G269" s="6" t="inlineStr">
        <is>
          <t>EQUIPAMENTOS E FERRAMENTAS</t>
        </is>
      </c>
      <c r="H269" s="6" t="inlineStr">
        <is>
          <t>MINAS FERRAMENTAS LTDA</t>
        </is>
      </c>
      <c r="I269" s="24" t="n">
        <v>45890</v>
      </c>
      <c r="J269" s="6" t="n">
        <v>3154</v>
      </c>
    </row>
    <row r="270">
      <c r="A270" s="23" t="n">
        <v>45870</v>
      </c>
      <c r="B270" s="6" t="inlineStr">
        <is>
          <t>Pago</t>
        </is>
      </c>
      <c r="C270" s="6" t="inlineStr">
        <is>
          <t>PL530.001</t>
        </is>
      </c>
      <c r="D270" s="6" t="str">
        <f>IFERROR(VLOOKUP(E270,FORNECEDORES!$A$5:$F$999,6,FALSE),"L10")</f>
        <v>L03</v>
      </c>
      <c r="E270" s="6" t="inlineStr">
        <is>
          <t>ORIGINAL LOCACOES LTDA</t>
        </is>
      </c>
      <c r="F270" s="7" t="n">
        <v>5966.4</v>
      </c>
      <c r="G270" s="6" t="inlineStr">
        <is>
          <t>LOCAÇÕES</t>
        </is>
      </c>
      <c r="H270" s="6" t="inlineStr">
        <is>
          <t>ORIGINAL LOCACOES LTDA</t>
        </is>
      </c>
      <c r="I270" s="24" t="n">
        <v>45894</v>
      </c>
      <c r="J270" s="6" t="n">
        <v>3338</v>
      </c>
    </row>
    <row r="271">
      <c r="A271" s="23" t="n">
        <v>45901</v>
      </c>
      <c r="B271" s="6" t="inlineStr">
        <is>
          <t>Pago</t>
        </is>
      </c>
      <c r="C271" s="6" t="inlineStr">
        <is>
          <t>PL530.001</t>
        </is>
      </c>
      <c r="D271" s="6" t="str">
        <f>IFERROR(VLOOKUP(E271,FORNECEDORES!$A$5:$F$999,6,FALSE),"L10")</f>
        <v>L01</v>
      </c>
      <c r="E271" s="6" t="inlineStr">
        <is>
          <t>COFERMETA SA</t>
        </is>
      </c>
      <c r="F271" s="7" t="n">
        <v>157</v>
      </c>
      <c r="G271" s="6" t="inlineStr">
        <is>
          <t>EQUIPAMENTOS E FERRAMENTAS</t>
        </is>
      </c>
      <c r="H271" s="6" t="inlineStr">
        <is>
          <t>COFERMETA SA</t>
        </is>
      </c>
      <c r="I271" s="24" t="n">
        <v>45908</v>
      </c>
      <c r="J271" s="6" t="n">
        <v>3187</v>
      </c>
    </row>
    <row r="272">
      <c r="A272" s="23" t="n">
        <v>45901</v>
      </c>
      <c r="B272" s="6" t="inlineStr">
        <is>
          <t>Pago</t>
        </is>
      </c>
      <c r="C272" s="6" t="inlineStr">
        <is>
          <t>PL530.001</t>
        </is>
      </c>
      <c r="D272" s="6" t="str">
        <f>IFERROR(VLOOKUP(E272,FORNECEDORES!$A$5:$F$999,6,FALSE),"L10")</f>
        <v>L03</v>
      </c>
      <c r="E272" s="6" t="inlineStr">
        <is>
          <t>DATRON TECNOLOGIA E LOCACAO LTDA</t>
        </is>
      </c>
      <c r="F272" s="7" t="n">
        <v>375</v>
      </c>
      <c r="G272" s="6" t="inlineStr">
        <is>
          <t>LOCAÇÕES</t>
        </is>
      </c>
      <c r="H272" s="6" t="inlineStr">
        <is>
          <t>DATRON TECNOLOGIA E LOCACAO LTDA</t>
        </is>
      </c>
      <c r="I272" s="24" t="n">
        <v>45916</v>
      </c>
      <c r="J272" s="6" t="n">
        <v>3327</v>
      </c>
    </row>
    <row r="273">
      <c r="A273" s="23" t="n">
        <v>45901</v>
      </c>
      <c r="B273" s="6" t="inlineStr">
        <is>
          <t>Pago</t>
        </is>
      </c>
      <c r="C273" s="6" t="inlineStr">
        <is>
          <t>PL530.001</t>
        </is>
      </c>
      <c r="D273" s="6" t="str">
        <f>IFERROR(VLOOKUP(E273,FORNECEDORES!$A$5:$F$999,6,FALSE),"L10")</f>
        <v>L03</v>
      </c>
      <c r="E273" s="6" t="inlineStr">
        <is>
          <t>EDIFICAR LOCACAO MANUTENCAO E SERVICOS LTDA</t>
        </is>
      </c>
      <c r="F273" s="7" t="n">
        <v>3891.8</v>
      </c>
      <c r="G273" s="6" t="inlineStr">
        <is>
          <t>LOCAÇÕES</t>
        </is>
      </c>
      <c r="H273" s="6" t="inlineStr">
        <is>
          <t>EDIFICAR LOCACAO MANUTENCAO E SERVICOS LTDA</t>
        </is>
      </c>
      <c r="I273" s="24" t="n">
        <v>45903</v>
      </c>
      <c r="J273" s="6" t="n">
        <v>3329</v>
      </c>
    </row>
    <row r="274">
      <c r="A274" s="23" t="n">
        <v>45901</v>
      </c>
      <c r="B274" s="6" t="inlineStr">
        <is>
          <t>Pago</t>
        </is>
      </c>
      <c r="C274" s="6" t="inlineStr">
        <is>
          <t>PL530.001</t>
        </is>
      </c>
      <c r="D274" s="6" t="str">
        <f>IFERROR(VLOOKUP(E274,FORNECEDORES!$A$5:$F$999,6,FALSE),"L10")</f>
        <v>L03</v>
      </c>
      <c r="E274" s="6" t="inlineStr">
        <is>
          <t>EUROLINK IMPORTACAO E LOCACAO DE EQUIPAMENTOS LTDA</t>
        </is>
      </c>
      <c r="F274" s="7" t="n">
        <v>950.67</v>
      </c>
      <c r="G274" s="6" t="inlineStr">
        <is>
          <t>LOCAÇÕES</t>
        </is>
      </c>
      <c r="H274" s="6" t="inlineStr">
        <is>
          <t>EUROLINK IMPORTACAO E LOCACAO DE EQUIPAMENTOS LTDA</t>
        </is>
      </c>
      <c r="I274" s="24" t="n">
        <v>45922</v>
      </c>
      <c r="J274" s="6" t="n">
        <v>3464</v>
      </c>
    </row>
    <row r="275">
      <c r="A275" s="23" t="n">
        <v>45901</v>
      </c>
      <c r="B275" s="6" t="inlineStr">
        <is>
          <t>Pago</t>
        </is>
      </c>
      <c r="C275" s="6" t="inlineStr">
        <is>
          <t>PL530.001</t>
        </is>
      </c>
      <c r="D275" s="6" t="str">
        <f>IFERROR(VLOOKUP(E275,FORNECEDORES!$A$5:$F$999,6,FALSE),"L10")</f>
        <v>L10</v>
      </c>
      <c r="E275" s="6" t="inlineStr">
        <is>
          <t>FIAO LOCACOES E TRANSPORTES LTDA</t>
        </is>
      </c>
      <c r="F275" s="7" t="n">
        <v>2702.7</v>
      </c>
      <c r="G275" s="6" t="inlineStr">
        <is>
          <t>NÃO CLASSIFICADO</t>
        </is>
      </c>
      <c r="H275" s="6" t="inlineStr">
        <is>
          <t>FIAO LOCACOES E TRANSPORTES LTDA</t>
        </is>
      </c>
      <c r="I275" s="24" t="n">
        <v>45925</v>
      </c>
      <c r="J275" s="6" t="n">
        <v>3450</v>
      </c>
    </row>
    <row r="276">
      <c r="A276" s="23" t="n">
        <v>45901</v>
      </c>
      <c r="B276" s="6" t="inlineStr">
        <is>
          <t>Pago</t>
        </is>
      </c>
      <c r="C276" s="6" t="inlineStr">
        <is>
          <t>PL530.001</t>
        </is>
      </c>
      <c r="D276" s="6" t="str">
        <f>IFERROR(VLOOKUP(E276,FORNECEDORES!$A$5:$F$999,6,FALSE),"L10")</f>
        <v>L10</v>
      </c>
      <c r="E276" s="6" t="inlineStr">
        <is>
          <t>FIAO LOCACOES E TRANSPORTES LTDA</t>
        </is>
      </c>
      <c r="F276" s="7" t="n">
        <v>7605.66</v>
      </c>
      <c r="G276" s="6" t="inlineStr">
        <is>
          <t>NÃO CLASSIFICADO</t>
        </is>
      </c>
      <c r="H276" s="6" t="inlineStr">
        <is>
          <t>FIAO LOCACOES E TRANSPORTES LTDA</t>
        </is>
      </c>
      <c r="I276" s="24" t="n">
        <v>45909</v>
      </c>
      <c r="J276" s="6" t="n">
        <v>3387</v>
      </c>
    </row>
    <row r="277">
      <c r="A277" s="23" t="n">
        <v>45901</v>
      </c>
      <c r="B277" s="6" t="inlineStr">
        <is>
          <t>Pago</t>
        </is>
      </c>
      <c r="C277" s="6" t="inlineStr">
        <is>
          <t>PL530.001</t>
        </is>
      </c>
      <c r="D277" s="6" t="str">
        <f>IFERROR(VLOOKUP(E277,FORNECEDORES!$A$5:$F$999,6,FALSE),"L10")</f>
        <v>L10</v>
      </c>
      <c r="E277" s="6" t="inlineStr">
        <is>
          <t>FIAO LOCACOES E TRANSPORTES LTDA</t>
        </is>
      </c>
      <c r="F277" s="7" t="n">
        <v>284.35</v>
      </c>
      <c r="G277" s="6" t="inlineStr">
        <is>
          <t>NÃO CLASSIFICADO</t>
        </is>
      </c>
      <c r="H277" s="6" t="inlineStr">
        <is>
          <t>INSS RETIDO PJ - MINISTERIO DA PREVIDENCIA</t>
        </is>
      </c>
      <c r="I277" s="24" t="n">
        <v>45919</v>
      </c>
      <c r="J277" s="6" t="n">
        <v>3254</v>
      </c>
    </row>
    <row r="278">
      <c r="A278" s="23" t="n">
        <v>45901</v>
      </c>
      <c r="B278" s="6" t="inlineStr">
        <is>
          <t>Pago</t>
        </is>
      </c>
      <c r="C278" s="6" t="inlineStr">
        <is>
          <t>PL530.001</t>
        </is>
      </c>
      <c r="D278" s="6" t="str">
        <f>IFERROR(VLOOKUP(E278,FORNECEDORES!$A$5:$F$999,6,FALSE),"L10")</f>
        <v>L03</v>
      </c>
      <c r="E278" s="6" t="inlineStr">
        <is>
          <t>LOCAFAZ LOCACAO DE EQUIPAMENTOS LTDA</t>
        </is>
      </c>
      <c r="F278" s="7" t="n">
        <v>1296</v>
      </c>
      <c r="G278" s="6" t="inlineStr">
        <is>
          <t>LOCAÇÕES</t>
        </is>
      </c>
      <c r="H278" s="6" t="inlineStr">
        <is>
          <t>LOCAFAZ LOCACAO DE EQUIPAMENTOS LTDA</t>
        </is>
      </c>
      <c r="I278" s="24" t="n">
        <v>45911</v>
      </c>
      <c r="J278" s="6" t="n">
        <v>3394</v>
      </c>
    </row>
    <row r="279">
      <c r="A279" s="23" t="n">
        <v>45901</v>
      </c>
      <c r="B279" s="6" t="inlineStr">
        <is>
          <t>Pago</t>
        </is>
      </c>
      <c r="C279" s="6" t="inlineStr">
        <is>
          <t>PL530.001</t>
        </is>
      </c>
      <c r="D279" s="6" t="str">
        <f>IFERROR(VLOOKUP(E279,FORNECEDORES!$A$5:$F$999,6,FALSE),"L10")</f>
        <v>L01</v>
      </c>
      <c r="E279" s="6" t="inlineStr">
        <is>
          <t>LOJA ELETRICA LIMITADA</t>
        </is>
      </c>
      <c r="F279" s="7" t="n">
        <v>1711.47</v>
      </c>
      <c r="G279" s="6" t="inlineStr">
        <is>
          <t>MATERIAL ELÉTRICO</t>
        </is>
      </c>
      <c r="H279" s="6" t="inlineStr">
        <is>
          <t>LOJA ELETRICA LIMITADA</t>
        </is>
      </c>
      <c r="I279" s="24" t="n">
        <v>45916</v>
      </c>
      <c r="J279" s="6" t="n">
        <v>3220</v>
      </c>
    </row>
    <row r="280">
      <c r="A280" s="23" t="n">
        <v>45901</v>
      </c>
      <c r="B280" s="6" t="inlineStr">
        <is>
          <t>Pago</t>
        </is>
      </c>
      <c r="C280" s="6" t="inlineStr">
        <is>
          <t>PL530.001</t>
        </is>
      </c>
      <c r="D280" s="6" t="str">
        <f>IFERROR(VLOOKUP(E280,FORNECEDORES!$A$5:$F$999,6,FALSE),"L10")</f>
        <v>L01</v>
      </c>
      <c r="E280" s="6" t="inlineStr">
        <is>
          <t>LOJA ELETRICA LIMITADA</t>
        </is>
      </c>
      <c r="F280" s="7" t="n">
        <v>66.2</v>
      </c>
      <c r="G280" s="6" t="inlineStr">
        <is>
          <t>MATERIAL ELÉTRICO</t>
        </is>
      </c>
      <c r="H280" s="6" t="inlineStr">
        <is>
          <t>LOJA ELETRICA LIMITADA</t>
        </is>
      </c>
      <c r="I280" s="24" t="n">
        <v>45916</v>
      </c>
      <c r="J280" s="6" t="n">
        <v>3220</v>
      </c>
    </row>
    <row r="281">
      <c r="A281" s="23" t="n">
        <v>45901</v>
      </c>
      <c r="B281" s="6" t="inlineStr">
        <is>
          <t>Pago</t>
        </is>
      </c>
      <c r="C281" s="6" t="inlineStr">
        <is>
          <t>PL530.001</t>
        </is>
      </c>
      <c r="D281" s="6" t="str">
        <f>IFERROR(VLOOKUP(E281,FORNECEDORES!$A$5:$F$999,6,FALSE),"L10")</f>
        <v>L01</v>
      </c>
      <c r="E281" s="6" t="inlineStr">
        <is>
          <t>MINAS FERRAMENTAS LTDA</t>
        </is>
      </c>
      <c r="F281" s="7" t="n">
        <v>37.89</v>
      </c>
      <c r="G281" s="6" t="inlineStr">
        <is>
          <t>EQUIPAMENTOS E FERRAMENTAS</t>
        </is>
      </c>
      <c r="H281" s="6" t="inlineStr">
        <is>
          <t>MINAS FERRAMENTAS LTDA</t>
        </is>
      </c>
      <c r="I281" s="24" t="n">
        <v>45925</v>
      </c>
      <c r="J281" s="6" t="n">
        <v>3359</v>
      </c>
    </row>
    <row r="282">
      <c r="A282" s="23" t="n">
        <v>45901</v>
      </c>
      <c r="B282" s="6" t="inlineStr">
        <is>
          <t>Pago</t>
        </is>
      </c>
      <c r="C282" s="6" t="inlineStr">
        <is>
          <t>PL530.001</t>
        </is>
      </c>
      <c r="D282" s="6" t="str">
        <f>IFERROR(VLOOKUP(E282,FORNECEDORES!$A$5:$F$999,6,FALSE),"L10")</f>
        <v>L01</v>
      </c>
      <c r="E282" s="6" t="inlineStr">
        <is>
          <t>MINAS FERRAMENTAS LTDA</t>
        </is>
      </c>
      <c r="F282" s="7" t="n">
        <v>34.24</v>
      </c>
      <c r="G282" s="6" t="inlineStr">
        <is>
          <t>EQUIPAMENTOS E FERRAMENTAS</t>
        </is>
      </c>
      <c r="H282" s="6" t="inlineStr">
        <is>
          <t>MINAS FERRAMENTAS LTDA</t>
        </is>
      </c>
      <c r="I282" s="24" t="n">
        <v>45925</v>
      </c>
      <c r="J282" s="6" t="n">
        <v>3359</v>
      </c>
    </row>
    <row r="283">
      <c r="A283" s="23" t="n">
        <v>45901</v>
      </c>
      <c r="B283" s="6" t="inlineStr">
        <is>
          <t>Pago</t>
        </is>
      </c>
      <c r="C283" s="6" t="inlineStr">
        <is>
          <t>PL530.001</t>
        </is>
      </c>
      <c r="D283" s="6" t="str">
        <f>IFERROR(VLOOKUP(E283,FORNECEDORES!$A$5:$F$999,6,FALSE),"L10")</f>
        <v>L01</v>
      </c>
      <c r="E283" s="6" t="inlineStr">
        <is>
          <t>MINAS FERRAMENTAS LTDA</t>
        </is>
      </c>
      <c r="F283" s="7" t="n">
        <v>131.94</v>
      </c>
      <c r="G283" s="6" t="inlineStr">
        <is>
          <t>EQUIPAMENTOS E FERRAMENTAS</t>
        </is>
      </c>
      <c r="H283" s="6" t="inlineStr">
        <is>
          <t>MINAS FERRAMENTAS LTDA</t>
        </is>
      </c>
      <c r="I283" s="24" t="n">
        <v>45925</v>
      </c>
      <c r="J283" s="6" t="n">
        <v>3359</v>
      </c>
    </row>
    <row r="284">
      <c r="A284" s="23" t="n">
        <v>45901</v>
      </c>
      <c r="B284" s="6" t="inlineStr">
        <is>
          <t>Pago</t>
        </is>
      </c>
      <c r="C284" s="6" t="inlineStr">
        <is>
          <t>PL530.001</t>
        </is>
      </c>
      <c r="D284" s="6" t="str">
        <f>IFERROR(VLOOKUP(E284,FORNECEDORES!$A$5:$F$999,6,FALSE),"L10")</f>
        <v>L01</v>
      </c>
      <c r="E284" s="6" t="inlineStr">
        <is>
          <t>MINAS FERRAMENTAS LTDA</t>
        </is>
      </c>
      <c r="F284" s="7" t="n">
        <v>6.67</v>
      </c>
      <c r="G284" s="6" t="inlineStr">
        <is>
          <t>MATERIAL ESCRITÓRIO</t>
        </is>
      </c>
      <c r="H284" s="6" t="inlineStr">
        <is>
          <t>MINAS FERRAMENTAS LTDA</t>
        </is>
      </c>
      <c r="I284" s="24" t="n">
        <v>45925</v>
      </c>
      <c r="J284" s="6" t="n">
        <v>3359</v>
      </c>
    </row>
    <row r="285">
      <c r="A285" s="23" t="n">
        <v>45901</v>
      </c>
      <c r="B285" s="6" t="inlineStr">
        <is>
          <t>Pago</t>
        </is>
      </c>
      <c r="C285" s="6" t="inlineStr">
        <is>
          <t>PL530.001</t>
        </is>
      </c>
      <c r="D285" s="6" t="str">
        <f>IFERROR(VLOOKUP(E285,FORNECEDORES!$A$5:$F$999,6,FALSE),"L10")</f>
        <v>L01</v>
      </c>
      <c r="E285" s="6" t="inlineStr">
        <is>
          <t>MINAS FERRAMENTAS LTDA</t>
        </is>
      </c>
      <c r="F285" s="7" t="n">
        <v>22.19</v>
      </c>
      <c r="G285" s="6" t="inlineStr">
        <is>
          <t>EQUIPAMENTOS E FERRAMENTAS</t>
        </is>
      </c>
      <c r="H285" s="6" t="inlineStr">
        <is>
          <t>MINAS FERRAMENTAS LTDA</t>
        </is>
      </c>
      <c r="I285" s="24" t="n">
        <v>45925</v>
      </c>
      <c r="J285" s="6" t="n">
        <v>3359</v>
      </c>
    </row>
    <row r="286">
      <c r="A286" s="23" t="n">
        <v>45901</v>
      </c>
      <c r="B286" s="6" t="inlineStr">
        <is>
          <t>Pago</t>
        </is>
      </c>
      <c r="C286" s="6" t="inlineStr">
        <is>
          <t>PL530.001</t>
        </is>
      </c>
      <c r="D286" s="6" t="str">
        <f>IFERROR(VLOOKUP(E286,FORNECEDORES!$A$5:$F$999,6,FALSE),"L10")</f>
        <v>L01</v>
      </c>
      <c r="E286" s="6" t="inlineStr">
        <is>
          <t>MINAS FERRAMENTAS LTDA</t>
        </is>
      </c>
      <c r="F286" s="7" t="n">
        <v>77.61</v>
      </c>
      <c r="G286" s="6" t="inlineStr">
        <is>
          <t>SINALIZAÇÃO</t>
        </is>
      </c>
      <c r="H286" s="6" t="inlineStr">
        <is>
          <t>MINAS FERRAMENTAS LTDA</t>
        </is>
      </c>
      <c r="I286" s="24" t="n">
        <v>45925</v>
      </c>
      <c r="J286" s="6" t="n">
        <v>3359</v>
      </c>
    </row>
    <row r="287">
      <c r="A287" s="23" t="n">
        <v>45901</v>
      </c>
      <c r="B287" s="6" t="inlineStr">
        <is>
          <t>Pago</t>
        </is>
      </c>
      <c r="C287" s="6" t="inlineStr">
        <is>
          <t>PL530.001</t>
        </is>
      </c>
      <c r="D287" s="6" t="str">
        <f>IFERROR(VLOOKUP(E287,FORNECEDORES!$A$5:$F$999,6,FALSE),"L10")</f>
        <v>L01</v>
      </c>
      <c r="E287" s="6" t="inlineStr">
        <is>
          <t>MINAS FERRAMENTAS LTDA</t>
        </is>
      </c>
      <c r="F287" s="7" t="n">
        <v>163.14</v>
      </c>
      <c r="G287" s="6" t="inlineStr">
        <is>
          <t>EQUIPAMENTOS E FERRAMENTAS</t>
        </is>
      </c>
      <c r="H287" s="6" t="inlineStr">
        <is>
          <t>MINAS FERRAMENTAS LTDA</t>
        </is>
      </c>
      <c r="I287" s="24" t="n">
        <v>45925</v>
      </c>
      <c r="J287" s="6" t="n">
        <v>3359</v>
      </c>
    </row>
    <row r="288">
      <c r="A288" s="23" t="n">
        <v>45901</v>
      </c>
      <c r="B288" s="6" t="inlineStr">
        <is>
          <t>Pago</t>
        </is>
      </c>
      <c r="C288" s="6" t="inlineStr">
        <is>
          <t>PL530.001</t>
        </is>
      </c>
      <c r="D288" s="6" t="str">
        <f>IFERROR(VLOOKUP(E288,FORNECEDORES!$A$5:$F$999,6,FALSE),"L10")</f>
        <v>L01</v>
      </c>
      <c r="E288" s="6" t="inlineStr">
        <is>
          <t>MINAS FERRAMENTAS LTDA</t>
        </is>
      </c>
      <c r="F288" s="7" t="n">
        <v>62.45</v>
      </c>
      <c r="G288" s="6" t="inlineStr">
        <is>
          <t>EQUIPAMENTOS E FERRAMENTAS</t>
        </is>
      </c>
      <c r="H288" s="6" t="inlineStr">
        <is>
          <t>MINAS FERRAMENTAS LTDA</t>
        </is>
      </c>
      <c r="I288" s="24" t="n">
        <v>45925</v>
      </c>
      <c r="J288" s="6" t="n">
        <v>3359</v>
      </c>
    </row>
    <row r="289">
      <c r="A289" s="23" t="n">
        <v>45901</v>
      </c>
      <c r="B289" s="6" t="inlineStr">
        <is>
          <t>Pago</t>
        </is>
      </c>
      <c r="C289" s="6" t="inlineStr">
        <is>
          <t>PL530.001</t>
        </is>
      </c>
      <c r="D289" s="6" t="str">
        <f>IFERROR(VLOOKUP(E289,FORNECEDORES!$A$5:$F$999,6,FALSE),"L10")</f>
        <v>L01</v>
      </c>
      <c r="E289" s="6" t="inlineStr">
        <is>
          <t>MINAS FERRAMENTAS LTDA</t>
        </is>
      </c>
      <c r="F289" s="7" t="n">
        <v>12.03</v>
      </c>
      <c r="G289" s="6" t="inlineStr">
        <is>
          <t>ACESSÓRIOS DE FIXAÇÃO</t>
        </is>
      </c>
      <c r="H289" s="6" t="inlineStr">
        <is>
          <t>MINAS FERRAMENTAS LTDA</t>
        </is>
      </c>
      <c r="I289" s="24" t="n">
        <v>45912</v>
      </c>
      <c r="J289" s="6" t="n">
        <v>3188</v>
      </c>
    </row>
    <row r="290">
      <c r="A290" s="23" t="n">
        <v>45901</v>
      </c>
      <c r="B290" s="6" t="inlineStr">
        <is>
          <t>Pago</t>
        </is>
      </c>
      <c r="C290" s="6" t="inlineStr">
        <is>
          <t>PL530.001</t>
        </is>
      </c>
      <c r="D290" s="6" t="str">
        <f>IFERROR(VLOOKUP(E290,FORNECEDORES!$A$5:$F$999,6,FALSE),"L10")</f>
        <v>L01</v>
      </c>
      <c r="E290" s="6" t="inlineStr">
        <is>
          <t>MINAS FERRAMENTAS LTDA</t>
        </is>
      </c>
      <c r="F290" s="7" t="n">
        <v>91.54000000000001</v>
      </c>
      <c r="G290" s="6" t="inlineStr">
        <is>
          <t>ACESSÓRIOS DE FIXAÇÃO</t>
        </is>
      </c>
      <c r="H290" s="6" t="inlineStr">
        <is>
          <t>MINAS FERRAMENTAS LTDA</t>
        </is>
      </c>
      <c r="I290" s="24" t="n">
        <v>45912</v>
      </c>
      <c r="J290" s="6" t="n">
        <v>3188</v>
      </c>
    </row>
    <row r="291">
      <c r="A291" s="23" t="n">
        <v>45901</v>
      </c>
      <c r="B291" s="6" t="inlineStr">
        <is>
          <t>Pago</t>
        </is>
      </c>
      <c r="C291" s="6" t="inlineStr">
        <is>
          <t>PL530.001</t>
        </is>
      </c>
      <c r="D291" s="6" t="str">
        <f>IFERROR(VLOOKUP(E291,FORNECEDORES!$A$5:$F$999,6,FALSE),"L10")</f>
        <v>L01</v>
      </c>
      <c r="E291" s="6" t="inlineStr">
        <is>
          <t>MINAS FERRAMENTAS LTDA</t>
        </is>
      </c>
      <c r="F291" s="7" t="n">
        <v>16.69</v>
      </c>
      <c r="G291" s="6" t="inlineStr">
        <is>
          <t>EQUIPAMENTOS E FERRAMENTAS</t>
        </is>
      </c>
      <c r="H291" s="6" t="inlineStr">
        <is>
          <t>MINAS FERRAMENTAS LTDA</t>
        </is>
      </c>
      <c r="I291" s="24" t="n">
        <v>45912</v>
      </c>
      <c r="J291" s="6" t="n">
        <v>3188</v>
      </c>
    </row>
    <row r="292">
      <c r="A292" s="23" t="n">
        <v>45901</v>
      </c>
      <c r="B292" s="6" t="inlineStr">
        <is>
          <t>Pago</t>
        </is>
      </c>
      <c r="C292" s="6" t="inlineStr">
        <is>
          <t>PL530.001</t>
        </is>
      </c>
      <c r="D292" s="6" t="str">
        <f>IFERROR(VLOOKUP(E292,FORNECEDORES!$A$5:$F$999,6,FALSE),"L10")</f>
        <v>L01</v>
      </c>
      <c r="E292" s="6" t="inlineStr">
        <is>
          <t>MINAS FERRAMENTAS LTDA</t>
        </is>
      </c>
      <c r="F292" s="7" t="n">
        <v>73.44</v>
      </c>
      <c r="G292" s="6" t="inlineStr">
        <is>
          <t>EQUIPAMENTOS E FERRAMENTAS</t>
        </is>
      </c>
      <c r="H292" s="6" t="inlineStr">
        <is>
          <t>MINAS FERRAMENTAS LTDA</t>
        </is>
      </c>
      <c r="I292" s="24" t="n">
        <v>45912</v>
      </c>
      <c r="J292" s="6" t="n">
        <v>3188</v>
      </c>
    </row>
    <row r="293">
      <c r="A293" s="23" t="n">
        <v>45901</v>
      </c>
      <c r="B293" s="6" t="inlineStr">
        <is>
          <t>Pago</t>
        </is>
      </c>
      <c r="C293" s="6" t="inlineStr">
        <is>
          <t>PL530.001</t>
        </is>
      </c>
      <c r="D293" s="6" t="str">
        <f>IFERROR(VLOOKUP(E293,FORNECEDORES!$A$5:$F$999,6,FALSE),"L10")</f>
        <v>L01</v>
      </c>
      <c r="E293" s="6" t="inlineStr">
        <is>
          <t>MINAS FERRAMENTAS LTDA</t>
        </is>
      </c>
      <c r="F293" s="7" t="n">
        <v>46.65</v>
      </c>
      <c r="G293" s="6" t="inlineStr">
        <is>
          <t>EQUIPAMENTOS E FERRAMENTAS</t>
        </is>
      </c>
      <c r="H293" s="6" t="inlineStr">
        <is>
          <t>MINAS FERRAMENTAS LTDA</t>
        </is>
      </c>
      <c r="I293" s="24" t="n">
        <v>45912</v>
      </c>
      <c r="J293" s="6" t="n">
        <v>3188</v>
      </c>
    </row>
    <row r="294">
      <c r="A294" s="23" t="n">
        <v>45901</v>
      </c>
      <c r="B294" s="6" t="inlineStr">
        <is>
          <t>Pago</t>
        </is>
      </c>
      <c r="C294" s="6" t="inlineStr">
        <is>
          <t>PL530.001</t>
        </is>
      </c>
      <c r="D294" s="6" t="str">
        <f>IFERROR(VLOOKUP(E294,FORNECEDORES!$A$5:$F$999,6,FALSE),"L10")</f>
        <v>L01</v>
      </c>
      <c r="E294" s="6" t="inlineStr">
        <is>
          <t>MINAS FERRAMENTAS LTDA</t>
        </is>
      </c>
      <c r="F294" s="7" t="n">
        <v>343.5</v>
      </c>
      <c r="G294" s="6" t="inlineStr">
        <is>
          <t>EQUIPAMENTOS E FERRAMENTAS</t>
        </is>
      </c>
      <c r="H294" s="6" t="inlineStr">
        <is>
          <t>MINAS FERRAMENTAS LTDA</t>
        </is>
      </c>
      <c r="I294" s="24" t="n">
        <v>45912</v>
      </c>
      <c r="J294" s="6" t="n">
        <v>3188</v>
      </c>
    </row>
    <row r="295">
      <c r="A295" s="23" t="n">
        <v>45901</v>
      </c>
      <c r="B295" s="6" t="inlineStr">
        <is>
          <t>Pago</t>
        </is>
      </c>
      <c r="C295" s="6" t="inlineStr">
        <is>
          <t>PL530.001</t>
        </is>
      </c>
      <c r="D295" s="6" t="str">
        <f>IFERROR(VLOOKUP(E295,FORNECEDORES!$A$5:$F$999,6,FALSE),"L10")</f>
        <v>L01</v>
      </c>
      <c r="E295" s="6" t="inlineStr">
        <is>
          <t>MINAS FERRAMENTAS LTDA</t>
        </is>
      </c>
      <c r="F295" s="7" t="n">
        <v>108.84</v>
      </c>
      <c r="G295" s="6" t="inlineStr">
        <is>
          <t>EQUIPAMENTOS E FERRAMENTAS</t>
        </is>
      </c>
      <c r="H295" s="6" t="inlineStr">
        <is>
          <t>MINAS FERRAMENTAS LTDA</t>
        </is>
      </c>
      <c r="I295" s="24" t="n">
        <v>45912</v>
      </c>
      <c r="J295" s="6" t="n">
        <v>3188</v>
      </c>
    </row>
    <row r="296">
      <c r="A296" s="23" t="n">
        <v>45901</v>
      </c>
      <c r="B296" s="6" t="inlineStr">
        <is>
          <t>Pago</t>
        </is>
      </c>
      <c r="C296" s="6" t="inlineStr">
        <is>
          <t>PL530.001</t>
        </is>
      </c>
      <c r="D296" s="6" t="str">
        <f>IFERROR(VLOOKUP(E296,FORNECEDORES!$A$5:$F$999,6,FALSE),"L10")</f>
        <v>L01</v>
      </c>
      <c r="E296" s="6" t="inlineStr">
        <is>
          <t>MINAS FERRAMENTAS LTDA</t>
        </is>
      </c>
      <c r="F296" s="7" t="n">
        <v>103.3</v>
      </c>
      <c r="G296" s="6" t="inlineStr">
        <is>
          <t>EQUIPAMENTOS E FERRAMENTAS</t>
        </is>
      </c>
      <c r="H296" s="6" t="inlineStr">
        <is>
          <t>MINAS FERRAMENTAS LTDA</t>
        </is>
      </c>
      <c r="I296" s="24" t="n">
        <v>45912</v>
      </c>
      <c r="J296" s="6" t="n">
        <v>3188</v>
      </c>
    </row>
    <row r="297">
      <c r="A297" s="23" t="n">
        <v>45901</v>
      </c>
      <c r="B297" s="6" t="inlineStr">
        <is>
          <t>Pago</t>
        </is>
      </c>
      <c r="C297" s="6" t="inlineStr">
        <is>
          <t>PL530.001</t>
        </is>
      </c>
      <c r="D297" s="6" t="str">
        <f>IFERROR(VLOOKUP(E297,FORNECEDORES!$A$5:$F$999,6,FALSE),"L10")</f>
        <v>L01</v>
      </c>
      <c r="E297" s="6" t="inlineStr">
        <is>
          <t>MINAS FERRAMENTAS LTDA</t>
        </is>
      </c>
      <c r="F297" s="7" t="n">
        <v>118.14</v>
      </c>
      <c r="G297" s="6" t="inlineStr">
        <is>
          <t>EQUIPAMENTOS E FERRAMENTAS</t>
        </is>
      </c>
      <c r="H297" s="6" t="inlineStr">
        <is>
          <t>MINAS FERRAMENTAS LTDA</t>
        </is>
      </c>
      <c r="I297" s="24" t="n">
        <v>45912</v>
      </c>
      <c r="J297" s="6" t="n">
        <v>3188</v>
      </c>
    </row>
    <row r="298">
      <c r="A298" s="23" t="n">
        <v>45901</v>
      </c>
      <c r="B298" s="6" t="inlineStr">
        <is>
          <t>Pago</t>
        </is>
      </c>
      <c r="C298" s="6" t="inlineStr">
        <is>
          <t>PL530.001</t>
        </is>
      </c>
      <c r="D298" s="6" t="str">
        <f>IFERROR(VLOOKUP(E298,FORNECEDORES!$A$5:$F$999,6,FALSE),"L10")</f>
        <v>L03</v>
      </c>
      <c r="E298" s="6" t="inlineStr">
        <is>
          <t>ORIGINAL LOCACOES LTDA</t>
        </is>
      </c>
      <c r="F298" s="7" t="n">
        <v>505.73</v>
      </c>
      <c r="G298" s="6" t="inlineStr">
        <is>
          <t>LOCAÇÕES</t>
        </is>
      </c>
      <c r="H298" s="6" t="inlineStr">
        <is>
          <t>ORIGINAL LOCACOES LTDA</t>
        </is>
      </c>
      <c r="I298" s="24" t="n">
        <v>45930</v>
      </c>
      <c r="J298" s="6" t="n">
        <v>3489</v>
      </c>
    </row>
    <row r="299">
      <c r="A299" s="23" t="n">
        <v>45901</v>
      </c>
      <c r="B299" s="6" t="inlineStr">
        <is>
          <t>Pago</t>
        </is>
      </c>
      <c r="C299" s="6" t="inlineStr">
        <is>
          <t>PL530.001</t>
        </is>
      </c>
      <c r="D299" s="6" t="str">
        <f>IFERROR(VLOOKUP(E299,FORNECEDORES!$A$5:$F$999,6,FALSE),"L10")</f>
        <v>L03</v>
      </c>
      <c r="E299" s="6" t="inlineStr">
        <is>
          <t>ORIGINAL LOCACOES LTDA</t>
        </is>
      </c>
      <c r="F299" s="7" t="n">
        <v>1863.64</v>
      </c>
      <c r="G299" s="6" t="inlineStr">
        <is>
          <t>LOCAÇÕES</t>
        </is>
      </c>
      <c r="H299" s="6" t="inlineStr">
        <is>
          <t>ORIGINAL LOCACOES LTDA</t>
        </is>
      </c>
      <c r="I299" s="24" t="n">
        <v>45918</v>
      </c>
      <c r="J299" s="6" t="n">
        <v>3478</v>
      </c>
    </row>
    <row r="300">
      <c r="A300" s="23" t="n">
        <v>45901</v>
      </c>
      <c r="B300" s="6" t="inlineStr">
        <is>
          <t>Pago</t>
        </is>
      </c>
      <c r="C300" s="6" t="inlineStr">
        <is>
          <t>PL530.001</t>
        </is>
      </c>
      <c r="D300" s="6" t="str">
        <f>IFERROR(VLOOKUP(E300,FORNECEDORES!$A$5:$F$999,6,FALSE),"L10")</f>
        <v>L03</v>
      </c>
      <c r="E300" s="6" t="inlineStr">
        <is>
          <t>ORIGINAL LOCACOES LTDA</t>
        </is>
      </c>
      <c r="F300" s="7" t="n">
        <v>249.98</v>
      </c>
      <c r="G300" s="6" t="inlineStr">
        <is>
          <t>LOCAÇÕES</t>
        </is>
      </c>
      <c r="H300" s="6" t="inlineStr">
        <is>
          <t>ORIGINAL LOCACOES LTDA</t>
        </is>
      </c>
      <c r="I300" s="24" t="n">
        <v>45918</v>
      </c>
      <c r="J300" s="6" t="n">
        <v>3478</v>
      </c>
    </row>
    <row r="301">
      <c r="A301" s="23" t="n">
        <v>45901</v>
      </c>
      <c r="B301" s="6" t="inlineStr">
        <is>
          <t>Pago</t>
        </is>
      </c>
      <c r="C301" s="6" t="inlineStr">
        <is>
          <t>PL530.001</t>
        </is>
      </c>
      <c r="D301" s="6" t="str">
        <f>IFERROR(VLOOKUP(E301,FORNECEDORES!$A$5:$F$999,6,FALSE),"L10")</f>
        <v>L03</v>
      </c>
      <c r="E301" s="6" t="inlineStr">
        <is>
          <t>ORIGINAL LOCACOES LTDA</t>
        </is>
      </c>
      <c r="F301" s="7" t="n">
        <v>279.99</v>
      </c>
      <c r="G301" s="6" t="inlineStr">
        <is>
          <t>LOCAÇÕES</t>
        </is>
      </c>
      <c r="H301" s="6" t="inlineStr">
        <is>
          <t>ORIGINAL LOCACOES LTDA</t>
        </is>
      </c>
      <c r="I301" s="24" t="n">
        <v>45918</v>
      </c>
      <c r="J301" s="6" t="n">
        <v>3478</v>
      </c>
    </row>
    <row r="302">
      <c r="A302" s="23" t="n">
        <v>45901</v>
      </c>
      <c r="B302" s="6" t="inlineStr">
        <is>
          <t>Pago</t>
        </is>
      </c>
      <c r="C302" s="6" t="inlineStr">
        <is>
          <t>PL530.001</t>
        </is>
      </c>
      <c r="D302" s="6" t="str">
        <f>IFERROR(VLOOKUP(E302,FORNECEDORES!$A$5:$F$999,6,FALSE),"L10")</f>
        <v>L03</v>
      </c>
      <c r="E302" s="6" t="inlineStr">
        <is>
          <t>ORIGINAL LOCACOES LTDA</t>
        </is>
      </c>
      <c r="F302" s="7" t="n">
        <v>339.98</v>
      </c>
      <c r="G302" s="6" t="inlineStr">
        <is>
          <t>LOCAÇÕES</t>
        </is>
      </c>
      <c r="H302" s="6" t="inlineStr">
        <is>
          <t>ORIGINAL LOCACOES LTDA</t>
        </is>
      </c>
      <c r="I302" s="24" t="n">
        <v>45918</v>
      </c>
      <c r="J302" s="6" t="n">
        <v>3478</v>
      </c>
    </row>
    <row r="303">
      <c r="A303" s="23" t="n">
        <v>45901</v>
      </c>
      <c r="B303" s="6" t="inlineStr">
        <is>
          <t>Pago</t>
        </is>
      </c>
      <c r="C303" s="6" t="inlineStr">
        <is>
          <t>PL530.001</t>
        </is>
      </c>
      <c r="D303" s="6" t="str">
        <f>IFERROR(VLOOKUP(E303,FORNECEDORES!$A$5:$F$999,6,FALSE),"L10")</f>
        <v>L03</v>
      </c>
      <c r="E303" s="6" t="inlineStr">
        <is>
          <t>ORIGINAL LOCACOES LTDA</t>
        </is>
      </c>
      <c r="F303" s="7" t="n">
        <v>140</v>
      </c>
      <c r="G303" s="6" t="inlineStr">
        <is>
          <t>LOCAÇÕES</t>
        </is>
      </c>
      <c r="H303" s="6" t="inlineStr">
        <is>
          <t>ORIGINAL LOCACOES LTDA</t>
        </is>
      </c>
      <c r="I303" s="24" t="n">
        <v>45918</v>
      </c>
      <c r="J303" s="6" t="n">
        <v>3478</v>
      </c>
    </row>
    <row r="304">
      <c r="A304" s="23" t="n">
        <v>45901</v>
      </c>
      <c r="B304" s="6" t="inlineStr">
        <is>
          <t>Pago</t>
        </is>
      </c>
      <c r="C304" s="6" t="inlineStr">
        <is>
          <t>PL530.001</t>
        </is>
      </c>
      <c r="D304" s="6" t="str">
        <f>IFERROR(VLOOKUP(E304,FORNECEDORES!$A$5:$F$999,6,FALSE),"L10")</f>
        <v>L03</v>
      </c>
      <c r="E304" s="6" t="inlineStr">
        <is>
          <t>ORIGINAL LOCACOES LTDA</t>
        </is>
      </c>
      <c r="F304" s="7" t="n">
        <v>384.99</v>
      </c>
      <c r="G304" s="6" t="inlineStr">
        <is>
          <t>LOCAÇÕES</t>
        </is>
      </c>
      <c r="H304" s="6" t="inlineStr">
        <is>
          <t>ORIGINAL LOCACOES LTDA</t>
        </is>
      </c>
      <c r="I304" s="24" t="n">
        <v>45918</v>
      </c>
      <c r="J304" s="6" t="n">
        <v>3478</v>
      </c>
    </row>
    <row r="305">
      <c r="A305" s="23" t="n">
        <v>45901</v>
      </c>
      <c r="B305" s="6" t="inlineStr">
        <is>
          <t>Pago</t>
        </is>
      </c>
      <c r="C305" s="6" t="inlineStr">
        <is>
          <t>PL530.001</t>
        </is>
      </c>
      <c r="D305" s="6" t="str">
        <f>IFERROR(VLOOKUP(E305,FORNECEDORES!$A$5:$F$999,6,FALSE),"L10")</f>
        <v>L03</v>
      </c>
      <c r="E305" s="6" t="inlineStr">
        <is>
          <t>ORIGINAL LOCACOES LTDA</t>
        </is>
      </c>
      <c r="F305" s="7" t="n">
        <v>130</v>
      </c>
      <c r="G305" s="6" t="inlineStr">
        <is>
          <t>LOCAÇÕES</t>
        </is>
      </c>
      <c r="H305" s="6" t="inlineStr">
        <is>
          <t>ORIGINAL LOCACOES LTDA</t>
        </is>
      </c>
      <c r="I305" s="24" t="n">
        <v>45918</v>
      </c>
      <c r="J305" s="6" t="n">
        <v>3478</v>
      </c>
    </row>
    <row r="306">
      <c r="A306" s="23" t="n">
        <v>45901</v>
      </c>
      <c r="B306" s="6" t="inlineStr">
        <is>
          <t>Pago</t>
        </is>
      </c>
      <c r="C306" s="6" t="inlineStr">
        <is>
          <t>PL530.001</t>
        </is>
      </c>
      <c r="D306" s="6" t="str">
        <f>IFERROR(VLOOKUP(E306,FORNECEDORES!$A$5:$F$999,6,FALSE),"L10")</f>
        <v>L10</v>
      </c>
      <c r="E306" s="6" t="inlineStr">
        <is>
          <t>PGO PLANEJAMENTO GERENCIAMENTO E OBRAS LTDA. - ME</t>
        </is>
      </c>
      <c r="F306" s="7" t="n">
        <v>3207.78</v>
      </c>
      <c r="G306" s="6" t="inlineStr">
        <is>
          <t>NÃO CLASSIFICADO</t>
        </is>
      </c>
      <c r="H306" s="6" t="inlineStr">
        <is>
          <t>PGO PLANEJAMENTO GERENCIAMENTO E OBRAS LTDA. - ME</t>
        </is>
      </c>
      <c r="I306" s="24" t="n">
        <v>45905</v>
      </c>
      <c r="J306" s="6" t="n">
        <v>3308</v>
      </c>
    </row>
    <row r="307">
      <c r="A307" s="23" t="n">
        <v>45901</v>
      </c>
      <c r="B307" s="6" t="inlineStr">
        <is>
          <t>Pago</t>
        </is>
      </c>
      <c r="C307" s="6" t="inlineStr">
        <is>
          <t>PL530.001</t>
        </is>
      </c>
      <c r="D307" s="6" t="str">
        <f>IFERROR(VLOOKUP(E307,FORNECEDORES!$A$5:$F$999,6,FALSE),"L10")</f>
        <v>L10</v>
      </c>
      <c r="E307" s="6" t="inlineStr">
        <is>
          <t>PGO PLANEJAMENTO GERENCIAMENTO E OBRAS LTDA. - ME</t>
        </is>
      </c>
      <c r="F307" s="7" t="n">
        <v>129.68</v>
      </c>
      <c r="G307" s="6" t="inlineStr">
        <is>
          <t>NÃO CLASSIFICADO</t>
        </is>
      </c>
      <c r="H307" s="6" t="inlineStr">
        <is>
          <t>INSS RETIDO PJ - MINISTERIO DA PREVIDENCIA</t>
        </is>
      </c>
      <c r="I307" s="24" t="n">
        <v>45919</v>
      </c>
      <c r="J307" s="6" t="n">
        <v>3354</v>
      </c>
    </row>
    <row r="308">
      <c r="A308" s="23" t="n">
        <v>45901</v>
      </c>
      <c r="B308" s="6" t="inlineStr">
        <is>
          <t>Pago</t>
        </is>
      </c>
      <c r="C308" s="6" t="inlineStr">
        <is>
          <t>PL530.001</t>
        </is>
      </c>
      <c r="D308" s="6" t="str">
        <f>IFERROR(VLOOKUP(E308,FORNECEDORES!$A$5:$F$999,6,FALSE),"L10")</f>
        <v>L10</v>
      </c>
      <c r="E308" s="6" t="inlineStr">
        <is>
          <t>PGO PLANEJAMENTO GERENCIAMENTO E OBRAS LTDA. - ME</t>
        </is>
      </c>
      <c r="F308" s="7" t="n">
        <v>108.19</v>
      </c>
      <c r="G308" s="6" t="inlineStr">
        <is>
          <t>NÃO CLASSIFICADO</t>
        </is>
      </c>
      <c r="H308" s="6" t="inlineStr">
        <is>
          <t>PREFEITURA DE BELO HORIZONTE - ISSQN RETIDO</t>
        </is>
      </c>
      <c r="I308" s="24" t="n">
        <v>45908</v>
      </c>
      <c r="J308" s="6" t="n">
        <v>3355</v>
      </c>
    </row>
    <row r="309">
      <c r="A309" s="23" t="n">
        <v>45901</v>
      </c>
      <c r="B309" s="6" t="inlineStr">
        <is>
          <t>Pago</t>
        </is>
      </c>
      <c r="C309" s="6" t="inlineStr">
        <is>
          <t>PL530.001</t>
        </is>
      </c>
      <c r="D309" s="6" t="str">
        <f>IFERROR(VLOOKUP(E309,FORNECEDORES!$A$5:$F$999,6,FALSE),"L10")</f>
        <v>L01</v>
      </c>
      <c r="E309" s="6" t="inlineStr">
        <is>
          <t>TECIDOS E ARMARINHOS MIGUEL BARTOLOMEU S/A</t>
        </is>
      </c>
      <c r="F309" s="7" t="n">
        <v>48</v>
      </c>
      <c r="G309" s="6" t="inlineStr">
        <is>
          <t>EQUIPAMENTOS E FERRAMENTAS</t>
        </is>
      </c>
      <c r="H309" s="6" t="inlineStr">
        <is>
          <t>TECIDOS E ARMARINHOS MIGUEL BARTOLOMEU S/A</t>
        </is>
      </c>
      <c r="I309" s="24" t="n">
        <v>45923</v>
      </c>
      <c r="J309" s="6" t="n">
        <v>3340</v>
      </c>
    </row>
    <row r="310">
      <c r="A310" s="23" t="n">
        <v>45901</v>
      </c>
      <c r="B310" s="6" t="inlineStr">
        <is>
          <t>Pago</t>
        </is>
      </c>
      <c r="C310" s="6" t="inlineStr">
        <is>
          <t>PL530.001</t>
        </is>
      </c>
      <c r="D310" s="6" t="str">
        <f>IFERROR(VLOOKUP(E310,FORNECEDORES!$A$5:$F$999,6,FALSE),"L10")</f>
        <v>L01</v>
      </c>
      <c r="E310" s="6" t="inlineStr">
        <is>
          <t>TECIDOS E ARMARINHOS MIGUEL BARTOLOMEU S/A</t>
        </is>
      </c>
      <c r="F310" s="7" t="n">
        <v>780</v>
      </c>
      <c r="G310" s="6" t="inlineStr">
        <is>
          <t>EQUIPAMENTOS E FERRAMENTAS</t>
        </is>
      </c>
      <c r="H310" s="6" t="inlineStr">
        <is>
          <t>TECIDOS E ARMARINHOS MIGUEL BARTOLOMEU S/A</t>
        </is>
      </c>
      <c r="I310" s="24" t="n">
        <v>45909</v>
      </c>
      <c r="J310" s="6" t="n">
        <v>3250</v>
      </c>
    </row>
    <row r="311">
      <c r="A311" s="23" t="n">
        <v>45901</v>
      </c>
      <c r="B311" s="6" t="inlineStr">
        <is>
          <t>Pago</t>
        </is>
      </c>
      <c r="C311" s="6" t="inlineStr">
        <is>
          <t>PL530.001</t>
        </is>
      </c>
      <c r="D311" s="6" t="str">
        <f>IFERROR(VLOOKUP(E311,FORNECEDORES!$A$5:$F$999,6,FALSE),"L10")</f>
        <v>L01</v>
      </c>
      <c r="E311" s="6" t="inlineStr">
        <is>
          <t>TECIDOS E ARMARINHOS MIGUEL BARTOLOMEU S/A</t>
        </is>
      </c>
      <c r="F311" s="7" t="n">
        <v>120</v>
      </c>
      <c r="G311" s="6" t="inlineStr">
        <is>
          <t>EQUIPAMENTOS E FERRAMENTAS</t>
        </is>
      </c>
      <c r="H311" s="6" t="inlineStr">
        <is>
          <t>TECIDOS E ARMARINHOS MIGUEL BARTOLOMEU S/A</t>
        </is>
      </c>
      <c r="I311" s="24" t="n">
        <v>45909</v>
      </c>
      <c r="J311" s="6" t="n">
        <v>3250</v>
      </c>
    </row>
    <row r="312">
      <c r="A312" s="23" t="n">
        <v>45901</v>
      </c>
      <c r="B312" s="6" t="inlineStr">
        <is>
          <t>Pago</t>
        </is>
      </c>
      <c r="C312" s="6" t="inlineStr">
        <is>
          <t>PL530.001</t>
        </is>
      </c>
      <c r="D312" s="6" t="str">
        <f>IFERROR(VLOOKUP(E312,FORNECEDORES!$A$5:$F$999,6,FALSE),"L10")</f>
        <v>L01</v>
      </c>
      <c r="E312" s="6" t="inlineStr">
        <is>
          <t>TECIDOS E ARMARINHOS MIGUEL BARTOLOMEU S/A</t>
        </is>
      </c>
      <c r="F312" s="7" t="n">
        <v>16</v>
      </c>
      <c r="G312" s="6" t="inlineStr">
        <is>
          <t>EQUIPAMENTOS E FERRAMENTAS</t>
        </is>
      </c>
      <c r="H312" s="6" t="inlineStr">
        <is>
          <t>TECIDOS E ARMARINHOS MIGUEL BARTOLOMEU S/A</t>
        </is>
      </c>
      <c r="I312" s="24" t="n">
        <v>45909</v>
      </c>
      <c r="J312" s="6" t="n">
        <v>3250</v>
      </c>
    </row>
    <row r="313">
      <c r="A313" s="23" t="n">
        <v>45901</v>
      </c>
      <c r="B313" s="6" t="inlineStr">
        <is>
          <t>Pago</t>
        </is>
      </c>
      <c r="C313" s="6" t="inlineStr">
        <is>
          <t>PL530.001</t>
        </is>
      </c>
      <c r="D313" s="6" t="str">
        <f>IFERROR(VLOOKUP(E313,FORNECEDORES!$A$5:$F$999,6,FALSE),"L10")</f>
        <v>L01</v>
      </c>
      <c r="E313" s="6" t="inlineStr">
        <is>
          <t>TECIDOS E ARMARINHOS MIGUEL BARTOLOMEU S/A</t>
        </is>
      </c>
      <c r="F313" s="7" t="n">
        <v>12</v>
      </c>
      <c r="G313" s="6" t="inlineStr">
        <is>
          <t>EQUIPAMENTOS E FERRAMENTAS</t>
        </is>
      </c>
      <c r="H313" s="6" t="inlineStr">
        <is>
          <t>TECIDOS E ARMARINHOS MIGUEL BARTOLOMEU S/A</t>
        </is>
      </c>
      <c r="I313" s="24" t="n">
        <v>45909</v>
      </c>
      <c r="J313" s="6" t="n">
        <v>3250</v>
      </c>
    </row>
    <row r="314">
      <c r="A314" s="23" t="n">
        <v>45931</v>
      </c>
      <c r="B314" s="6" t="inlineStr">
        <is>
          <t>Pago</t>
        </is>
      </c>
      <c r="C314" s="6" t="inlineStr">
        <is>
          <t>PL530.001</t>
        </is>
      </c>
      <c r="D314" s="6" t="str">
        <f>IFERROR(VLOOKUP(E314,FORNECEDORES!$A$5:$F$999,6,FALSE),"L10")</f>
        <v>L01</v>
      </c>
      <c r="E314" s="6" t="inlineStr">
        <is>
          <t>COFERMETA SA</t>
        </is>
      </c>
      <c r="F314" s="7" t="n">
        <v>123.5</v>
      </c>
      <c r="G314" s="6" t="inlineStr">
        <is>
          <t>EQUIPAMENTOS E FERRAMENTAS</t>
        </is>
      </c>
      <c r="H314" s="6" t="inlineStr">
        <is>
          <t>COFERMETA SA</t>
        </is>
      </c>
      <c r="I314" s="24" t="n">
        <v>45950</v>
      </c>
      <c r="J314" s="6" t="n">
        <v>3393</v>
      </c>
    </row>
    <row r="315">
      <c r="A315" s="23" t="n">
        <v>45931</v>
      </c>
      <c r="B315" s="6" t="inlineStr">
        <is>
          <t>Pago</t>
        </is>
      </c>
      <c r="C315" s="6" t="inlineStr">
        <is>
          <t>PL530.001</t>
        </is>
      </c>
      <c r="D315" s="6" t="str">
        <f>IFERROR(VLOOKUP(E315,FORNECEDORES!$A$5:$F$999,6,FALSE),"L10")</f>
        <v>L01</v>
      </c>
      <c r="E315" s="6" t="inlineStr">
        <is>
          <t>COFERMETA SA</t>
        </is>
      </c>
      <c r="F315" s="7" t="n">
        <v>182.5</v>
      </c>
      <c r="G315" s="6" t="inlineStr">
        <is>
          <t>EQUIPAMENTOS E FERRAMENTAS</t>
        </is>
      </c>
      <c r="H315" s="6" t="inlineStr">
        <is>
          <t>COFERMETA SA</t>
        </is>
      </c>
      <c r="I315" s="24" t="n">
        <v>45950</v>
      </c>
      <c r="J315" s="6" t="n">
        <v>3393</v>
      </c>
    </row>
    <row r="316">
      <c r="A316" s="23" t="n">
        <v>45931</v>
      </c>
      <c r="B316" s="6" t="inlineStr">
        <is>
          <t>Pago</t>
        </is>
      </c>
      <c r="C316" s="6" t="inlineStr">
        <is>
          <t>PL530.001</t>
        </is>
      </c>
      <c r="D316" s="6" t="str">
        <f>IFERROR(VLOOKUP(E316,FORNECEDORES!$A$5:$F$999,6,FALSE),"L10")</f>
        <v>L10</v>
      </c>
      <c r="E316" s="6" t="inlineStr">
        <is>
          <t>CORTEZ LOCACAO DE EQUIPAMENTOS LTDA-ME</t>
        </is>
      </c>
      <c r="F316" s="7" t="n">
        <v>19860.23</v>
      </c>
      <c r="G316" s="6" t="inlineStr">
        <is>
          <t>NÃO CLASSIFICADO</t>
        </is>
      </c>
      <c r="H316" s="6" t="inlineStr">
        <is>
          <t>CORTEZ LOCACAO DE EQUIPAMENTOS LTDA-ME</t>
        </is>
      </c>
      <c r="I316" s="24" t="n">
        <v>45945</v>
      </c>
      <c r="J316" s="6" t="n">
        <v>3493</v>
      </c>
    </row>
    <row r="317">
      <c r="A317" s="23" t="n">
        <v>45931</v>
      </c>
      <c r="B317" s="6" t="inlineStr">
        <is>
          <t>Pago</t>
        </is>
      </c>
      <c r="C317" s="6" t="inlineStr">
        <is>
          <t>PL530.001</t>
        </is>
      </c>
      <c r="D317" s="6" t="str">
        <f>IFERROR(VLOOKUP(E317,FORNECEDORES!$A$5:$F$999,6,FALSE),"L10")</f>
        <v>L10</v>
      </c>
      <c r="E317" s="6" t="inlineStr">
        <is>
          <t>CORTEZ LOCACAO DE EQUIPAMENTOS LTDA-ME</t>
        </is>
      </c>
      <c r="F317" s="7" t="n">
        <v>374.55</v>
      </c>
      <c r="G317" s="6" t="inlineStr">
        <is>
          <t>NÃO CLASSIFICADO</t>
        </is>
      </c>
      <c r="H317" s="6" t="inlineStr">
        <is>
          <t>INSS RETIDO PJ - MINISTERIO DA PREVIDENCIA</t>
        </is>
      </c>
      <c r="I317" s="24" t="n">
        <v>45950</v>
      </c>
      <c r="J317" s="6" t="n">
        <v>3509</v>
      </c>
    </row>
    <row r="318">
      <c r="A318" s="23" t="n">
        <v>45931</v>
      </c>
      <c r="B318" s="6" t="inlineStr">
        <is>
          <t>Pago</t>
        </is>
      </c>
      <c r="C318" s="6" t="inlineStr">
        <is>
          <t>PL530.001</t>
        </is>
      </c>
      <c r="D318" s="6" t="str">
        <f>IFERROR(VLOOKUP(E318,FORNECEDORES!$A$5:$F$999,6,FALSE),"L10")</f>
        <v>L10</v>
      </c>
      <c r="E318" s="6" t="inlineStr">
        <is>
          <t>CORTEZ LOCACAO DE EQUIPAMENTOS LTDA-ME</t>
        </is>
      </c>
      <c r="F318" s="7" t="n">
        <v>876.22</v>
      </c>
      <c r="G318" s="6" t="inlineStr">
        <is>
          <t>NÃO CLASSIFICADO</t>
        </is>
      </c>
      <c r="H318" s="6" t="inlineStr">
        <is>
          <t>PREFEITURA DE BELO HORIZONTE - ISSQN RETIDO</t>
        </is>
      </c>
      <c r="I318" s="24" t="n">
        <v>45938</v>
      </c>
      <c r="J318" s="6" t="n">
        <v>3508</v>
      </c>
    </row>
    <row r="319">
      <c r="A319" s="23" t="n">
        <v>45931</v>
      </c>
      <c r="B319" s="6" t="inlineStr">
        <is>
          <t>Pago</t>
        </is>
      </c>
      <c r="C319" s="6" t="inlineStr">
        <is>
          <t>PL530.001</t>
        </is>
      </c>
      <c r="D319" s="6" t="str">
        <f>IFERROR(VLOOKUP(E319,FORNECEDORES!$A$5:$F$999,6,FALSE),"L10")</f>
        <v>L03</v>
      </c>
      <c r="E319" s="6" t="inlineStr">
        <is>
          <t>DATRON TECNOLOGIA E LOCACAO LTDA</t>
        </is>
      </c>
      <c r="F319" s="7" t="n">
        <v>375</v>
      </c>
      <c r="G319" s="6" t="inlineStr">
        <is>
          <t>LOCAÇÕES</t>
        </is>
      </c>
      <c r="H319" s="6" t="inlineStr">
        <is>
          <t>DATRON TECNOLOGIA E LOCACAO LTDA</t>
        </is>
      </c>
      <c r="I319" s="24" t="n">
        <v>45945</v>
      </c>
      <c r="J319" s="6" t="n">
        <v>3065</v>
      </c>
    </row>
    <row r="320">
      <c r="A320" s="23" t="n">
        <v>45931</v>
      </c>
      <c r="B320" s="6" t="inlineStr">
        <is>
          <t>Pago</t>
        </is>
      </c>
      <c r="C320" s="6" t="inlineStr">
        <is>
          <t>PL530.001</t>
        </is>
      </c>
      <c r="D320" s="6" t="str">
        <f>IFERROR(VLOOKUP(E320,FORNECEDORES!$A$5:$F$999,6,FALSE),"L10")</f>
        <v>L03</v>
      </c>
      <c r="E320" s="6" t="inlineStr">
        <is>
          <t>EUROLINK IMPORTACAO E LOCACAO DE EQUIPAMENTOS LTDA</t>
        </is>
      </c>
      <c r="F320" s="7" t="n">
        <v>2919.89</v>
      </c>
      <c r="G320" s="6" t="inlineStr">
        <is>
          <t>LOCAÇÕES</t>
        </is>
      </c>
      <c r="H320" s="6" t="inlineStr">
        <is>
          <t>EUROLINK IMPORTACAO E LOCACAO DE EQUIPAMENTOS LTDA</t>
        </is>
      </c>
      <c r="I320" s="24" t="n">
        <v>45951</v>
      </c>
      <c r="J320" s="6" t="n">
        <v>3637</v>
      </c>
    </row>
    <row r="321">
      <c r="A321" s="23" t="n">
        <v>45931</v>
      </c>
      <c r="B321" s="6" t="inlineStr">
        <is>
          <t>Pago</t>
        </is>
      </c>
      <c r="C321" s="6" t="inlineStr">
        <is>
          <t>PL530.001</t>
        </is>
      </c>
      <c r="D321" s="6" t="str">
        <f>IFERROR(VLOOKUP(E321,FORNECEDORES!$A$5:$F$999,6,FALSE),"L10")</f>
        <v>L10</v>
      </c>
      <c r="E321" s="6" t="inlineStr">
        <is>
          <t>FIAO LOCACOES E TRANSPORTES LTDA</t>
        </is>
      </c>
      <c r="F321" s="7" t="n">
        <v>1039.5</v>
      </c>
      <c r="G321" s="6" t="inlineStr">
        <is>
          <t>NÃO CLASSIFICADO</t>
        </is>
      </c>
      <c r="H321" s="6" t="inlineStr">
        <is>
          <t>FIAO LOCACOES E TRANSPORTES LTDA</t>
        </is>
      </c>
      <c r="I321" s="24" t="n">
        <v>45946</v>
      </c>
      <c r="J321" s="6" t="n">
        <v>3529</v>
      </c>
    </row>
    <row r="322">
      <c r="A322" s="23" t="n">
        <v>45931</v>
      </c>
      <c r="B322" s="6" t="inlineStr">
        <is>
          <t>Pago</t>
        </is>
      </c>
      <c r="C322" s="6" t="inlineStr">
        <is>
          <t>PL530.001</t>
        </is>
      </c>
      <c r="D322" s="6" t="str">
        <f>IFERROR(VLOOKUP(E322,FORNECEDORES!$A$5:$F$999,6,FALSE),"L10")</f>
        <v>L10</v>
      </c>
      <c r="E322" s="6" t="inlineStr">
        <is>
          <t>FIAO LOCACOES E TRANSPORTES LTDA</t>
        </is>
      </c>
      <c r="F322" s="7" t="n">
        <v>157.3</v>
      </c>
      <c r="G322" s="6" t="inlineStr">
        <is>
          <t>NÃO CLASSIFICADO</t>
        </is>
      </c>
      <c r="H322" s="6" t="inlineStr">
        <is>
          <t>INSS RETIDO PJ - MINISTERIO DA PREVIDENCIA</t>
        </is>
      </c>
      <c r="I322" s="24" t="n">
        <v>45950</v>
      </c>
      <c r="J322" s="6" t="n">
        <v>3497</v>
      </c>
    </row>
    <row r="323">
      <c r="A323" s="23" t="n">
        <v>45931</v>
      </c>
      <c r="B323" s="6" t="inlineStr">
        <is>
          <t>Pago</t>
        </is>
      </c>
      <c r="C323" s="6" t="inlineStr">
        <is>
          <t>PL530.001</t>
        </is>
      </c>
      <c r="D323" s="6" t="str">
        <f>IFERROR(VLOOKUP(E323,FORNECEDORES!$A$5:$F$999,6,FALSE),"L10")</f>
        <v>L10</v>
      </c>
      <c r="E323" s="6" t="inlineStr">
        <is>
          <t>FIAO LOCACOES E TRANSPORTES LTDA</t>
        </is>
      </c>
      <c r="F323" s="7" t="n">
        <v>442.66</v>
      </c>
      <c r="G323" s="6" t="inlineStr">
        <is>
          <t>NÃO CLASSIFICADO</t>
        </is>
      </c>
      <c r="H323" s="6" t="inlineStr">
        <is>
          <t>INSS RETIDO PJ - MINISTERIO DA PREVIDENCIA</t>
        </is>
      </c>
      <c r="I323" s="24" t="n">
        <v>45950</v>
      </c>
      <c r="J323" s="6" t="n">
        <v>3405</v>
      </c>
    </row>
    <row r="324">
      <c r="A324" s="23" t="n">
        <v>45931</v>
      </c>
      <c r="B324" s="6" t="inlineStr">
        <is>
          <t>Pago</t>
        </is>
      </c>
      <c r="C324" s="6" t="inlineStr">
        <is>
          <t>PL530.001</t>
        </is>
      </c>
      <c r="D324" s="6" t="str">
        <f>IFERROR(VLOOKUP(E324,FORNECEDORES!$A$5:$F$999,6,FALSE),"L10")</f>
        <v>L03</v>
      </c>
      <c r="E324" s="6" t="inlineStr">
        <is>
          <t>LOC MASTER LOCADORA DE EQUIPAMENTOS LTDA</t>
        </is>
      </c>
      <c r="F324" s="7" t="n">
        <v>990</v>
      </c>
      <c r="G324" s="6" t="inlineStr">
        <is>
          <t>LOCAÇÕES</t>
        </is>
      </c>
      <c r="H324" s="6" t="inlineStr">
        <is>
          <t>LOC MASTER LOCADORA DE EQUIPAMENTOS LTDA</t>
        </is>
      </c>
      <c r="I324" s="24" t="n">
        <v>45931</v>
      </c>
      <c r="J324" s="6" t="n">
        <v>3519</v>
      </c>
    </row>
    <row r="325">
      <c r="A325" s="23" t="n">
        <v>45931</v>
      </c>
      <c r="B325" s="6" t="inlineStr">
        <is>
          <t>Pago</t>
        </is>
      </c>
      <c r="C325" s="6" t="inlineStr">
        <is>
          <t>PL530.001</t>
        </is>
      </c>
      <c r="D325" s="6" t="str">
        <f>IFERROR(VLOOKUP(E325,FORNECEDORES!$A$5:$F$999,6,FALSE),"L10")</f>
        <v>L03</v>
      </c>
      <c r="E325" s="6" t="inlineStr">
        <is>
          <t>LOC MASTER LOCADORA DE EQUIPAMENTOS LTDA</t>
        </is>
      </c>
      <c r="F325" s="7" t="n">
        <v>990</v>
      </c>
      <c r="G325" s="6" t="inlineStr">
        <is>
          <t>LOCAÇÕES</t>
        </is>
      </c>
      <c r="H325" s="6" t="inlineStr">
        <is>
          <t>LOC MASTER LOCADORA DE EQUIPAMENTOS LTDA</t>
        </is>
      </c>
      <c r="I325" s="24" t="n">
        <v>45957</v>
      </c>
      <c r="J325" s="6" t="n">
        <v>3647</v>
      </c>
    </row>
    <row r="326">
      <c r="A326" s="23" t="n">
        <v>45931</v>
      </c>
      <c r="B326" s="6" t="inlineStr">
        <is>
          <t>Pago</t>
        </is>
      </c>
      <c r="C326" s="6" t="inlineStr">
        <is>
          <t>PL530.001</t>
        </is>
      </c>
      <c r="D326" s="6" t="str">
        <f>IFERROR(VLOOKUP(E326,FORNECEDORES!$A$5:$F$999,6,FALSE),"L10")</f>
        <v>L03</v>
      </c>
      <c r="E326" s="6" t="inlineStr">
        <is>
          <t>LOCAFAZ LOCACAO DE EQUIPAMENTOS LTDA</t>
        </is>
      </c>
      <c r="F326" s="7" t="n">
        <v>1190.2</v>
      </c>
      <c r="G326" s="6" t="inlineStr">
        <is>
          <t>LOCAÇÕES</t>
        </is>
      </c>
      <c r="H326" s="6" t="inlineStr">
        <is>
          <t>LOCAFAZ LOCACAO DE EQUIPAMENTOS LTDA</t>
        </is>
      </c>
      <c r="I326" s="24" t="n">
        <v>45936</v>
      </c>
      <c r="J326" s="6" t="n">
        <v>3516</v>
      </c>
    </row>
    <row r="327">
      <c r="A327" s="23" t="n">
        <v>45931</v>
      </c>
      <c r="B327" s="6" t="inlineStr">
        <is>
          <t>Pago</t>
        </is>
      </c>
      <c r="C327" s="6" t="inlineStr">
        <is>
          <t>PL530.001</t>
        </is>
      </c>
      <c r="D327" s="6" t="str">
        <f>IFERROR(VLOOKUP(E327,FORNECEDORES!$A$5:$F$999,6,FALSE),"L10")</f>
        <v>L03</v>
      </c>
      <c r="E327" s="6" t="inlineStr">
        <is>
          <t>LOCAFAZ LOCACAO DE EQUIPAMENTOS LTDA</t>
        </is>
      </c>
      <c r="F327" s="7" t="n">
        <v>550</v>
      </c>
      <c r="G327" s="6" t="inlineStr">
        <is>
          <t>LOCAÇÕES</t>
        </is>
      </c>
      <c r="H327" s="6" t="inlineStr">
        <is>
          <t>LOCAFAZ LOCACAO DE EQUIPAMENTOS LTDA</t>
        </is>
      </c>
      <c r="I327" s="24" t="n">
        <v>45945</v>
      </c>
      <c r="J327" s="6" t="n">
        <v>3490</v>
      </c>
    </row>
    <row r="328">
      <c r="A328" s="23" t="n">
        <v>45931</v>
      </c>
      <c r="B328" s="6" t="inlineStr">
        <is>
          <t>Pago</t>
        </is>
      </c>
      <c r="C328" s="6" t="inlineStr">
        <is>
          <t>PL530.001</t>
        </is>
      </c>
      <c r="D328" s="6" t="str">
        <f>IFERROR(VLOOKUP(E328,FORNECEDORES!$A$5:$F$999,6,FALSE),"L10")</f>
        <v>L03</v>
      </c>
      <c r="E328" s="6" t="inlineStr">
        <is>
          <t>LOCAFAZ LOCACAO DE EQUIPAMENTOS LTDA</t>
        </is>
      </c>
      <c r="F328" s="7" t="n">
        <v>282.54</v>
      </c>
      <c r="G328" s="6" t="inlineStr">
        <is>
          <t>LOCAÇÕES</t>
        </is>
      </c>
      <c r="H328" s="6" t="inlineStr">
        <is>
          <t>LOCAFAZ LOCACAO DE EQUIPAMENTOS LTDA</t>
        </is>
      </c>
      <c r="I328" s="24" t="n">
        <v>45945</v>
      </c>
      <c r="J328" s="6" t="n">
        <v>3490</v>
      </c>
    </row>
    <row r="329">
      <c r="A329" s="23" t="n">
        <v>45931</v>
      </c>
      <c r="B329" s="6" t="inlineStr">
        <is>
          <t>Pago</t>
        </is>
      </c>
      <c r="C329" s="6" t="inlineStr">
        <is>
          <t>PL530.001</t>
        </is>
      </c>
      <c r="D329" s="6" t="str">
        <f>IFERROR(VLOOKUP(E329,FORNECEDORES!$A$5:$F$999,6,FALSE),"L10")</f>
        <v>L03</v>
      </c>
      <c r="E329" s="6" t="inlineStr">
        <is>
          <t>LOCAFAZ LOCACAO DE EQUIPAMENTOS LTDA</t>
        </is>
      </c>
      <c r="F329" s="7" t="n">
        <v>62</v>
      </c>
      <c r="G329" s="6" t="inlineStr">
        <is>
          <t>LOCAÇÕES</t>
        </is>
      </c>
      <c r="H329" s="6" t="inlineStr">
        <is>
          <t>LOCAFAZ LOCACAO DE EQUIPAMENTOS LTDA</t>
        </is>
      </c>
      <c r="I329" s="24" t="n">
        <v>45945</v>
      </c>
      <c r="J329" s="6" t="n">
        <v>3490</v>
      </c>
    </row>
    <row r="330">
      <c r="A330" s="23" t="n">
        <v>45931</v>
      </c>
      <c r="B330" s="6" t="inlineStr">
        <is>
          <t>Pago</t>
        </is>
      </c>
      <c r="C330" s="6" t="inlineStr">
        <is>
          <t>PL530.001</t>
        </is>
      </c>
      <c r="D330" s="6" t="str">
        <f>IFERROR(VLOOKUP(E330,FORNECEDORES!$A$5:$F$999,6,FALSE),"L10")</f>
        <v>L03</v>
      </c>
      <c r="E330" s="6" t="inlineStr">
        <is>
          <t>LOCAFAZ LOCACAO DE EQUIPAMENTOS LTDA</t>
        </is>
      </c>
      <c r="F330" s="7" t="n">
        <v>328</v>
      </c>
      <c r="G330" s="6" t="inlineStr">
        <is>
          <t>LOCAÇÕES</t>
        </is>
      </c>
      <c r="H330" s="6" t="inlineStr">
        <is>
          <t>LOCAFAZ LOCACAO DE EQUIPAMENTOS LTDA</t>
        </is>
      </c>
      <c r="I330" s="24" t="n">
        <v>45945</v>
      </c>
      <c r="J330" s="6" t="n">
        <v>3490</v>
      </c>
    </row>
    <row r="331">
      <c r="A331" s="23" t="n">
        <v>45931</v>
      </c>
      <c r="B331" s="6" t="inlineStr">
        <is>
          <t>Pago</t>
        </is>
      </c>
      <c r="C331" s="6" t="inlineStr">
        <is>
          <t>PL530.001</t>
        </is>
      </c>
      <c r="D331" s="6" t="str">
        <f>IFERROR(VLOOKUP(E331,FORNECEDORES!$A$5:$F$999,6,FALSE),"L10")</f>
        <v>L01</v>
      </c>
      <c r="E331" s="6" t="inlineStr">
        <is>
          <t>LOJA ELETRICA LIMITADA</t>
        </is>
      </c>
      <c r="F331" s="7" t="n">
        <v>133.5</v>
      </c>
      <c r="G331" s="6" t="inlineStr">
        <is>
          <t>MATERIAL ELÉTRICO</t>
        </is>
      </c>
      <c r="H331" s="6" t="inlineStr">
        <is>
          <t>LOJA ELETRICA LIMITADA</t>
        </is>
      </c>
      <c r="I331" s="24" t="n">
        <v>45936</v>
      </c>
      <c r="J331" s="6" t="n">
        <v>3339</v>
      </c>
    </row>
    <row r="332">
      <c r="A332" s="23" t="n">
        <v>45931</v>
      </c>
      <c r="B332" s="6" t="inlineStr">
        <is>
          <t>Pago</t>
        </is>
      </c>
      <c r="C332" s="6" t="inlineStr">
        <is>
          <t>PL530.001</t>
        </is>
      </c>
      <c r="D332" s="6" t="str">
        <f>IFERROR(VLOOKUP(E332,FORNECEDORES!$A$5:$F$999,6,FALSE),"L10")</f>
        <v>L01</v>
      </c>
      <c r="E332" s="6" t="inlineStr">
        <is>
          <t>LOJA ELETRICA LIMITADA</t>
        </is>
      </c>
      <c r="F332" s="7" t="n">
        <v>128</v>
      </c>
      <c r="G332" s="6" t="inlineStr">
        <is>
          <t>MATERIAL ELÉTRICO</t>
        </is>
      </c>
      <c r="H332" s="6" t="inlineStr">
        <is>
          <t>LOJA ELETRICA LIMITADA</t>
        </is>
      </c>
      <c r="I332" s="24" t="n">
        <v>45936</v>
      </c>
      <c r="J332" s="6" t="n">
        <v>3339</v>
      </c>
    </row>
    <row r="333">
      <c r="A333" s="23" t="n">
        <v>45931</v>
      </c>
      <c r="B333" s="6" t="inlineStr">
        <is>
          <t>Pago</t>
        </is>
      </c>
      <c r="C333" s="6" t="inlineStr">
        <is>
          <t>PL530.001</t>
        </is>
      </c>
      <c r="D333" s="6" t="str">
        <f>IFERROR(VLOOKUP(E333,FORNECEDORES!$A$5:$F$999,6,FALSE),"L10")</f>
        <v>L01</v>
      </c>
      <c r="E333" s="6" t="inlineStr">
        <is>
          <t>MINAS FERRAMENTAS LTDA</t>
        </is>
      </c>
      <c r="F333" s="7" t="n">
        <v>21.72</v>
      </c>
      <c r="G333" s="6" t="inlineStr">
        <is>
          <t>EQUIPAMENTOS E FERRAMENTAS</t>
        </is>
      </c>
      <c r="H333" s="6" t="inlineStr">
        <is>
          <t>MINAS FERRAMENTAS LTDA</t>
        </is>
      </c>
      <c r="I333" s="24" t="n">
        <v>45954</v>
      </c>
      <c r="J333" s="6" t="n">
        <v>3359</v>
      </c>
    </row>
    <row r="334">
      <c r="A334" s="23" t="n">
        <v>45931</v>
      </c>
      <c r="B334" s="6" t="inlineStr">
        <is>
          <t>Pago</t>
        </is>
      </c>
      <c r="C334" s="6" t="inlineStr">
        <is>
          <t>PL530.001</t>
        </is>
      </c>
      <c r="D334" s="6" t="str">
        <f>IFERROR(VLOOKUP(E334,FORNECEDORES!$A$5:$F$999,6,FALSE),"L10")</f>
        <v>L01</v>
      </c>
      <c r="E334" s="6" t="inlineStr">
        <is>
          <t>MINAS FERRAMENTAS LTDA</t>
        </is>
      </c>
      <c r="F334" s="7" t="n">
        <v>76</v>
      </c>
      <c r="G334" s="6" t="inlineStr">
        <is>
          <t>SINALIZAÇÃO</t>
        </is>
      </c>
      <c r="H334" s="6" t="inlineStr">
        <is>
          <t>MINAS FERRAMENTAS LTDA</t>
        </is>
      </c>
      <c r="I334" s="24" t="n">
        <v>45954</v>
      </c>
      <c r="J334" s="6" t="n">
        <v>3359</v>
      </c>
    </row>
    <row r="335">
      <c r="A335" s="23" t="n">
        <v>45931</v>
      </c>
      <c r="B335" s="6" t="inlineStr">
        <is>
          <t>Pago</t>
        </is>
      </c>
      <c r="C335" s="6" t="inlineStr">
        <is>
          <t>PL530.001</t>
        </is>
      </c>
      <c r="D335" s="6" t="str">
        <f>IFERROR(VLOOKUP(E335,FORNECEDORES!$A$5:$F$999,6,FALSE),"L10")</f>
        <v>L01</v>
      </c>
      <c r="E335" s="6" t="inlineStr">
        <is>
          <t>MINAS FERRAMENTAS LTDA</t>
        </is>
      </c>
      <c r="F335" s="7" t="n">
        <v>129.2</v>
      </c>
      <c r="G335" s="6" t="inlineStr">
        <is>
          <t>EQUIPAMENTOS E FERRAMENTAS</t>
        </is>
      </c>
      <c r="H335" s="6" t="inlineStr">
        <is>
          <t>MINAS FERRAMENTAS LTDA</t>
        </is>
      </c>
      <c r="I335" s="24" t="n">
        <v>45954</v>
      </c>
      <c r="J335" s="6" t="n">
        <v>3359</v>
      </c>
    </row>
    <row r="336">
      <c r="A336" s="23" t="n">
        <v>45931</v>
      </c>
      <c r="B336" s="6" t="inlineStr">
        <is>
          <t>Pago</t>
        </is>
      </c>
      <c r="C336" s="6" t="inlineStr">
        <is>
          <t>PL530.001</t>
        </is>
      </c>
      <c r="D336" s="6" t="str">
        <f>IFERROR(VLOOKUP(E336,FORNECEDORES!$A$5:$F$999,6,FALSE),"L10")</f>
        <v>L01</v>
      </c>
      <c r="E336" s="6" t="inlineStr">
        <is>
          <t>MINAS FERRAMENTAS LTDA</t>
        </is>
      </c>
      <c r="F336" s="7" t="n">
        <v>37.1</v>
      </c>
      <c r="G336" s="6" t="inlineStr">
        <is>
          <t>EQUIPAMENTOS E FERRAMENTAS</t>
        </is>
      </c>
      <c r="H336" s="6" t="inlineStr">
        <is>
          <t>MINAS FERRAMENTAS LTDA</t>
        </is>
      </c>
      <c r="I336" s="24" t="n">
        <v>45954</v>
      </c>
      <c r="J336" s="6" t="n">
        <v>3359</v>
      </c>
    </row>
    <row r="337">
      <c r="A337" s="23" t="n">
        <v>45931</v>
      </c>
      <c r="B337" s="6" t="inlineStr">
        <is>
          <t>Pago</t>
        </is>
      </c>
      <c r="C337" s="6" t="inlineStr">
        <is>
          <t>PL530.001</t>
        </is>
      </c>
      <c r="D337" s="6" t="str">
        <f>IFERROR(VLOOKUP(E337,FORNECEDORES!$A$5:$F$999,6,FALSE),"L10")</f>
        <v>L01</v>
      </c>
      <c r="E337" s="6" t="inlineStr">
        <is>
          <t>MINAS FERRAMENTAS LTDA</t>
        </is>
      </c>
      <c r="F337" s="7" t="n">
        <v>33.52</v>
      </c>
      <c r="G337" s="6" t="inlineStr">
        <is>
          <t>EQUIPAMENTOS E FERRAMENTAS</t>
        </is>
      </c>
      <c r="H337" s="6" t="inlineStr">
        <is>
          <t>MINAS FERRAMENTAS LTDA</t>
        </is>
      </c>
      <c r="I337" s="24" t="n">
        <v>45954</v>
      </c>
      <c r="J337" s="6" t="n">
        <v>3359</v>
      </c>
    </row>
    <row r="338">
      <c r="A338" s="23" t="n">
        <v>45931</v>
      </c>
      <c r="B338" s="6" t="inlineStr">
        <is>
          <t>Pago</t>
        </is>
      </c>
      <c r="C338" s="6" t="inlineStr">
        <is>
          <t>PL530.001</t>
        </is>
      </c>
      <c r="D338" s="6" t="str">
        <f>IFERROR(VLOOKUP(E338,FORNECEDORES!$A$5:$F$999,6,FALSE),"L10")</f>
        <v>L01</v>
      </c>
      <c r="E338" s="6" t="inlineStr">
        <is>
          <t>MINAS FERRAMENTAS LTDA</t>
        </is>
      </c>
      <c r="F338" s="7" t="n">
        <v>61.15</v>
      </c>
      <c r="G338" s="6" t="inlineStr">
        <is>
          <t>EQUIPAMENTOS E FERRAMENTAS</t>
        </is>
      </c>
      <c r="H338" s="6" t="inlineStr">
        <is>
          <t>MINAS FERRAMENTAS LTDA</t>
        </is>
      </c>
      <c r="I338" s="24" t="n">
        <v>45954</v>
      </c>
      <c r="J338" s="6" t="n">
        <v>3359</v>
      </c>
    </row>
    <row r="339">
      <c r="A339" s="23" t="n">
        <v>45931</v>
      </c>
      <c r="B339" s="6" t="inlineStr">
        <is>
          <t>Pago</t>
        </is>
      </c>
      <c r="C339" s="6" t="inlineStr">
        <is>
          <t>PL530.001</t>
        </is>
      </c>
      <c r="D339" s="6" t="str">
        <f>IFERROR(VLOOKUP(E339,FORNECEDORES!$A$5:$F$999,6,FALSE),"L10")</f>
        <v>L01</v>
      </c>
      <c r="E339" s="6" t="inlineStr">
        <is>
          <t>MINAS FERRAMENTAS LTDA</t>
        </is>
      </c>
      <c r="F339" s="7" t="n">
        <v>159.75</v>
      </c>
      <c r="G339" s="6" t="inlineStr">
        <is>
          <t>EQUIPAMENTOS E FERRAMENTAS</t>
        </is>
      </c>
      <c r="H339" s="6" t="inlineStr">
        <is>
          <t>MINAS FERRAMENTAS LTDA</t>
        </is>
      </c>
      <c r="I339" s="24" t="n">
        <v>45954</v>
      </c>
      <c r="J339" s="6" t="n">
        <v>3359</v>
      </c>
    </row>
    <row r="340">
      <c r="A340" s="23" t="n">
        <v>45931</v>
      </c>
      <c r="B340" s="6" t="inlineStr">
        <is>
          <t>Pago</t>
        </is>
      </c>
      <c r="C340" s="6" t="inlineStr">
        <is>
          <t>PL530.001</t>
        </is>
      </c>
      <c r="D340" s="6" t="str">
        <f>IFERROR(VLOOKUP(E340,FORNECEDORES!$A$5:$F$999,6,FALSE),"L10")</f>
        <v>L01</v>
      </c>
      <c r="E340" s="6" t="inlineStr">
        <is>
          <t>MINAS FERRAMENTAS LTDA</t>
        </is>
      </c>
      <c r="F340" s="7" t="n">
        <v>6.53</v>
      </c>
      <c r="G340" s="6" t="inlineStr">
        <is>
          <t>MATERIAL ESCRITÓRIO</t>
        </is>
      </c>
      <c r="H340" s="6" t="inlineStr">
        <is>
          <t>MINAS FERRAMENTAS LTDA</t>
        </is>
      </c>
      <c r="I340" s="24" t="n">
        <v>45954</v>
      </c>
      <c r="J340" s="6" t="n">
        <v>3359</v>
      </c>
    </row>
    <row r="341">
      <c r="A341" s="23" t="n">
        <v>45931</v>
      </c>
      <c r="B341" s="6" t="inlineStr">
        <is>
          <t>Pago</t>
        </is>
      </c>
      <c r="C341" s="6" t="inlineStr">
        <is>
          <t>PL530.001</t>
        </is>
      </c>
      <c r="D341" s="6" t="str">
        <f>IFERROR(VLOOKUP(E341,FORNECEDORES!$A$5:$F$999,6,FALSE),"L10")</f>
        <v>L01</v>
      </c>
      <c r="E341" s="6" t="inlineStr">
        <is>
          <t>MINAS FERRAMENTAS LTDA</t>
        </is>
      </c>
      <c r="F341" s="7" t="n">
        <v>19.96</v>
      </c>
      <c r="G341" s="6" t="inlineStr">
        <is>
          <t>EQUIPAMENTOS E FERRAMENTAS</t>
        </is>
      </c>
      <c r="H341" s="6" t="inlineStr">
        <is>
          <t>MINAS FERRAMENTAS LTDA</t>
        </is>
      </c>
      <c r="I341" s="24" t="n">
        <v>45943</v>
      </c>
      <c r="J341" s="6" t="n">
        <v>3423</v>
      </c>
    </row>
    <row r="342">
      <c r="A342" s="23" t="n">
        <v>45931</v>
      </c>
      <c r="B342" s="6" t="inlineStr">
        <is>
          <t>Pago</t>
        </is>
      </c>
      <c r="C342" s="6" t="inlineStr">
        <is>
          <t>PL530.001</t>
        </is>
      </c>
      <c r="D342" s="6" t="str">
        <f>IFERROR(VLOOKUP(E342,FORNECEDORES!$A$5:$F$999,6,FALSE),"L10")</f>
        <v>L01</v>
      </c>
      <c r="E342" s="6" t="inlineStr">
        <is>
          <t>MINAS FERRAMENTAS LTDA</t>
        </is>
      </c>
      <c r="F342" s="7" t="n">
        <v>22.15</v>
      </c>
      <c r="G342" s="6" t="inlineStr">
        <is>
          <t>EQUIPAMENTOS E FERRAMENTAS</t>
        </is>
      </c>
      <c r="H342" s="6" t="inlineStr">
        <is>
          <t>MINAS FERRAMENTAS LTDA</t>
        </is>
      </c>
      <c r="I342" s="24" t="n">
        <v>45943</v>
      </c>
      <c r="J342" s="6" t="n">
        <v>3423</v>
      </c>
    </row>
    <row r="343">
      <c r="A343" s="23" t="n">
        <v>45931</v>
      </c>
      <c r="B343" s="6" t="inlineStr">
        <is>
          <t>Pago</t>
        </is>
      </c>
      <c r="C343" s="6" t="inlineStr">
        <is>
          <t>PL530.001</t>
        </is>
      </c>
      <c r="D343" s="6" t="str">
        <f>IFERROR(VLOOKUP(E343,FORNECEDORES!$A$5:$F$999,6,FALSE),"L10")</f>
        <v>L03</v>
      </c>
      <c r="E343" s="6" t="inlineStr">
        <is>
          <t>ORIGINAL LOCACOES LTDA</t>
        </is>
      </c>
      <c r="F343" s="7" t="n">
        <v>345.62</v>
      </c>
      <c r="G343" s="6" t="inlineStr">
        <is>
          <t>LOCAÇÕES</t>
        </is>
      </c>
      <c r="H343" s="6" t="inlineStr">
        <is>
          <t>ORIGINAL LOCACOES LTDA</t>
        </is>
      </c>
      <c r="I343" s="24" t="n">
        <v>45943</v>
      </c>
      <c r="J343" s="6" t="n">
        <v>3563</v>
      </c>
    </row>
    <row r="344">
      <c r="A344" s="23" t="n">
        <v>45931</v>
      </c>
      <c r="B344" s="6" t="inlineStr">
        <is>
          <t>Pago</t>
        </is>
      </c>
      <c r="C344" s="6" t="inlineStr">
        <is>
          <t>PL530.001</t>
        </is>
      </c>
      <c r="D344" s="6" t="str">
        <f>IFERROR(VLOOKUP(E344,FORNECEDORES!$A$5:$F$999,6,FALSE),"L10")</f>
        <v>L03</v>
      </c>
      <c r="E344" s="6" t="inlineStr">
        <is>
          <t>ORIGINAL LOCACOES LTDA</t>
        </is>
      </c>
      <c r="F344" s="7" t="n">
        <v>505.73</v>
      </c>
      <c r="G344" s="6" t="inlineStr">
        <is>
          <t>LOCAÇÕES</t>
        </is>
      </c>
      <c r="H344" s="6" t="inlineStr">
        <is>
          <t>ORIGINAL LOCACOES LTDA</t>
        </is>
      </c>
      <c r="I344" s="24" t="n">
        <v>45960</v>
      </c>
      <c r="J344" s="6" t="n">
        <v>3489</v>
      </c>
    </row>
    <row r="345">
      <c r="A345" s="23" t="n">
        <v>45931</v>
      </c>
      <c r="B345" s="6" t="inlineStr">
        <is>
          <t>Pago</t>
        </is>
      </c>
      <c r="C345" s="6" t="inlineStr">
        <is>
          <t>PL530.001</t>
        </is>
      </c>
      <c r="D345" s="6" t="str">
        <f>IFERROR(VLOOKUP(E345,FORNECEDORES!$A$5:$F$999,6,FALSE),"L10")</f>
        <v>L03</v>
      </c>
      <c r="E345" s="6" t="inlineStr">
        <is>
          <t>ORIGINAL LOCACOES LTDA</t>
        </is>
      </c>
      <c r="F345" s="7" t="n">
        <v>246.88</v>
      </c>
      <c r="G345" s="6" t="inlineStr">
        <is>
          <t>LOCAÇÕES</t>
        </is>
      </c>
      <c r="H345" s="6" t="inlineStr">
        <is>
          <t>ORIGINAL LOCACOES LTDA</t>
        </is>
      </c>
      <c r="I345" s="24" t="n">
        <v>45943</v>
      </c>
      <c r="J345" s="6" t="n">
        <v>3563</v>
      </c>
    </row>
    <row r="346">
      <c r="A346" s="23" t="n">
        <v>45931</v>
      </c>
      <c r="B346" s="6" t="inlineStr">
        <is>
          <t>Pago</t>
        </is>
      </c>
      <c r="C346" s="6" t="inlineStr">
        <is>
          <t>PL530.001</t>
        </is>
      </c>
      <c r="D346" s="6" t="str">
        <f>IFERROR(VLOOKUP(E346,FORNECEDORES!$A$5:$F$999,6,FALSE),"L10")</f>
        <v>L03</v>
      </c>
      <c r="E346" s="6" t="inlineStr">
        <is>
          <t>ORIGINAL LOCACOES LTDA</t>
        </is>
      </c>
      <c r="F346" s="7" t="n">
        <v>100</v>
      </c>
      <c r="G346" s="6" t="inlineStr">
        <is>
          <t>LOCAÇÕES</t>
        </is>
      </c>
      <c r="H346" s="6" t="inlineStr">
        <is>
          <t>ORIGINAL LOCACOES LTDA</t>
        </is>
      </c>
      <c r="I346" s="24" t="n">
        <v>45957</v>
      </c>
      <c r="J346" s="6" t="n">
        <v>3581</v>
      </c>
    </row>
    <row r="347">
      <c r="A347" s="23" t="n">
        <v>45931</v>
      </c>
      <c r="B347" s="6" t="inlineStr">
        <is>
          <t>Pago</t>
        </is>
      </c>
      <c r="C347" s="6" t="inlineStr">
        <is>
          <t>PL530.001</t>
        </is>
      </c>
      <c r="D347" s="6" t="str">
        <f>IFERROR(VLOOKUP(E347,FORNECEDORES!$A$5:$F$999,6,FALSE),"L10")</f>
        <v>L03</v>
      </c>
      <c r="E347" s="6" t="inlineStr">
        <is>
          <t>ORIGINAL LOCACOES LTDA</t>
        </is>
      </c>
      <c r="F347" s="7" t="n">
        <v>250</v>
      </c>
      <c r="G347" s="6" t="inlineStr">
        <is>
          <t>LOCAÇÕES</t>
        </is>
      </c>
      <c r="H347" s="6" t="inlineStr">
        <is>
          <t>ORIGINAL LOCACOES LTDA</t>
        </is>
      </c>
      <c r="I347" s="24" t="n">
        <v>45945</v>
      </c>
      <c r="J347" s="6" t="n">
        <v>3580</v>
      </c>
    </row>
    <row r="348">
      <c r="A348" s="23" t="n">
        <v>45931</v>
      </c>
      <c r="B348" s="6" t="inlineStr">
        <is>
          <t>Pago</t>
        </is>
      </c>
      <c r="C348" s="6" t="inlineStr">
        <is>
          <t>PL530.001</t>
        </is>
      </c>
      <c r="D348" s="6" t="str">
        <f>IFERROR(VLOOKUP(E348,FORNECEDORES!$A$5:$F$999,6,FALSE),"L10")</f>
        <v>L03</v>
      </c>
      <c r="E348" s="6" t="inlineStr">
        <is>
          <t>ORIGINAL LOCACOES LTDA</t>
        </is>
      </c>
      <c r="F348" s="7" t="n">
        <v>280</v>
      </c>
      <c r="G348" s="6" t="inlineStr">
        <is>
          <t>LOCAÇÕES</t>
        </is>
      </c>
      <c r="H348" s="6" t="inlineStr">
        <is>
          <t>ORIGINAL LOCACOES LTDA</t>
        </is>
      </c>
      <c r="I348" s="24" t="n">
        <v>45945</v>
      </c>
      <c r="J348" s="6" t="n">
        <v>3580</v>
      </c>
    </row>
    <row r="349">
      <c r="A349" s="23" t="n">
        <v>45931</v>
      </c>
      <c r="B349" s="6" t="inlineStr">
        <is>
          <t>Pago</t>
        </is>
      </c>
      <c r="C349" s="6" t="inlineStr">
        <is>
          <t>PL530.001</t>
        </is>
      </c>
      <c r="D349" s="6" t="str">
        <f>IFERROR(VLOOKUP(E349,FORNECEDORES!$A$5:$F$999,6,FALSE),"L10")</f>
        <v>L03</v>
      </c>
      <c r="E349" s="6" t="inlineStr">
        <is>
          <t>ORIGINAL LOCACOES LTDA</t>
        </is>
      </c>
      <c r="F349" s="7" t="n">
        <v>9.99</v>
      </c>
      <c r="G349" s="6" t="inlineStr">
        <is>
          <t>LOCAÇÕES</t>
        </is>
      </c>
      <c r="H349" s="6" t="inlineStr">
        <is>
          <t>ORIGINAL LOCACOES LTDA</t>
        </is>
      </c>
      <c r="I349" s="24" t="n">
        <v>45945</v>
      </c>
      <c r="J349" s="6" t="n">
        <v>3580</v>
      </c>
    </row>
    <row r="350">
      <c r="A350" s="23" t="n">
        <v>45931</v>
      </c>
      <c r="B350" s="6" t="inlineStr">
        <is>
          <t>Pago</t>
        </is>
      </c>
      <c r="C350" s="6" t="inlineStr">
        <is>
          <t>PL530.001</t>
        </is>
      </c>
      <c r="D350" s="6" t="str">
        <f>IFERROR(VLOOKUP(E350,FORNECEDORES!$A$5:$F$999,6,FALSE),"L10")</f>
        <v>L03</v>
      </c>
      <c r="E350" s="6" t="inlineStr">
        <is>
          <t>ORIGINAL LOCACOES LTDA</t>
        </is>
      </c>
      <c r="F350" s="7" t="n">
        <v>130</v>
      </c>
      <c r="G350" s="6" t="inlineStr">
        <is>
          <t>LOCAÇÕES</t>
        </is>
      </c>
      <c r="H350" s="6" t="inlineStr">
        <is>
          <t>ORIGINAL LOCACOES LTDA</t>
        </is>
      </c>
      <c r="I350" s="24" t="n">
        <v>45945</v>
      </c>
      <c r="J350" s="6" t="n">
        <v>3580</v>
      </c>
    </row>
    <row r="351">
      <c r="A351" s="23" t="n">
        <v>45931</v>
      </c>
      <c r="B351" s="6" t="inlineStr">
        <is>
          <t>Pago</t>
        </is>
      </c>
      <c r="C351" s="6" t="inlineStr">
        <is>
          <t>PL530.001</t>
        </is>
      </c>
      <c r="D351" s="6" t="str">
        <f>IFERROR(VLOOKUP(E351,FORNECEDORES!$A$5:$F$999,6,FALSE),"L10")</f>
        <v>L03</v>
      </c>
      <c r="E351" s="6" t="inlineStr">
        <is>
          <t>ORIGINAL LOCACOES LTDA</t>
        </is>
      </c>
      <c r="F351" s="7" t="n">
        <v>330</v>
      </c>
      <c r="G351" s="6" t="inlineStr">
        <is>
          <t>LOCAÇÕES</t>
        </is>
      </c>
      <c r="H351" s="6" t="inlineStr">
        <is>
          <t>ORIGINAL LOCACOES LTDA</t>
        </is>
      </c>
      <c r="I351" s="24" t="n">
        <v>45945</v>
      </c>
      <c r="J351" s="6" t="n">
        <v>3580</v>
      </c>
    </row>
    <row r="352">
      <c r="A352" s="23" t="n">
        <v>45931</v>
      </c>
      <c r="B352" s="6" t="inlineStr">
        <is>
          <t>Pago</t>
        </is>
      </c>
      <c r="C352" s="6" t="inlineStr">
        <is>
          <t>PL530.001</t>
        </is>
      </c>
      <c r="D352" s="6" t="str">
        <f>IFERROR(VLOOKUP(E352,FORNECEDORES!$A$5:$F$999,6,FALSE),"L10")</f>
        <v>L03</v>
      </c>
      <c r="E352" s="6" t="inlineStr">
        <is>
          <t>ORIGINAL LOCACOES LTDA</t>
        </is>
      </c>
      <c r="F352" s="7" t="n">
        <v>140</v>
      </c>
      <c r="G352" s="6" t="inlineStr">
        <is>
          <t>LOCAÇÕES</t>
        </is>
      </c>
      <c r="H352" s="6" t="inlineStr">
        <is>
          <t>ORIGINAL LOCACOES LTDA</t>
        </is>
      </c>
      <c r="I352" s="24" t="n">
        <v>45945</v>
      </c>
      <c r="J352" s="6" t="n">
        <v>3580</v>
      </c>
    </row>
    <row r="353">
      <c r="A353" s="23" t="n">
        <v>45931</v>
      </c>
      <c r="B353" s="6" t="inlineStr">
        <is>
          <t>Pago</t>
        </is>
      </c>
      <c r="C353" s="6" t="inlineStr">
        <is>
          <t>PL530.001</t>
        </is>
      </c>
      <c r="D353" s="6" t="str">
        <f>IFERROR(VLOOKUP(E353,FORNECEDORES!$A$5:$F$999,6,FALSE),"L10")</f>
        <v>L10</v>
      </c>
      <c r="E353" s="6" t="inlineStr">
        <is>
          <t>SERRALHERIA LAURA AMARAL LTDA</t>
        </is>
      </c>
      <c r="F353" s="7" t="n">
        <v>3150</v>
      </c>
      <c r="G353" s="6" t="inlineStr">
        <is>
          <t>SUB-EMPREITEIROS OBRAS</t>
        </is>
      </c>
      <c r="H353" s="6" t="inlineStr">
        <is>
          <t>SERRALHERIA LAURA AMARAL LTDA</t>
        </is>
      </c>
      <c r="I353" s="24" t="n">
        <v>45931</v>
      </c>
      <c r="J353" s="6" t="n">
        <v>3465</v>
      </c>
    </row>
    <row r="354">
      <c r="A354" s="23" t="n">
        <v>45962</v>
      </c>
      <c r="B354" s="6" t="inlineStr">
        <is>
          <t>Pago</t>
        </is>
      </c>
      <c r="C354" s="6" t="inlineStr">
        <is>
          <t>PL530.001</t>
        </is>
      </c>
      <c r="D354" s="6" t="str">
        <f>IFERROR(VLOOKUP(E354,FORNECEDORES!$A$5:$F$999,6,FALSE),"L10")</f>
        <v>L04</v>
      </c>
      <c r="E354" s="6" t="inlineStr">
        <is>
          <t>BH MADEFORMAS LTDA</t>
        </is>
      </c>
      <c r="F354" s="7" t="n">
        <v>8101.25</v>
      </c>
      <c r="G354" s="6" t="inlineStr">
        <is>
          <t>FORMA DE MADEIRA</t>
        </is>
      </c>
      <c r="H354" s="6" t="inlineStr">
        <is>
          <t>BH MADEFORMAS LTDA</t>
        </is>
      </c>
      <c r="I354" s="24" t="n">
        <v>45978</v>
      </c>
      <c r="J354" s="6" t="n">
        <v>3612</v>
      </c>
    </row>
    <row r="355">
      <c r="A355" s="23" t="n">
        <v>45962</v>
      </c>
      <c r="B355" s="6" t="inlineStr">
        <is>
          <t>Pago</t>
        </is>
      </c>
      <c r="C355" s="6" t="inlineStr">
        <is>
          <t>PL530.001</t>
        </is>
      </c>
      <c r="D355" s="6" t="str">
        <f>IFERROR(VLOOKUP(E355,FORNECEDORES!$A$5:$F$999,6,FALSE),"L10")</f>
        <v>L04</v>
      </c>
      <c r="E355" s="6" t="inlineStr">
        <is>
          <t>BH MADEFORMAS LTDA</t>
        </is>
      </c>
      <c r="F355" s="7" t="n">
        <v>60</v>
      </c>
      <c r="G355" s="6" t="inlineStr">
        <is>
          <t>FRETE</t>
        </is>
      </c>
      <c r="H355" s="6" t="inlineStr">
        <is>
          <t>BH MADEFORMAS LTDA</t>
        </is>
      </c>
      <c r="I355" s="24" t="n">
        <v>45978</v>
      </c>
      <c r="J355" s="6" t="n">
        <v>3612</v>
      </c>
    </row>
    <row r="356">
      <c r="A356" s="23" t="n">
        <v>45962</v>
      </c>
      <c r="B356" s="6" t="inlineStr">
        <is>
          <t>Pago</t>
        </is>
      </c>
      <c r="C356" s="6" t="inlineStr">
        <is>
          <t>PL530.001</t>
        </is>
      </c>
      <c r="D356" s="6" t="str">
        <f>IFERROR(VLOOKUP(E356,FORNECEDORES!$A$5:$F$999,6,FALSE),"L10")</f>
        <v>L10</v>
      </c>
      <c r="E356" s="6" t="inlineStr">
        <is>
          <t>CAR MANUTENCAO DE FERRAMENTAS INDUSTRIAIS LTDA</t>
        </is>
      </c>
      <c r="F356" s="7" t="n">
        <v>1715</v>
      </c>
      <c r="G356" s="6" t="inlineStr">
        <is>
          <t>NÃO CLASSIFICADO</t>
        </is>
      </c>
      <c r="H356" s="6" t="inlineStr">
        <is>
          <t>CAR MANUTENCAO DE FERRAMENTAS INDUSTRIAIS LTDA</t>
        </is>
      </c>
      <c r="I356" s="24" t="n">
        <v>45980</v>
      </c>
      <c r="J356" s="6" t="n">
        <v>3791</v>
      </c>
    </row>
    <row r="357">
      <c r="A357" s="23" t="n">
        <v>45962</v>
      </c>
      <c r="B357" s="6" t="inlineStr">
        <is>
          <t>Pago</t>
        </is>
      </c>
      <c r="C357" s="6" t="inlineStr">
        <is>
          <t>PL530.001</t>
        </is>
      </c>
      <c r="D357" s="6" t="str">
        <f>IFERROR(VLOOKUP(E357,FORNECEDORES!$A$5:$F$999,6,FALSE),"L10")</f>
        <v>L01</v>
      </c>
      <c r="E357" s="6" t="inlineStr">
        <is>
          <t>COFERMETA SA</t>
        </is>
      </c>
      <c r="F357" s="7" t="n">
        <v>175.35</v>
      </c>
      <c r="G357" s="6" t="inlineStr">
        <is>
          <t>EQUIPAMENTOS E FERRAMENTAS</t>
        </is>
      </c>
      <c r="H357" s="6" t="inlineStr">
        <is>
          <t>COFERMETA SA</t>
        </is>
      </c>
      <c r="I357" s="24" t="n">
        <v>45986</v>
      </c>
      <c r="J357" s="6" t="n">
        <v>3565</v>
      </c>
    </row>
    <row r="358">
      <c r="A358" s="23" t="n">
        <v>45962</v>
      </c>
      <c r="B358" s="6" t="inlineStr">
        <is>
          <t>Pago</t>
        </is>
      </c>
      <c r="C358" s="6" t="inlineStr">
        <is>
          <t>PL530.001</t>
        </is>
      </c>
      <c r="D358" s="6" t="str">
        <f>IFERROR(VLOOKUP(E358,FORNECEDORES!$A$5:$F$999,6,FALSE),"L10")</f>
        <v>L10</v>
      </c>
      <c r="E358" s="6" t="inlineStr">
        <is>
          <t>CORTEZ LOCACAO DE EQUIPAMENTOS LTDA-ME</t>
        </is>
      </c>
      <c r="F358" s="7" t="n">
        <v>2796.48</v>
      </c>
      <c r="G358" s="6" t="inlineStr">
        <is>
          <t>NÃO CLASSIFICADO</t>
        </is>
      </c>
      <c r="H358" s="6" t="inlineStr">
        <is>
          <t>CORTEZ LOCACAO DE EQUIPAMENTOS LTDA-ME</t>
        </is>
      </c>
      <c r="I358" s="24" t="n">
        <v>45966</v>
      </c>
      <c r="J358" s="6" t="n">
        <v>3641</v>
      </c>
    </row>
    <row r="359">
      <c r="A359" s="23" t="n">
        <v>45962</v>
      </c>
      <c r="B359" s="6" t="inlineStr">
        <is>
          <t>Pago</t>
        </is>
      </c>
      <c r="C359" s="6" t="inlineStr">
        <is>
          <t>PL530.001</t>
        </is>
      </c>
      <c r="D359" s="6" t="str">
        <f>IFERROR(VLOOKUP(E359,FORNECEDORES!$A$5:$F$999,6,FALSE),"L10")</f>
        <v>L10</v>
      </c>
      <c r="E359" s="6" t="inlineStr">
        <is>
          <t>CORTEZ LOCACAO DE EQUIPAMENTOS LTDA-ME</t>
        </is>
      </c>
      <c r="F359" s="7" t="n">
        <v>52.8</v>
      </c>
      <c r="G359" s="6" t="inlineStr">
        <is>
          <t>NÃO CLASSIFICADO</t>
        </is>
      </c>
      <c r="H359" s="6" t="inlineStr">
        <is>
          <t>INSS RETIDO PJ - MINISTERIO DA PREVIDENCIA</t>
        </is>
      </c>
      <c r="I359" s="24" t="n">
        <v>45979</v>
      </c>
      <c r="J359" s="6" t="n">
        <v>3678</v>
      </c>
    </row>
    <row r="360">
      <c r="A360" s="23" t="n">
        <v>45962</v>
      </c>
      <c r="B360" s="6" t="inlineStr">
        <is>
          <t>Pago</t>
        </is>
      </c>
      <c r="C360" s="6" t="inlineStr">
        <is>
          <t>PL530.001</t>
        </is>
      </c>
      <c r="D360" s="6" t="str">
        <f>IFERROR(VLOOKUP(E360,FORNECEDORES!$A$5:$F$999,6,FALSE),"L10")</f>
        <v>L10</v>
      </c>
      <c r="E360" s="6" t="inlineStr">
        <is>
          <t>CORTEZ LOCACAO DE EQUIPAMENTOS LTDA-ME</t>
        </is>
      </c>
      <c r="F360" s="7" t="n">
        <v>126.72</v>
      </c>
      <c r="G360" s="6" t="inlineStr">
        <is>
          <t>NÃO CLASSIFICADO</t>
        </is>
      </c>
      <c r="H360" s="6" t="inlineStr">
        <is>
          <t>PREFEITURA DE BELO HORIZONTE - ISSQN RETIDO</t>
        </is>
      </c>
      <c r="I360" s="24" t="n">
        <v>45971</v>
      </c>
      <c r="J360" s="6" t="n">
        <v>3677</v>
      </c>
    </row>
    <row r="361">
      <c r="A361" s="23" t="n">
        <v>45962</v>
      </c>
      <c r="B361" s="6" t="inlineStr">
        <is>
          <t>Pago</t>
        </is>
      </c>
      <c r="C361" s="6" t="inlineStr">
        <is>
          <t>PL530.001</t>
        </is>
      </c>
      <c r="D361" s="6" t="str">
        <f>IFERROR(VLOOKUP(E361,FORNECEDORES!$A$5:$F$999,6,FALSE),"L10")</f>
        <v>L03</v>
      </c>
      <c r="E361" s="6" t="inlineStr">
        <is>
          <t>DATRON TECNOLOGIA E LOCACAO LTDA</t>
        </is>
      </c>
      <c r="F361" s="7" t="n">
        <v>375</v>
      </c>
      <c r="G361" s="6" t="inlineStr">
        <is>
          <t>LOCAÇÕES</t>
        </is>
      </c>
      <c r="H361" s="6" t="inlineStr">
        <is>
          <t>DATRON TECNOLOGIA E LOCACAO LTDA</t>
        </is>
      </c>
      <c r="I361" s="24" t="n">
        <v>45978</v>
      </c>
      <c r="J361" s="6" t="n">
        <v>3609</v>
      </c>
    </row>
    <row r="362">
      <c r="A362" s="23" t="n">
        <v>45962</v>
      </c>
      <c r="B362" s="6" t="inlineStr">
        <is>
          <t>Pago</t>
        </is>
      </c>
      <c r="C362" s="6" t="inlineStr">
        <is>
          <t>PL530.001</t>
        </is>
      </c>
      <c r="D362" s="6" t="str">
        <f>IFERROR(VLOOKUP(E362,FORNECEDORES!$A$5:$F$999,6,FALSE),"L10")</f>
        <v>L03</v>
      </c>
      <c r="E362" s="6" t="inlineStr">
        <is>
          <t>EDIFICAR LOCACAO MANUTENCAO E SERVICOS LTDA</t>
        </is>
      </c>
      <c r="F362" s="7" t="n">
        <v>3891.8</v>
      </c>
      <c r="G362" s="6" t="inlineStr">
        <is>
          <t>LOCAÇÕES</t>
        </is>
      </c>
      <c r="H362" s="6" t="inlineStr">
        <is>
          <t>EDIFICAR LOCACAO MANUTENCAO E SERVICOS LTDA</t>
        </is>
      </c>
      <c r="I362" s="24" t="n">
        <v>45978</v>
      </c>
      <c r="J362" s="6" t="n">
        <v>3771</v>
      </c>
    </row>
    <row r="363">
      <c r="A363" s="23" t="n">
        <v>45962</v>
      </c>
      <c r="B363" s="6" t="inlineStr">
        <is>
          <t>Pago</t>
        </is>
      </c>
      <c r="C363" s="6" t="inlineStr">
        <is>
          <t>PL530.001</t>
        </is>
      </c>
      <c r="D363" s="6" t="str">
        <f>IFERROR(VLOOKUP(E363,FORNECEDORES!$A$5:$F$999,6,FALSE),"L10")</f>
        <v>L03</v>
      </c>
      <c r="E363" s="6" t="inlineStr">
        <is>
          <t>EDIFICAR LOCACAO MANUTENCAO E SERVICOS LTDA</t>
        </is>
      </c>
      <c r="F363" s="7" t="n">
        <v>1005.8</v>
      </c>
      <c r="G363" s="6" t="inlineStr">
        <is>
          <t>LOCAÇÕES</t>
        </is>
      </c>
      <c r="H363" s="6" t="inlineStr">
        <is>
          <t>EDIFICAR LOCACAO MANUTENCAO E SERVICOS LTDA</t>
        </is>
      </c>
      <c r="I363" s="24" t="n">
        <v>45964</v>
      </c>
      <c r="J363" s="6" t="n">
        <v>3648</v>
      </c>
    </row>
    <row r="364">
      <c r="A364" s="23" t="n">
        <v>45962</v>
      </c>
      <c r="B364" s="6" t="inlineStr">
        <is>
          <t>Pago</t>
        </is>
      </c>
      <c r="C364" s="6" t="inlineStr">
        <is>
          <t>PL530.001</t>
        </is>
      </c>
      <c r="D364" s="6" t="str">
        <f>IFERROR(VLOOKUP(E364,FORNECEDORES!$A$5:$F$999,6,FALSE),"L10")</f>
        <v>L03</v>
      </c>
      <c r="E364" s="6" t="inlineStr">
        <is>
          <t>EUROLINK IMPORTACAO E LOCACAO DE EQUIPAMENTOS LTDA</t>
        </is>
      </c>
      <c r="F364" s="7" t="n">
        <v>3017.2</v>
      </c>
      <c r="G364" s="6" t="inlineStr">
        <is>
          <t>LOCAÇÕES</t>
        </is>
      </c>
      <c r="H364" s="6" t="inlineStr">
        <is>
          <t>EUROLINK IMPORTACAO E LOCACAO DE EQUIPAMENTOS LTDA</t>
        </is>
      </c>
      <c r="I364" s="24" t="n">
        <v>45980</v>
      </c>
      <c r="J364" s="6" t="n">
        <v>3802</v>
      </c>
    </row>
    <row r="365">
      <c r="A365" s="23" t="n">
        <v>45962</v>
      </c>
      <c r="B365" s="6" t="inlineStr">
        <is>
          <t>Pago</t>
        </is>
      </c>
      <c r="C365" s="6" t="inlineStr">
        <is>
          <t>PL530.001</t>
        </is>
      </c>
      <c r="D365" s="6" t="str">
        <f>IFERROR(VLOOKUP(E365,FORNECEDORES!$A$5:$F$999,6,FALSE),"L10")</f>
        <v>L04</v>
      </c>
      <c r="E365" s="6" t="inlineStr">
        <is>
          <t>EXXI GLOBAL DO BRASIL LTDA</t>
        </is>
      </c>
      <c r="F365" s="7" t="n">
        <v>3978</v>
      </c>
      <c r="G365" s="6" t="inlineStr">
        <is>
          <t>FORMA DE MADEIRA</t>
        </is>
      </c>
      <c r="H365" s="6" t="inlineStr">
        <is>
          <t>EXXI GLOBAL DO BRASIL LTDA</t>
        </is>
      </c>
      <c r="I365" s="24" t="n">
        <v>45980</v>
      </c>
      <c r="J365" s="6" t="n">
        <v>3613</v>
      </c>
    </row>
    <row r="366">
      <c r="A366" s="23" t="n">
        <v>45962</v>
      </c>
      <c r="B366" s="6" t="inlineStr">
        <is>
          <t>Pago</t>
        </is>
      </c>
      <c r="C366" s="6" t="inlineStr">
        <is>
          <t>PL530.001</t>
        </is>
      </c>
      <c r="D366" s="6" t="str">
        <f>IFERROR(VLOOKUP(E366,FORNECEDORES!$A$5:$F$999,6,FALSE),"L10")</f>
        <v>L04</v>
      </c>
      <c r="E366" s="6" t="inlineStr">
        <is>
          <t>EXXI GLOBAL DO BRASIL LTDA</t>
        </is>
      </c>
      <c r="F366" s="7" t="n">
        <v>150</v>
      </c>
      <c r="G366" s="6" t="inlineStr">
        <is>
          <t>FRETE</t>
        </is>
      </c>
      <c r="H366" s="6" t="inlineStr">
        <is>
          <t>EXXI GLOBAL DO BRASIL LTDA</t>
        </is>
      </c>
      <c r="I366" s="24" t="n">
        <v>45980</v>
      </c>
      <c r="J366" s="6" t="n">
        <v>3613</v>
      </c>
    </row>
    <row r="367">
      <c r="A367" s="23" t="n">
        <v>45962</v>
      </c>
      <c r="B367" s="6" t="inlineStr">
        <is>
          <t>Pago</t>
        </is>
      </c>
      <c r="C367" s="6" t="inlineStr">
        <is>
          <t>PL530.001</t>
        </is>
      </c>
      <c r="D367" s="6" t="str">
        <f>IFERROR(VLOOKUP(E367,FORNECEDORES!$A$5:$F$999,6,FALSE),"L10")</f>
        <v>L10</v>
      </c>
      <c r="E367" s="6" t="inlineStr">
        <is>
          <t>FIAO LOCACOES E TRANSPORTES LTDA</t>
        </is>
      </c>
      <c r="F367" s="7" t="n">
        <v>8622.280000000001</v>
      </c>
      <c r="G367" s="6" t="inlineStr">
        <is>
          <t>NÃO CLASSIFICADO</t>
        </is>
      </c>
      <c r="H367" s="6" t="inlineStr">
        <is>
          <t>FIAO LOCACOES E TRANSPORTES LTDA</t>
        </is>
      </c>
      <c r="I367" s="24" t="n">
        <v>45982</v>
      </c>
      <c r="J367" s="6" t="n">
        <v>3731</v>
      </c>
    </row>
    <row r="368">
      <c r="A368" s="23" t="n">
        <v>45962</v>
      </c>
      <c r="B368" s="6" t="inlineStr">
        <is>
          <t>Pago</t>
        </is>
      </c>
      <c r="C368" s="6" t="inlineStr">
        <is>
          <t>PL530.001</t>
        </is>
      </c>
      <c r="D368" s="6" t="str">
        <f>IFERROR(VLOOKUP(E368,FORNECEDORES!$A$5:$F$999,6,FALSE),"L10")</f>
        <v>L10</v>
      </c>
      <c r="E368" s="6" t="inlineStr">
        <is>
          <t>FIAO LOCACOES E TRANSPORTES LTDA</t>
        </is>
      </c>
      <c r="F368" s="7" t="n">
        <v>60.5</v>
      </c>
      <c r="G368" s="6" t="inlineStr">
        <is>
          <t>NÃO CLASSIFICADO</t>
        </is>
      </c>
      <c r="H368" s="6" t="inlineStr">
        <is>
          <t>INSS RETIDO PJ - MINISTERIO DA PREVIDENCIA</t>
        </is>
      </c>
      <c r="I368" s="24" t="n">
        <v>45979</v>
      </c>
      <c r="J368" s="6" t="n">
        <v>3582</v>
      </c>
    </row>
    <row r="369">
      <c r="A369" s="23" t="n">
        <v>45962</v>
      </c>
      <c r="B369" s="6" t="inlineStr">
        <is>
          <t>Pago</t>
        </is>
      </c>
      <c r="C369" s="6" t="inlineStr">
        <is>
          <t>PL530.001</t>
        </is>
      </c>
      <c r="D369" s="6" t="str">
        <f>IFERROR(VLOOKUP(E369,FORNECEDORES!$A$5:$F$999,6,FALSE),"L10")</f>
        <v>L10</v>
      </c>
      <c r="E369" s="6" t="inlineStr">
        <is>
          <t>FIAO LOCACOES E TRANSPORTES LTDA</t>
        </is>
      </c>
      <c r="F369" s="7" t="n">
        <v>47.52</v>
      </c>
      <c r="G369" s="6" t="inlineStr">
        <is>
          <t>NÃO CLASSIFICADO</t>
        </is>
      </c>
      <c r="H369" s="6" t="inlineStr">
        <is>
          <t>PREFEITURA DE BELO HORIZONTE - ISSQN RETIDO</t>
        </is>
      </c>
      <c r="I369" s="24" t="n">
        <v>45971</v>
      </c>
      <c r="J369" s="6" t="n">
        <v>3681</v>
      </c>
    </row>
    <row r="370">
      <c r="A370" s="23" t="n">
        <v>45962</v>
      </c>
      <c r="B370" s="6" t="inlineStr">
        <is>
          <t>Pago</t>
        </is>
      </c>
      <c r="C370" s="6" t="inlineStr">
        <is>
          <t>PL530.001</t>
        </is>
      </c>
      <c r="D370" s="6" t="str">
        <f>IFERROR(VLOOKUP(E370,FORNECEDORES!$A$5:$F$999,6,FALSE),"L10")</f>
        <v>L03</v>
      </c>
      <c r="E370" s="6" t="inlineStr">
        <is>
          <t>LOC MASTER LOCADORA DE EQUIPAMENTOS LTDA</t>
        </is>
      </c>
      <c r="F370" s="7" t="n">
        <v>991.98</v>
      </c>
      <c r="G370" s="6" t="inlineStr">
        <is>
          <t>LOCAÇÕES</t>
        </is>
      </c>
      <c r="H370" s="6" t="inlineStr">
        <is>
          <t>LOC MASTER LOCADORA DE EQUIPAMENTOS LTDA</t>
        </is>
      </c>
      <c r="I370" s="24" t="n">
        <v>45988</v>
      </c>
      <c r="J370" s="6" t="n">
        <v>3821</v>
      </c>
    </row>
    <row r="371">
      <c r="A371" s="23" t="n">
        <v>45962</v>
      </c>
      <c r="B371" s="6" t="inlineStr">
        <is>
          <t>Pago</t>
        </is>
      </c>
      <c r="C371" s="6" t="inlineStr">
        <is>
          <t>PL530.001</t>
        </is>
      </c>
      <c r="D371" s="6" t="str">
        <f>IFERROR(VLOOKUP(E371,FORNECEDORES!$A$5:$F$999,6,FALSE),"L10")</f>
        <v>L03</v>
      </c>
      <c r="E371" s="6" t="inlineStr">
        <is>
          <t>LOCAFAZ LOCACAO DE EQUIPAMENTOS LTDA</t>
        </is>
      </c>
      <c r="F371" s="7" t="n">
        <v>1190.2</v>
      </c>
      <c r="G371" s="6" t="inlineStr">
        <is>
          <t>LOCAÇÕES</t>
        </is>
      </c>
      <c r="H371" s="6" t="inlineStr">
        <is>
          <t>LOCAFAZ LOCACAO DE EQUIPAMENTOS LTDA</t>
        </is>
      </c>
      <c r="I371" s="24" t="n">
        <v>45964</v>
      </c>
      <c r="J371" s="6" t="n">
        <v>3516</v>
      </c>
    </row>
    <row r="372">
      <c r="A372" s="23" t="n">
        <v>45962</v>
      </c>
      <c r="B372" s="6" t="inlineStr">
        <is>
          <t>Pago</t>
        </is>
      </c>
      <c r="C372" s="6" t="inlineStr">
        <is>
          <t>PL530.001</t>
        </is>
      </c>
      <c r="D372" s="6" t="str">
        <f>IFERROR(VLOOKUP(E372,FORNECEDORES!$A$5:$F$999,6,FALSE),"L10")</f>
        <v>L03</v>
      </c>
      <c r="E372" s="6" t="inlineStr">
        <is>
          <t>LOCAFAZ LOCACAO DE EQUIPAMENTOS LTDA</t>
        </is>
      </c>
      <c r="F372" s="7" t="n">
        <v>141.27</v>
      </c>
      <c r="G372" s="6" t="inlineStr">
        <is>
          <t>LOCAÇÕES</t>
        </is>
      </c>
      <c r="H372" s="6" t="inlineStr">
        <is>
          <t>LOCAFAZ LOCACAO DE EQUIPAMENTOS LTDA</t>
        </is>
      </c>
      <c r="I372" s="24" t="n">
        <v>45972</v>
      </c>
      <c r="J372" s="6" t="n">
        <v>3645</v>
      </c>
    </row>
    <row r="373">
      <c r="A373" s="23" t="n">
        <v>45962</v>
      </c>
      <c r="B373" s="6" t="inlineStr">
        <is>
          <t>Pago</t>
        </is>
      </c>
      <c r="C373" s="6" t="inlineStr">
        <is>
          <t>PL530.001</t>
        </is>
      </c>
      <c r="D373" s="6" t="str">
        <f>IFERROR(VLOOKUP(E373,FORNECEDORES!$A$5:$F$999,6,FALSE),"L10")</f>
        <v>L03</v>
      </c>
      <c r="E373" s="6" t="inlineStr">
        <is>
          <t>LOCAFAZ LOCACAO DE EQUIPAMENTOS LTDA</t>
        </is>
      </c>
      <c r="F373" s="7" t="n">
        <v>550</v>
      </c>
      <c r="G373" s="6" t="inlineStr">
        <is>
          <t>LOCAÇÕES</t>
        </is>
      </c>
      <c r="H373" s="6" t="inlineStr">
        <is>
          <t>LOCAFAZ LOCACAO DE EQUIPAMENTOS LTDA</t>
        </is>
      </c>
      <c r="I373" s="24" t="n">
        <v>45972</v>
      </c>
      <c r="J373" s="6" t="n">
        <v>3645</v>
      </c>
    </row>
    <row r="374">
      <c r="A374" s="23" t="n">
        <v>45962</v>
      </c>
      <c r="B374" s="6" t="inlineStr">
        <is>
          <t>Pago</t>
        </is>
      </c>
      <c r="C374" s="6" t="inlineStr">
        <is>
          <t>PL530.001</t>
        </is>
      </c>
      <c r="D374" s="6" t="str">
        <f>IFERROR(VLOOKUP(E374,FORNECEDORES!$A$5:$F$999,6,FALSE),"L10")</f>
        <v>L03</v>
      </c>
      <c r="E374" s="6" t="inlineStr">
        <is>
          <t>LOCAFAZ LOCACAO DE EQUIPAMENTOS LTDA</t>
        </is>
      </c>
      <c r="F374" s="7" t="n">
        <v>328</v>
      </c>
      <c r="G374" s="6" t="inlineStr">
        <is>
          <t>LOCAÇÕES</t>
        </is>
      </c>
      <c r="H374" s="6" t="inlineStr">
        <is>
          <t>LOCAFAZ LOCACAO DE EQUIPAMENTOS LTDA</t>
        </is>
      </c>
      <c r="I374" s="24" t="n">
        <v>45972</v>
      </c>
      <c r="J374" s="6" t="n">
        <v>3645</v>
      </c>
    </row>
    <row r="375">
      <c r="A375" s="23" t="n">
        <v>45962</v>
      </c>
      <c r="B375" s="6" t="inlineStr">
        <is>
          <t>Pago</t>
        </is>
      </c>
      <c r="C375" s="6" t="inlineStr">
        <is>
          <t>PL530.001</t>
        </is>
      </c>
      <c r="D375" s="6" t="str">
        <f>IFERROR(VLOOKUP(E375,FORNECEDORES!$A$5:$F$999,6,FALSE),"L10")</f>
        <v>L01</v>
      </c>
      <c r="E375" s="6" t="inlineStr">
        <is>
          <t>LOJA ELETRICA LIMITADA</t>
        </is>
      </c>
      <c r="F375" s="7" t="n">
        <v>365</v>
      </c>
      <c r="G375" s="6" t="inlineStr">
        <is>
          <t>MÓVEIS E ELETRODOMÉSTICOS</t>
        </is>
      </c>
      <c r="H375" s="6" t="inlineStr">
        <is>
          <t>LOJA ELETRICA LIMITADA</t>
        </is>
      </c>
      <c r="I375" s="24" t="n">
        <v>45985</v>
      </c>
      <c r="J375" s="6" t="n">
        <v>3560</v>
      </c>
    </row>
    <row r="376">
      <c r="A376" s="23" t="n">
        <v>45962</v>
      </c>
      <c r="B376" s="6" t="inlineStr">
        <is>
          <t>Pago</t>
        </is>
      </c>
      <c r="C376" s="6" t="inlineStr">
        <is>
          <t>PL530.001</t>
        </is>
      </c>
      <c r="D376" s="6" t="str">
        <f>IFERROR(VLOOKUP(E376,FORNECEDORES!$A$5:$F$999,6,FALSE),"L10")</f>
        <v>L01</v>
      </c>
      <c r="E376" s="6" t="inlineStr">
        <is>
          <t>MINAS FERRAMENTAS LTDA</t>
        </is>
      </c>
      <c r="F376" s="7" t="n">
        <v>17.3</v>
      </c>
      <c r="G376" s="6" t="inlineStr">
        <is>
          <t>EQUIPAMENTOS E FERRAMENTAS</t>
        </is>
      </c>
      <c r="H376" s="6" t="inlineStr">
        <is>
          <t>MINAS FERRAMENTAS LTDA</t>
        </is>
      </c>
      <c r="I376" s="24" t="n">
        <v>45980</v>
      </c>
      <c r="J376" s="6" t="n">
        <v>3600</v>
      </c>
    </row>
    <row r="377">
      <c r="A377" s="23" t="n">
        <v>45962</v>
      </c>
      <c r="B377" s="6" t="inlineStr">
        <is>
          <t>Pago</t>
        </is>
      </c>
      <c r="C377" s="6" t="inlineStr">
        <is>
          <t>PL530.001</t>
        </is>
      </c>
      <c r="D377" s="6" t="str">
        <f>IFERROR(VLOOKUP(E377,FORNECEDORES!$A$5:$F$999,6,FALSE),"L10")</f>
        <v>L01</v>
      </c>
      <c r="E377" s="6" t="inlineStr">
        <is>
          <t>MINAS FERRAMENTAS LTDA</t>
        </is>
      </c>
      <c r="F377" s="7" t="n">
        <v>37.02</v>
      </c>
      <c r="G377" s="6" t="inlineStr">
        <is>
          <t>EQUIPAMENTOS E FERRAMENTAS</t>
        </is>
      </c>
      <c r="H377" s="6" t="inlineStr">
        <is>
          <t>MINAS FERRAMENTAS LTDA</t>
        </is>
      </c>
      <c r="I377" s="24" t="n">
        <v>45980</v>
      </c>
      <c r="J377" s="6" t="n">
        <v>3600</v>
      </c>
    </row>
    <row r="378">
      <c r="A378" s="23" t="n">
        <v>45962</v>
      </c>
      <c r="B378" s="6" t="inlineStr">
        <is>
          <t>Pago</t>
        </is>
      </c>
      <c r="C378" s="6" t="inlineStr">
        <is>
          <t>PL530.001</t>
        </is>
      </c>
      <c r="D378" s="6" t="str">
        <f>IFERROR(VLOOKUP(E378,FORNECEDORES!$A$5:$F$999,6,FALSE),"L10")</f>
        <v>L01</v>
      </c>
      <c r="E378" s="6" t="inlineStr">
        <is>
          <t>MINAS FERRAMENTAS LTDA</t>
        </is>
      </c>
      <c r="F378" s="7" t="n">
        <v>37.93</v>
      </c>
      <c r="G378" s="6" t="inlineStr">
        <is>
          <t>EQUIPAMENTOS E FERRAMENTAS</t>
        </is>
      </c>
      <c r="H378" s="6" t="inlineStr">
        <is>
          <t>MINAS FERRAMENTAS LTDA</t>
        </is>
      </c>
      <c r="I378" s="24" t="n">
        <v>45971</v>
      </c>
      <c r="J378" s="6" t="n">
        <v>3558</v>
      </c>
    </row>
    <row r="379">
      <c r="A379" s="23" t="n">
        <v>45962</v>
      </c>
      <c r="B379" s="6" t="inlineStr">
        <is>
          <t>Pago</t>
        </is>
      </c>
      <c r="C379" s="6" t="inlineStr">
        <is>
          <t>PL530.001</t>
        </is>
      </c>
      <c r="D379" s="6" t="str">
        <f>IFERROR(VLOOKUP(E379,FORNECEDORES!$A$5:$F$999,6,FALSE),"L10")</f>
        <v>L03</v>
      </c>
      <c r="E379" s="6" t="inlineStr">
        <is>
          <t>ORIGINAL LOCACOES LTDA</t>
        </is>
      </c>
      <c r="F379" s="7" t="n">
        <v>130</v>
      </c>
      <c r="G379" s="6" t="inlineStr">
        <is>
          <t>LOCAÇÕES</t>
        </is>
      </c>
      <c r="H379" s="6" t="inlineStr">
        <is>
          <t>ORIGINAL LOCACOES LTDA</t>
        </is>
      </c>
      <c r="I379" s="24" t="n">
        <v>45974</v>
      </c>
      <c r="J379" s="6" t="n">
        <v>3721</v>
      </c>
    </row>
    <row r="380">
      <c r="A380" s="23" t="n">
        <v>45962</v>
      </c>
      <c r="B380" s="6" t="inlineStr">
        <is>
          <t>Pago</t>
        </is>
      </c>
      <c r="C380" s="6" t="inlineStr">
        <is>
          <t>PL530.001</t>
        </is>
      </c>
      <c r="D380" s="6" t="str">
        <f>IFERROR(VLOOKUP(E380,FORNECEDORES!$A$5:$F$999,6,FALSE),"L10")</f>
        <v>L03</v>
      </c>
      <c r="E380" s="6" t="inlineStr">
        <is>
          <t>ORIGINAL LOCACOES LTDA</t>
        </is>
      </c>
      <c r="F380" s="7" t="n">
        <v>249.99</v>
      </c>
      <c r="G380" s="6" t="inlineStr">
        <is>
          <t>LOCAÇÕES</t>
        </is>
      </c>
      <c r="H380" s="6" t="inlineStr">
        <is>
          <t>ORIGINAL LOCACOES LTDA</t>
        </is>
      </c>
      <c r="I380" s="24" t="n">
        <v>45974</v>
      </c>
      <c r="J380" s="6" t="n">
        <v>3721</v>
      </c>
    </row>
    <row r="381">
      <c r="A381" s="23" t="n">
        <v>45962</v>
      </c>
      <c r="B381" s="6" t="inlineStr">
        <is>
          <t>Pago</t>
        </is>
      </c>
      <c r="C381" s="6" t="inlineStr">
        <is>
          <t>PL530.001</t>
        </is>
      </c>
      <c r="D381" s="6" t="str">
        <f>IFERROR(VLOOKUP(E381,FORNECEDORES!$A$5:$F$999,6,FALSE),"L10")</f>
        <v>L03</v>
      </c>
      <c r="E381" s="6" t="inlineStr">
        <is>
          <t>ORIGINAL LOCACOES LTDA</t>
        </is>
      </c>
      <c r="F381" s="7" t="n">
        <v>280</v>
      </c>
      <c r="G381" s="6" t="inlineStr">
        <is>
          <t>LOCAÇÕES</t>
        </is>
      </c>
      <c r="H381" s="6" t="inlineStr">
        <is>
          <t>ORIGINAL LOCACOES LTDA</t>
        </is>
      </c>
      <c r="I381" s="24" t="n">
        <v>45974</v>
      </c>
      <c r="J381" s="6" t="n">
        <v>3721</v>
      </c>
    </row>
    <row r="382">
      <c r="A382" s="23" t="n">
        <v>45962</v>
      </c>
      <c r="B382" s="6" t="inlineStr">
        <is>
          <t>Pago</t>
        </is>
      </c>
      <c r="C382" s="6" t="inlineStr">
        <is>
          <t>PL530.001</t>
        </is>
      </c>
      <c r="D382" s="6" t="str">
        <f>IFERROR(VLOOKUP(E382,FORNECEDORES!$A$5:$F$999,6,FALSE),"L10")</f>
        <v>L03</v>
      </c>
      <c r="E382" s="6" t="inlineStr">
        <is>
          <t>ORIGINAL LOCACOES LTDA</t>
        </is>
      </c>
      <c r="F382" s="7" t="n">
        <v>120</v>
      </c>
      <c r="G382" s="6" t="inlineStr">
        <is>
          <t>LOCAÇÕES</t>
        </is>
      </c>
      <c r="H382" s="6" t="inlineStr">
        <is>
          <t>ORIGINAL LOCACOES LTDA</t>
        </is>
      </c>
      <c r="I382" s="24" t="n">
        <v>45974</v>
      </c>
      <c r="J382" s="6" t="n">
        <v>3721</v>
      </c>
    </row>
    <row r="383">
      <c r="A383" s="23" t="n">
        <v>45962</v>
      </c>
      <c r="B383" s="6" t="inlineStr">
        <is>
          <t>Pago</t>
        </is>
      </c>
      <c r="C383" s="6" t="inlineStr">
        <is>
          <t>PL530.001</t>
        </is>
      </c>
      <c r="D383" s="6" t="str">
        <f>IFERROR(VLOOKUP(E383,FORNECEDORES!$A$5:$F$999,6,FALSE),"L10")</f>
        <v>L03</v>
      </c>
      <c r="E383" s="6" t="inlineStr">
        <is>
          <t>ORIGINAL LOCACOES LTDA</t>
        </is>
      </c>
      <c r="F383" s="7" t="n">
        <v>140</v>
      </c>
      <c r="G383" s="6" t="inlineStr">
        <is>
          <t>LOCAÇÕES</t>
        </is>
      </c>
      <c r="H383" s="6" t="inlineStr">
        <is>
          <t>ORIGINAL LOCACOES LTDA</t>
        </is>
      </c>
      <c r="I383" s="24" t="n">
        <v>45974</v>
      </c>
      <c r="J383" s="6" t="n">
        <v>3721</v>
      </c>
    </row>
    <row r="384">
      <c r="A384" s="23" t="n">
        <v>45962</v>
      </c>
      <c r="B384" s="6" t="inlineStr">
        <is>
          <t>Pago</t>
        </is>
      </c>
      <c r="C384" s="6" t="inlineStr">
        <is>
          <t>PL530.001</t>
        </is>
      </c>
      <c r="D384" s="6" t="str">
        <f>IFERROR(VLOOKUP(E384,FORNECEDORES!$A$5:$F$999,6,FALSE),"L10")</f>
        <v>L03</v>
      </c>
      <c r="E384" s="6" t="inlineStr">
        <is>
          <t>ORIGINAL LOCACOES LTDA</t>
        </is>
      </c>
      <c r="F384" s="7" t="n">
        <v>220</v>
      </c>
      <c r="G384" s="6" t="inlineStr">
        <is>
          <t>LOCAÇÕES</t>
        </is>
      </c>
      <c r="H384" s="6" t="inlineStr">
        <is>
          <t>ORIGINAL LOCACOES LTDA</t>
        </is>
      </c>
      <c r="I384" s="24" t="n">
        <v>45974</v>
      </c>
      <c r="J384" s="6" t="n">
        <v>3721</v>
      </c>
    </row>
    <row r="385">
      <c r="A385" s="23" t="n">
        <v>45962</v>
      </c>
      <c r="B385" s="6" t="inlineStr">
        <is>
          <t>Pago</t>
        </is>
      </c>
      <c r="C385" s="6" t="inlineStr">
        <is>
          <t>PL530.001</t>
        </is>
      </c>
      <c r="D385" s="6" t="str">
        <f>IFERROR(VLOOKUP(E385,FORNECEDORES!$A$5:$F$999,6,FALSE),"L10")</f>
        <v>L03</v>
      </c>
      <c r="E385" s="6" t="inlineStr">
        <is>
          <t>ORIGINAL LOCACOES LTDA</t>
        </is>
      </c>
      <c r="F385" s="7" t="n">
        <v>520.37</v>
      </c>
      <c r="G385" s="6" t="inlineStr">
        <is>
          <t>LOCAÇÕES</t>
        </is>
      </c>
      <c r="H385" s="6" t="inlineStr">
        <is>
          <t>ORIGINAL LOCACOES LTDA</t>
        </is>
      </c>
      <c r="I385" s="24" t="n">
        <v>45968</v>
      </c>
      <c r="J385" s="6" t="n">
        <v>3724</v>
      </c>
    </row>
    <row r="386">
      <c r="A386" s="23" t="n">
        <v>45962</v>
      </c>
      <c r="B386" s="6" t="inlineStr">
        <is>
          <t>Pago</t>
        </is>
      </c>
      <c r="C386" s="6" t="inlineStr">
        <is>
          <t>PL530.001</t>
        </is>
      </c>
      <c r="D386" s="6" t="str">
        <f>IFERROR(VLOOKUP(E386,FORNECEDORES!$A$5:$F$999,6,FALSE),"L10")</f>
        <v>L03</v>
      </c>
      <c r="E386" s="6" t="inlineStr">
        <is>
          <t>ORIGINAL LOCACOES LTDA</t>
        </is>
      </c>
      <c r="F386" s="7" t="n">
        <v>505.74</v>
      </c>
      <c r="G386" s="6" t="inlineStr">
        <is>
          <t>LOCAÇÕES</t>
        </is>
      </c>
      <c r="H386" s="6" t="inlineStr">
        <is>
          <t>ORIGINAL LOCACOES LTDA</t>
        </is>
      </c>
      <c r="I386" s="24" t="n">
        <v>45989</v>
      </c>
      <c r="J386" s="6" t="n">
        <v>3489</v>
      </c>
    </row>
    <row r="387">
      <c r="A387" s="23" t="n">
        <v>45962</v>
      </c>
      <c r="B387" s="6" t="inlineStr">
        <is>
          <t>Pago</t>
        </is>
      </c>
      <c r="C387" s="6" t="inlineStr">
        <is>
          <t>PL530.001</t>
        </is>
      </c>
      <c r="D387" s="6" t="str">
        <f>IFERROR(VLOOKUP(E387,FORNECEDORES!$A$5:$F$999,6,FALSE),"L10")</f>
        <v>L01</v>
      </c>
      <c r="E387" s="6" t="inlineStr">
        <is>
          <t>OTHON DE CARVALHO E CIA LTDA</t>
        </is>
      </c>
      <c r="F387" s="7" t="n">
        <v>154.5</v>
      </c>
      <c r="G387" s="6" t="inlineStr">
        <is>
          <t>MATERIAL ELÉTRICO</t>
        </is>
      </c>
      <c r="H387" s="6" t="inlineStr">
        <is>
          <t>OTHON DE CARVALHO E CIA LTDA</t>
        </is>
      </c>
      <c r="I387" s="24" t="n">
        <v>45985</v>
      </c>
      <c r="J387" s="6" t="n">
        <v>3661</v>
      </c>
    </row>
    <row r="388">
      <c r="A388" s="23" t="n">
        <v>45962</v>
      </c>
      <c r="B388" s="6" t="inlineStr">
        <is>
          <t>Pago</t>
        </is>
      </c>
      <c r="C388" s="6" t="inlineStr">
        <is>
          <t>PL530.001</t>
        </is>
      </c>
      <c r="D388" s="6" t="str">
        <f>IFERROR(VLOOKUP(E388,FORNECEDORES!$A$5:$F$999,6,FALSE),"L10")</f>
        <v>L01</v>
      </c>
      <c r="E388" s="6" t="inlineStr">
        <is>
          <t>OTHON DE CARVALHO E CIA LTDA</t>
        </is>
      </c>
      <c r="F388" s="7" t="n">
        <v>100.8</v>
      </c>
      <c r="G388" s="6" t="inlineStr">
        <is>
          <t>MATERIAL ELÉTRICO</t>
        </is>
      </c>
      <c r="H388" s="6" t="inlineStr">
        <is>
          <t>OTHON DE CARVALHO E CIA LTDA</t>
        </is>
      </c>
      <c r="I388" s="24" t="n">
        <v>45985</v>
      </c>
      <c r="J388" s="6" t="n">
        <v>3661</v>
      </c>
    </row>
    <row r="389">
      <c r="A389" s="23" t="n">
        <v>45962</v>
      </c>
      <c r="B389" s="6" t="inlineStr">
        <is>
          <t>Pago</t>
        </is>
      </c>
      <c r="C389" s="6" t="inlineStr">
        <is>
          <t>PL530.001</t>
        </is>
      </c>
      <c r="D389" s="6" t="str">
        <f>IFERROR(VLOOKUP(E389,FORNECEDORES!$A$5:$F$999,6,FALSE),"L10")</f>
        <v>L10</v>
      </c>
      <c r="E389" s="6" t="inlineStr">
        <is>
          <t>PGO PLANEJAMENTO GERENCIAMENTO E OBRAS LTDA. - ME</t>
        </is>
      </c>
      <c r="F389" s="7" t="n">
        <v>5605.14</v>
      </c>
      <c r="G389" s="6" t="inlineStr">
        <is>
          <t>NÃO CLASSIFICADO</t>
        </is>
      </c>
      <c r="H389" s="6" t="inlineStr">
        <is>
          <t>PGO PLANEJAMENTO GERENCIAMENTO E OBRAS LTDA. - ME</t>
        </is>
      </c>
      <c r="I389" s="24" t="n">
        <v>45987</v>
      </c>
      <c r="J389" s="6" t="n">
        <v>3624</v>
      </c>
    </row>
    <row r="390">
      <c r="A390" s="23" t="n">
        <v>45962</v>
      </c>
      <c r="B390" s="6" t="inlineStr">
        <is>
          <t>Pago</t>
        </is>
      </c>
      <c r="C390" s="6" t="inlineStr">
        <is>
          <t>PL530.001</t>
        </is>
      </c>
      <c r="D390" s="6" t="str">
        <f>IFERROR(VLOOKUP(E390,FORNECEDORES!$A$5:$F$999,6,FALSE),"L10")</f>
        <v>L10</v>
      </c>
      <c r="E390" s="6" t="inlineStr">
        <is>
          <t>PGO PLANEJAMENTO GERENCIAMENTO E OBRAS LTDA. - ME</t>
        </is>
      </c>
      <c r="F390" s="7" t="n">
        <v>227.69</v>
      </c>
      <c r="G390" s="6" t="inlineStr">
        <is>
          <t>NÃO CLASSIFICADO</t>
        </is>
      </c>
      <c r="H390" s="6" t="inlineStr">
        <is>
          <t>INSS RETIDO PJ - MINISTERIO DA PREVIDENCIA</t>
        </is>
      </c>
      <c r="I390" s="24" t="n">
        <v>45979</v>
      </c>
      <c r="J390" s="6" t="n">
        <v>3676</v>
      </c>
    </row>
    <row r="391">
      <c r="A391" s="23" t="n">
        <v>45962</v>
      </c>
      <c r="B391" s="6" t="inlineStr">
        <is>
          <t>Pago</t>
        </is>
      </c>
      <c r="C391" s="6" t="inlineStr">
        <is>
          <t>PL530.001</t>
        </is>
      </c>
      <c r="D391" s="6" t="str">
        <f>IFERROR(VLOOKUP(E391,FORNECEDORES!$A$5:$F$999,6,FALSE),"L10")</f>
        <v>L10</v>
      </c>
      <c r="E391" s="6" t="inlineStr">
        <is>
          <t>PGO PLANEJAMENTO GERENCIAMENTO E OBRAS LTDA. - ME</t>
        </is>
      </c>
      <c r="F391" s="7" t="n">
        <v>217.28</v>
      </c>
      <c r="G391" s="6" t="inlineStr">
        <is>
          <t>NÃO CLASSIFICADO</t>
        </is>
      </c>
      <c r="H391" s="6" t="inlineStr">
        <is>
          <t>PREFEITURA DE BELO HORIZONTE - ISSQN RETIDO</t>
        </is>
      </c>
      <c r="I391" s="24" t="n">
        <v>45971</v>
      </c>
      <c r="J391" s="6" t="n">
        <v>3675</v>
      </c>
    </row>
    <row r="392">
      <c r="A392" s="23" t="n">
        <v>45962</v>
      </c>
      <c r="B392" s="6" t="inlineStr">
        <is>
          <t>Pago</t>
        </is>
      </c>
      <c r="C392" s="6" t="inlineStr">
        <is>
          <t>PL530.001</t>
        </is>
      </c>
      <c r="D392" s="6" t="str">
        <f>IFERROR(VLOOKUP(E392,FORNECEDORES!$A$5:$F$999,6,FALSE),"L10")</f>
        <v>L01</v>
      </c>
      <c r="E392" s="6" t="inlineStr">
        <is>
          <t>TECIDOS E ARMARINHOS MIGUEL BARTOLOMEU S/A</t>
        </is>
      </c>
      <c r="F392" s="7" t="n">
        <v>60</v>
      </c>
      <c r="G392" s="6" t="inlineStr">
        <is>
          <t>EQUIPAMENTOS E FERRAMENTAS</t>
        </is>
      </c>
      <c r="H392" s="6" t="inlineStr">
        <is>
          <t>TECIDOS E ARMARINHOS MIGUEL BARTOLOMEU S/A</t>
        </is>
      </c>
      <c r="I392" s="24" t="n">
        <v>45971</v>
      </c>
      <c r="J392" s="6" t="n">
        <v>3556</v>
      </c>
    </row>
    <row r="393">
      <c r="A393" s="23" t="n">
        <v>45962</v>
      </c>
      <c r="B393" s="6" t="inlineStr">
        <is>
          <t>Pago</t>
        </is>
      </c>
      <c r="C393" s="6" t="inlineStr">
        <is>
          <t>PL530.001</t>
        </is>
      </c>
      <c r="D393" s="6" t="str">
        <f>IFERROR(VLOOKUP(E393,FORNECEDORES!$A$5:$F$999,6,FALSE),"L10")</f>
        <v>L01</v>
      </c>
      <c r="E393" s="6" t="inlineStr">
        <is>
          <t>TECIDOS E ARMARINHOS MIGUEL BARTOLOMEU S/A</t>
        </is>
      </c>
      <c r="F393" s="7" t="n">
        <v>220</v>
      </c>
      <c r="G393" s="6" t="inlineStr">
        <is>
          <t>EQUIPAMENTOS E FERRAMENTAS</t>
        </is>
      </c>
      <c r="H393" s="6" t="inlineStr">
        <is>
          <t>TECIDOS E ARMARINHOS MIGUEL BARTOLOMEU S/A</t>
        </is>
      </c>
      <c r="I393" s="24" t="n">
        <v>45971</v>
      </c>
      <c r="J393" s="6" t="n">
        <v>3556</v>
      </c>
    </row>
    <row r="394">
      <c r="A394" s="23" t="n">
        <v>45962</v>
      </c>
      <c r="B394" s="6" t="inlineStr">
        <is>
          <t>Pago</t>
        </is>
      </c>
      <c r="C394" s="6" t="inlineStr">
        <is>
          <t>PL530.001</t>
        </is>
      </c>
      <c r="D394" s="6" t="str">
        <f>IFERROR(VLOOKUP(E394,FORNECEDORES!$A$5:$F$999,6,FALSE),"L10")</f>
        <v>L01</v>
      </c>
      <c r="E394" s="6" t="inlineStr">
        <is>
          <t>TECIDOS E ARMARINHOS MIGUEL BARTOLOMEU S/A</t>
        </is>
      </c>
      <c r="F394" s="7" t="n">
        <v>210</v>
      </c>
      <c r="G394" s="6" t="inlineStr">
        <is>
          <t>EQUIPAMENTOS E FERRAMENTAS</t>
        </is>
      </c>
      <c r="H394" s="6" t="inlineStr">
        <is>
          <t>TECIDOS E ARMARINHOS MIGUEL BARTOLOMEU S/A</t>
        </is>
      </c>
      <c r="I394" s="24" t="n">
        <v>45971</v>
      </c>
      <c r="J394" s="6" t="n">
        <v>3556</v>
      </c>
    </row>
    <row r="395">
      <c r="A395" s="23" t="n">
        <v>45962</v>
      </c>
      <c r="B395" s="6" t="inlineStr">
        <is>
          <t>Pago</t>
        </is>
      </c>
      <c r="C395" s="6" t="inlineStr">
        <is>
          <t>PL530.001</t>
        </is>
      </c>
      <c r="D395" s="6" t="str">
        <f>IFERROR(VLOOKUP(E395,FORNECEDORES!$A$5:$F$999,6,FALSE),"L10")</f>
        <v>L01</v>
      </c>
      <c r="E395" s="6" t="inlineStr">
        <is>
          <t>TECIDOS E ARMARINHOS MIGUEL BARTOLOMEU S/A</t>
        </is>
      </c>
      <c r="F395" s="7" t="n">
        <v>440</v>
      </c>
      <c r="G395" s="6" t="inlineStr">
        <is>
          <t>EQUIPAMENTOS E FERRAMENTAS</t>
        </is>
      </c>
      <c r="H395" s="6" t="inlineStr">
        <is>
          <t>TECIDOS E ARMARINHOS MIGUEL BARTOLOMEU S/A</t>
        </is>
      </c>
      <c r="I395" s="24" t="n">
        <v>45971</v>
      </c>
      <c r="J395" s="6" t="n">
        <v>3556</v>
      </c>
    </row>
    <row r="396">
      <c r="A396" s="23" t="n">
        <v>45962</v>
      </c>
      <c r="B396" s="6" t="inlineStr">
        <is>
          <t>Pago</t>
        </is>
      </c>
      <c r="C396" s="6" t="inlineStr">
        <is>
          <t>PL530.001</t>
        </is>
      </c>
      <c r="D396" s="6" t="str">
        <f>IFERROR(VLOOKUP(E396,FORNECEDORES!$A$5:$F$999,6,FALSE),"L10")</f>
        <v>L01</v>
      </c>
      <c r="E396" s="6" t="inlineStr">
        <is>
          <t>TECIDOS E ARMARINHOS MIGUEL BARTOLOMEU S/A</t>
        </is>
      </c>
      <c r="F396" s="7" t="n">
        <v>720</v>
      </c>
      <c r="G396" s="6" t="inlineStr">
        <is>
          <t>EQUIPAMENTOS E FERRAMENTAS</t>
        </is>
      </c>
      <c r="H396" s="6" t="inlineStr">
        <is>
          <t>TECIDOS E ARMARINHOS MIGUEL BARTOLOMEU S/A</t>
        </is>
      </c>
      <c r="I396" s="24" t="n">
        <v>45971</v>
      </c>
      <c r="J396" s="6" t="n">
        <v>3556</v>
      </c>
    </row>
    <row r="397">
      <c r="A397" s="23" t="n">
        <v>45962</v>
      </c>
      <c r="B397" s="6" t="inlineStr">
        <is>
          <t>Pago</t>
        </is>
      </c>
      <c r="C397" s="6" t="inlineStr">
        <is>
          <t>PL530.001</t>
        </is>
      </c>
      <c r="D397" s="6" t="str">
        <f>IFERROR(VLOOKUP(E397,FORNECEDORES!$A$5:$F$999,6,FALSE),"L10")</f>
        <v>L01</v>
      </c>
      <c r="E397" s="6" t="inlineStr">
        <is>
          <t>TECIDOS E ARMARINHOS MIGUEL BARTOLOMEU S/A</t>
        </is>
      </c>
      <c r="F397" s="7" t="n">
        <v>462.5</v>
      </c>
      <c r="G397" s="6" t="inlineStr">
        <is>
          <t>EQUIPAMENTOS E FERRAMENTAS</t>
        </is>
      </c>
      <c r="H397" s="6" t="inlineStr">
        <is>
          <t>TECIDOS E ARMARINHOS MIGUEL BARTOLOMEU S/A</t>
        </is>
      </c>
      <c r="I397" s="24" t="n">
        <v>45971</v>
      </c>
      <c r="J397" s="6" t="n">
        <v>3556</v>
      </c>
    </row>
    <row r="398">
      <c r="A398" s="23" t="n">
        <v>45962</v>
      </c>
      <c r="B398" s="6" t="inlineStr">
        <is>
          <t>Pago</t>
        </is>
      </c>
      <c r="C398" s="6" t="inlineStr">
        <is>
          <t>PL530.001</t>
        </is>
      </c>
      <c r="D398" s="6" t="str">
        <f>IFERROR(VLOOKUP(E398,FORNECEDORES!$A$5:$F$999,6,FALSE),"L10")</f>
        <v>L01</v>
      </c>
      <c r="E398" s="6" t="inlineStr">
        <is>
          <t>TECIDOS E ARMARINHOS MIGUEL BARTOLOMEU S/A</t>
        </is>
      </c>
      <c r="F398" s="7" t="n">
        <v>44</v>
      </c>
      <c r="G398" s="6" t="inlineStr">
        <is>
          <t>EQUIPAMENTOS E FERRAMENTAS</t>
        </is>
      </c>
      <c r="H398" s="6" t="inlineStr">
        <is>
          <t>TECIDOS E ARMARINHOS MIGUEL BARTOLOMEU S/A</t>
        </is>
      </c>
      <c r="I398" s="24" t="n">
        <v>45971</v>
      </c>
      <c r="J398" s="6" t="n">
        <v>3556</v>
      </c>
    </row>
    <row r="399">
      <c r="A399" s="23" t="n">
        <v>45962</v>
      </c>
      <c r="B399" s="6" t="inlineStr">
        <is>
          <t>Pago</t>
        </is>
      </c>
      <c r="C399" s="6" t="inlineStr">
        <is>
          <t>PL530.001</t>
        </is>
      </c>
      <c r="D399" s="6" t="str">
        <f>IFERROR(VLOOKUP(E399,FORNECEDORES!$A$5:$F$999,6,FALSE),"L10")</f>
        <v>L01</v>
      </c>
      <c r="E399" s="6" t="inlineStr">
        <is>
          <t>TECIDOS E ARMARINHOS MIGUEL BARTOLOMEU S/A</t>
        </is>
      </c>
      <c r="F399" s="7" t="n">
        <v>48</v>
      </c>
      <c r="G399" s="6" t="inlineStr">
        <is>
          <t>EQUIPAMENTOS E FERRAMENTAS</t>
        </is>
      </c>
      <c r="H399" s="6" t="inlineStr">
        <is>
          <t>TECIDOS E ARMARINHOS MIGUEL BARTOLOMEU S/A</t>
        </is>
      </c>
      <c r="I399" s="24" t="n">
        <v>45971</v>
      </c>
      <c r="J399" s="6" t="n">
        <v>3556</v>
      </c>
    </row>
    <row r="400">
      <c r="A400" s="23" t="n">
        <v>45992</v>
      </c>
      <c r="B400" s="6" t="inlineStr">
        <is>
          <t>Pago</t>
        </is>
      </c>
      <c r="C400" s="6" t="inlineStr">
        <is>
          <t>PL530.001</t>
        </is>
      </c>
      <c r="D400" s="6" t="str">
        <f>IFERROR(VLOOKUP(E400,FORNECEDORES!$A$5:$F$999,6,FALSE),"L10")</f>
        <v>L01</v>
      </c>
      <c r="E400" s="6" t="inlineStr">
        <is>
          <t>A.F SILVA EQUIPAMENTOS LTDA</t>
        </is>
      </c>
      <c r="F400" s="7" t="n">
        <v>2000</v>
      </c>
      <c r="G400" s="6" t="inlineStr">
        <is>
          <t>EQUIPAMENTOS E FERRAMENTAS</t>
        </is>
      </c>
      <c r="H400" s="6" t="inlineStr">
        <is>
          <t>A.F SILVA EQUIPAMENTOS LTDA</t>
        </is>
      </c>
      <c r="I400" s="24" t="n">
        <v>45995</v>
      </c>
      <c r="J400" s="6" t="n">
        <v>3929</v>
      </c>
    </row>
    <row r="401">
      <c r="A401" s="23" t="n">
        <v>45992</v>
      </c>
      <c r="B401" s="6" t="inlineStr">
        <is>
          <t>Pago</t>
        </is>
      </c>
      <c r="C401" s="6" t="inlineStr">
        <is>
          <t>PL530.001</t>
        </is>
      </c>
      <c r="D401" s="6" t="str">
        <f>IFERROR(VLOOKUP(E401,FORNECEDORES!$A$5:$F$999,6,FALSE),"L10")</f>
        <v>L04</v>
      </c>
      <c r="E401" s="6" t="inlineStr">
        <is>
          <t>BH MADEFORMAS LTDA</t>
        </is>
      </c>
      <c r="F401" s="7" t="n">
        <v>8101.25</v>
      </c>
      <c r="G401" s="6" t="inlineStr">
        <is>
          <t>FORMA DE MADEIRA</t>
        </is>
      </c>
      <c r="H401" s="6" t="inlineStr">
        <is>
          <t>BH MADEFORMAS LTDA</t>
        </is>
      </c>
      <c r="I401" s="24" t="n">
        <v>46006</v>
      </c>
      <c r="J401" s="6" t="n">
        <v>3612</v>
      </c>
    </row>
    <row r="402">
      <c r="A402" s="23" t="n">
        <v>45992</v>
      </c>
      <c r="B402" s="6" t="inlineStr">
        <is>
          <t>Pago</t>
        </is>
      </c>
      <c r="C402" s="6" t="inlineStr">
        <is>
          <t>PL530.001</t>
        </is>
      </c>
      <c r="D402" s="6" t="str">
        <f>IFERROR(VLOOKUP(E402,FORNECEDORES!$A$5:$F$999,6,FALSE),"L10")</f>
        <v>L04</v>
      </c>
      <c r="E402" s="6" t="inlineStr">
        <is>
          <t>BH MADEFORMAS LTDA</t>
        </is>
      </c>
      <c r="F402" s="7" t="n">
        <v>60</v>
      </c>
      <c r="G402" s="6" t="inlineStr">
        <is>
          <t>FRETE</t>
        </is>
      </c>
      <c r="H402" s="6" t="inlineStr">
        <is>
          <t>BH MADEFORMAS LTDA</t>
        </is>
      </c>
      <c r="I402" s="24" t="n">
        <v>46006</v>
      </c>
      <c r="J402" s="6" t="n">
        <v>3612</v>
      </c>
    </row>
    <row r="403">
      <c r="A403" s="23" t="n">
        <v>45992</v>
      </c>
      <c r="B403" s="6" t="inlineStr">
        <is>
          <t>Pago</t>
        </is>
      </c>
      <c r="C403" s="6" t="inlineStr">
        <is>
          <t>PL530.001</t>
        </is>
      </c>
      <c r="D403" s="6" t="str">
        <f>IFERROR(VLOOKUP(E403,FORNECEDORES!$A$5:$F$999,6,FALSE),"L10")</f>
        <v>L01</v>
      </c>
      <c r="E403" s="6" t="inlineStr">
        <is>
          <t>COFERMETA SA</t>
        </is>
      </c>
      <c r="F403" s="7" t="n">
        <v>115</v>
      </c>
      <c r="G403" s="6" t="inlineStr">
        <is>
          <t>EQUIPAMENTOS E FERRAMENTAS</t>
        </is>
      </c>
      <c r="H403" s="6" t="inlineStr">
        <is>
          <t>COFERMETA SA</t>
        </is>
      </c>
      <c r="I403" s="24" t="n">
        <v>45992</v>
      </c>
      <c r="J403" s="6" t="n">
        <v>3690</v>
      </c>
    </row>
    <row r="404">
      <c r="A404" s="23" t="n">
        <v>45992</v>
      </c>
      <c r="B404" s="6" t="inlineStr">
        <is>
          <t>Pago</t>
        </is>
      </c>
      <c r="C404" s="6" t="inlineStr">
        <is>
          <t>PL530.001</t>
        </is>
      </c>
      <c r="D404" s="6" t="str">
        <f>IFERROR(VLOOKUP(E404,FORNECEDORES!$A$5:$F$999,6,FALSE),"L10")</f>
        <v>L07</v>
      </c>
      <c r="E404" s="6" t="inlineStr">
        <is>
          <t>CORDAL BH COMERCIO DE CABOS E ACESSORIOS LTDA</t>
        </is>
      </c>
      <c r="F404" s="7" t="n">
        <v>425</v>
      </c>
      <c r="G404" s="6" t="inlineStr">
        <is>
          <t>ACESSÓRIOS DE FIXAÇÃO</t>
        </is>
      </c>
      <c r="H404" s="6" t="inlineStr">
        <is>
          <t>CORDAL BH COMERCIO DE CABOS E ACESSORIOS LTDA</t>
        </is>
      </c>
      <c r="I404" s="24" t="n">
        <v>46020</v>
      </c>
      <c r="J404" s="6" t="n">
        <v>3903</v>
      </c>
    </row>
    <row r="405">
      <c r="A405" s="23" t="n">
        <v>45992</v>
      </c>
      <c r="B405" s="6" t="inlineStr">
        <is>
          <t>Pago</t>
        </is>
      </c>
      <c r="C405" s="6" t="inlineStr">
        <is>
          <t>PL530.001</t>
        </is>
      </c>
      <c r="D405" s="6" t="str">
        <f>IFERROR(VLOOKUP(E405,FORNECEDORES!$A$5:$F$999,6,FALSE),"L10")</f>
        <v>L07</v>
      </c>
      <c r="E405" s="6" t="inlineStr">
        <is>
          <t>CORDAL BH COMERCIO DE CABOS E ACESSORIOS LTDA</t>
        </is>
      </c>
      <c r="F405" s="7" t="n">
        <v>1500</v>
      </c>
      <c r="G405" s="6" t="inlineStr">
        <is>
          <t>EQUIPAMENTOS E FERRAMENTAS</t>
        </is>
      </c>
      <c r="H405" s="6" t="inlineStr">
        <is>
          <t>CORDAL BH COMERCIO DE CABOS E ACESSORIOS LTDA</t>
        </is>
      </c>
      <c r="I405" s="24" t="n">
        <v>46020</v>
      </c>
      <c r="J405" s="6" t="n">
        <v>3903</v>
      </c>
    </row>
    <row r="406">
      <c r="A406" s="23" t="n">
        <v>45992</v>
      </c>
      <c r="B406" s="6" t="inlineStr">
        <is>
          <t>Pago</t>
        </is>
      </c>
      <c r="C406" s="6" t="inlineStr">
        <is>
          <t>PL530.001</t>
        </is>
      </c>
      <c r="D406" s="6" t="str">
        <f>IFERROR(VLOOKUP(E406,FORNECEDORES!$A$5:$F$999,6,FALSE),"L10")</f>
        <v>L03</v>
      </c>
      <c r="E406" s="6" t="inlineStr">
        <is>
          <t>DATRON TECNOLOGIA E LOCACAO LTDA</t>
        </is>
      </c>
      <c r="F406" s="7" t="n">
        <v>375</v>
      </c>
      <c r="G406" s="6" t="inlineStr">
        <is>
          <t>LOCAÇÕES</t>
        </is>
      </c>
      <c r="H406" s="6" t="inlineStr">
        <is>
          <t>DATRON TECNOLOGIA E LOCACAO LTDA</t>
        </is>
      </c>
      <c r="I406" s="24" t="n">
        <v>46006</v>
      </c>
      <c r="J406" s="6" t="n">
        <v>3848</v>
      </c>
    </row>
    <row r="407">
      <c r="A407" s="23" t="n">
        <v>45992</v>
      </c>
      <c r="B407" s="6" t="inlineStr">
        <is>
          <t>Pago</t>
        </is>
      </c>
      <c r="C407" s="6" t="inlineStr">
        <is>
          <t>PL530.001</t>
        </is>
      </c>
      <c r="D407" s="6" t="str">
        <f>IFERROR(VLOOKUP(E407,FORNECEDORES!$A$5:$F$999,6,FALSE),"L10")</f>
        <v>L01</v>
      </c>
      <c r="E407" s="6" t="inlineStr">
        <is>
          <t>DIARCO INDUSTRIA E COMEX LTDA</t>
        </is>
      </c>
      <c r="F407" s="7" t="n">
        <v>1740</v>
      </c>
      <c r="G407" s="6" t="inlineStr">
        <is>
          <t>EQUIPAMENTOS E FERRAMENTAS</t>
        </is>
      </c>
      <c r="H407" s="6" t="inlineStr">
        <is>
          <t>DIARCO INDUSTRIA E COMEX LTDA</t>
        </is>
      </c>
      <c r="I407" s="24" t="n">
        <v>46007</v>
      </c>
      <c r="J407" s="6" t="n">
        <v>3778</v>
      </c>
    </row>
    <row r="408">
      <c r="A408" s="23" t="n">
        <v>45992</v>
      </c>
      <c r="B408" s="6" t="inlineStr">
        <is>
          <t>Pago</t>
        </is>
      </c>
      <c r="C408" s="6" t="inlineStr">
        <is>
          <t>PL530.001</t>
        </is>
      </c>
      <c r="D408" s="6" t="str">
        <f>IFERROR(VLOOKUP(E408,FORNECEDORES!$A$5:$F$999,6,FALSE),"L10")</f>
        <v>L01</v>
      </c>
      <c r="E408" s="6" t="inlineStr">
        <is>
          <t>DIARCO INDUSTRIA E COMEX LTDA</t>
        </is>
      </c>
      <c r="F408" s="7" t="n">
        <v>1280</v>
      </c>
      <c r="G408" s="6" t="inlineStr">
        <is>
          <t>EQUIPAMENTOS E FERRAMENTAS</t>
        </is>
      </c>
      <c r="H408" s="6" t="inlineStr">
        <is>
          <t>DIARCO INDUSTRIA E COMEX LTDA</t>
        </is>
      </c>
      <c r="I408" s="24" t="n">
        <v>46007</v>
      </c>
      <c r="J408" s="6" t="n">
        <v>3778</v>
      </c>
    </row>
    <row r="409">
      <c r="A409" s="23" t="n">
        <v>45992</v>
      </c>
      <c r="B409" s="6" t="inlineStr">
        <is>
          <t>Pago</t>
        </is>
      </c>
      <c r="C409" s="6" t="inlineStr">
        <is>
          <t>PL530.001</t>
        </is>
      </c>
      <c r="D409" s="6" t="str">
        <f>IFERROR(VLOOKUP(E409,FORNECEDORES!$A$5:$F$999,6,FALSE),"L10")</f>
        <v>L01</v>
      </c>
      <c r="E409" s="6" t="inlineStr">
        <is>
          <t>DIARCO INDUSTRIA E COMEX LTDA</t>
        </is>
      </c>
      <c r="F409" s="7" t="n">
        <v>7480</v>
      </c>
      <c r="G409" s="6" t="inlineStr">
        <is>
          <t>EQUIPAMENTOS E FERRAMENTAS</t>
        </is>
      </c>
      <c r="H409" s="6" t="inlineStr">
        <is>
          <t>DIARCO INDUSTRIA E COMEX LTDA</t>
        </is>
      </c>
      <c r="I409" s="24" t="n">
        <v>46007</v>
      </c>
      <c r="J409" s="6" t="n">
        <v>3778</v>
      </c>
    </row>
    <row r="410">
      <c r="A410" s="23" t="n">
        <v>45992</v>
      </c>
      <c r="B410" s="6" t="inlineStr">
        <is>
          <t>Pago</t>
        </is>
      </c>
      <c r="C410" s="6" t="inlineStr">
        <is>
          <t>PL530.001</t>
        </is>
      </c>
      <c r="D410" s="6" t="str">
        <f>IFERROR(VLOOKUP(E410,FORNECEDORES!$A$5:$F$999,6,FALSE),"L10")</f>
        <v>L03</v>
      </c>
      <c r="E410" s="6" t="inlineStr">
        <is>
          <t>EDIFICAR LOCACAO MANUTENCAO E SERVICOS LTDA</t>
        </is>
      </c>
      <c r="F410" s="7" t="n">
        <v>855.8</v>
      </c>
      <c r="G410" s="6" t="inlineStr">
        <is>
          <t>LOCAÇÕES</t>
        </is>
      </c>
      <c r="H410" s="6" t="inlineStr">
        <is>
          <t>EDIFICAR LOCACAO MANUTENCAO E SERVICOS LTDA</t>
        </is>
      </c>
      <c r="I410" s="24" t="n">
        <v>45995</v>
      </c>
      <c r="J410" s="6" t="n">
        <v>3923</v>
      </c>
    </row>
    <row r="411">
      <c r="A411" s="23" t="n">
        <v>45992</v>
      </c>
      <c r="B411" s="6" t="inlineStr">
        <is>
          <t>Pago</t>
        </is>
      </c>
      <c r="C411" s="6" t="inlineStr">
        <is>
          <t>PL530.001</t>
        </is>
      </c>
      <c r="D411" s="6" t="str">
        <f>IFERROR(VLOOKUP(E411,FORNECEDORES!$A$5:$F$999,6,FALSE),"L10")</f>
        <v>L04</v>
      </c>
      <c r="E411" s="6" t="inlineStr">
        <is>
          <t>EXXI GLOBAL DO BRASIL LTDA</t>
        </is>
      </c>
      <c r="F411" s="7" t="n">
        <v>3978</v>
      </c>
      <c r="G411" s="6" t="inlineStr">
        <is>
          <t>FORMA DE MADEIRA</t>
        </is>
      </c>
      <c r="H411" s="6" t="inlineStr">
        <is>
          <t>EXXI GLOBAL DO BRASIL LTDA</t>
        </is>
      </c>
      <c r="I411" s="24" t="n">
        <v>46007</v>
      </c>
      <c r="J411" s="6" t="n">
        <v>3613</v>
      </c>
    </row>
    <row r="412">
      <c r="A412" s="23" t="n">
        <v>45992</v>
      </c>
      <c r="B412" s="6" t="inlineStr">
        <is>
          <t>Pago</t>
        </is>
      </c>
      <c r="C412" s="6" t="inlineStr">
        <is>
          <t>PL530.001</t>
        </is>
      </c>
      <c r="D412" s="6" t="str">
        <f>IFERROR(VLOOKUP(E412,FORNECEDORES!$A$5:$F$999,6,FALSE),"L10")</f>
        <v>L04</v>
      </c>
      <c r="E412" s="6" t="inlineStr">
        <is>
          <t>EXXI GLOBAL DO BRASIL LTDA</t>
        </is>
      </c>
      <c r="F412" s="7" t="n">
        <v>150</v>
      </c>
      <c r="G412" s="6" t="inlineStr">
        <is>
          <t>FRETE</t>
        </is>
      </c>
      <c r="H412" s="6" t="inlineStr">
        <is>
          <t>EXXI GLOBAL DO BRASIL LTDA</t>
        </is>
      </c>
      <c r="I412" s="24" t="n">
        <v>46007</v>
      </c>
      <c r="J412" s="6" t="n">
        <v>3613</v>
      </c>
    </row>
    <row r="413">
      <c r="A413" s="23" t="n">
        <v>45992</v>
      </c>
      <c r="B413" s="6" t="inlineStr">
        <is>
          <t>Pago</t>
        </is>
      </c>
      <c r="C413" s="6" t="inlineStr">
        <is>
          <t>PL530.001</t>
        </is>
      </c>
      <c r="D413" s="6" t="str">
        <f>IFERROR(VLOOKUP(E413,FORNECEDORES!$A$5:$F$999,6,FALSE),"L10")</f>
        <v>L10</v>
      </c>
      <c r="E413" s="6" t="inlineStr">
        <is>
          <t>FIAO LOCACOES E TRANSPORTES LTDA</t>
        </is>
      </c>
      <c r="F413" s="7" t="n">
        <v>6059.13</v>
      </c>
      <c r="G413" s="6" t="inlineStr">
        <is>
          <t>NÃO CLASSIFICADO</t>
        </is>
      </c>
      <c r="H413" s="6" t="inlineStr">
        <is>
          <t>FIAO LOCACOES E TRANSPORTES LTDA</t>
        </is>
      </c>
      <c r="I413" s="24" t="n">
        <v>46009</v>
      </c>
      <c r="J413" s="6" t="n">
        <v>3940</v>
      </c>
    </row>
    <row r="414">
      <c r="A414" s="23" t="n">
        <v>45992</v>
      </c>
      <c r="B414" s="6" t="inlineStr">
        <is>
          <t>Pago</t>
        </is>
      </c>
      <c r="C414" s="6" t="inlineStr">
        <is>
          <t>PL530.001</t>
        </is>
      </c>
      <c r="D414" s="6" t="str">
        <f>IFERROR(VLOOKUP(E414,FORNECEDORES!$A$5:$F$999,6,FALSE),"L10")</f>
        <v>L10</v>
      </c>
      <c r="E414" s="6" t="inlineStr">
        <is>
          <t>FIAO LOCACOES E TRANSPORTES LTDA</t>
        </is>
      </c>
      <c r="F414" s="7" t="n">
        <v>525.34</v>
      </c>
      <c r="G414" s="6" t="inlineStr">
        <is>
          <t>NÃO CLASSIFICADO</t>
        </is>
      </c>
      <c r="H414" s="6" t="inlineStr">
        <is>
          <t>INSS RETIDO PJ - MINISTERIO DA PREVIDENCIA</t>
        </is>
      </c>
      <c r="I414" s="24" t="n">
        <v>46009</v>
      </c>
      <c r="J414" s="6" t="n">
        <v>3805</v>
      </c>
    </row>
    <row r="415">
      <c r="A415" s="23" t="n">
        <v>45992</v>
      </c>
      <c r="B415" s="6" t="inlineStr">
        <is>
          <t>Pago</t>
        </is>
      </c>
      <c r="C415" s="6" t="inlineStr">
        <is>
          <t>PL530.001</t>
        </is>
      </c>
      <c r="D415" s="6" t="str">
        <f>IFERROR(VLOOKUP(E415,FORNECEDORES!$A$5:$F$999,6,FALSE),"L10")</f>
        <v>L10</v>
      </c>
      <c r="E415" s="6" t="inlineStr">
        <is>
          <t>FIAO LOCACOES E TRANSPORTES LTDA</t>
        </is>
      </c>
      <c r="F415" s="7" t="n">
        <v>404.04</v>
      </c>
      <c r="G415" s="6" t="inlineStr">
        <is>
          <t>NÃO CLASSIFICADO</t>
        </is>
      </c>
      <c r="H415" s="6" t="inlineStr">
        <is>
          <t>PREFEITURA DE BELO HORIZONTE - ISSQN RETIDO</t>
        </is>
      </c>
      <c r="I415" s="24" t="n">
        <v>45996</v>
      </c>
      <c r="J415" s="6" t="n">
        <v>3804</v>
      </c>
    </row>
    <row r="416">
      <c r="A416" s="23" t="n">
        <v>45992</v>
      </c>
      <c r="B416" s="6" t="inlineStr">
        <is>
          <t>Pago</t>
        </is>
      </c>
      <c r="C416" s="6" t="inlineStr">
        <is>
          <t>PL530.001</t>
        </is>
      </c>
      <c r="D416" s="6" t="str">
        <f>IFERROR(VLOOKUP(E416,FORNECEDORES!$A$5:$F$999,6,FALSE),"L10")</f>
        <v>L03</v>
      </c>
      <c r="E416" s="6" t="inlineStr">
        <is>
          <t>LOC MASTER LOCADORA DE EQUIPAMENTOS LTDA</t>
        </is>
      </c>
      <c r="F416" s="7" t="n">
        <v>990</v>
      </c>
      <c r="G416" s="6" t="inlineStr">
        <is>
          <t>LOCAÇÕES</t>
        </is>
      </c>
      <c r="H416" s="6" t="inlineStr">
        <is>
          <t>LOC MASTER LOCADORA DE EQUIPAMENTOS LTDA</t>
        </is>
      </c>
      <c r="I416" s="24" t="n">
        <v>46013</v>
      </c>
      <c r="J416" s="6" t="n">
        <v>4043</v>
      </c>
    </row>
    <row r="417">
      <c r="A417" s="23" t="n">
        <v>45992</v>
      </c>
      <c r="B417" s="6" t="inlineStr">
        <is>
          <t>Pago</t>
        </is>
      </c>
      <c r="C417" s="6" t="inlineStr">
        <is>
          <t>PL530.001</t>
        </is>
      </c>
      <c r="D417" s="6" t="str">
        <f>IFERROR(VLOOKUP(E417,FORNECEDORES!$A$5:$F$999,6,FALSE),"L10")</f>
        <v>L03</v>
      </c>
      <c r="E417" s="6" t="inlineStr">
        <is>
          <t>LOCAFAZ LOCACAO DE EQUIPAMENTOS LTDA</t>
        </is>
      </c>
      <c r="F417" s="7" t="n">
        <v>2126.27</v>
      </c>
      <c r="G417" s="6" t="inlineStr">
        <is>
          <t>LOCAÇÕES</t>
        </is>
      </c>
      <c r="H417" s="6" t="inlineStr">
        <is>
          <t>LOCAFAZ LOCACAO DE EQUIPAMENTOS LTDA</t>
        </is>
      </c>
      <c r="I417" s="24" t="n">
        <v>46020</v>
      </c>
      <c r="J417" s="6" t="n">
        <v>4066</v>
      </c>
    </row>
    <row r="418">
      <c r="A418" s="23" t="n">
        <v>45992</v>
      </c>
      <c r="B418" s="6" t="inlineStr">
        <is>
          <t>Pago</t>
        </is>
      </c>
      <c r="C418" s="6" t="inlineStr">
        <is>
          <t>PL530.001</t>
        </is>
      </c>
      <c r="D418" s="6" t="str">
        <f>IFERROR(VLOOKUP(E418,FORNECEDORES!$A$5:$F$999,6,FALSE),"L10")</f>
        <v>L03</v>
      </c>
      <c r="E418" s="6" t="inlineStr">
        <is>
          <t>LOCAFAZ LOCACAO DE EQUIPAMENTOS LTDA</t>
        </is>
      </c>
      <c r="F418" s="7" t="n">
        <v>1190.2</v>
      </c>
      <c r="G418" s="6" t="inlineStr">
        <is>
          <t>LOCAÇÕES</t>
        </is>
      </c>
      <c r="H418" s="6" t="inlineStr">
        <is>
          <t>LOCAFAZ LOCACAO DE EQUIPAMENTOS LTDA</t>
        </is>
      </c>
      <c r="I418" s="24" t="n">
        <v>46020</v>
      </c>
      <c r="J418" s="6" t="n">
        <v>3516</v>
      </c>
    </row>
    <row r="419">
      <c r="A419" s="23" t="n">
        <v>45992</v>
      </c>
      <c r="B419" s="6" t="inlineStr">
        <is>
          <t>Pago</t>
        </is>
      </c>
      <c r="C419" s="6" t="inlineStr">
        <is>
          <t>PL530.001</t>
        </is>
      </c>
      <c r="D419" s="6" t="str">
        <f>IFERROR(VLOOKUP(E419,FORNECEDORES!$A$5:$F$999,6,FALSE),"L10")</f>
        <v>L03</v>
      </c>
      <c r="E419" s="6" t="inlineStr">
        <is>
          <t>LOCAFAZ LOCACAO DE EQUIPAMENTOS LTDA</t>
        </is>
      </c>
      <c r="F419" s="7" t="n">
        <v>1190.2</v>
      </c>
      <c r="G419" s="6" t="inlineStr">
        <is>
          <t>LOCAÇÕES</t>
        </is>
      </c>
      <c r="H419" s="6" t="inlineStr">
        <is>
          <t>LOCAFAZ LOCACAO DE EQUIPAMENTOS LTDA</t>
        </is>
      </c>
      <c r="I419" s="24" t="n">
        <v>45992</v>
      </c>
      <c r="J419" s="6" t="n">
        <v>3516</v>
      </c>
    </row>
    <row r="420">
      <c r="A420" s="23" t="n">
        <v>45992</v>
      </c>
      <c r="B420" s="6" t="inlineStr">
        <is>
          <t>Pago</t>
        </is>
      </c>
      <c r="C420" s="6" t="inlineStr">
        <is>
          <t>PL530.001</t>
        </is>
      </c>
      <c r="D420" s="6" t="str">
        <f>IFERROR(VLOOKUP(E420,FORNECEDORES!$A$5:$F$999,6,FALSE),"L10")</f>
        <v>L03</v>
      </c>
      <c r="E420" s="6" t="inlineStr">
        <is>
          <t>LOCAFAZ LOCACAO DE EQUIPAMENTOS LTDA</t>
        </is>
      </c>
      <c r="F420" s="7" t="n">
        <v>1019.27</v>
      </c>
      <c r="G420" s="6" t="inlineStr">
        <is>
          <t>LOCAÇÕES</t>
        </is>
      </c>
      <c r="H420" s="6" t="inlineStr">
        <is>
          <t>LOCAFAZ LOCACAO DE EQUIPAMENTOS LTDA</t>
        </is>
      </c>
      <c r="I420" s="24" t="n">
        <v>45995</v>
      </c>
      <c r="J420" s="6" t="n">
        <v>3914</v>
      </c>
    </row>
    <row r="421">
      <c r="A421" s="23" t="n">
        <v>45992</v>
      </c>
      <c r="B421" s="6" t="inlineStr">
        <is>
          <t>Pago</t>
        </is>
      </c>
      <c r="C421" s="6" t="inlineStr">
        <is>
          <t>PL530.001</t>
        </is>
      </c>
      <c r="D421" s="6" t="str">
        <f>IFERROR(VLOOKUP(E421,FORNECEDORES!$A$5:$F$999,6,FALSE),"L10")</f>
        <v>L01</v>
      </c>
      <c r="E421" s="6" t="inlineStr">
        <is>
          <t>MINAS FERRAMENTAS LTDA</t>
        </is>
      </c>
      <c r="F421" s="7" t="n">
        <v>91.44</v>
      </c>
      <c r="G421" s="6" t="inlineStr">
        <is>
          <t>EQUIPAMENTOS E FERRAMENTAS</t>
        </is>
      </c>
      <c r="H421" s="6" t="inlineStr">
        <is>
          <t>MINAS FERRAMENTAS LTDA</t>
        </is>
      </c>
      <c r="I421" s="24" t="n">
        <v>46006</v>
      </c>
      <c r="J421" s="6" t="n">
        <v>3689</v>
      </c>
    </row>
    <row r="422">
      <c r="A422" s="23" t="n">
        <v>45992</v>
      </c>
      <c r="B422" s="6" t="inlineStr">
        <is>
          <t>Pago</t>
        </is>
      </c>
      <c r="C422" s="6" t="inlineStr">
        <is>
          <t>PL530.001</t>
        </is>
      </c>
      <c r="D422" s="6" t="str">
        <f>IFERROR(VLOOKUP(E422,FORNECEDORES!$A$5:$F$999,6,FALSE),"L10")</f>
        <v>L01</v>
      </c>
      <c r="E422" s="6" t="inlineStr">
        <is>
          <t>MINAS FERRAMENTAS LTDA</t>
        </is>
      </c>
      <c r="F422" s="7" t="n">
        <v>51</v>
      </c>
      <c r="G422" s="6" t="inlineStr">
        <is>
          <t>EQUIPAMENTOS E FERRAMENTAS</t>
        </is>
      </c>
      <c r="H422" s="6" t="inlineStr">
        <is>
          <t>MINAS FERRAMENTAS LTDA</t>
        </is>
      </c>
      <c r="I422" s="24" t="n">
        <v>46006</v>
      </c>
      <c r="J422" s="6" t="n">
        <v>3689</v>
      </c>
    </row>
    <row r="423">
      <c r="A423" s="23" t="n">
        <v>45992</v>
      </c>
      <c r="B423" s="6" t="inlineStr">
        <is>
          <t>Pago</t>
        </is>
      </c>
      <c r="C423" s="6" t="inlineStr">
        <is>
          <t>PL530.001</t>
        </is>
      </c>
      <c r="D423" s="6" t="str">
        <f>IFERROR(VLOOKUP(E423,FORNECEDORES!$A$5:$F$999,6,FALSE),"L10")</f>
        <v>L03</v>
      </c>
      <c r="E423" s="6" t="inlineStr">
        <is>
          <t>ORIGINAL LOCACOES LTDA</t>
        </is>
      </c>
      <c r="F423" s="7" t="n">
        <v>280</v>
      </c>
      <c r="G423" s="6" t="inlineStr">
        <is>
          <t>LOCAÇÕES</t>
        </is>
      </c>
      <c r="H423" s="6" t="inlineStr">
        <is>
          <t>ORIGINAL LOCACOES LTDA</t>
        </is>
      </c>
      <c r="I423" s="24" t="n">
        <v>46006</v>
      </c>
      <c r="J423" s="6" t="n">
        <v>3989</v>
      </c>
    </row>
    <row r="424">
      <c r="A424" s="23" t="n">
        <v>45992</v>
      </c>
      <c r="B424" s="6" t="inlineStr">
        <is>
          <t>Pago</t>
        </is>
      </c>
      <c r="C424" s="6" t="inlineStr">
        <is>
          <t>PL530.001</t>
        </is>
      </c>
      <c r="D424" s="6" t="str">
        <f>IFERROR(VLOOKUP(E424,FORNECEDORES!$A$5:$F$999,6,FALSE),"L10")</f>
        <v>L03</v>
      </c>
      <c r="E424" s="6" t="inlineStr">
        <is>
          <t>ORIGINAL LOCACOES LTDA</t>
        </is>
      </c>
      <c r="F424" s="7" t="n">
        <v>3160</v>
      </c>
      <c r="G424" s="6" t="inlineStr">
        <is>
          <t>LOCAÇÕES</t>
        </is>
      </c>
      <c r="H424" s="6" t="inlineStr">
        <is>
          <t>ORIGINAL LOCACOES LTDA</t>
        </is>
      </c>
      <c r="I424" s="24" t="n">
        <v>45995</v>
      </c>
      <c r="J424" s="6" t="n">
        <v>3847</v>
      </c>
    </row>
    <row r="425">
      <c r="A425" s="23" t="n">
        <v>45992</v>
      </c>
      <c r="B425" s="6" t="inlineStr">
        <is>
          <t>Pago</t>
        </is>
      </c>
      <c r="C425" s="6" t="inlineStr">
        <is>
          <t>PL530.001</t>
        </is>
      </c>
      <c r="D425" s="6" t="str">
        <f>IFERROR(VLOOKUP(E425,FORNECEDORES!$A$5:$F$999,6,FALSE),"L10")</f>
        <v>L10</v>
      </c>
      <c r="E425" s="6" t="inlineStr">
        <is>
          <t>PGO PLANEJAMENTO GERENCIAMENTO E OBRAS LTDA. - ME</t>
        </is>
      </c>
      <c r="F425" s="7" t="n">
        <v>260.14</v>
      </c>
      <c r="G425" s="6" t="inlineStr">
        <is>
          <t>NÃO CLASSIFICADO</t>
        </is>
      </c>
      <c r="H425" s="6" t="inlineStr">
        <is>
          <t>INSS RETIDO PJ - MINISTERIO DA PREVIDENCIA</t>
        </is>
      </c>
      <c r="I425" s="24" t="n">
        <v>46009</v>
      </c>
      <c r="J425" s="6" t="n">
        <v>3871</v>
      </c>
    </row>
    <row r="426">
      <c r="A426" s="23" t="n">
        <v>45992</v>
      </c>
      <c r="B426" s="6" t="inlineStr">
        <is>
          <t>Pago</t>
        </is>
      </c>
      <c r="C426" s="6" t="inlineStr">
        <is>
          <t>PL530.001</t>
        </is>
      </c>
      <c r="D426" s="6" t="str">
        <f>IFERROR(VLOOKUP(E426,FORNECEDORES!$A$5:$F$999,6,FALSE),"L10")</f>
        <v>L10</v>
      </c>
      <c r="E426" s="6" t="inlineStr">
        <is>
          <t>PGO PLANEJAMENTO GERENCIAMENTO E OBRAS LTDA. - ME</t>
        </is>
      </c>
      <c r="F426" s="7" t="n">
        <v>358.25</v>
      </c>
      <c r="G426" s="6" t="inlineStr">
        <is>
          <t>NÃO CLASSIFICADO</t>
        </is>
      </c>
      <c r="H426" s="6" t="inlineStr">
        <is>
          <t>PREFEITURA DE BELO HORIZONTE - ISSQN RETIDO</t>
        </is>
      </c>
      <c r="I426" s="24" t="n">
        <v>45996</v>
      </c>
      <c r="J426" s="6" t="n">
        <v>3860</v>
      </c>
    </row>
    <row r="427">
      <c r="A427" s="23" t="n">
        <v>45992</v>
      </c>
      <c r="B427" s="6" t="inlineStr">
        <is>
          <t>Pago</t>
        </is>
      </c>
      <c r="C427" s="6" t="inlineStr">
        <is>
          <t>PL530.001</t>
        </is>
      </c>
      <c r="D427" s="6" t="str">
        <f>IFERROR(VLOOKUP(E427,FORNECEDORES!$A$5:$F$999,6,FALSE),"L10")</f>
        <v>L01</v>
      </c>
      <c r="E427" s="6" t="inlineStr">
        <is>
          <t>TECIDOS E ARMARINHOS MIGUEL BARTOLOMEU S/A</t>
        </is>
      </c>
      <c r="F427" s="7" t="n">
        <v>20.81</v>
      </c>
      <c r="G427" s="6" t="inlineStr">
        <is>
          <t>EQUIPAMENTOS E FERRAMENTAS</t>
        </is>
      </c>
      <c r="H427" s="6" t="inlineStr">
        <is>
          <t>TECIDOS E ARMARINHOS MIGUEL BARTOLOMEU S/A</t>
        </is>
      </c>
      <c r="I427" s="24" t="n">
        <v>45994</v>
      </c>
      <c r="J427" s="6" t="n">
        <v>3556</v>
      </c>
    </row>
    <row r="428">
      <c r="A428" s="23" t="n">
        <v>45992</v>
      </c>
      <c r="B428" s="6" t="inlineStr">
        <is>
          <t>Pago</t>
        </is>
      </c>
      <c r="C428" s="6" t="inlineStr">
        <is>
          <t>PL530.001</t>
        </is>
      </c>
      <c r="D428" s="6" t="str">
        <f>IFERROR(VLOOKUP(E428,FORNECEDORES!$A$5:$F$999,6,FALSE),"L10")</f>
        <v>L01</v>
      </c>
      <c r="E428" s="6" t="inlineStr">
        <is>
          <t>TECIDOS E ARMARINHOS MIGUEL BARTOLOMEU S/A</t>
        </is>
      </c>
      <c r="F428" s="7" t="n">
        <v>76.29000000000001</v>
      </c>
      <c r="G428" s="6" t="inlineStr">
        <is>
          <t>EQUIPAMENTOS E FERRAMENTAS</t>
        </is>
      </c>
      <c r="H428" s="6" t="inlineStr">
        <is>
          <t>TECIDOS E ARMARINHOS MIGUEL BARTOLOMEU S/A</t>
        </is>
      </c>
      <c r="I428" s="24" t="n">
        <v>45994</v>
      </c>
      <c r="J428" s="6" t="n">
        <v>3556</v>
      </c>
    </row>
    <row r="429">
      <c r="A429" s="23" t="n">
        <v>45992</v>
      </c>
      <c r="B429" s="6" t="inlineStr">
        <is>
          <t>Pago</t>
        </is>
      </c>
      <c r="C429" s="6" t="inlineStr">
        <is>
          <t>PL530.001</t>
        </is>
      </c>
      <c r="D429" s="6" t="str">
        <f>IFERROR(VLOOKUP(E429,FORNECEDORES!$A$5:$F$999,6,FALSE),"L10")</f>
        <v>L01</v>
      </c>
      <c r="E429" s="6" t="inlineStr">
        <is>
          <t>TECIDOS E ARMARINHOS MIGUEL BARTOLOMEU S/A</t>
        </is>
      </c>
      <c r="F429" s="7" t="n">
        <v>152.59</v>
      </c>
      <c r="G429" s="6" t="inlineStr">
        <is>
          <t>EQUIPAMENTOS E FERRAMENTAS</t>
        </is>
      </c>
      <c r="H429" s="6" t="inlineStr">
        <is>
          <t>TECIDOS E ARMARINHOS MIGUEL BARTOLOMEU S/A</t>
        </is>
      </c>
      <c r="I429" s="24" t="n">
        <v>45994</v>
      </c>
      <c r="J429" s="6" t="n">
        <v>3556</v>
      </c>
    </row>
    <row r="430">
      <c r="A430" s="23" t="n">
        <v>45992</v>
      </c>
      <c r="B430" s="6" t="inlineStr">
        <is>
          <t>Pago</t>
        </is>
      </c>
      <c r="C430" s="6" t="inlineStr">
        <is>
          <t>PL530.001</t>
        </is>
      </c>
      <c r="D430" s="6" t="str">
        <f>IFERROR(VLOOKUP(E430,FORNECEDORES!$A$5:$F$999,6,FALSE),"L10")</f>
        <v>L01</v>
      </c>
      <c r="E430" s="6" t="inlineStr">
        <is>
          <t>TECIDOS E ARMARINHOS MIGUEL BARTOLOMEU S/A</t>
        </is>
      </c>
      <c r="F430" s="7" t="n">
        <v>160.39</v>
      </c>
      <c r="G430" s="6" t="inlineStr">
        <is>
          <t>EQUIPAMENTOS E FERRAMENTAS</t>
        </is>
      </c>
      <c r="H430" s="6" t="inlineStr">
        <is>
          <t>TECIDOS E ARMARINHOS MIGUEL BARTOLOMEU S/A</t>
        </is>
      </c>
      <c r="I430" s="24" t="n">
        <v>45994</v>
      </c>
      <c r="J430" s="6" t="n">
        <v>3556</v>
      </c>
    </row>
    <row r="431">
      <c r="A431" s="23" t="n">
        <v>45992</v>
      </c>
      <c r="B431" s="6" t="inlineStr">
        <is>
          <t>Pago</t>
        </is>
      </c>
      <c r="C431" s="6" t="inlineStr">
        <is>
          <t>PL530.001</t>
        </is>
      </c>
      <c r="D431" s="6" t="str">
        <f>IFERROR(VLOOKUP(E431,FORNECEDORES!$A$5:$F$999,6,FALSE),"L10")</f>
        <v>L01</v>
      </c>
      <c r="E431" s="6" t="inlineStr">
        <is>
          <t>TECIDOS E ARMARINHOS MIGUEL BARTOLOMEU S/A</t>
        </is>
      </c>
      <c r="F431" s="7" t="n">
        <v>72.83</v>
      </c>
      <c r="G431" s="6" t="inlineStr">
        <is>
          <t>EQUIPAMENTOS E FERRAMENTAS</t>
        </is>
      </c>
      <c r="H431" s="6" t="inlineStr">
        <is>
          <t>TECIDOS E ARMARINHOS MIGUEL BARTOLOMEU S/A</t>
        </is>
      </c>
      <c r="I431" s="24" t="n">
        <v>45994</v>
      </c>
      <c r="J431" s="6" t="n">
        <v>3556</v>
      </c>
    </row>
    <row r="432">
      <c r="A432" s="23" t="n">
        <v>45992</v>
      </c>
      <c r="B432" s="6" t="inlineStr">
        <is>
          <t>Pago</t>
        </is>
      </c>
      <c r="C432" s="6" t="inlineStr">
        <is>
          <t>PL530.001</t>
        </is>
      </c>
      <c r="D432" s="6" t="str">
        <f>IFERROR(VLOOKUP(E432,FORNECEDORES!$A$5:$F$999,6,FALSE),"L10")</f>
        <v>L01</v>
      </c>
      <c r="E432" s="6" t="inlineStr">
        <is>
          <t>TECIDOS E ARMARINHOS MIGUEL BARTOLOMEU S/A</t>
        </is>
      </c>
      <c r="F432" s="7" t="n">
        <v>249.69</v>
      </c>
      <c r="G432" s="6" t="inlineStr">
        <is>
          <t>EQUIPAMENTOS E FERRAMENTAS</t>
        </is>
      </c>
      <c r="H432" s="6" t="inlineStr">
        <is>
          <t>TECIDOS E ARMARINHOS MIGUEL BARTOLOMEU S/A</t>
        </is>
      </c>
      <c r="I432" s="24" t="n">
        <v>45994</v>
      </c>
      <c r="J432" s="6" t="n">
        <v>3556</v>
      </c>
    </row>
    <row r="433">
      <c r="A433" s="23" t="n">
        <v>45992</v>
      </c>
      <c r="B433" s="6" t="inlineStr">
        <is>
          <t>Pago</t>
        </is>
      </c>
      <c r="C433" s="6" t="inlineStr">
        <is>
          <t>PL530.001</t>
        </is>
      </c>
      <c r="D433" s="6" t="str">
        <f>IFERROR(VLOOKUP(E433,FORNECEDORES!$A$5:$F$999,6,FALSE),"L10")</f>
        <v>L01</v>
      </c>
      <c r="E433" s="6" t="inlineStr">
        <is>
          <t>TECIDOS E ARMARINHOS MIGUEL BARTOLOMEU S/A</t>
        </is>
      </c>
      <c r="F433" s="7" t="n">
        <v>15.26</v>
      </c>
      <c r="G433" s="6" t="inlineStr">
        <is>
          <t>EQUIPAMENTOS E FERRAMENTAS</t>
        </is>
      </c>
      <c r="H433" s="6" t="inlineStr">
        <is>
          <t>TECIDOS E ARMARINHOS MIGUEL BARTOLOMEU S/A</t>
        </is>
      </c>
      <c r="I433" s="24" t="n">
        <v>45994</v>
      </c>
      <c r="J433" s="6" t="n">
        <v>3556</v>
      </c>
    </row>
    <row r="434">
      <c r="A434" s="23" t="n">
        <v>45992</v>
      </c>
      <c r="B434" s="6" t="inlineStr">
        <is>
          <t>Pago</t>
        </is>
      </c>
      <c r="C434" s="6" t="inlineStr">
        <is>
          <t>PL530.001</t>
        </is>
      </c>
      <c r="D434" s="6" t="str">
        <f>IFERROR(VLOOKUP(E434,FORNECEDORES!$A$5:$F$999,6,FALSE),"L10")</f>
        <v>L01</v>
      </c>
      <c r="E434" s="6" t="inlineStr">
        <is>
          <t>TECIDOS E ARMARINHOS MIGUEL BARTOLOMEU S/A</t>
        </is>
      </c>
      <c r="F434" s="7" t="n">
        <v>16.65</v>
      </c>
      <c r="G434" s="6" t="inlineStr">
        <is>
          <t>EQUIPAMENTOS E FERRAMENTAS</t>
        </is>
      </c>
      <c r="H434" s="6" t="inlineStr">
        <is>
          <t>TECIDOS E ARMARINHOS MIGUEL BARTOLOMEU S/A</t>
        </is>
      </c>
      <c r="I434" s="24" t="n">
        <v>45994</v>
      </c>
      <c r="J434" s="6" t="n">
        <v>3556</v>
      </c>
    </row>
    <row r="435">
      <c r="A435" s="23" t="n">
        <v>45992</v>
      </c>
      <c r="B435" s="6" t="inlineStr">
        <is>
          <t>Pago</t>
        </is>
      </c>
      <c r="C435" s="6" t="inlineStr">
        <is>
          <t>PL530.001</t>
        </is>
      </c>
      <c r="D435" s="6" t="str">
        <f>IFERROR(VLOOKUP(E435,FORNECEDORES!$A$5:$F$999,6,FALSE),"L10")</f>
        <v>L01</v>
      </c>
      <c r="E435" s="6" t="inlineStr">
        <is>
          <t>TECIDOS E ARMARINHOS MIGUEL BARTOLOMEU S/A</t>
        </is>
      </c>
      <c r="F435" s="7" t="n">
        <v>93</v>
      </c>
      <c r="G435" s="6" t="inlineStr">
        <is>
          <t>FERRAGENS EM GERAL</t>
        </is>
      </c>
      <c r="H435" s="6" t="inlineStr">
        <is>
          <t>TECIDOS E ARMARINHOS MIGUEL BARTOLOMEU S/A</t>
        </is>
      </c>
      <c r="I435" s="24" t="n">
        <v>45992</v>
      </c>
      <c r="J435" s="6" t="n">
        <v>3652</v>
      </c>
    </row>
    <row r="436">
      <c r="A436" s="23" t="n">
        <v>45992</v>
      </c>
      <c r="B436" s="6" t="inlineStr">
        <is>
          <t>Pago</t>
        </is>
      </c>
      <c r="C436" s="6" t="inlineStr">
        <is>
          <t>PL530.001</t>
        </is>
      </c>
      <c r="D436" s="6" t="str">
        <f>IFERROR(VLOOKUP(E436,FORNECEDORES!$A$5:$F$999,6,FALSE),"L10")</f>
        <v>L01</v>
      </c>
      <c r="E436" s="6" t="inlineStr">
        <is>
          <t>TECIDOS E ARMARINHOS MIGUEL BARTOLOMEU S/A</t>
        </is>
      </c>
      <c r="F436" s="7" t="n">
        <v>460</v>
      </c>
      <c r="G436" s="6" t="inlineStr">
        <is>
          <t>FERRAGENS EM GERAL</t>
        </is>
      </c>
      <c r="H436" s="6" t="inlineStr">
        <is>
          <t>TECIDOS E ARMARINHOS MIGUEL BARTOLOMEU S/A</t>
        </is>
      </c>
      <c r="I436" s="24" t="n">
        <v>45992</v>
      </c>
      <c r="J436" s="6" t="n">
        <v>3652</v>
      </c>
    </row>
    <row r="437">
      <c r="A437" s="23" t="n">
        <v>46023</v>
      </c>
      <c r="B437" s="6" t="inlineStr">
        <is>
          <t>Pago</t>
        </is>
      </c>
      <c r="C437" s="6" t="inlineStr">
        <is>
          <t>PL530.001</t>
        </is>
      </c>
      <c r="D437" s="6" t="str">
        <f>IFERROR(VLOOKUP(E437,FORNECEDORES!$A$5:$F$999,6,FALSE),"L10")</f>
        <v>L01</v>
      </c>
      <c r="E437" s="6" t="inlineStr">
        <is>
          <t>COFERMETA SA</t>
        </is>
      </c>
      <c r="F437" s="7" t="n">
        <v>55.3</v>
      </c>
      <c r="G437" s="6" t="inlineStr">
        <is>
          <t>EQUIPAMENTOS E FERRAMENTAS</t>
        </is>
      </c>
      <c r="H437" s="6" t="inlineStr">
        <is>
          <t>COFERMETA SA</t>
        </is>
      </c>
      <c r="I437" s="24" t="n">
        <v>46050</v>
      </c>
      <c r="J437" s="6" t="n">
        <v>4059</v>
      </c>
    </row>
    <row r="438">
      <c r="A438" s="23" t="n">
        <v>46023</v>
      </c>
      <c r="B438" s="6" t="inlineStr">
        <is>
          <t>Pago</t>
        </is>
      </c>
      <c r="C438" s="6" t="inlineStr">
        <is>
          <t>PL530.001</t>
        </is>
      </c>
      <c r="D438" s="6" t="str">
        <f>IFERROR(VLOOKUP(E438,FORNECEDORES!$A$5:$F$999,6,FALSE),"L10")</f>
        <v>L01</v>
      </c>
      <c r="E438" s="6" t="inlineStr">
        <is>
          <t>COFERMETA SA</t>
        </is>
      </c>
      <c r="F438" s="7" t="n">
        <v>492.36</v>
      </c>
      <c r="G438" s="6" t="inlineStr">
        <is>
          <t>EQUIPAMENTOS E FERRAMENTAS</t>
        </is>
      </c>
      <c r="H438" s="6" t="inlineStr">
        <is>
          <t>COFERMETA SA</t>
        </is>
      </c>
      <c r="I438" s="24" t="n">
        <v>46041</v>
      </c>
      <c r="J438" s="6" t="n">
        <v>3921</v>
      </c>
    </row>
    <row r="439">
      <c r="A439" s="23" t="n">
        <v>46023</v>
      </c>
      <c r="B439" s="6" t="inlineStr">
        <is>
          <t>Pago</t>
        </is>
      </c>
      <c r="C439" s="6" t="inlineStr">
        <is>
          <t>PL530.001</t>
        </is>
      </c>
      <c r="D439" s="6" t="str">
        <f>IFERROR(VLOOKUP(E439,FORNECEDORES!$A$5:$F$999,6,FALSE),"L10")</f>
        <v>L01</v>
      </c>
      <c r="E439" s="6" t="inlineStr">
        <is>
          <t>COFERMETA SA</t>
        </is>
      </c>
      <c r="F439" s="7" t="n">
        <v>44.93</v>
      </c>
      <c r="G439" s="6" t="inlineStr">
        <is>
          <t>EQUIPAMENTOS E FERRAMENTAS</t>
        </is>
      </c>
      <c r="H439" s="6" t="inlineStr">
        <is>
          <t>COFERMETA SA</t>
        </is>
      </c>
      <c r="I439" s="24" t="n">
        <v>46050</v>
      </c>
      <c r="J439" s="6" t="n">
        <v>4059</v>
      </c>
    </row>
    <row r="440">
      <c r="A440" s="23" t="n">
        <v>46023</v>
      </c>
      <c r="B440" s="6" t="inlineStr">
        <is>
          <t>Pago</t>
        </is>
      </c>
      <c r="C440" s="6" t="inlineStr">
        <is>
          <t>PL530.001</t>
        </is>
      </c>
      <c r="D440" s="6" t="str">
        <f>IFERROR(VLOOKUP(E440,FORNECEDORES!$A$5:$F$999,6,FALSE),"L10")</f>
        <v>L03</v>
      </c>
      <c r="E440" s="6" t="inlineStr">
        <is>
          <t>DATRON TECNOLOGIA E LOCACAO LTDA</t>
        </is>
      </c>
      <c r="F440" s="7" t="n">
        <v>375</v>
      </c>
      <c r="G440" s="6" t="inlineStr">
        <is>
          <t>LOCAÇÕES</t>
        </is>
      </c>
      <c r="H440" s="6" t="inlineStr">
        <is>
          <t>DATRON TECNOLOGIA E LOCACAO LTDA</t>
        </is>
      </c>
      <c r="I440" s="24" t="n">
        <v>46037</v>
      </c>
      <c r="J440" s="6" t="n">
        <v>4048</v>
      </c>
    </row>
    <row r="441">
      <c r="A441" s="23" t="n">
        <v>46023</v>
      </c>
      <c r="B441" s="6" t="inlineStr">
        <is>
          <t>Pago</t>
        </is>
      </c>
      <c r="C441" s="6" t="inlineStr">
        <is>
          <t>PL530.001</t>
        </is>
      </c>
      <c r="D441" s="6" t="str">
        <f>IFERROR(VLOOKUP(E441,FORNECEDORES!$A$5:$F$999,6,FALSE),"L10")</f>
        <v>L03</v>
      </c>
      <c r="E441" s="6" t="inlineStr">
        <is>
          <t>EDIFICAR LOCACAO MANUTENCAO E SERVICOS LTDA</t>
        </is>
      </c>
      <c r="F441" s="7" t="n">
        <v>1155.8</v>
      </c>
      <c r="G441" s="6" t="inlineStr">
        <is>
          <t>LOCAÇÕES</t>
        </is>
      </c>
      <c r="H441" s="6" t="inlineStr">
        <is>
          <t>EDIFICAR LOCACAO MANUTENCAO E SERVICOS LTDA</t>
        </is>
      </c>
      <c r="I441" s="24" t="n">
        <v>46038</v>
      </c>
      <c r="J441" s="6" t="n">
        <v>4169</v>
      </c>
    </row>
    <row r="442">
      <c r="A442" s="23" t="n">
        <v>46023</v>
      </c>
      <c r="B442" s="6" t="inlineStr">
        <is>
          <t>Pago</t>
        </is>
      </c>
      <c r="C442" s="6" t="inlineStr">
        <is>
          <t>PL530.001</t>
        </is>
      </c>
      <c r="D442" s="6" t="str">
        <f>IFERROR(VLOOKUP(E442,FORNECEDORES!$A$5:$F$999,6,FALSE),"L10")</f>
        <v>L03</v>
      </c>
      <c r="E442" s="6" t="inlineStr">
        <is>
          <t>EDIFICAR LOCACAO MANUTENCAO E SERVICOS LTDA</t>
        </is>
      </c>
      <c r="F442" s="7" t="n">
        <v>369.99</v>
      </c>
      <c r="G442" s="6" t="inlineStr">
        <is>
          <t>LOCAÇÕES</t>
        </is>
      </c>
      <c r="H442" s="6" t="inlineStr">
        <is>
          <t>EDIFICAR LOCACAO MANUTENCAO E SERVICOS LTDA</t>
        </is>
      </c>
      <c r="I442" s="24" t="n">
        <v>46038</v>
      </c>
      <c r="J442" s="6" t="n">
        <v>4169</v>
      </c>
    </row>
    <row r="443">
      <c r="A443" s="23" t="n">
        <v>46023</v>
      </c>
      <c r="B443" s="6" t="inlineStr">
        <is>
          <t>Pago</t>
        </is>
      </c>
      <c r="C443" s="6" t="inlineStr">
        <is>
          <t>PL530.001</t>
        </is>
      </c>
      <c r="D443" s="6" t="str">
        <f>IFERROR(VLOOKUP(E443,FORNECEDORES!$A$5:$F$999,6,FALSE),"L10")</f>
        <v>L03</v>
      </c>
      <c r="E443" s="6" t="inlineStr">
        <is>
          <t>EDIFICAR LOCACAO MANUTENCAO E SERVICOS LTDA</t>
        </is>
      </c>
      <c r="F443" s="7" t="n">
        <v>130</v>
      </c>
      <c r="G443" s="6" t="inlineStr">
        <is>
          <t>LOCAÇÕES</t>
        </is>
      </c>
      <c r="H443" s="6" t="inlineStr">
        <is>
          <t>EDIFICAR LOCACAO MANUTENCAO E SERVICOS LTDA</t>
        </is>
      </c>
      <c r="I443" s="24" t="n">
        <v>46038</v>
      </c>
      <c r="J443" s="6" t="n">
        <v>4169</v>
      </c>
    </row>
    <row r="444">
      <c r="A444" s="23" t="n">
        <v>46023</v>
      </c>
      <c r="B444" s="6" t="inlineStr">
        <is>
          <t>Pago</t>
        </is>
      </c>
      <c r="C444" s="6" t="inlineStr">
        <is>
          <t>PL530.001</t>
        </is>
      </c>
      <c r="D444" s="6" t="str">
        <f>IFERROR(VLOOKUP(E444,FORNECEDORES!$A$5:$F$999,6,FALSE),"L10")</f>
        <v>L03</v>
      </c>
      <c r="E444" s="6" t="inlineStr">
        <is>
          <t>EDIFICAR LOCACAO MANUTENCAO E SERVICOS LTDA</t>
        </is>
      </c>
      <c r="F444" s="7" t="n">
        <v>110.01</v>
      </c>
      <c r="G444" s="6" t="inlineStr">
        <is>
          <t>LOCAÇÕES</t>
        </is>
      </c>
      <c r="H444" s="6" t="inlineStr">
        <is>
          <t>EDIFICAR LOCACAO MANUTENCAO E SERVICOS LTDA</t>
        </is>
      </c>
      <c r="I444" s="24" t="n">
        <v>46038</v>
      </c>
      <c r="J444" s="6" t="n">
        <v>4169</v>
      </c>
    </row>
    <row r="445">
      <c r="A445" s="23" t="n">
        <v>46023</v>
      </c>
      <c r="B445" s="6" t="inlineStr">
        <is>
          <t>Pago</t>
        </is>
      </c>
      <c r="C445" s="6" t="inlineStr">
        <is>
          <t>PL530.001</t>
        </is>
      </c>
      <c r="D445" s="6" t="str">
        <f>IFERROR(VLOOKUP(E445,FORNECEDORES!$A$5:$F$999,6,FALSE),"L10")</f>
        <v>L03</v>
      </c>
      <c r="E445" s="6" t="inlineStr">
        <is>
          <t>EUROLINK IMPORTACAO E LOCACAO DE EQUIPAMENTOS LTDA</t>
        </is>
      </c>
      <c r="F445" s="7" t="n">
        <v>2994.77</v>
      </c>
      <c r="G445" s="6" t="inlineStr">
        <is>
          <t>LOCAÇÕES</t>
        </is>
      </c>
      <c r="H445" s="6" t="inlineStr">
        <is>
          <t>EUROLINK IMPORTACAO E LOCACAO DE EQUIPAMENTOS LTDA</t>
        </is>
      </c>
      <c r="I445" s="24" t="n">
        <v>46028</v>
      </c>
      <c r="J445" s="6" t="n">
        <v>4089</v>
      </c>
    </row>
    <row r="446">
      <c r="A446" s="23" t="n">
        <v>46023</v>
      </c>
      <c r="B446" s="6" t="inlineStr">
        <is>
          <t>Pago</t>
        </is>
      </c>
      <c r="C446" s="6" t="inlineStr">
        <is>
          <t>PL530.001</t>
        </is>
      </c>
      <c r="D446" s="6" t="str">
        <f>IFERROR(VLOOKUP(E446,FORNECEDORES!$A$5:$F$999,6,FALSE),"L10")</f>
        <v>L03</v>
      </c>
      <c r="E446" s="6" t="inlineStr">
        <is>
          <t>EUROLINK IMPORTACAO E LOCACAO DE EQUIPAMENTOS LTDA</t>
        </is>
      </c>
      <c r="F446" s="7" t="n">
        <v>3017.2</v>
      </c>
      <c r="G446" s="6" t="inlineStr">
        <is>
          <t>LOCAÇÕES</t>
        </is>
      </c>
      <c r="H446" s="6" t="inlineStr">
        <is>
          <t>EUROLINK IMPORTACAO E LOCACAO DE EQUIPAMENTOS LTDA</t>
        </is>
      </c>
      <c r="I446" s="24" t="n">
        <v>46042</v>
      </c>
      <c r="J446" s="6" t="n">
        <v>4184</v>
      </c>
    </row>
    <row r="447">
      <c r="A447" s="23" t="n">
        <v>46023</v>
      </c>
      <c r="B447" s="6" t="inlineStr">
        <is>
          <t>Pago</t>
        </is>
      </c>
      <c r="C447" s="6" t="inlineStr">
        <is>
          <t>PL530.001</t>
        </is>
      </c>
      <c r="D447" s="6" t="str">
        <f>IFERROR(VLOOKUP(E447,FORNECEDORES!$A$5:$F$999,6,FALSE),"L10")</f>
        <v>L10</v>
      </c>
      <c r="E447" s="6" t="inlineStr">
        <is>
          <t>FIAO LOCACOES E TRANSPORTES LTDA</t>
        </is>
      </c>
      <c r="F447" s="7" t="n">
        <v>22119.36</v>
      </c>
      <c r="G447" s="6" t="inlineStr">
        <is>
          <t>NÃO CLASSIFICADO</t>
        </is>
      </c>
      <c r="H447" s="6" t="inlineStr">
        <is>
          <t>FIAO LOCACOES E TRANSPORTES LTDA</t>
        </is>
      </c>
      <c r="I447" s="24" t="n">
        <v>46045</v>
      </c>
      <c r="J447" s="6" t="n">
        <v>4197</v>
      </c>
    </row>
    <row r="448">
      <c r="A448" s="23" t="n">
        <v>46023</v>
      </c>
      <c r="B448" s="6" t="inlineStr">
        <is>
          <t>Pago</t>
        </is>
      </c>
      <c r="C448" s="6" t="inlineStr">
        <is>
          <t>PL530.001</t>
        </is>
      </c>
      <c r="D448" s="6" t="str">
        <f>IFERROR(VLOOKUP(E448,FORNECEDORES!$A$5:$F$999,6,FALSE),"L10")</f>
        <v>L10</v>
      </c>
      <c r="E448" s="6" t="inlineStr">
        <is>
          <t>FIAO LOCACOES E TRANSPORTES LTDA</t>
        </is>
      </c>
      <c r="F448" s="7" t="n">
        <v>369.05</v>
      </c>
      <c r="G448" s="6" t="inlineStr">
        <is>
          <t>NÃO CLASSIFICADO</t>
        </is>
      </c>
      <c r="H448" s="6" t="inlineStr">
        <is>
          <t>INSS RETIDO PJ - MINISTERIO DA PREVIDENCIA</t>
        </is>
      </c>
      <c r="I448" s="24" t="n">
        <v>46041</v>
      </c>
      <c r="J448" s="6" t="n">
        <v>4029</v>
      </c>
    </row>
    <row r="449">
      <c r="A449" s="23" t="n">
        <v>46023</v>
      </c>
      <c r="B449" s="6" t="inlineStr">
        <is>
          <t>Pago</t>
        </is>
      </c>
      <c r="C449" s="6" t="inlineStr">
        <is>
          <t>PL530.001</t>
        </is>
      </c>
      <c r="D449" s="6" t="str">
        <f>IFERROR(VLOOKUP(E449,FORNECEDORES!$A$5:$F$999,6,FALSE),"L10")</f>
        <v>L10</v>
      </c>
      <c r="E449" s="6" t="inlineStr">
        <is>
          <t>FIAO LOCACOES E TRANSPORTES LTDA</t>
        </is>
      </c>
      <c r="F449" s="7" t="n">
        <v>281.82</v>
      </c>
      <c r="G449" s="6" t="inlineStr">
        <is>
          <t>NÃO CLASSIFICADO</t>
        </is>
      </c>
      <c r="H449" s="6" t="inlineStr">
        <is>
          <t>PREFEITURA DE BELO HORIZONTE - ISSQN RETIDO</t>
        </is>
      </c>
      <c r="I449" s="24" t="n">
        <v>46030</v>
      </c>
      <c r="J449" s="6" t="n">
        <v>4030</v>
      </c>
    </row>
    <row r="450">
      <c r="A450" s="23" t="n">
        <v>46023</v>
      </c>
      <c r="B450" s="6" t="inlineStr">
        <is>
          <t>Pago</t>
        </is>
      </c>
      <c r="C450" s="6" t="inlineStr">
        <is>
          <t>PL530.001</t>
        </is>
      </c>
      <c r="D450" s="6" t="str">
        <f>IFERROR(VLOOKUP(E450,FORNECEDORES!$A$5:$F$999,6,FALSE),"L10")</f>
        <v>L10</v>
      </c>
      <c r="E450" s="6" t="inlineStr">
        <is>
          <t>GAIA PINTURAS LTDA</t>
        </is>
      </c>
      <c r="F450" s="7" t="n">
        <v>10030.23</v>
      </c>
      <c r="G450" s="6" t="inlineStr">
        <is>
          <t>NÃO CLASSIFICADO</t>
        </is>
      </c>
      <c r="H450" s="6" t="inlineStr">
        <is>
          <t>GAIA PINTURAS LTDA</t>
        </is>
      </c>
      <c r="I450" s="24" t="n">
        <v>46052</v>
      </c>
      <c r="J450" s="6" t="n">
        <v>4231</v>
      </c>
    </row>
    <row r="451">
      <c r="A451" s="23" t="n">
        <v>46023</v>
      </c>
      <c r="B451" s="6" t="inlineStr">
        <is>
          <t>Pago</t>
        </is>
      </c>
      <c r="C451" s="6" t="inlineStr">
        <is>
          <t>PL530.001</t>
        </is>
      </c>
      <c r="D451" s="6" t="str">
        <f>IFERROR(VLOOKUP(E451,FORNECEDORES!$A$5:$F$999,6,FALSE),"L10")</f>
        <v>L03</v>
      </c>
      <c r="E451" s="6" t="inlineStr">
        <is>
          <t>LOC MASTER LOCADORA DE EQUIPAMENTOS LTDA</t>
        </is>
      </c>
      <c r="F451" s="7" t="n">
        <v>990</v>
      </c>
      <c r="G451" s="6" t="inlineStr">
        <is>
          <t>LOCAÇÕES</t>
        </is>
      </c>
      <c r="H451" s="6" t="inlineStr">
        <is>
          <t>LOC MASTER LOCADORA DE EQUIPAMENTOS LTDA</t>
        </is>
      </c>
      <c r="I451" s="24" t="n">
        <v>46048</v>
      </c>
      <c r="J451" s="6" t="n">
        <v>4171</v>
      </c>
    </row>
    <row r="452">
      <c r="A452" s="23" t="n">
        <v>46023</v>
      </c>
      <c r="B452" s="6" t="inlineStr">
        <is>
          <t>Pago</t>
        </is>
      </c>
      <c r="C452" s="6" t="inlineStr">
        <is>
          <t>PL530.001</t>
        </is>
      </c>
      <c r="D452" s="6" t="str">
        <f>IFERROR(VLOOKUP(E452,FORNECEDORES!$A$5:$F$999,6,FALSE),"L10")</f>
        <v>L01</v>
      </c>
      <c r="E452" s="6" t="inlineStr">
        <is>
          <t>LOJA ELETRICA LIMITADA</t>
        </is>
      </c>
      <c r="F452" s="7" t="n">
        <v>37.4</v>
      </c>
      <c r="G452" s="6" t="inlineStr">
        <is>
          <t>ACESSÓRIOS DE FIXAÇÃO</t>
        </is>
      </c>
      <c r="H452" s="6" t="inlineStr">
        <is>
          <t>LOJA ELETRICA LIMITADA</t>
        </is>
      </c>
      <c r="I452" s="24" t="n">
        <v>46041</v>
      </c>
      <c r="J452" s="6" t="n">
        <v>3932</v>
      </c>
    </row>
    <row r="453">
      <c r="A453" s="23" t="n">
        <v>46023</v>
      </c>
      <c r="B453" s="6" t="inlineStr">
        <is>
          <t>Pago</t>
        </is>
      </c>
      <c r="C453" s="6" t="inlineStr">
        <is>
          <t>PL530.001</t>
        </is>
      </c>
      <c r="D453" s="6" t="str">
        <f>IFERROR(VLOOKUP(E453,FORNECEDORES!$A$5:$F$999,6,FALSE),"L10")</f>
        <v>L01</v>
      </c>
      <c r="E453" s="6" t="inlineStr">
        <is>
          <t>LOJA ELETRICA LIMITADA</t>
        </is>
      </c>
      <c r="F453" s="7" t="n">
        <v>115.62</v>
      </c>
      <c r="G453" s="6" t="inlineStr">
        <is>
          <t>MATERIAL ELÉTRICO</t>
        </is>
      </c>
      <c r="H453" s="6" t="inlineStr">
        <is>
          <t>LOJA ELETRICA LIMITADA</t>
        </is>
      </c>
      <c r="I453" s="24" t="n">
        <v>46041</v>
      </c>
      <c r="J453" s="6" t="n">
        <v>3933</v>
      </c>
    </row>
    <row r="454">
      <c r="A454" s="23" t="n">
        <v>46023</v>
      </c>
      <c r="B454" s="6" t="inlineStr">
        <is>
          <t>Pago</t>
        </is>
      </c>
      <c r="C454" s="6" t="inlineStr">
        <is>
          <t>PL530.001</t>
        </is>
      </c>
      <c r="D454" s="6" t="str">
        <f>IFERROR(VLOOKUP(E454,FORNECEDORES!$A$5:$F$999,6,FALSE),"L10")</f>
        <v>L01</v>
      </c>
      <c r="E454" s="6" t="inlineStr">
        <is>
          <t>LOJA ELETRICA LIMITADA</t>
        </is>
      </c>
      <c r="F454" s="7" t="n">
        <v>96.84</v>
      </c>
      <c r="G454" s="6" t="inlineStr">
        <is>
          <t>MATERIAL ELÉTRICO</t>
        </is>
      </c>
      <c r="H454" s="6" t="inlineStr">
        <is>
          <t>LOJA ELETRICA LIMITADA</t>
        </is>
      </c>
      <c r="I454" s="24" t="n">
        <v>46041</v>
      </c>
      <c r="J454" s="6" t="n">
        <v>3933</v>
      </c>
    </row>
    <row r="455">
      <c r="A455" s="23" t="n">
        <v>46023</v>
      </c>
      <c r="B455" s="6" t="inlineStr">
        <is>
          <t>Pago</t>
        </is>
      </c>
      <c r="C455" s="6" t="inlineStr">
        <is>
          <t>PL530.001</t>
        </is>
      </c>
      <c r="D455" s="6" t="str">
        <f>IFERROR(VLOOKUP(E455,FORNECEDORES!$A$5:$F$999,6,FALSE),"L10")</f>
        <v>L01</v>
      </c>
      <c r="E455" s="6" t="inlineStr">
        <is>
          <t>LOJA ELETRICA LIMITADA</t>
        </is>
      </c>
      <c r="F455" s="7" t="n">
        <v>97.65000000000001</v>
      </c>
      <c r="G455" s="6" t="inlineStr">
        <is>
          <t>MATERIAL ELÉTRICO</t>
        </is>
      </c>
      <c r="H455" s="6" t="inlineStr">
        <is>
          <t>LOJA ELETRICA LIMITADA</t>
        </is>
      </c>
      <c r="I455" s="24" t="n">
        <v>46041</v>
      </c>
      <c r="J455" s="6" t="n">
        <v>3933</v>
      </c>
    </row>
    <row r="456">
      <c r="A456" s="23" t="n">
        <v>46023</v>
      </c>
      <c r="B456" s="6" t="inlineStr">
        <is>
          <t>Pago</t>
        </is>
      </c>
      <c r="C456" s="6" t="inlineStr">
        <is>
          <t>PL530.001</t>
        </is>
      </c>
      <c r="D456" s="6" t="str">
        <f>IFERROR(VLOOKUP(E456,FORNECEDORES!$A$5:$F$999,6,FALSE),"L10")</f>
        <v>L01</v>
      </c>
      <c r="E456" s="6" t="inlineStr">
        <is>
          <t>LOJA ELETRICA LIMITADA</t>
        </is>
      </c>
      <c r="F456" s="7" t="n">
        <v>71.28</v>
      </c>
      <c r="G456" s="6" t="inlineStr">
        <is>
          <t>MATERIAL ELÉTRICO</t>
        </is>
      </c>
      <c r="H456" s="6" t="inlineStr">
        <is>
          <t>LOJA ELETRICA LIMITADA</t>
        </is>
      </c>
      <c r="I456" s="24" t="n">
        <v>46041</v>
      </c>
      <c r="J456" s="6" t="n">
        <v>3933</v>
      </c>
    </row>
    <row r="457">
      <c r="A457" s="23" t="n">
        <v>46023</v>
      </c>
      <c r="B457" s="6" t="inlineStr">
        <is>
          <t>Pago</t>
        </is>
      </c>
      <c r="C457" s="6" t="inlineStr">
        <is>
          <t>PL530.001</t>
        </is>
      </c>
      <c r="D457" s="6" t="str">
        <f>IFERROR(VLOOKUP(E457,FORNECEDORES!$A$5:$F$999,6,FALSE),"L10")</f>
        <v>L01</v>
      </c>
      <c r="E457" s="6" t="inlineStr">
        <is>
          <t>MINAS FERRAMENTAS LTDA</t>
        </is>
      </c>
      <c r="F457" s="7" t="n">
        <v>67.06</v>
      </c>
      <c r="G457" s="6" t="inlineStr">
        <is>
          <t>MATERIAL HIDRÁULICO</t>
        </is>
      </c>
      <c r="H457" s="6" t="inlineStr">
        <is>
          <t>MINAS FERRAMENTAS LTDA</t>
        </is>
      </c>
      <c r="I457" s="24" t="n">
        <v>46028</v>
      </c>
      <c r="J457" s="6" t="n">
        <v>3922</v>
      </c>
    </row>
    <row r="458">
      <c r="A458" s="23" t="n">
        <v>46023</v>
      </c>
      <c r="B458" s="6" t="inlineStr">
        <is>
          <t>Pago</t>
        </is>
      </c>
      <c r="C458" s="6" t="inlineStr">
        <is>
          <t>PL530.001</t>
        </is>
      </c>
      <c r="D458" s="6" t="str">
        <f>IFERROR(VLOOKUP(E458,FORNECEDORES!$A$5:$F$999,6,FALSE),"L10")</f>
        <v>L01</v>
      </c>
      <c r="E458" s="6" t="inlineStr">
        <is>
          <t>MINAS FERRAMENTAS LTDA</t>
        </is>
      </c>
      <c r="F458" s="7" t="n">
        <v>72.89</v>
      </c>
      <c r="G458" s="6" t="inlineStr">
        <is>
          <t>MATERIAL HIDRÁULICO</t>
        </is>
      </c>
      <c r="H458" s="6" t="inlineStr">
        <is>
          <t>MINAS FERRAMENTAS LTDA</t>
        </is>
      </c>
      <c r="I458" s="24" t="n">
        <v>46028</v>
      </c>
      <c r="J458" s="6" t="n">
        <v>3922</v>
      </c>
    </row>
    <row r="459">
      <c r="A459" s="23" t="n">
        <v>46023</v>
      </c>
      <c r="B459" s="6" t="inlineStr">
        <is>
          <t>Pago</t>
        </is>
      </c>
      <c r="C459" s="6" t="inlineStr">
        <is>
          <t>PL530.001</t>
        </is>
      </c>
      <c r="D459" s="6" t="str">
        <f>IFERROR(VLOOKUP(E459,FORNECEDORES!$A$5:$F$999,6,FALSE),"L10")</f>
        <v>L01</v>
      </c>
      <c r="E459" s="6" t="inlineStr">
        <is>
          <t>MINAS FERRAMENTAS LTDA</t>
        </is>
      </c>
      <c r="F459" s="7" t="n">
        <v>37.93</v>
      </c>
      <c r="G459" s="6" t="inlineStr">
        <is>
          <t>EQUIPAMENTOS E FERRAMENTAS</t>
        </is>
      </c>
      <c r="H459" s="6" t="inlineStr">
        <is>
          <t>MINAS FERRAMENTAS LTDA</t>
        </is>
      </c>
      <c r="I459" s="24" t="n">
        <v>46038</v>
      </c>
      <c r="J459" s="6" t="n">
        <v>4024</v>
      </c>
    </row>
    <row r="460">
      <c r="A460" s="23" t="n">
        <v>46023</v>
      </c>
      <c r="B460" s="6" t="inlineStr">
        <is>
          <t>Pago</t>
        </is>
      </c>
      <c r="C460" s="6" t="inlineStr">
        <is>
          <t>PL530.001</t>
        </is>
      </c>
      <c r="D460" s="6" t="str">
        <f>IFERROR(VLOOKUP(E460,FORNECEDORES!$A$5:$F$999,6,FALSE),"L10")</f>
        <v>L01</v>
      </c>
      <c r="E460" s="6" t="inlineStr">
        <is>
          <t>MINAS FERRAMENTAS LTDA</t>
        </is>
      </c>
      <c r="F460" s="7" t="n">
        <v>75.23999999999999</v>
      </c>
      <c r="G460" s="6" t="inlineStr">
        <is>
          <t>EQUIPAMENTOS E FERRAMENTAS</t>
        </is>
      </c>
      <c r="H460" s="6" t="inlineStr">
        <is>
          <t>MINAS FERRAMENTAS LTDA</t>
        </is>
      </c>
      <c r="I460" s="24" t="n">
        <v>46038</v>
      </c>
      <c r="J460" s="6" t="n">
        <v>4024</v>
      </c>
    </row>
    <row r="461">
      <c r="A461" s="23" t="n">
        <v>46023</v>
      </c>
      <c r="B461" s="6" t="inlineStr">
        <is>
          <t>Pago</t>
        </is>
      </c>
      <c r="C461" s="6" t="inlineStr">
        <is>
          <t>PL530.001</t>
        </is>
      </c>
      <c r="D461" s="6" t="str">
        <f>IFERROR(VLOOKUP(E461,FORNECEDORES!$A$5:$F$999,6,FALSE),"L10")</f>
        <v>L01</v>
      </c>
      <c r="E461" s="6" t="inlineStr">
        <is>
          <t>MINAS FERRAMENTAS LTDA</t>
        </is>
      </c>
      <c r="F461" s="7" t="n">
        <v>142.7</v>
      </c>
      <c r="G461" s="6" t="inlineStr">
        <is>
          <t>EQUIPAMENTOS E FERRAMENTAS</t>
        </is>
      </c>
      <c r="H461" s="6" t="inlineStr">
        <is>
          <t>MINAS FERRAMENTAS LTDA</t>
        </is>
      </c>
      <c r="I461" s="24" t="n">
        <v>46038</v>
      </c>
      <c r="J461" s="6" t="n">
        <v>4024</v>
      </c>
    </row>
    <row r="462">
      <c r="A462" s="23" t="n">
        <v>46023</v>
      </c>
      <c r="B462" s="6" t="inlineStr">
        <is>
          <t>Pago</t>
        </is>
      </c>
      <c r="C462" s="6" t="inlineStr">
        <is>
          <t>PL530.001</t>
        </is>
      </c>
      <c r="D462" s="6" t="str">
        <f>IFERROR(VLOOKUP(E462,FORNECEDORES!$A$5:$F$999,6,FALSE),"L10")</f>
        <v>L01</v>
      </c>
      <c r="E462" s="6" t="inlineStr">
        <is>
          <t>MINAS FERRAMENTAS LTDA</t>
        </is>
      </c>
      <c r="F462" s="7" t="n">
        <v>53.79</v>
      </c>
      <c r="G462" s="6" t="inlineStr">
        <is>
          <t>EQUIPAMENTOS E FERRAMENTAS</t>
        </is>
      </c>
      <c r="H462" s="6" t="inlineStr">
        <is>
          <t>MINAS FERRAMENTAS LTDA</t>
        </is>
      </c>
      <c r="I462" s="24" t="n">
        <v>46038</v>
      </c>
      <c r="J462" s="6" t="n">
        <v>4024</v>
      </c>
    </row>
    <row r="463">
      <c r="A463" s="23" t="n">
        <v>46023</v>
      </c>
      <c r="B463" s="6" t="inlineStr">
        <is>
          <t>Pago</t>
        </is>
      </c>
      <c r="C463" s="6" t="inlineStr">
        <is>
          <t>PL530.001</t>
        </is>
      </c>
      <c r="D463" s="6" t="str">
        <f>IFERROR(VLOOKUP(E463,FORNECEDORES!$A$5:$F$999,6,FALSE),"L10")</f>
        <v>L01</v>
      </c>
      <c r="E463" s="6" t="inlineStr">
        <is>
          <t>MINAS FERRAMENTAS LTDA</t>
        </is>
      </c>
      <c r="F463" s="7" t="n">
        <v>726.85</v>
      </c>
      <c r="G463" s="6" t="inlineStr">
        <is>
          <t>EQUIPAMENTOS E FERRAMENTAS</t>
        </is>
      </c>
      <c r="H463" s="6" t="inlineStr">
        <is>
          <t>MINAS FERRAMENTAS LTDA</t>
        </is>
      </c>
      <c r="I463" s="24" t="n">
        <v>46028</v>
      </c>
      <c r="J463" s="6" t="n">
        <v>3922</v>
      </c>
    </row>
    <row r="464">
      <c r="A464" s="23" t="n">
        <v>46023</v>
      </c>
      <c r="B464" s="6" t="inlineStr">
        <is>
          <t>Pago</t>
        </is>
      </c>
      <c r="C464" s="6" t="inlineStr">
        <is>
          <t>PL530.001</t>
        </is>
      </c>
      <c r="D464" s="6" t="str">
        <f>IFERROR(VLOOKUP(E464,FORNECEDORES!$A$5:$F$999,6,FALSE),"L10")</f>
        <v>L01</v>
      </c>
      <c r="E464" s="6" t="inlineStr">
        <is>
          <t>MINAS FERRAMENTAS LTDA</t>
        </is>
      </c>
      <c r="F464" s="7" t="n">
        <v>175.85</v>
      </c>
      <c r="G464" s="6" t="inlineStr">
        <is>
          <t>EQUIPAMENTOS E FERRAMENTAS</t>
        </is>
      </c>
      <c r="H464" s="6" t="inlineStr">
        <is>
          <t>MINAS FERRAMENTAS LTDA</t>
        </is>
      </c>
      <c r="I464" s="24" t="n">
        <v>46028</v>
      </c>
      <c r="J464" s="6" t="n">
        <v>3922</v>
      </c>
    </row>
    <row r="465">
      <c r="A465" s="23" t="n">
        <v>46023</v>
      </c>
      <c r="B465" s="6" t="inlineStr">
        <is>
          <t>Pago</t>
        </is>
      </c>
      <c r="C465" s="6" t="inlineStr">
        <is>
          <t>PL530.001</t>
        </is>
      </c>
      <c r="D465" s="6" t="str">
        <f>IFERROR(VLOOKUP(E465,FORNECEDORES!$A$5:$F$999,6,FALSE),"L10")</f>
        <v>L01</v>
      </c>
      <c r="E465" s="6" t="inlineStr">
        <is>
          <t>MINAS FERRAMENTAS LTDA</t>
        </is>
      </c>
      <c r="F465" s="7" t="n">
        <v>107.55</v>
      </c>
      <c r="G465" s="6" t="inlineStr">
        <is>
          <t>EQUIPAMENTOS E FERRAMENTAS</t>
        </is>
      </c>
      <c r="H465" s="6" t="inlineStr">
        <is>
          <t>MINAS FERRAMENTAS LTDA</t>
        </is>
      </c>
      <c r="I465" s="24" t="n">
        <v>46038</v>
      </c>
      <c r="J465" s="6" t="n">
        <v>4024</v>
      </c>
    </row>
    <row r="466">
      <c r="A466" s="23" t="n">
        <v>46023</v>
      </c>
      <c r="B466" s="6" t="inlineStr">
        <is>
          <t>Pago</t>
        </is>
      </c>
      <c r="C466" s="6" t="inlineStr">
        <is>
          <t>PL530.001</t>
        </is>
      </c>
      <c r="D466" s="6" t="str">
        <f>IFERROR(VLOOKUP(E466,FORNECEDORES!$A$5:$F$999,6,FALSE),"L10")</f>
        <v>L01</v>
      </c>
      <c r="E466" s="6" t="inlineStr">
        <is>
          <t>MINAS FERRAMENTAS LTDA</t>
        </is>
      </c>
      <c r="F466" s="7" t="n">
        <v>97.08</v>
      </c>
      <c r="G466" s="6" t="inlineStr">
        <is>
          <t>EQUIPAMENTOS E FERRAMENTAS</t>
        </is>
      </c>
      <c r="H466" s="6" t="inlineStr">
        <is>
          <t>MINAS FERRAMENTAS LTDA</t>
        </is>
      </c>
      <c r="I466" s="24" t="n">
        <v>46038</v>
      </c>
      <c r="J466" s="6" t="n">
        <v>4024</v>
      </c>
    </row>
    <row r="467">
      <c r="A467" s="23" t="n">
        <v>46023</v>
      </c>
      <c r="B467" s="6" t="inlineStr">
        <is>
          <t>Pago</t>
        </is>
      </c>
      <c r="C467" s="6" t="inlineStr">
        <is>
          <t>PL530.001</t>
        </is>
      </c>
      <c r="D467" s="6" t="str">
        <f>IFERROR(VLOOKUP(E467,FORNECEDORES!$A$5:$F$999,6,FALSE),"L10")</f>
        <v>L01</v>
      </c>
      <c r="E467" s="6" t="inlineStr">
        <is>
          <t>MINAS FERRAMENTAS LTDA</t>
        </is>
      </c>
      <c r="F467" s="7" t="n">
        <v>162.18</v>
      </c>
      <c r="G467" s="6" t="inlineStr">
        <is>
          <t>EQUIPAMENTOS E FERRAMENTAS</t>
        </is>
      </c>
      <c r="H467" s="6" t="inlineStr">
        <is>
          <t>MINAS FERRAMENTAS LTDA</t>
        </is>
      </c>
      <c r="I467" s="24" t="n">
        <v>46038</v>
      </c>
      <c r="J467" s="6" t="n">
        <v>4024</v>
      </c>
    </row>
    <row r="468">
      <c r="A468" s="23" t="n">
        <v>46023</v>
      </c>
      <c r="B468" s="6" t="inlineStr">
        <is>
          <t>Pago</t>
        </is>
      </c>
      <c r="C468" s="6" t="inlineStr">
        <is>
          <t>PL530.001</t>
        </is>
      </c>
      <c r="D468" s="6" t="str">
        <f>IFERROR(VLOOKUP(E468,FORNECEDORES!$A$5:$F$999,6,FALSE),"L10")</f>
        <v>L01</v>
      </c>
      <c r="E468" s="6" t="inlineStr">
        <is>
          <t>MINAS FERRAMENTAS LTDA</t>
        </is>
      </c>
      <c r="F468" s="7" t="n">
        <v>66.72</v>
      </c>
      <c r="G468" s="6" t="inlineStr">
        <is>
          <t>EQUIPAMENTOS E FERRAMENTAS</t>
        </is>
      </c>
      <c r="H468" s="6" t="inlineStr">
        <is>
          <t>MINAS FERRAMENTAS LTDA</t>
        </is>
      </c>
      <c r="I468" s="24" t="n">
        <v>46038</v>
      </c>
      <c r="J468" s="6" t="n">
        <v>4024</v>
      </c>
    </row>
    <row r="469">
      <c r="A469" s="23" t="n">
        <v>46023</v>
      </c>
      <c r="B469" s="6" t="inlineStr">
        <is>
          <t>Pago</t>
        </is>
      </c>
      <c r="C469" s="6" t="inlineStr">
        <is>
          <t>PL530.001</t>
        </is>
      </c>
      <c r="D469" s="6" t="str">
        <f>IFERROR(VLOOKUP(E469,FORNECEDORES!$A$5:$F$999,6,FALSE),"L10")</f>
        <v>L01</v>
      </c>
      <c r="E469" s="6" t="inlineStr">
        <is>
          <t>MINAS FERRAMENTAS LTDA</t>
        </is>
      </c>
      <c r="F469" s="7" t="n">
        <v>79.29000000000001</v>
      </c>
      <c r="G469" s="6" t="inlineStr">
        <is>
          <t>EQUIPAMENTOS E FERRAMENTAS</t>
        </is>
      </c>
      <c r="H469" s="6" t="inlineStr">
        <is>
          <t>MINAS FERRAMENTAS LTDA</t>
        </is>
      </c>
      <c r="I469" s="24" t="n">
        <v>46038</v>
      </c>
      <c r="J469" s="6" t="n">
        <v>4024</v>
      </c>
    </row>
    <row r="470">
      <c r="A470" s="23" t="n">
        <v>46023</v>
      </c>
      <c r="B470" s="6" t="inlineStr">
        <is>
          <t>Pago</t>
        </is>
      </c>
      <c r="C470" s="6" t="inlineStr">
        <is>
          <t>PL530.001</t>
        </is>
      </c>
      <c r="D470" s="6" t="str">
        <f>IFERROR(VLOOKUP(E470,FORNECEDORES!$A$5:$F$999,6,FALSE),"L10")</f>
        <v>L01</v>
      </c>
      <c r="E470" s="6" t="inlineStr">
        <is>
          <t>MINAS FERRAMENTAS LTDA</t>
        </is>
      </c>
      <c r="F470" s="7" t="n">
        <v>156.82</v>
      </c>
      <c r="G470" s="6" t="inlineStr">
        <is>
          <t>EQUIPAMENTOS E FERRAMENTAS</t>
        </is>
      </c>
      <c r="H470" s="6" t="inlineStr">
        <is>
          <t>MINAS FERRAMENTAS LTDA</t>
        </is>
      </c>
      <c r="I470" s="24" t="n">
        <v>46028</v>
      </c>
      <c r="J470" s="6" t="n">
        <v>3922</v>
      </c>
    </row>
    <row r="471">
      <c r="A471" s="23" t="n">
        <v>46023</v>
      </c>
      <c r="B471" s="6" t="inlineStr">
        <is>
          <t>Pago</t>
        </is>
      </c>
      <c r="C471" s="6" t="inlineStr">
        <is>
          <t>PL530.001</t>
        </is>
      </c>
      <c r="D471" s="6" t="str">
        <f>IFERROR(VLOOKUP(E471,FORNECEDORES!$A$5:$F$999,6,FALSE),"L10")</f>
        <v>L01</v>
      </c>
      <c r="E471" s="6" t="inlineStr">
        <is>
          <t>MINAS FERRAMENTAS LTDA</t>
        </is>
      </c>
      <c r="F471" s="7" t="n">
        <v>180.96</v>
      </c>
      <c r="G471" s="6" t="inlineStr">
        <is>
          <t>EQUIPAMENTOS E FERRAMENTAS</t>
        </is>
      </c>
      <c r="H471" s="6" t="inlineStr">
        <is>
          <t>MINAS FERRAMENTAS LTDA</t>
        </is>
      </c>
      <c r="I471" s="24" t="n">
        <v>46028</v>
      </c>
      <c r="J471" s="6" t="n">
        <v>3922</v>
      </c>
    </row>
    <row r="472">
      <c r="A472" s="23" t="n">
        <v>46023</v>
      </c>
      <c r="B472" s="6" t="inlineStr">
        <is>
          <t>Pago</t>
        </is>
      </c>
      <c r="C472" s="6" t="inlineStr">
        <is>
          <t>PL530.001</t>
        </is>
      </c>
      <c r="D472" s="6" t="str">
        <f>IFERROR(VLOOKUP(E472,FORNECEDORES!$A$5:$F$999,6,FALSE),"L10")</f>
        <v>L01</v>
      </c>
      <c r="E472" s="6" t="inlineStr">
        <is>
          <t>MINAS FERRAMENTAS LTDA</t>
        </is>
      </c>
      <c r="F472" s="7" t="n">
        <v>926.73</v>
      </c>
      <c r="G472" s="6" t="inlineStr">
        <is>
          <t>EQUIPAMENTOS E FERRAMENTAS</t>
        </is>
      </c>
      <c r="H472" s="6" t="inlineStr">
        <is>
          <t>MINAS FERRAMENTAS LTDA</t>
        </is>
      </c>
      <c r="I472" s="24" t="n">
        <v>46028</v>
      </c>
      <c r="J472" s="6" t="n">
        <v>3922</v>
      </c>
    </row>
    <row r="473">
      <c r="A473" s="23" t="n">
        <v>46023</v>
      </c>
      <c r="B473" s="6" t="inlineStr">
        <is>
          <t>Pago</t>
        </is>
      </c>
      <c r="C473" s="6" t="inlineStr">
        <is>
          <t>PL530.001</t>
        </is>
      </c>
      <c r="D473" s="6" t="str">
        <f>IFERROR(VLOOKUP(E473,FORNECEDORES!$A$5:$F$999,6,FALSE),"L10")</f>
        <v>L01</v>
      </c>
      <c r="E473" s="6" t="inlineStr">
        <is>
          <t>MINAS FERRAMENTAS LTDA</t>
        </is>
      </c>
      <c r="F473" s="7" t="n">
        <v>273.83</v>
      </c>
      <c r="G473" s="6" t="inlineStr">
        <is>
          <t>EQUIPAMENTOS E FERRAMENTAS</t>
        </is>
      </c>
      <c r="H473" s="6" t="inlineStr">
        <is>
          <t>MINAS FERRAMENTAS LTDA</t>
        </is>
      </c>
      <c r="I473" s="24" t="n">
        <v>46028</v>
      </c>
      <c r="J473" s="6" t="n">
        <v>3922</v>
      </c>
    </row>
    <row r="474">
      <c r="A474" s="23" t="n">
        <v>46023</v>
      </c>
      <c r="B474" s="6" t="inlineStr">
        <is>
          <t>Pago</t>
        </is>
      </c>
      <c r="C474" s="6" t="inlineStr">
        <is>
          <t>PL530.001</t>
        </is>
      </c>
      <c r="D474" s="6" t="str">
        <f>IFERROR(VLOOKUP(E474,FORNECEDORES!$A$5:$F$999,6,FALSE),"L10")</f>
        <v>L03</v>
      </c>
      <c r="E474" s="6" t="inlineStr">
        <is>
          <t>ORIGINAL LOCACOES LTDA</t>
        </is>
      </c>
      <c r="F474" s="7" t="n">
        <v>99.98999999999999</v>
      </c>
      <c r="G474" s="6" t="inlineStr">
        <is>
          <t>LOCAÇÕES</t>
        </is>
      </c>
      <c r="H474" s="6" t="inlineStr">
        <is>
          <t>ORIGINAL LOCACOES LTDA</t>
        </is>
      </c>
      <c r="I474" s="24" t="n">
        <v>46027</v>
      </c>
      <c r="J474" s="6" t="n">
        <v>4049</v>
      </c>
    </row>
    <row r="475">
      <c r="A475" s="23" t="n">
        <v>46023</v>
      </c>
      <c r="B475" s="6" t="inlineStr">
        <is>
          <t>Pago</t>
        </is>
      </c>
      <c r="C475" s="6" t="inlineStr">
        <is>
          <t>PL530.001</t>
        </is>
      </c>
      <c r="D475" s="6" t="str">
        <f>IFERROR(VLOOKUP(E475,FORNECEDORES!$A$5:$F$999,6,FALSE),"L10")</f>
        <v>L03</v>
      </c>
      <c r="E475" s="6" t="inlineStr">
        <is>
          <t>ORIGINAL LOCACOES LTDA</t>
        </is>
      </c>
      <c r="F475" s="7" t="n">
        <v>280</v>
      </c>
      <c r="G475" s="6" t="inlineStr">
        <is>
          <t>LOCAÇÕES</t>
        </is>
      </c>
      <c r="H475" s="6" t="inlineStr">
        <is>
          <t>ORIGINAL LOCACOES LTDA</t>
        </is>
      </c>
      <c r="I475" s="24" t="n">
        <v>46027</v>
      </c>
      <c r="J475" s="6" t="n">
        <v>4049</v>
      </c>
    </row>
    <row r="476">
      <c r="A476" s="23" t="n">
        <v>46023</v>
      </c>
      <c r="B476" s="6" t="inlineStr">
        <is>
          <t>Pago</t>
        </is>
      </c>
      <c r="C476" s="6" t="inlineStr">
        <is>
          <t>PL530.001</t>
        </is>
      </c>
      <c r="D476" s="6" t="str">
        <f>IFERROR(VLOOKUP(E476,FORNECEDORES!$A$5:$F$999,6,FALSE),"L10")</f>
        <v>L03</v>
      </c>
      <c r="E476" s="6" t="inlineStr">
        <is>
          <t>ORIGINAL LOCACOES LTDA</t>
        </is>
      </c>
      <c r="F476" s="7" t="n">
        <v>1560.01</v>
      </c>
      <c r="G476" s="6" t="inlineStr">
        <is>
          <t>LOCAÇÕES</t>
        </is>
      </c>
      <c r="H476" s="6" t="inlineStr">
        <is>
          <t>ORIGINAL LOCACOES LTDA</t>
        </is>
      </c>
      <c r="I476" s="24" t="n">
        <v>46027</v>
      </c>
      <c r="J476" s="6" t="n">
        <v>4049</v>
      </c>
    </row>
    <row r="477">
      <c r="A477" s="23" t="n">
        <v>46023</v>
      </c>
      <c r="B477" s="6" t="inlineStr">
        <is>
          <t>Pago</t>
        </is>
      </c>
      <c r="C477" s="6" t="inlineStr">
        <is>
          <t>PL530.001</t>
        </is>
      </c>
      <c r="D477" s="6" t="str">
        <f>IFERROR(VLOOKUP(E477,FORNECEDORES!$A$5:$F$999,6,FALSE),"L10")</f>
        <v>L01</v>
      </c>
      <c r="E477" s="6" t="inlineStr">
        <is>
          <t>OTHON DE CARVALHO E CIA LTDA</t>
        </is>
      </c>
      <c r="F477" s="7" t="n">
        <v>191.31</v>
      </c>
      <c r="G477" s="6" t="inlineStr">
        <is>
          <t>MATERIAL ELÉTRICO</t>
        </is>
      </c>
      <c r="H477" s="6" t="inlineStr">
        <is>
          <t>OTHON DE CARVALHO E CIA LTDA</t>
        </is>
      </c>
      <c r="I477" s="24" t="n">
        <v>46024</v>
      </c>
      <c r="J477" s="6" t="n">
        <v>3934</v>
      </c>
    </row>
    <row r="478">
      <c r="A478" s="23" t="n">
        <v>46023</v>
      </c>
      <c r="B478" s="6" t="inlineStr">
        <is>
          <t>Pago</t>
        </is>
      </c>
      <c r="C478" s="6" t="inlineStr">
        <is>
          <t>PL530.001</t>
        </is>
      </c>
      <c r="D478" s="6" t="str">
        <f>IFERROR(VLOOKUP(E478,FORNECEDORES!$A$5:$F$999,6,FALSE),"L10")</f>
        <v>L01</v>
      </c>
      <c r="E478" s="6" t="inlineStr">
        <is>
          <t>OTHON DE CARVALHO E CIA LTDA</t>
        </is>
      </c>
      <c r="F478" s="7" t="n">
        <v>191.31</v>
      </c>
      <c r="G478" s="6" t="inlineStr">
        <is>
          <t>MATERIAL ELÉTRICO</t>
        </is>
      </c>
      <c r="H478" s="6" t="inlineStr">
        <is>
          <t>OTHON DE CARVALHO E CIA LTDA</t>
        </is>
      </c>
      <c r="I478" s="24" t="n">
        <v>46024</v>
      </c>
      <c r="J478" s="6" t="n">
        <v>3934</v>
      </c>
    </row>
    <row r="479">
      <c r="A479" s="23" t="n">
        <v>46023</v>
      </c>
      <c r="B479" s="6" t="inlineStr">
        <is>
          <t>Pago</t>
        </is>
      </c>
      <c r="C479" s="6" t="inlineStr">
        <is>
          <t>PL530.001</t>
        </is>
      </c>
      <c r="D479" s="6" t="str">
        <f>IFERROR(VLOOKUP(E479,FORNECEDORES!$A$5:$F$999,6,FALSE),"L10")</f>
        <v>L01</v>
      </c>
      <c r="E479" s="6" t="inlineStr">
        <is>
          <t>OTHON DE CARVALHO E CIA LTDA</t>
        </is>
      </c>
      <c r="F479" s="7" t="n">
        <v>191.31</v>
      </c>
      <c r="G479" s="6" t="inlineStr">
        <is>
          <t>MATERIAL ELÉTRICO</t>
        </is>
      </c>
      <c r="H479" s="6" t="inlineStr">
        <is>
          <t>OTHON DE CARVALHO E CIA LTDA</t>
        </is>
      </c>
      <c r="I479" s="24" t="n">
        <v>46024</v>
      </c>
      <c r="J479" s="6" t="n">
        <v>3934</v>
      </c>
    </row>
    <row r="480">
      <c r="A480" s="23" t="n">
        <v>46023</v>
      </c>
      <c r="B480" s="6" t="inlineStr">
        <is>
          <t>Pago</t>
        </is>
      </c>
      <c r="C480" s="6" t="inlineStr">
        <is>
          <t>PL530.001</t>
        </is>
      </c>
      <c r="D480" s="6" t="str">
        <f>IFERROR(VLOOKUP(E480,FORNECEDORES!$A$5:$F$999,6,FALSE),"L10")</f>
        <v>L01</v>
      </c>
      <c r="E480" s="6" t="inlineStr">
        <is>
          <t>OTHON DE CARVALHO E CIA LTDA</t>
        </is>
      </c>
      <c r="F480" s="7" t="n">
        <v>191.31</v>
      </c>
      <c r="G480" s="6" t="inlineStr">
        <is>
          <t>MATERIAL ELÉTRICO</t>
        </is>
      </c>
      <c r="H480" s="6" t="inlineStr">
        <is>
          <t>OTHON DE CARVALHO E CIA LTDA</t>
        </is>
      </c>
      <c r="I480" s="24" t="n">
        <v>46024</v>
      </c>
      <c r="J480" s="6" t="n">
        <v>3934</v>
      </c>
    </row>
    <row r="481">
      <c r="A481" s="23" t="n">
        <v>46023</v>
      </c>
      <c r="B481" s="6" t="inlineStr">
        <is>
          <t>Pago</t>
        </is>
      </c>
      <c r="C481" s="6" t="inlineStr">
        <is>
          <t>PL530.001</t>
        </is>
      </c>
      <c r="D481" s="6" t="str">
        <f>IFERROR(VLOOKUP(E481,FORNECEDORES!$A$5:$F$999,6,FALSE),"L10")</f>
        <v>L10</v>
      </c>
      <c r="E481" s="6" t="inlineStr">
        <is>
          <t>PGO PLANEJAMENTO GERENCIAMENTO E OBRAS LTDA. - ME</t>
        </is>
      </c>
      <c r="F481" s="7" t="n">
        <v>1505.48</v>
      </c>
      <c r="G481" s="6" t="inlineStr">
        <is>
          <t>NÃO CLASSIFICADO</t>
        </is>
      </c>
      <c r="H481" s="6" t="inlineStr">
        <is>
          <t>PGO PLANEJAMENTO GERENCIAMENTO E OBRAS LTDA. - ME</t>
        </is>
      </c>
      <c r="I481" s="24" t="n">
        <v>46027</v>
      </c>
      <c r="J481" s="6" t="n">
        <v>3997</v>
      </c>
    </row>
    <row r="482">
      <c r="A482" s="23" t="n">
        <v>46023</v>
      </c>
      <c r="B482" s="6" t="inlineStr">
        <is>
          <t>Pago</t>
        </is>
      </c>
      <c r="C482" s="6" t="inlineStr">
        <is>
          <t>PL530.001</t>
        </is>
      </c>
      <c r="D482" s="6" t="str">
        <f>IFERROR(VLOOKUP(E482,FORNECEDORES!$A$5:$F$999,6,FALSE),"L10")</f>
        <v>L10</v>
      </c>
      <c r="E482" s="6" t="inlineStr">
        <is>
          <t>PGO PLANEJAMENTO GERENCIAMENTO E OBRAS LTDA. - ME</t>
        </is>
      </c>
      <c r="F482" s="7" t="n">
        <v>1230.07</v>
      </c>
      <c r="G482" s="6" t="inlineStr">
        <is>
          <t>NÃO CLASSIFICADO</t>
        </is>
      </c>
      <c r="H482" s="6" t="inlineStr">
        <is>
          <t>PGO PLANEJAMENTO GERENCIAMENTO E OBRAS LTDA. - ME</t>
        </is>
      </c>
      <c r="I482" s="24" t="n">
        <v>46037</v>
      </c>
      <c r="J482" s="6" t="n">
        <v>3997</v>
      </c>
    </row>
    <row r="483">
      <c r="A483" s="23" t="n">
        <v>46023</v>
      </c>
      <c r="B483" s="6" t="inlineStr">
        <is>
          <t>Pago</t>
        </is>
      </c>
      <c r="C483" s="6" t="inlineStr">
        <is>
          <t>PL530.001</t>
        </is>
      </c>
      <c r="D483" s="6" t="str">
        <f>IFERROR(VLOOKUP(E483,FORNECEDORES!$A$5:$F$999,6,FALSE),"L10")</f>
        <v>L10</v>
      </c>
      <c r="E483" s="6" t="inlineStr">
        <is>
          <t>PGO PLANEJAMENTO GERENCIAMENTO E OBRAS LTDA. - ME</t>
        </is>
      </c>
      <c r="F483" s="7" t="n">
        <v>6293.84</v>
      </c>
      <c r="G483" s="6" t="inlineStr">
        <is>
          <t>NÃO CLASSIFICADO</t>
        </is>
      </c>
      <c r="H483" s="6" t="inlineStr">
        <is>
          <t>PGO PLANEJAMENTO GERENCIAMENTO E OBRAS LTDA. - ME</t>
        </is>
      </c>
      <c r="I483" s="24" t="n">
        <v>46029</v>
      </c>
      <c r="J483" s="6" t="n">
        <v>3792</v>
      </c>
    </row>
    <row r="484">
      <c r="A484" s="23" t="n">
        <v>46023</v>
      </c>
      <c r="B484" s="6" t="inlineStr">
        <is>
          <t>Pago</t>
        </is>
      </c>
      <c r="C484" s="6" t="inlineStr">
        <is>
          <t>PL530.001</t>
        </is>
      </c>
      <c r="D484" s="6" t="str">
        <f>IFERROR(VLOOKUP(E484,FORNECEDORES!$A$5:$F$999,6,FALSE),"L10")</f>
        <v>L10</v>
      </c>
      <c r="E484" s="6" t="inlineStr">
        <is>
          <t>PGO PLANEJAMENTO GERENCIAMENTO E OBRAS LTDA. - ME</t>
        </is>
      </c>
      <c r="F484" s="7" t="n">
        <v>111.83</v>
      </c>
      <c r="G484" s="6" t="inlineStr">
        <is>
          <t>NÃO CLASSIFICADO</t>
        </is>
      </c>
      <c r="H484" s="6" t="inlineStr">
        <is>
          <t>INSS RETIDO PJ - MINISTERIO DA PREVIDENCIA</t>
        </is>
      </c>
      <c r="I484" s="24" t="n">
        <v>46041</v>
      </c>
      <c r="J484" s="6" t="n">
        <v>4068</v>
      </c>
    </row>
    <row r="485">
      <c r="A485" s="23" t="n">
        <v>46023</v>
      </c>
      <c r="B485" s="6" t="inlineStr">
        <is>
          <t>Pago</t>
        </is>
      </c>
      <c r="C485" s="6" t="inlineStr">
        <is>
          <t>PL530.001</t>
        </is>
      </c>
      <c r="D485" s="6" t="str">
        <f>IFERROR(VLOOKUP(E485,FORNECEDORES!$A$5:$F$999,6,FALSE),"L10")</f>
        <v>L10</v>
      </c>
      <c r="E485" s="6" t="inlineStr">
        <is>
          <t>PGO PLANEJAMENTO GERENCIAMENTO E OBRAS LTDA. - ME</t>
        </is>
      </c>
      <c r="F485" s="7" t="n">
        <v>123.97</v>
      </c>
      <c r="G485" s="6" t="inlineStr">
        <is>
          <t>NÃO CLASSIFICADO</t>
        </is>
      </c>
      <c r="H485" s="6" t="inlineStr">
        <is>
          <t>PREFEITURA DE BELO HORIZONTE - ISSQN RETIDO</t>
        </is>
      </c>
      <c r="I485" s="24" t="n">
        <v>46030</v>
      </c>
      <c r="J485" s="6" t="n">
        <v>4067</v>
      </c>
    </row>
    <row r="486">
      <c r="A486" s="23" t="n">
        <v>46054</v>
      </c>
      <c r="B486" s="6" t="inlineStr">
        <is>
          <t>Pago</t>
        </is>
      </c>
      <c r="C486" s="6" t="inlineStr">
        <is>
          <t>PL530.001</t>
        </is>
      </c>
      <c r="D486" s="6" t="str">
        <f>IFERROR(VLOOKUP(E486,FORNECEDORES!$A$5:$F$999,6,FALSE),"L10")</f>
        <v>L04</v>
      </c>
      <c r="E486" s="6" t="inlineStr">
        <is>
          <t>BH MADEFORMAS LTDA</t>
        </is>
      </c>
      <c r="F486" s="7" t="n">
        <v>130</v>
      </c>
      <c r="G486" s="6" t="inlineStr">
        <is>
          <t>FRETE</t>
        </is>
      </c>
      <c r="H486" s="6" t="inlineStr">
        <is>
          <t>BH MADEFORMAS LTDA</t>
        </is>
      </c>
      <c r="I486" s="24" t="n">
        <v>46072</v>
      </c>
      <c r="J486" s="6" t="n">
        <v>4252</v>
      </c>
    </row>
    <row r="487">
      <c r="A487" s="23" t="n">
        <v>46054</v>
      </c>
      <c r="B487" s="6" t="inlineStr">
        <is>
          <t>Pago</t>
        </is>
      </c>
      <c r="C487" s="6" t="inlineStr">
        <is>
          <t>PL530.001</t>
        </is>
      </c>
      <c r="D487" s="6" t="str">
        <f>IFERROR(VLOOKUP(E487,FORNECEDORES!$A$5:$F$999,6,FALSE),"L10")</f>
        <v>L04</v>
      </c>
      <c r="E487" s="6" t="inlineStr">
        <is>
          <t>BH MADEFORMAS LTDA</t>
        </is>
      </c>
      <c r="F487" s="7" t="n">
        <v>2933.91</v>
      </c>
      <c r="G487" s="6" t="inlineStr">
        <is>
          <t>FORMA DE MADEIRA</t>
        </is>
      </c>
      <c r="H487" s="6" t="inlineStr">
        <is>
          <t>BH MADEFORMAS LTDA</t>
        </is>
      </c>
      <c r="I487" s="24" t="n">
        <v>46072</v>
      </c>
      <c r="J487" s="6" t="n">
        <v>4252</v>
      </c>
    </row>
    <row r="488">
      <c r="A488" s="23" t="n">
        <v>46054</v>
      </c>
      <c r="B488" s="6" t="inlineStr">
        <is>
          <t>Pago</t>
        </is>
      </c>
      <c r="C488" s="6" t="inlineStr">
        <is>
          <t>PL530.001</t>
        </is>
      </c>
      <c r="D488" s="6" t="str">
        <f>IFERROR(VLOOKUP(E488,FORNECEDORES!$A$5:$F$999,6,FALSE),"L10")</f>
        <v>L01</v>
      </c>
      <c r="E488" s="6" t="inlineStr">
        <is>
          <t>COFERMETA SA</t>
        </is>
      </c>
      <c r="F488" s="7" t="n">
        <v>352</v>
      </c>
      <c r="G488" s="6" t="inlineStr">
        <is>
          <t>EQUIPAMENTOS E FERRAMENTAS</t>
        </is>
      </c>
      <c r="H488" s="6" t="inlineStr">
        <is>
          <t>COFERMETA SA</t>
        </is>
      </c>
      <c r="I488" s="24" t="n">
        <v>46059</v>
      </c>
      <c r="J488" s="6" t="n">
        <v>4297</v>
      </c>
    </row>
    <row r="489">
      <c r="A489" s="23" t="n">
        <v>46054</v>
      </c>
      <c r="B489" s="6" t="inlineStr">
        <is>
          <t>Pago</t>
        </is>
      </c>
      <c r="C489" s="6" t="inlineStr">
        <is>
          <t>PL530.001</t>
        </is>
      </c>
      <c r="D489" s="6" t="str">
        <f>IFERROR(VLOOKUP(E489,FORNECEDORES!$A$5:$F$999,6,FALSE),"L10")</f>
        <v>L01</v>
      </c>
      <c r="E489" s="6" t="inlineStr">
        <is>
          <t>COFERMETA SA</t>
        </is>
      </c>
      <c r="F489" s="7" t="n">
        <v>55.2</v>
      </c>
      <c r="G489" s="6" t="inlineStr">
        <is>
          <t>EQUIPAMENTOS E FERRAMENTAS</t>
        </is>
      </c>
      <c r="H489" s="6" t="inlineStr">
        <is>
          <t>COFERMETA SA</t>
        </is>
      </c>
      <c r="I489" s="24" t="n">
        <v>46078</v>
      </c>
      <c r="J489" s="6" t="n">
        <v>4264</v>
      </c>
    </row>
    <row r="490">
      <c r="A490" s="23" t="n">
        <v>46054</v>
      </c>
      <c r="B490" s="6" t="inlineStr">
        <is>
          <t>Pago</t>
        </is>
      </c>
      <c r="C490" s="6" t="inlineStr">
        <is>
          <t>PL530.001</t>
        </is>
      </c>
      <c r="D490" s="6" t="str">
        <f>IFERROR(VLOOKUP(E490,FORNECEDORES!$A$5:$F$999,6,FALSE),"L10")</f>
        <v>L01</v>
      </c>
      <c r="E490" s="6" t="inlineStr">
        <is>
          <t>CONDUSCAMP CONDUTORES CAMPINAS LTDA</t>
        </is>
      </c>
      <c r="F490" s="7" t="n">
        <v>5123.47</v>
      </c>
      <c r="G490" s="6" t="inlineStr">
        <is>
          <t>MATERIAL ELÉTRICO</t>
        </is>
      </c>
      <c r="H490" s="6" t="inlineStr">
        <is>
          <t>CONDUSCAMP CONDUTORES CAMPINAS LTDA</t>
        </is>
      </c>
      <c r="I490" s="24" t="n">
        <v>46064</v>
      </c>
      <c r="J490" s="6" t="n">
        <v>4128</v>
      </c>
    </row>
    <row r="491">
      <c r="A491" s="23" t="n">
        <v>46054</v>
      </c>
      <c r="B491" s="6" t="inlineStr">
        <is>
          <t>Pago</t>
        </is>
      </c>
      <c r="C491" s="6" t="inlineStr">
        <is>
          <t>PL530.001</t>
        </is>
      </c>
      <c r="D491" s="6" t="str">
        <f>IFERROR(VLOOKUP(E491,FORNECEDORES!$A$5:$F$999,6,FALSE),"L10")</f>
        <v>L01</v>
      </c>
      <c r="E491" s="6" t="inlineStr">
        <is>
          <t>CONDUSCAMP CONDUTORES CAMPINAS LTDA</t>
        </is>
      </c>
      <c r="F491" s="7" t="n">
        <v>434.05</v>
      </c>
      <c r="G491" s="6" t="inlineStr">
        <is>
          <t>MATERIAL ELÉTRICO</t>
        </is>
      </c>
      <c r="H491" s="6" t="inlineStr">
        <is>
          <t>CONDUSCAMP CONDUTORES CAMPINAS LTDA</t>
        </is>
      </c>
      <c r="I491" s="24" t="n">
        <v>46064</v>
      </c>
      <c r="J491" s="6" t="n">
        <v>4128</v>
      </c>
    </row>
    <row r="492">
      <c r="A492" s="23" t="n">
        <v>46054</v>
      </c>
      <c r="B492" s="6" t="inlineStr">
        <is>
          <t>Pago</t>
        </is>
      </c>
      <c r="C492" s="6" t="inlineStr">
        <is>
          <t>PL530.001</t>
        </is>
      </c>
      <c r="D492" s="6" t="str">
        <f>IFERROR(VLOOKUP(E492,FORNECEDORES!$A$5:$F$999,6,FALSE),"L10")</f>
        <v>L01</v>
      </c>
      <c r="E492" s="6" t="inlineStr">
        <is>
          <t>CONDUSCAMP CONDUTORES CAMPINAS LTDA</t>
        </is>
      </c>
      <c r="F492" s="7" t="n">
        <v>202.39</v>
      </c>
      <c r="G492" s="6" t="inlineStr">
        <is>
          <t>FRETE</t>
        </is>
      </c>
      <c r="H492" s="6" t="inlineStr">
        <is>
          <t>CONDUSCAMP CONDUTORES CAMPINAS LTDA</t>
        </is>
      </c>
      <c r="I492" s="24" t="n">
        <v>46064</v>
      </c>
      <c r="J492" s="6" t="n">
        <v>4128</v>
      </c>
    </row>
    <row r="493">
      <c r="A493" s="23" t="n">
        <v>46054</v>
      </c>
      <c r="B493" s="6" t="inlineStr">
        <is>
          <t>Pago</t>
        </is>
      </c>
      <c r="C493" s="6" t="inlineStr">
        <is>
          <t>PL530.001</t>
        </is>
      </c>
      <c r="D493" s="6" t="str">
        <f>IFERROR(VLOOKUP(E493,FORNECEDORES!$A$5:$F$999,6,FALSE),"L10")</f>
        <v>L03</v>
      </c>
      <c r="E493" s="6" t="inlineStr">
        <is>
          <t>DATRON TECNOLOGIA E LOCACAO LTDA</t>
        </is>
      </c>
      <c r="F493" s="7" t="n">
        <v>565</v>
      </c>
      <c r="G493" s="6" t="inlineStr">
        <is>
          <t>LOCAÇÕES</t>
        </is>
      </c>
      <c r="H493" s="6" t="inlineStr">
        <is>
          <t>DATRON TECNOLOGIA E LOCACAO LTDA</t>
        </is>
      </c>
      <c r="I493" s="24" t="n">
        <v>46071</v>
      </c>
      <c r="J493" s="6" t="n">
        <v>4172</v>
      </c>
    </row>
    <row r="494">
      <c r="A494" s="23" t="n">
        <v>46054</v>
      </c>
      <c r="B494" s="6" t="inlineStr">
        <is>
          <t>Pago</t>
        </is>
      </c>
      <c r="C494" s="6" t="inlineStr">
        <is>
          <t>PL530.001</t>
        </is>
      </c>
      <c r="D494" s="6" t="str">
        <f>IFERROR(VLOOKUP(E494,FORNECEDORES!$A$5:$F$999,6,FALSE),"L10")</f>
        <v>L01</v>
      </c>
      <c r="E494" s="6" t="inlineStr">
        <is>
          <t>E.P.O. ENGENHARIA PLANEJAMENTO E OBRAS LTDA.</t>
        </is>
      </c>
      <c r="F494" s="7" t="n">
        <v>99670.42</v>
      </c>
      <c r="G494" s="6" t="inlineStr">
        <is>
          <t>DESPESAS</t>
        </is>
      </c>
      <c r="H494" s="6" t="inlineStr">
        <is>
          <t>E.P.O. ENGENHARIA PLANEJAMENTO E OBRAS LTDA.</t>
        </is>
      </c>
      <c r="I494" s="24" t="n">
        <v>46080</v>
      </c>
      <c r="J494" s="6" t="n">
        <v>4536</v>
      </c>
    </row>
    <row r="495">
      <c r="A495" s="23" t="n">
        <v>46054</v>
      </c>
      <c r="B495" s="6" t="inlineStr">
        <is>
          <t>Pago</t>
        </is>
      </c>
      <c r="C495" s="6" t="inlineStr">
        <is>
          <t>PL530.001</t>
        </is>
      </c>
      <c r="D495" s="6" t="str">
        <f>IFERROR(VLOOKUP(E495,FORNECEDORES!$A$5:$F$999,6,FALSE),"L10")</f>
        <v>L03</v>
      </c>
      <c r="E495" s="6" t="inlineStr">
        <is>
          <t>EDIFICAR LOCACAO MANUTENCAO E SERVICOS LTDA</t>
        </is>
      </c>
      <c r="F495" s="7" t="n">
        <v>80</v>
      </c>
      <c r="G495" s="6" t="inlineStr">
        <is>
          <t>LOCAÇÕES</t>
        </is>
      </c>
      <c r="H495" s="6" t="inlineStr">
        <is>
          <t>EDIFICAR LOCACAO MANUTENCAO E SERVICOS LTDA</t>
        </is>
      </c>
      <c r="I495" s="24" t="n">
        <v>46073</v>
      </c>
      <c r="J495" s="6" t="n">
        <v>4355</v>
      </c>
    </row>
    <row r="496">
      <c r="A496" s="23" t="n">
        <v>46054</v>
      </c>
      <c r="B496" s="6" t="inlineStr">
        <is>
          <t>Pago</t>
        </is>
      </c>
      <c r="C496" s="6" t="inlineStr">
        <is>
          <t>PL530.001</t>
        </is>
      </c>
      <c r="D496" s="6" t="str">
        <f>IFERROR(VLOOKUP(E496,FORNECEDORES!$A$5:$F$999,6,FALSE),"L10")</f>
        <v>L03</v>
      </c>
      <c r="E496" s="6" t="inlineStr">
        <is>
          <t>EUROLINK IMPORTACAO E LOCACAO DE EQUIPAMENTOS LTDA</t>
        </is>
      </c>
      <c r="F496" s="7" t="n">
        <v>8064.43</v>
      </c>
      <c r="G496" s="6" t="inlineStr">
        <is>
          <t>LOCAÇÕES</t>
        </is>
      </c>
      <c r="H496" s="6" t="inlineStr">
        <is>
          <t>EUROLINK IMPORTACAO E LOCACAO DE EQUIPAMENTOS LTDA</t>
        </is>
      </c>
      <c r="I496" s="24" t="n">
        <v>46077</v>
      </c>
      <c r="J496" s="6" t="n">
        <v>4507</v>
      </c>
    </row>
    <row r="497">
      <c r="A497" s="23" t="n">
        <v>46054</v>
      </c>
      <c r="B497" s="6" t="inlineStr">
        <is>
          <t>Pago</t>
        </is>
      </c>
      <c r="C497" s="6" t="inlineStr">
        <is>
          <t>PL530.001</t>
        </is>
      </c>
      <c r="D497" s="6" t="str">
        <f>IFERROR(VLOOKUP(E497,FORNECEDORES!$A$5:$F$999,6,FALSE),"L10")</f>
        <v>L01</v>
      </c>
      <c r="E497" s="6" t="inlineStr">
        <is>
          <t>EXPRESSO 2000 TRANSPORTES E LOGISTICA LTDA</t>
        </is>
      </c>
      <c r="F497" s="7" t="n">
        <v>128.39</v>
      </c>
      <c r="G497" s="6" t="inlineStr">
        <is>
          <t>FRETE</t>
        </is>
      </c>
      <c r="H497" s="6" t="inlineStr">
        <is>
          <t>EXPRESSO 2000 TRANSPORTES E LOGISTICA LTDA</t>
        </is>
      </c>
      <c r="I497" s="24" t="n">
        <v>46066</v>
      </c>
      <c r="J497" s="6" t="n">
        <v>4182</v>
      </c>
    </row>
    <row r="498">
      <c r="A498" s="23" t="n">
        <v>46054</v>
      </c>
      <c r="B498" s="6" t="inlineStr">
        <is>
          <t>Pago</t>
        </is>
      </c>
      <c r="C498" s="6" t="inlineStr">
        <is>
          <t>PL530.001</t>
        </is>
      </c>
      <c r="D498" s="6" t="str">
        <f>IFERROR(VLOOKUP(E498,FORNECEDORES!$A$5:$F$999,6,FALSE),"L10")</f>
        <v>L10</v>
      </c>
      <c r="E498" s="6" t="inlineStr">
        <is>
          <t>FIAO LOCACOES E TRANSPORTES LTDA</t>
        </is>
      </c>
      <c r="F498" s="7" t="n">
        <v>14646.42</v>
      </c>
      <c r="G498" s="6" t="inlineStr">
        <is>
          <t>NÃO CLASSIFICADO</t>
        </is>
      </c>
      <c r="H498" s="6" t="inlineStr">
        <is>
          <t>FIAO LOCACOES E TRANSPORTES LTDA</t>
        </is>
      </c>
      <c r="I498" s="24" t="n">
        <v>46058</v>
      </c>
      <c r="J498" s="6" t="n">
        <v>4239</v>
      </c>
    </row>
    <row r="499">
      <c r="A499" s="23" t="n">
        <v>46054</v>
      </c>
      <c r="B499" s="6" t="inlineStr">
        <is>
          <t>Pago</t>
        </is>
      </c>
      <c r="C499" s="6" t="inlineStr">
        <is>
          <t>PL530.001</t>
        </is>
      </c>
      <c r="D499" s="6" t="str">
        <f>IFERROR(VLOOKUP(E499,FORNECEDORES!$A$5:$F$999,6,FALSE),"L10")</f>
        <v>L10</v>
      </c>
      <c r="E499" s="6" t="inlineStr">
        <is>
          <t>FIAO LOCACOES E TRANSPORTES LTDA</t>
        </is>
      </c>
      <c r="F499" s="7" t="n">
        <v>12318.36</v>
      </c>
      <c r="G499" s="6" t="inlineStr">
        <is>
          <t>NÃO CLASSIFICADO</t>
        </is>
      </c>
      <c r="H499" s="6" t="inlineStr">
        <is>
          <t>FIAO LOCACOES E TRANSPORTES LTDA</t>
        </is>
      </c>
      <c r="I499" s="24" t="n">
        <v>46073</v>
      </c>
      <c r="J499" s="6" t="n">
        <v>4336</v>
      </c>
    </row>
    <row r="500">
      <c r="A500" s="23" t="n">
        <v>46054</v>
      </c>
      <c r="B500" s="6" t="inlineStr">
        <is>
          <t>Pago</t>
        </is>
      </c>
      <c r="C500" s="6" t="inlineStr">
        <is>
          <t>PL530.001</t>
        </is>
      </c>
      <c r="D500" s="6" t="str">
        <f>IFERROR(VLOOKUP(E500,FORNECEDORES!$A$5:$F$999,6,FALSE),"L10")</f>
        <v>L10</v>
      </c>
      <c r="E500" s="6" t="inlineStr">
        <is>
          <t>FIAO LOCACOES E TRANSPORTES LTDA</t>
        </is>
      </c>
      <c r="F500" s="7" t="n">
        <v>1346.35</v>
      </c>
      <c r="G500" s="6" t="inlineStr">
        <is>
          <t>NÃO CLASSIFICADO</t>
        </is>
      </c>
      <c r="H500" s="6" t="inlineStr">
        <is>
          <t>INSS RETIDO PJ - MINISTERIO DA PREVIDENCIA</t>
        </is>
      </c>
      <c r="I500" s="24" t="n">
        <v>46072</v>
      </c>
      <c r="J500" s="6" t="n">
        <v>4256</v>
      </c>
    </row>
    <row r="501">
      <c r="A501" s="23" t="n">
        <v>46054</v>
      </c>
      <c r="B501" s="6" t="inlineStr">
        <is>
          <t>Pago</t>
        </is>
      </c>
      <c r="C501" s="6" t="inlineStr">
        <is>
          <t>PL530.001</t>
        </is>
      </c>
      <c r="D501" s="6" t="str">
        <f>IFERROR(VLOOKUP(E501,FORNECEDORES!$A$5:$F$999,6,FALSE),"L10")</f>
        <v>L10</v>
      </c>
      <c r="E501" s="6" t="inlineStr">
        <is>
          <t>FIAO LOCACOES E TRANSPORTES LTDA</t>
        </is>
      </c>
      <c r="F501" s="7" t="n">
        <v>891</v>
      </c>
      <c r="G501" s="6" t="inlineStr">
        <is>
          <t>NÃO CLASSIFICADO</t>
        </is>
      </c>
      <c r="H501" s="6" t="inlineStr">
        <is>
          <t>INSS RETIDO PJ - MINISTERIO DA PREVIDENCIA</t>
        </is>
      </c>
      <c r="I501" s="24" t="n">
        <v>46072</v>
      </c>
      <c r="J501" s="6" t="n">
        <v>4282</v>
      </c>
    </row>
    <row r="502">
      <c r="A502" s="23" t="n">
        <v>46054</v>
      </c>
      <c r="B502" s="6" t="inlineStr">
        <is>
          <t>Pago</t>
        </is>
      </c>
      <c r="C502" s="6" t="inlineStr">
        <is>
          <t>PL530.001</t>
        </is>
      </c>
      <c r="D502" s="6" t="str">
        <f>IFERROR(VLOOKUP(E502,FORNECEDORES!$A$5:$F$999,6,FALSE),"L10")</f>
        <v>L10</v>
      </c>
      <c r="E502" s="6" t="inlineStr">
        <is>
          <t>FIAO LOCACOES E TRANSPORTES LTDA</t>
        </is>
      </c>
      <c r="F502" s="7" t="n">
        <v>662.58</v>
      </c>
      <c r="G502" s="6" t="inlineStr">
        <is>
          <t>NÃO CLASSIFICADO</t>
        </is>
      </c>
      <c r="H502" s="6" t="inlineStr">
        <is>
          <t>PREFEITURA DE BELO HORIZONTE - ISSQN RETIDO</t>
        </is>
      </c>
      <c r="I502" s="24" t="n">
        <v>46062</v>
      </c>
      <c r="J502" s="6" t="n">
        <v>4283</v>
      </c>
    </row>
    <row r="503">
      <c r="A503" s="23" t="n">
        <v>46054</v>
      </c>
      <c r="B503" s="6" t="inlineStr">
        <is>
          <t>Pago</t>
        </is>
      </c>
      <c r="C503" s="6" t="inlineStr">
        <is>
          <t>PL530.001</t>
        </is>
      </c>
      <c r="D503" s="6" t="str">
        <f>IFERROR(VLOOKUP(E503,FORNECEDORES!$A$5:$F$999,6,FALSE),"L10")</f>
        <v>L10</v>
      </c>
      <c r="E503" s="6" t="inlineStr">
        <is>
          <t>FIAO LOCACOES E TRANSPORTES LTDA</t>
        </is>
      </c>
      <c r="F503" s="7" t="n">
        <v>1013.44</v>
      </c>
      <c r="G503" s="6" t="inlineStr">
        <is>
          <t>NÃO CLASSIFICADO</t>
        </is>
      </c>
      <c r="H503" s="6" t="inlineStr">
        <is>
          <t>PREFEITURA DE BELO HORIZONTE - ISSQN RETIDO</t>
        </is>
      </c>
      <c r="I503" s="24" t="n">
        <v>46062</v>
      </c>
      <c r="J503" s="6" t="n">
        <v>4257</v>
      </c>
    </row>
    <row r="504">
      <c r="A504" s="23" t="n">
        <v>46054</v>
      </c>
      <c r="B504" s="6" t="inlineStr">
        <is>
          <t>Pago</t>
        </is>
      </c>
      <c r="C504" s="6" t="inlineStr">
        <is>
          <t>PL530.001</t>
        </is>
      </c>
      <c r="D504" s="6" t="str">
        <f>IFERROR(VLOOKUP(E504,FORNECEDORES!$A$5:$F$999,6,FALSE),"L10")</f>
        <v>L10</v>
      </c>
      <c r="E504" s="6" t="inlineStr">
        <is>
          <t>GAIA PINTURAS LTDA</t>
        </is>
      </c>
      <c r="F504" s="7" t="n">
        <v>383.67</v>
      </c>
      <c r="G504" s="6" t="inlineStr">
        <is>
          <t>NÃO CLASSIFICADO</t>
        </is>
      </c>
      <c r="H504" s="6" t="inlineStr">
        <is>
          <t>INSS RETIDO PJ - MINISTERIO DA PREVIDENCIA</t>
        </is>
      </c>
      <c r="I504" s="24" t="n">
        <v>46072</v>
      </c>
      <c r="J504" s="6" t="n">
        <v>4232</v>
      </c>
    </row>
    <row r="505">
      <c r="A505" s="23" t="n">
        <v>46054</v>
      </c>
      <c r="B505" s="6" t="inlineStr">
        <is>
          <t>Pago</t>
        </is>
      </c>
      <c r="C505" s="6" t="inlineStr">
        <is>
          <t>PL530.001</t>
        </is>
      </c>
      <c r="D505" s="6" t="str">
        <f>IFERROR(VLOOKUP(E505,FORNECEDORES!$A$5:$F$999,6,FALSE),"L10")</f>
        <v>L10</v>
      </c>
      <c r="E505" s="6" t="inlineStr">
        <is>
          <t>GAIA PINTURAS LTDA</t>
        </is>
      </c>
      <c r="F505" s="7" t="n">
        <v>548.1</v>
      </c>
      <c r="G505" s="6" t="inlineStr">
        <is>
          <t>NÃO CLASSIFICADO</t>
        </is>
      </c>
      <c r="H505" s="6" t="inlineStr">
        <is>
          <t>PREFEITURA DE BELO HORIZONTE - ISSQN RETIDO</t>
        </is>
      </c>
      <c r="I505" s="24" t="n">
        <v>46062</v>
      </c>
      <c r="J505" s="6" t="n">
        <v>4233</v>
      </c>
    </row>
    <row r="506">
      <c r="A506" s="23" t="n">
        <v>46054</v>
      </c>
      <c r="B506" s="6" t="inlineStr">
        <is>
          <t>Pago</t>
        </is>
      </c>
      <c r="C506" s="6" t="inlineStr">
        <is>
          <t>PL530.001</t>
        </is>
      </c>
      <c r="D506" s="6" t="str">
        <f>IFERROR(VLOOKUP(E506,FORNECEDORES!$A$5:$F$999,6,FALSE),"L10")</f>
        <v>L10</v>
      </c>
      <c r="E506" s="6" t="inlineStr">
        <is>
          <t>JSS AGENCIAMENTOS E TRANSPORTES LTDA</t>
        </is>
      </c>
      <c r="F506" s="7" t="n">
        <v>931</v>
      </c>
      <c r="G506" s="6" t="inlineStr">
        <is>
          <t>NÃO CLASSIFICADO</t>
        </is>
      </c>
      <c r="H506" s="6" t="inlineStr">
        <is>
          <t>JSS AGENCIAMENTOS E TRANSPORTES LTDA</t>
        </is>
      </c>
      <c r="I506" s="24" t="n">
        <v>46079</v>
      </c>
      <c r="J506" s="6" t="n">
        <v>4496</v>
      </c>
    </row>
    <row r="507">
      <c r="A507" s="23" t="n">
        <v>46054</v>
      </c>
      <c r="B507" s="6" t="inlineStr">
        <is>
          <t>Pago</t>
        </is>
      </c>
      <c r="C507" s="6" t="inlineStr">
        <is>
          <t>PL530.001</t>
        </is>
      </c>
      <c r="D507" s="6" t="str">
        <f>IFERROR(VLOOKUP(E507,FORNECEDORES!$A$5:$F$999,6,FALSE),"L10")</f>
        <v>L02</v>
      </c>
      <c r="E507" s="6" t="inlineStr">
        <is>
          <t>LOC BRAGA LOCACAO E TRANSPORTES LTDA - EPP</t>
        </is>
      </c>
      <c r="F507" s="7" t="n">
        <v>3657.5</v>
      </c>
      <c r="G507" s="6" t="inlineStr">
        <is>
          <t>NÃO CLASSIFICADO</t>
        </is>
      </c>
      <c r="H507" s="6" t="inlineStr">
        <is>
          <t>LOC BRAGA LOCACAO E TRANSPORTES LTDA - EPP</t>
        </is>
      </c>
      <c r="I507" s="24" t="n">
        <v>46077</v>
      </c>
      <c r="J507" s="6" t="n">
        <v>4440</v>
      </c>
    </row>
    <row r="508">
      <c r="A508" s="23" t="n">
        <v>46054</v>
      </c>
      <c r="B508" s="6" t="inlineStr">
        <is>
          <t>Pago</t>
        </is>
      </c>
      <c r="C508" s="6" t="inlineStr">
        <is>
          <t>PL530.001</t>
        </is>
      </c>
      <c r="D508" s="6" t="str">
        <f>IFERROR(VLOOKUP(E508,FORNECEDORES!$A$5:$F$999,6,FALSE),"L10")</f>
        <v>L02</v>
      </c>
      <c r="E508" s="6" t="inlineStr">
        <is>
          <t>LOC BRAGA LOCACAO E TRANSPORTES LTDA - EPP</t>
        </is>
      </c>
      <c r="F508" s="7" t="n">
        <v>3325</v>
      </c>
      <c r="G508" s="6" t="inlineStr">
        <is>
          <t>NÃO CLASSIFICADO</t>
        </is>
      </c>
      <c r="H508" s="6" t="inlineStr">
        <is>
          <t>LOC BRAGA LOCACAO E TRANSPORTES LTDA - EPP</t>
        </is>
      </c>
      <c r="I508" s="24" t="n">
        <v>46077</v>
      </c>
      <c r="J508" s="6" t="n">
        <v>4437</v>
      </c>
    </row>
    <row r="509">
      <c r="A509" s="23" t="n">
        <v>46054</v>
      </c>
      <c r="B509" s="6" t="inlineStr">
        <is>
          <t>Pago</t>
        </is>
      </c>
      <c r="C509" s="6" t="inlineStr">
        <is>
          <t>PL530.001</t>
        </is>
      </c>
      <c r="D509" s="6" t="str">
        <f>IFERROR(VLOOKUP(E509,FORNECEDORES!$A$5:$F$999,6,FALSE),"L10")</f>
        <v>L03</v>
      </c>
      <c r="E509" s="6" t="inlineStr">
        <is>
          <t>LOC MASTER LOCADORA DE EQUIPAMENTOS LTDA</t>
        </is>
      </c>
      <c r="F509" s="7" t="n">
        <v>991.98</v>
      </c>
      <c r="G509" s="6" t="inlineStr">
        <is>
          <t>LOCAÇÕES</t>
        </is>
      </c>
      <c r="H509" s="6" t="inlineStr">
        <is>
          <t>LOC MASTER LOCADORA DE EQUIPAMENTOS LTDA</t>
        </is>
      </c>
      <c r="I509" s="24" t="n">
        <v>46080</v>
      </c>
      <c r="J509" s="6" t="n">
        <v>4556</v>
      </c>
    </row>
    <row r="510">
      <c r="A510" s="23" t="n">
        <v>46054</v>
      </c>
      <c r="B510" s="6" t="inlineStr">
        <is>
          <t>Pago</t>
        </is>
      </c>
      <c r="C510" s="6" t="inlineStr">
        <is>
          <t>PL530.001</t>
        </is>
      </c>
      <c r="D510" s="6" t="str">
        <f>IFERROR(VLOOKUP(E510,FORNECEDORES!$A$5:$F$999,6,FALSE),"L10")</f>
        <v>L03</v>
      </c>
      <c r="E510" s="6" t="inlineStr">
        <is>
          <t>LOCAFAZ LOCACAO DE EQUIPAMENTOS LTDA</t>
        </is>
      </c>
      <c r="F510" s="7" t="n">
        <v>487.09</v>
      </c>
      <c r="G510" s="6" t="inlineStr">
        <is>
          <t>LOCAÇÕES</t>
        </is>
      </c>
      <c r="H510" s="6" t="inlineStr">
        <is>
          <t>LOCAFAZ LOCACAO DE EQUIPAMENTOS LTDA</t>
        </is>
      </c>
      <c r="I510" s="24" t="n">
        <v>46072</v>
      </c>
      <c r="J510" s="6" t="n">
        <v>4418</v>
      </c>
    </row>
    <row r="511">
      <c r="A511" s="23" t="n">
        <v>46054</v>
      </c>
      <c r="B511" s="6" t="inlineStr">
        <is>
          <t>Pago</t>
        </is>
      </c>
      <c r="C511" s="6" t="inlineStr">
        <is>
          <t>PL530.001</t>
        </is>
      </c>
      <c r="D511" s="6" t="str">
        <f>IFERROR(VLOOKUP(E511,FORNECEDORES!$A$5:$F$999,6,FALSE),"L10")</f>
        <v>L03</v>
      </c>
      <c r="E511" s="6" t="inlineStr">
        <is>
          <t>LOCAFAZ LOCACAO DE EQUIPAMENTOS LTDA</t>
        </is>
      </c>
      <c r="F511" s="7" t="n">
        <v>676.05</v>
      </c>
      <c r="G511" s="6" t="inlineStr">
        <is>
          <t>LOCAÇÕES</t>
        </is>
      </c>
      <c r="H511" s="6" t="inlineStr">
        <is>
          <t>LOCAFAZ LOCACAO DE EQUIPAMENTOS LTDA</t>
        </is>
      </c>
      <c r="I511" s="24" t="n">
        <v>46072</v>
      </c>
      <c r="J511" s="6" t="n">
        <v>4418</v>
      </c>
    </row>
    <row r="512">
      <c r="A512" s="23" t="n">
        <v>46054</v>
      </c>
      <c r="B512" s="6" t="inlineStr">
        <is>
          <t>Pago</t>
        </is>
      </c>
      <c r="C512" s="6" t="inlineStr">
        <is>
          <t>PL530.001</t>
        </is>
      </c>
      <c r="D512" s="6" t="str">
        <f>IFERROR(VLOOKUP(E512,FORNECEDORES!$A$5:$F$999,6,FALSE),"L10")</f>
        <v>L03</v>
      </c>
      <c r="E512" s="6" t="inlineStr">
        <is>
          <t>LOCAFAZ LOCACAO DE EQUIPAMENTOS LTDA</t>
        </is>
      </c>
      <c r="F512" s="7" t="n">
        <v>164.49</v>
      </c>
      <c r="G512" s="6" t="inlineStr">
        <is>
          <t>LOCAÇÕES</t>
        </is>
      </c>
      <c r="H512" s="6" t="inlineStr">
        <is>
          <t>LOCAFAZ LOCACAO DE EQUIPAMENTOS LTDA</t>
        </is>
      </c>
      <c r="I512" s="24" t="n">
        <v>46072</v>
      </c>
      <c r="J512" s="6" t="n">
        <v>4418</v>
      </c>
    </row>
    <row r="513">
      <c r="A513" s="23" t="n">
        <v>46054</v>
      </c>
      <c r="B513" s="6" t="inlineStr">
        <is>
          <t>Pago</t>
        </is>
      </c>
      <c r="C513" s="6" t="inlineStr">
        <is>
          <t>PL530.001</t>
        </is>
      </c>
      <c r="D513" s="6" t="str">
        <f>IFERROR(VLOOKUP(E513,FORNECEDORES!$A$5:$F$999,6,FALSE),"L10")</f>
        <v>L03</v>
      </c>
      <c r="E513" s="6" t="inlineStr">
        <is>
          <t>LOCAFAZ LOCACAO DE EQUIPAMENTOS LTDA</t>
        </is>
      </c>
      <c r="F513" s="7" t="n">
        <v>74.90000000000001</v>
      </c>
      <c r="G513" s="6" t="inlineStr">
        <is>
          <t>LOCAÇÕES</t>
        </is>
      </c>
      <c r="H513" s="6" t="inlineStr">
        <is>
          <t>LOCAFAZ LOCACAO DE EQUIPAMENTOS LTDA</t>
        </is>
      </c>
      <c r="I513" s="24" t="n">
        <v>46072</v>
      </c>
      <c r="J513" s="6" t="n">
        <v>4418</v>
      </c>
    </row>
    <row r="514">
      <c r="A514" s="23" t="n">
        <v>46054</v>
      </c>
      <c r="B514" s="6" t="inlineStr">
        <is>
          <t>Pago</t>
        </is>
      </c>
      <c r="C514" s="6" t="inlineStr">
        <is>
          <t>PL530.001</t>
        </is>
      </c>
      <c r="D514" s="6" t="str">
        <f>IFERROR(VLOOKUP(E514,FORNECEDORES!$A$5:$F$999,6,FALSE),"L10")</f>
        <v>L03</v>
      </c>
      <c r="E514" s="6" t="inlineStr">
        <is>
          <t>LOCAFAZ LOCACAO DE EQUIPAMENTOS LTDA</t>
        </is>
      </c>
      <c r="F514" s="7" t="n">
        <v>583.66</v>
      </c>
      <c r="G514" s="6" t="inlineStr">
        <is>
          <t>LOCAÇÕES</t>
        </is>
      </c>
      <c r="H514" s="6" t="inlineStr">
        <is>
          <t>LOCAFAZ LOCACAO DE EQUIPAMENTOS LTDA</t>
        </is>
      </c>
      <c r="I514" s="24" t="n">
        <v>46072</v>
      </c>
      <c r="J514" s="6" t="n">
        <v>4418</v>
      </c>
    </row>
    <row r="515">
      <c r="A515" s="23" t="n">
        <v>46054</v>
      </c>
      <c r="B515" s="6" t="inlineStr">
        <is>
          <t>Pago</t>
        </is>
      </c>
      <c r="C515" s="6" t="inlineStr">
        <is>
          <t>PL530.001</t>
        </is>
      </c>
      <c r="D515" s="6" t="str">
        <f>IFERROR(VLOOKUP(E515,FORNECEDORES!$A$5:$F$999,6,FALSE),"L10")</f>
        <v>L03</v>
      </c>
      <c r="E515" s="6" t="inlineStr">
        <is>
          <t>LOCAFAZ LOCACAO DE EQUIPAMENTOS LTDA</t>
        </is>
      </c>
      <c r="F515" s="7" t="n">
        <v>140.08</v>
      </c>
      <c r="G515" s="6" t="inlineStr">
        <is>
          <t>LOCAÇÕES</t>
        </is>
      </c>
      <c r="H515" s="6" t="inlineStr">
        <is>
          <t>LOCAFAZ LOCACAO DE EQUIPAMENTOS LTDA</t>
        </is>
      </c>
      <c r="I515" s="24" t="n">
        <v>46072</v>
      </c>
      <c r="J515" s="6" t="n">
        <v>4418</v>
      </c>
    </row>
    <row r="516">
      <c r="A516" s="23" t="n">
        <v>46054</v>
      </c>
      <c r="B516" s="6" t="inlineStr">
        <is>
          <t>Pago</t>
        </is>
      </c>
      <c r="C516" s="6" t="inlineStr">
        <is>
          <t>PL530.001</t>
        </is>
      </c>
      <c r="D516" s="6" t="str">
        <f>IFERROR(VLOOKUP(E516,FORNECEDORES!$A$5:$F$999,6,FALSE),"L10")</f>
        <v>L03</v>
      </c>
      <c r="E516" s="6" t="inlineStr">
        <is>
          <t>LOCAFAZ LOCACAO DE EQUIPAMENTOS LTDA</t>
        </is>
      </c>
      <c r="F516" s="7" t="n">
        <v>1190.2</v>
      </c>
      <c r="G516" s="6" t="inlineStr">
        <is>
          <t>LOCAÇÕES</t>
        </is>
      </c>
      <c r="H516" s="6" t="inlineStr">
        <is>
          <t>LOCAFAZ LOCACAO DE EQUIPAMENTOS LTDA</t>
        </is>
      </c>
      <c r="I516" s="24" t="n">
        <v>46058</v>
      </c>
      <c r="J516" s="6" t="n">
        <v>3515</v>
      </c>
    </row>
    <row r="517">
      <c r="A517" s="23" t="n">
        <v>46054</v>
      </c>
      <c r="B517" s="6" t="inlineStr">
        <is>
          <t>Pago</t>
        </is>
      </c>
      <c r="C517" s="6" t="inlineStr">
        <is>
          <t>PL530.001</t>
        </is>
      </c>
      <c r="D517" s="6" t="str">
        <f>IFERROR(VLOOKUP(E517,FORNECEDORES!$A$5:$F$999,6,FALSE),"L10")</f>
        <v>L01</v>
      </c>
      <c r="E517" s="6" t="inlineStr">
        <is>
          <t>LOJA DOS PARAFUSOS LTDA</t>
        </is>
      </c>
      <c r="F517" s="7" t="n">
        <v>100</v>
      </c>
      <c r="G517" s="6" t="inlineStr">
        <is>
          <t>ACESSÓRIOS DE FIXAÇÃO</t>
        </is>
      </c>
      <c r="H517" s="6" t="inlineStr">
        <is>
          <t>LOJA DOS PARAFUSOS LTDA</t>
        </is>
      </c>
      <c r="I517" s="24" t="n">
        <v>46072</v>
      </c>
      <c r="J517" s="6" t="n">
        <v>4251</v>
      </c>
    </row>
    <row r="518">
      <c r="A518" s="23" t="n">
        <v>46054</v>
      </c>
      <c r="B518" s="6" t="inlineStr">
        <is>
          <t>Pago</t>
        </is>
      </c>
      <c r="C518" s="6" t="inlineStr">
        <is>
          <t>PL530.001</t>
        </is>
      </c>
      <c r="D518" s="6" t="str">
        <f>IFERROR(VLOOKUP(E518,FORNECEDORES!$A$5:$F$999,6,FALSE),"L10")</f>
        <v>L01</v>
      </c>
      <c r="E518" s="6" t="inlineStr">
        <is>
          <t>LOJA ELETRICA LIMITADA</t>
        </is>
      </c>
      <c r="F518" s="7" t="n">
        <v>226.74</v>
      </c>
      <c r="G518" s="6" t="inlineStr">
        <is>
          <t>EQUIPAMENTOS E FERRAMENTAS</t>
        </is>
      </c>
      <c r="H518" s="6" t="inlineStr">
        <is>
          <t>LOJA ELETRICA LIMITADA</t>
        </is>
      </c>
      <c r="I518" s="24" t="n">
        <v>46058</v>
      </c>
      <c r="J518" s="6" t="n">
        <v>4058</v>
      </c>
    </row>
    <row r="519">
      <c r="A519" s="23" t="n">
        <v>46054</v>
      </c>
      <c r="B519" s="6" t="inlineStr">
        <is>
          <t>Pago</t>
        </is>
      </c>
      <c r="C519" s="6" t="inlineStr">
        <is>
          <t>PL530.001</t>
        </is>
      </c>
      <c r="D519" s="6" t="str">
        <f>IFERROR(VLOOKUP(E519,FORNECEDORES!$A$5:$F$999,6,FALSE),"L10")</f>
        <v>L10</v>
      </c>
      <c r="E519" s="6" t="inlineStr">
        <is>
          <t>MG CONSTRUCOES E ENGENHARIA LTDA</t>
        </is>
      </c>
      <c r="F519" s="7" t="n">
        <v>5835.52</v>
      </c>
      <c r="G519" s="6" t="inlineStr">
        <is>
          <t>NÃO CLASSIFICADO</t>
        </is>
      </c>
      <c r="H519" s="6" t="inlineStr">
        <is>
          <t>MG CONSTRUCOES E ENGENHARIA LTDA</t>
        </is>
      </c>
      <c r="I519" s="24" t="n">
        <v>46076</v>
      </c>
      <c r="J519" s="6" t="n">
        <v>4372</v>
      </c>
    </row>
    <row r="520">
      <c r="A520" s="23" t="n">
        <v>46054</v>
      </c>
      <c r="B520" s="6" t="inlineStr">
        <is>
          <t>Pago</t>
        </is>
      </c>
      <c r="C520" s="6" t="inlineStr">
        <is>
          <t>PL530.001</t>
        </is>
      </c>
      <c r="D520" s="6" t="str">
        <f>IFERROR(VLOOKUP(E520,FORNECEDORES!$A$5:$F$999,6,FALSE),"L10")</f>
        <v>L01</v>
      </c>
      <c r="E520" s="6" t="inlineStr">
        <is>
          <t>MINAS FERRAMENTAS LTDA</t>
        </is>
      </c>
      <c r="F520" s="7" t="n">
        <v>69.37</v>
      </c>
      <c r="G520" s="6" t="inlineStr">
        <is>
          <t>FERRAGENS EM GERAL</t>
        </is>
      </c>
      <c r="H520" s="6" t="inlineStr">
        <is>
          <t>MINAS FERRAMENTAS LTDA</t>
        </is>
      </c>
      <c r="I520" s="24" t="n">
        <v>46063</v>
      </c>
      <c r="J520" s="6" t="n">
        <v>4104</v>
      </c>
    </row>
    <row r="521">
      <c r="A521" s="23" t="n">
        <v>46054</v>
      </c>
      <c r="B521" s="6" t="inlineStr">
        <is>
          <t>Pago</t>
        </is>
      </c>
      <c r="C521" s="6" t="inlineStr">
        <is>
          <t>PL530.001</t>
        </is>
      </c>
      <c r="D521" s="6" t="str">
        <f>IFERROR(VLOOKUP(E521,FORNECEDORES!$A$5:$F$999,6,FALSE),"L10")</f>
        <v>L01</v>
      </c>
      <c r="E521" s="6" t="inlineStr">
        <is>
          <t>MINAS FERRAMENTAS LTDA</t>
        </is>
      </c>
      <c r="F521" s="7" t="n">
        <v>14.93</v>
      </c>
      <c r="G521" s="6" t="inlineStr">
        <is>
          <t>MATERIAL ELÉTRICO</t>
        </is>
      </c>
      <c r="H521" s="6" t="inlineStr">
        <is>
          <t>MINAS FERRAMENTAS LTDA</t>
        </is>
      </c>
      <c r="I521" s="24" t="n">
        <v>46063</v>
      </c>
      <c r="J521" s="6" t="n">
        <v>4104</v>
      </c>
    </row>
    <row r="522">
      <c r="A522" s="23" t="n">
        <v>46054</v>
      </c>
      <c r="B522" s="6" t="inlineStr">
        <is>
          <t>Pago</t>
        </is>
      </c>
      <c r="C522" s="6" t="inlineStr">
        <is>
          <t>PL530.001</t>
        </is>
      </c>
      <c r="D522" s="6" t="str">
        <f>IFERROR(VLOOKUP(E522,FORNECEDORES!$A$5:$F$999,6,FALSE),"L10")</f>
        <v>L01</v>
      </c>
      <c r="E522" s="6" t="inlineStr">
        <is>
          <t>MINAS FERRAMENTAS LTDA</t>
        </is>
      </c>
      <c r="F522" s="7" t="n">
        <v>13.44</v>
      </c>
      <c r="G522" s="6" t="inlineStr">
        <is>
          <t>MATERIAL ELÉTRICO</t>
        </is>
      </c>
      <c r="H522" s="6" t="inlineStr">
        <is>
          <t>MINAS FERRAMENTAS LTDA</t>
        </is>
      </c>
      <c r="I522" s="24" t="n">
        <v>46063</v>
      </c>
      <c r="J522" s="6" t="n">
        <v>4104</v>
      </c>
    </row>
    <row r="523">
      <c r="A523" s="23" t="n">
        <v>46054</v>
      </c>
      <c r="B523" s="6" t="inlineStr">
        <is>
          <t>Pago</t>
        </is>
      </c>
      <c r="C523" s="6" t="inlineStr">
        <is>
          <t>PL530.001</t>
        </is>
      </c>
      <c r="D523" s="6" t="str">
        <f>IFERROR(VLOOKUP(E523,FORNECEDORES!$A$5:$F$999,6,FALSE),"L10")</f>
        <v>L01</v>
      </c>
      <c r="E523" s="6" t="inlineStr">
        <is>
          <t>MINAS FERRAMENTAS LTDA</t>
        </is>
      </c>
      <c r="F523" s="7" t="n">
        <v>66.98999999999999</v>
      </c>
      <c r="G523" s="6" t="inlineStr">
        <is>
          <t>MATERIAL HIDRÁULICO</t>
        </is>
      </c>
      <c r="H523" s="6" t="inlineStr">
        <is>
          <t>MINAS FERRAMENTAS LTDA</t>
        </is>
      </c>
      <c r="I523" s="24" t="n">
        <v>46057</v>
      </c>
      <c r="J523" s="6" t="n">
        <v>3922</v>
      </c>
    </row>
    <row r="524">
      <c r="A524" s="23" t="n">
        <v>46054</v>
      </c>
      <c r="B524" s="6" t="inlineStr">
        <is>
          <t>Pago</t>
        </is>
      </c>
      <c r="C524" s="6" t="inlineStr">
        <is>
          <t>PL530.001</t>
        </is>
      </c>
      <c r="D524" s="6" t="str">
        <f>IFERROR(VLOOKUP(E524,FORNECEDORES!$A$5:$F$999,6,FALSE),"L10")</f>
        <v>L01</v>
      </c>
      <c r="E524" s="6" t="inlineStr">
        <is>
          <t>MINAS FERRAMENTAS LTDA</t>
        </is>
      </c>
      <c r="F524" s="7" t="n">
        <v>72.81</v>
      </c>
      <c r="G524" s="6" t="inlineStr">
        <is>
          <t>MATERIAL HIDRÁULICO</t>
        </is>
      </c>
      <c r="H524" s="6" t="inlineStr">
        <is>
          <t>MINAS FERRAMENTAS LTDA</t>
        </is>
      </c>
      <c r="I524" s="24" t="n">
        <v>46057</v>
      </c>
      <c r="J524" s="6" t="n">
        <v>3922</v>
      </c>
    </row>
    <row r="525">
      <c r="A525" s="23" t="n">
        <v>46054</v>
      </c>
      <c r="B525" s="6" t="inlineStr">
        <is>
          <t>Pago</t>
        </is>
      </c>
      <c r="C525" s="6" t="inlineStr">
        <is>
          <t>PL530.001</t>
        </is>
      </c>
      <c r="D525" s="6" t="str">
        <f>IFERROR(VLOOKUP(E525,FORNECEDORES!$A$5:$F$999,6,FALSE),"L10")</f>
        <v>L01</v>
      </c>
      <c r="E525" s="6" t="inlineStr">
        <is>
          <t>MINAS FERRAMENTAS LTDA</t>
        </is>
      </c>
      <c r="F525" s="7" t="n">
        <v>346.34</v>
      </c>
      <c r="G525" s="6" t="inlineStr">
        <is>
          <t>EQUIPAMENTOS E FERRAMENTAS</t>
        </is>
      </c>
      <c r="H525" s="6" t="inlineStr">
        <is>
          <t>MINAS FERRAMENTAS LTDA</t>
        </is>
      </c>
      <c r="I525" s="24" t="n">
        <v>46063</v>
      </c>
      <c r="J525" s="6" t="n">
        <v>4104</v>
      </c>
    </row>
    <row r="526">
      <c r="A526" s="23" t="n">
        <v>46054</v>
      </c>
      <c r="B526" s="6" t="inlineStr">
        <is>
          <t>Pago</t>
        </is>
      </c>
      <c r="C526" s="6" t="inlineStr">
        <is>
          <t>PL530.001</t>
        </is>
      </c>
      <c r="D526" s="6" t="str">
        <f>IFERROR(VLOOKUP(E526,FORNECEDORES!$A$5:$F$999,6,FALSE),"L10")</f>
        <v>L01</v>
      </c>
      <c r="E526" s="6" t="inlineStr">
        <is>
          <t>MINAS FERRAMENTAS LTDA</t>
        </is>
      </c>
      <c r="F526" s="7" t="n">
        <v>46.01</v>
      </c>
      <c r="G526" s="6" t="inlineStr">
        <is>
          <t>EQUIPAMENTOS E FERRAMENTAS</t>
        </is>
      </c>
      <c r="H526" s="6" t="inlineStr">
        <is>
          <t>MINAS FERRAMENTAS LTDA</t>
        </is>
      </c>
      <c r="I526" s="24" t="n">
        <v>46063</v>
      </c>
      <c r="J526" s="6" t="n">
        <v>4104</v>
      </c>
    </row>
    <row r="527">
      <c r="A527" s="23" t="n">
        <v>46054</v>
      </c>
      <c r="B527" s="6" t="inlineStr">
        <is>
          <t>Pago</t>
        </is>
      </c>
      <c r="C527" s="6" t="inlineStr">
        <is>
          <t>PL530.001</t>
        </is>
      </c>
      <c r="D527" s="6" t="str">
        <f>IFERROR(VLOOKUP(E527,FORNECEDORES!$A$5:$F$999,6,FALSE),"L10")</f>
        <v>L01</v>
      </c>
      <c r="E527" s="6" t="inlineStr">
        <is>
          <t>MINAS FERRAMENTAS LTDA</t>
        </is>
      </c>
      <c r="F527" s="7" t="n">
        <v>170.07</v>
      </c>
      <c r="G527" s="6" t="inlineStr">
        <is>
          <t>EQUIPAMENTOS E FERRAMENTAS</t>
        </is>
      </c>
      <c r="H527" s="6" t="inlineStr">
        <is>
          <t>MINAS FERRAMENTAS LTDA</t>
        </is>
      </c>
      <c r="I527" s="24" t="n">
        <v>46063</v>
      </c>
      <c r="J527" s="6" t="n">
        <v>4104</v>
      </c>
    </row>
    <row r="528">
      <c r="A528" s="23" t="n">
        <v>46054</v>
      </c>
      <c r="B528" s="6" t="inlineStr">
        <is>
          <t>Pago</t>
        </is>
      </c>
      <c r="C528" s="6" t="inlineStr">
        <is>
          <t>PL530.001</t>
        </is>
      </c>
      <c r="D528" s="6" t="str">
        <f>IFERROR(VLOOKUP(E528,FORNECEDORES!$A$5:$F$999,6,FALSE),"L10")</f>
        <v>L01</v>
      </c>
      <c r="E528" s="6" t="inlineStr">
        <is>
          <t>MINAS FERRAMENTAS LTDA</t>
        </is>
      </c>
      <c r="F528" s="7" t="n">
        <v>85.17</v>
      </c>
      <c r="G528" s="6" t="inlineStr">
        <is>
          <t>EQUIPAMENTOS E FERRAMENTAS</t>
        </is>
      </c>
      <c r="H528" s="6" t="inlineStr">
        <is>
          <t>MINAS FERRAMENTAS LTDA</t>
        </is>
      </c>
      <c r="I528" s="24" t="n">
        <v>46063</v>
      </c>
      <c r="J528" s="6" t="n">
        <v>4104</v>
      </c>
    </row>
    <row r="529">
      <c r="A529" s="23" t="n">
        <v>46054</v>
      </c>
      <c r="B529" s="6" t="inlineStr">
        <is>
          <t>Pago</t>
        </is>
      </c>
      <c r="C529" s="6" t="inlineStr">
        <is>
          <t>PL530.001</t>
        </is>
      </c>
      <c r="D529" s="6" t="str">
        <f>IFERROR(VLOOKUP(E529,FORNECEDORES!$A$5:$F$999,6,FALSE),"L10")</f>
        <v>L01</v>
      </c>
      <c r="E529" s="6" t="inlineStr">
        <is>
          <t>MINAS FERRAMENTAS LTDA</t>
        </is>
      </c>
      <c r="F529" s="7" t="n">
        <v>52.55</v>
      </c>
      <c r="G529" s="6" t="inlineStr">
        <is>
          <t>EQUIPAMENTOS E FERRAMENTAS</t>
        </is>
      </c>
      <c r="H529" s="6" t="inlineStr">
        <is>
          <t>MINAS FERRAMENTAS LTDA</t>
        </is>
      </c>
      <c r="I529" s="24" t="n">
        <v>46063</v>
      </c>
      <c r="J529" s="6" t="n">
        <v>4104</v>
      </c>
    </row>
    <row r="530">
      <c r="A530" s="23" t="n">
        <v>46054</v>
      </c>
      <c r="B530" s="6" t="inlineStr">
        <is>
          <t>Pago</t>
        </is>
      </c>
      <c r="C530" s="6" t="inlineStr">
        <is>
          <t>PL530.001</t>
        </is>
      </c>
      <c r="D530" s="6" t="str">
        <f>IFERROR(VLOOKUP(E530,FORNECEDORES!$A$5:$F$999,6,FALSE),"L10")</f>
        <v>L01</v>
      </c>
      <c r="E530" s="6" t="inlineStr">
        <is>
          <t>MINAS FERRAMENTAS LTDA</t>
        </is>
      </c>
      <c r="F530" s="7" t="n">
        <v>180.75</v>
      </c>
      <c r="G530" s="6" t="inlineStr">
        <is>
          <t>EQUIPAMENTOS E FERRAMENTAS</t>
        </is>
      </c>
      <c r="H530" s="6" t="inlineStr">
        <is>
          <t>MINAS FERRAMENTAS LTDA</t>
        </is>
      </c>
      <c r="I530" s="24" t="n">
        <v>46057</v>
      </c>
      <c r="J530" s="6" t="n">
        <v>3922</v>
      </c>
    </row>
    <row r="531">
      <c r="A531" s="23" t="n">
        <v>46054</v>
      </c>
      <c r="B531" s="6" t="inlineStr">
        <is>
          <t>Pago</t>
        </is>
      </c>
      <c r="C531" s="6" t="inlineStr">
        <is>
          <t>PL530.001</t>
        </is>
      </c>
      <c r="D531" s="6" t="str">
        <f>IFERROR(VLOOKUP(E531,FORNECEDORES!$A$5:$F$999,6,FALSE),"L10")</f>
        <v>L01</v>
      </c>
      <c r="E531" s="6" t="inlineStr">
        <is>
          <t>MINAS FERRAMENTAS LTDA</t>
        </is>
      </c>
      <c r="F531" s="7" t="n">
        <v>925.64</v>
      </c>
      <c r="G531" s="6" t="inlineStr">
        <is>
          <t>EQUIPAMENTOS E FERRAMENTAS</t>
        </is>
      </c>
      <c r="H531" s="6" t="inlineStr">
        <is>
          <t>MINAS FERRAMENTAS LTDA</t>
        </is>
      </c>
      <c r="I531" s="24" t="n">
        <v>46057</v>
      </c>
      <c r="J531" s="6" t="n">
        <v>3922</v>
      </c>
    </row>
    <row r="532">
      <c r="A532" s="23" t="n">
        <v>46054</v>
      </c>
      <c r="B532" s="6" t="inlineStr">
        <is>
          <t>Pago</t>
        </is>
      </c>
      <c r="C532" s="6" t="inlineStr">
        <is>
          <t>PL530.001</t>
        </is>
      </c>
      <c r="D532" s="6" t="str">
        <f>IFERROR(VLOOKUP(E532,FORNECEDORES!$A$5:$F$999,6,FALSE),"L10")</f>
        <v>L01</v>
      </c>
      <c r="E532" s="6" t="inlineStr">
        <is>
          <t>MINAS FERRAMENTAS LTDA</t>
        </is>
      </c>
      <c r="F532" s="7" t="n">
        <v>273.51</v>
      </c>
      <c r="G532" s="6" t="inlineStr">
        <is>
          <t>EQUIPAMENTOS E FERRAMENTAS</t>
        </is>
      </c>
      <c r="H532" s="6" t="inlineStr">
        <is>
          <t>MINAS FERRAMENTAS LTDA</t>
        </is>
      </c>
      <c r="I532" s="24" t="n">
        <v>46057</v>
      </c>
      <c r="J532" s="6" t="n">
        <v>3922</v>
      </c>
    </row>
    <row r="533">
      <c r="A533" s="23" t="n">
        <v>46054</v>
      </c>
      <c r="B533" s="6" t="inlineStr">
        <is>
          <t>Pago</t>
        </is>
      </c>
      <c r="C533" s="6" t="inlineStr">
        <is>
          <t>PL530.001</t>
        </is>
      </c>
      <c r="D533" s="6" t="str">
        <f>IFERROR(VLOOKUP(E533,FORNECEDORES!$A$5:$F$999,6,FALSE),"L10")</f>
        <v>L01</v>
      </c>
      <c r="E533" s="6" t="inlineStr">
        <is>
          <t>MINAS FERRAMENTAS LTDA</t>
        </is>
      </c>
      <c r="F533" s="7" t="n">
        <v>156.64</v>
      </c>
      <c r="G533" s="6" t="inlineStr">
        <is>
          <t>EQUIPAMENTOS E FERRAMENTAS</t>
        </is>
      </c>
      <c r="H533" s="6" t="inlineStr">
        <is>
          <t>MINAS FERRAMENTAS LTDA</t>
        </is>
      </c>
      <c r="I533" s="24" t="n">
        <v>46057</v>
      </c>
      <c r="J533" s="6" t="n">
        <v>3922</v>
      </c>
    </row>
    <row r="534">
      <c r="A534" s="23" t="n">
        <v>46054</v>
      </c>
      <c r="B534" s="6" t="inlineStr">
        <is>
          <t>Pago</t>
        </is>
      </c>
      <c r="C534" s="6" t="inlineStr">
        <is>
          <t>PL530.001</t>
        </is>
      </c>
      <c r="D534" s="6" t="str">
        <f>IFERROR(VLOOKUP(E534,FORNECEDORES!$A$5:$F$999,6,FALSE),"L10")</f>
        <v>L01</v>
      </c>
      <c r="E534" s="6" t="inlineStr">
        <is>
          <t>MINAS FERRAMENTAS LTDA</t>
        </is>
      </c>
      <c r="F534" s="7" t="n">
        <v>726</v>
      </c>
      <c r="G534" s="6" t="inlineStr">
        <is>
          <t>EQUIPAMENTOS E FERRAMENTAS</t>
        </is>
      </c>
      <c r="H534" s="6" t="inlineStr">
        <is>
          <t>MINAS FERRAMENTAS LTDA</t>
        </is>
      </c>
      <c r="I534" s="24" t="n">
        <v>46057</v>
      </c>
      <c r="J534" s="6" t="n">
        <v>3922</v>
      </c>
    </row>
    <row r="535">
      <c r="A535" s="23" t="n">
        <v>46054</v>
      </c>
      <c r="B535" s="6" t="inlineStr">
        <is>
          <t>Pago</t>
        </is>
      </c>
      <c r="C535" s="6" t="inlineStr">
        <is>
          <t>PL530.001</t>
        </is>
      </c>
      <c r="D535" s="6" t="str">
        <f>IFERROR(VLOOKUP(E535,FORNECEDORES!$A$5:$F$999,6,FALSE),"L10")</f>
        <v>L01</v>
      </c>
      <c r="E535" s="6" t="inlineStr">
        <is>
          <t>MINAS FERRAMENTAS LTDA</t>
        </is>
      </c>
      <c r="F535" s="7" t="n">
        <v>175.65</v>
      </c>
      <c r="G535" s="6" t="inlineStr">
        <is>
          <t>EQUIPAMENTOS E FERRAMENTAS</t>
        </is>
      </c>
      <c r="H535" s="6" t="inlineStr">
        <is>
          <t>MINAS FERRAMENTAS LTDA</t>
        </is>
      </c>
      <c r="I535" s="24" t="n">
        <v>46057</v>
      </c>
      <c r="J535" s="6" t="n">
        <v>3922</v>
      </c>
    </row>
    <row r="536">
      <c r="A536" s="23" t="n">
        <v>46054</v>
      </c>
      <c r="B536" s="6" t="inlineStr">
        <is>
          <t>Pago</t>
        </is>
      </c>
      <c r="C536" s="6" t="inlineStr">
        <is>
          <t>PL530.001</t>
        </is>
      </c>
      <c r="D536" s="6" t="str">
        <f>IFERROR(VLOOKUP(E536,FORNECEDORES!$A$5:$F$999,6,FALSE),"L10")</f>
        <v>L03</v>
      </c>
      <c r="E536" s="6" t="inlineStr">
        <is>
          <t>ORIGINAL LOCACOES LTDA</t>
        </is>
      </c>
      <c r="F536" s="7" t="n">
        <v>420</v>
      </c>
      <c r="G536" s="6" t="inlineStr">
        <is>
          <t>LOCAÇÕES</t>
        </is>
      </c>
      <c r="H536" s="6" t="inlineStr">
        <is>
          <t>ORIGINAL LOCACOES LTDA</t>
        </is>
      </c>
      <c r="I536" s="24" t="n">
        <v>46059</v>
      </c>
      <c r="J536" s="6" t="n">
        <v>4286</v>
      </c>
    </row>
    <row r="537">
      <c r="A537" s="23" t="n">
        <v>46054</v>
      </c>
      <c r="B537" s="6" t="inlineStr">
        <is>
          <t>Pago</t>
        </is>
      </c>
      <c r="C537" s="6" t="inlineStr">
        <is>
          <t>PL530.001</t>
        </is>
      </c>
      <c r="D537" s="6" t="str">
        <f>IFERROR(VLOOKUP(E537,FORNECEDORES!$A$5:$F$999,6,FALSE),"L10")</f>
        <v>L03</v>
      </c>
      <c r="E537" s="6" t="inlineStr">
        <is>
          <t>ORIGINAL LOCACOES LTDA</t>
        </is>
      </c>
      <c r="F537" s="7" t="n">
        <v>60.02</v>
      </c>
      <c r="G537" s="6" t="inlineStr">
        <is>
          <t>LOCAÇÕES</t>
        </is>
      </c>
      <c r="H537" s="6" t="inlineStr">
        <is>
          <t>ORIGINAL LOCACOES LTDA</t>
        </is>
      </c>
      <c r="I537" s="24" t="n">
        <v>46059</v>
      </c>
      <c r="J537" s="6" t="n">
        <v>4286</v>
      </c>
    </row>
    <row r="538">
      <c r="A538" s="23" t="n">
        <v>46054</v>
      </c>
      <c r="B538" s="6" t="inlineStr">
        <is>
          <t>Pago</t>
        </is>
      </c>
      <c r="C538" s="6" t="inlineStr">
        <is>
          <t>PL530.001</t>
        </is>
      </c>
      <c r="D538" s="6" t="str">
        <f>IFERROR(VLOOKUP(E538,FORNECEDORES!$A$5:$F$999,6,FALSE),"L10")</f>
        <v>L03</v>
      </c>
      <c r="E538" s="6" t="inlineStr">
        <is>
          <t>ORIGINAL LOCACOES LTDA</t>
        </is>
      </c>
      <c r="F538" s="7" t="n">
        <v>449.99</v>
      </c>
      <c r="G538" s="6" t="inlineStr">
        <is>
          <t>LOCAÇÕES</t>
        </is>
      </c>
      <c r="H538" s="6" t="inlineStr">
        <is>
          <t>ORIGINAL LOCACOES LTDA</t>
        </is>
      </c>
      <c r="I538" s="24" t="n">
        <v>46059</v>
      </c>
      <c r="J538" s="6" t="n">
        <v>4286</v>
      </c>
    </row>
    <row r="539">
      <c r="A539" s="23" t="n">
        <v>46054</v>
      </c>
      <c r="B539" s="6" t="inlineStr">
        <is>
          <t>Pago</t>
        </is>
      </c>
      <c r="C539" s="6" t="inlineStr">
        <is>
          <t>PL530.001</t>
        </is>
      </c>
      <c r="D539" s="6" t="str">
        <f>IFERROR(VLOOKUP(E539,FORNECEDORES!$A$5:$F$999,6,FALSE),"L10")</f>
        <v>L03</v>
      </c>
      <c r="E539" s="6" t="inlineStr">
        <is>
          <t>ORIGINAL LOCACOES LTDA</t>
        </is>
      </c>
      <c r="F539" s="7" t="n">
        <v>300</v>
      </c>
      <c r="G539" s="6" t="inlineStr">
        <is>
          <t>LOCAÇÕES</t>
        </is>
      </c>
      <c r="H539" s="6" t="inlineStr">
        <is>
          <t>ORIGINAL LOCACOES LTDA</t>
        </is>
      </c>
      <c r="I539" s="24" t="n">
        <v>46059</v>
      </c>
      <c r="J539" s="6" t="n">
        <v>4286</v>
      </c>
    </row>
    <row r="540">
      <c r="A540" s="23" t="n">
        <v>46054</v>
      </c>
      <c r="B540" s="6" t="inlineStr">
        <is>
          <t>Pago</t>
        </is>
      </c>
      <c r="C540" s="6" t="inlineStr">
        <is>
          <t>PL530.001</t>
        </is>
      </c>
      <c r="D540" s="6" t="str">
        <f>IFERROR(VLOOKUP(E540,FORNECEDORES!$A$5:$F$999,6,FALSE),"L10")</f>
        <v>L01</v>
      </c>
      <c r="E540" s="6" t="inlineStr">
        <is>
          <t>OTHON DE CARVALHO E CIA LTDA</t>
        </is>
      </c>
      <c r="F540" s="7" t="n">
        <v>589.72</v>
      </c>
      <c r="G540" s="6" t="inlineStr">
        <is>
          <t>MATERIAL ELÉTRICO</t>
        </is>
      </c>
      <c r="H540" s="6" t="inlineStr">
        <is>
          <t>OTHON DE CARVALHO E CIA LTDA</t>
        </is>
      </c>
      <c r="I540" s="24" t="n">
        <v>46062</v>
      </c>
      <c r="J540" s="6" t="n">
        <v>4117</v>
      </c>
    </row>
    <row r="541">
      <c r="A541" s="23" t="n">
        <v>46054</v>
      </c>
      <c r="B541" s="6" t="inlineStr">
        <is>
          <t>Pago</t>
        </is>
      </c>
      <c r="C541" s="6" t="inlineStr">
        <is>
          <t>PL530.001</t>
        </is>
      </c>
      <c r="D541" s="6" t="str">
        <f>IFERROR(VLOOKUP(E541,FORNECEDORES!$A$5:$F$999,6,FALSE),"L10")</f>
        <v>L10</v>
      </c>
      <c r="E541" s="6" t="inlineStr">
        <is>
          <t>PGO PLANEJAMENTO GERENCIAMENTO E OBRAS LTDA. - ME</t>
        </is>
      </c>
      <c r="F541" s="7" t="n">
        <v>131.25</v>
      </c>
      <c r="G541" s="6" t="inlineStr">
        <is>
          <t>NÃO CLASSIFICADO</t>
        </is>
      </c>
      <c r="H541" s="6" t="inlineStr">
        <is>
          <t>INSS RETIDO PJ - MINISTERIO DA PREVIDENCIA</t>
        </is>
      </c>
      <c r="I541" s="24" t="n">
        <v>46072</v>
      </c>
      <c r="J541" s="6" t="n">
        <v>4238</v>
      </c>
    </row>
    <row r="542">
      <c r="A542" s="23" t="n">
        <v>46054</v>
      </c>
      <c r="B542" s="6" t="inlineStr">
        <is>
          <t>Pago</t>
        </is>
      </c>
      <c r="C542" s="6" t="inlineStr">
        <is>
          <t>PL530.001</t>
        </is>
      </c>
      <c r="D542" s="6" t="str">
        <f>IFERROR(VLOOKUP(E542,FORNECEDORES!$A$5:$F$999,6,FALSE),"L10")</f>
        <v>L10</v>
      </c>
      <c r="E542" s="6" t="inlineStr">
        <is>
          <t>PGO PLANEJAMENTO GERENCIAMENTO E OBRAS LTDA. - ME</t>
        </is>
      </c>
      <c r="F542" s="7" t="n">
        <v>171.75</v>
      </c>
      <c r="G542" s="6" t="inlineStr">
        <is>
          <t>NÃO CLASSIFICADO</t>
        </is>
      </c>
      <c r="H542" s="6" t="inlineStr">
        <is>
          <t>PREFEITURA DE BELO HORIZONTE - ISSQN RETIDO</t>
        </is>
      </c>
      <c r="I542" s="24" t="n">
        <v>46062</v>
      </c>
      <c r="J542" s="6" t="n">
        <v>4237</v>
      </c>
    </row>
    <row r="543">
      <c r="A543" s="23" t="n">
        <v>46054</v>
      </c>
      <c r="B543" s="6" t="inlineStr">
        <is>
          <t>Pago</t>
        </is>
      </c>
      <c r="C543" s="6" t="inlineStr">
        <is>
          <t>PL530.001</t>
        </is>
      </c>
      <c r="D543" s="6" t="str">
        <f>IFERROR(VLOOKUP(E543,FORNECEDORES!$A$5:$F$999,6,FALSE),"L10")</f>
        <v>L01</v>
      </c>
      <c r="E543" s="6" t="inlineStr">
        <is>
          <t>QUALITY FIX DO BRASIL, INDUSTRIA, COMERCIO, IMPORTACAO E EXPORTACAO LTDA</t>
        </is>
      </c>
      <c r="F543" s="7" t="n">
        <v>92.40000000000001</v>
      </c>
      <c r="G543" s="6" t="inlineStr">
        <is>
          <t>ACESSÓRIOS DE FIXAÇÃO</t>
        </is>
      </c>
      <c r="H543" s="6" t="inlineStr">
        <is>
          <t>QUALITY FIX DO BRASIL, INDUSTRIA, COMERCIO, IMPORT</t>
        </is>
      </c>
      <c r="I543" s="24" t="n">
        <v>46073</v>
      </c>
      <c r="J543" s="6" t="n">
        <v>4181</v>
      </c>
    </row>
    <row r="544">
      <c r="A544" s="23" t="n">
        <v>46054</v>
      </c>
      <c r="B544" s="6" t="inlineStr">
        <is>
          <t>Pago</t>
        </is>
      </c>
      <c r="C544" s="6" t="inlineStr">
        <is>
          <t>PL530.001</t>
        </is>
      </c>
      <c r="D544" s="6" t="str">
        <f>IFERROR(VLOOKUP(E544,FORNECEDORES!$A$5:$F$999,6,FALSE),"L10")</f>
        <v>L01</v>
      </c>
      <c r="E544" s="6" t="inlineStr">
        <is>
          <t>QUALITY FIX DO BRASIL, INDUSTRIA, COMERCIO, IMPORTACAO E EXPORTACAO LTDA</t>
        </is>
      </c>
      <c r="F544" s="7" t="n">
        <v>188.74</v>
      </c>
      <c r="G544" s="6" t="inlineStr">
        <is>
          <t>EQUIPAMENTOS E FERRAMENTAS</t>
        </is>
      </c>
      <c r="H544" s="6" t="inlineStr">
        <is>
          <t>QUALITY FIX DO BRASIL, INDUSTRIA, COMERCIO, IMPORT</t>
        </is>
      </c>
      <c r="I544" s="24" t="n">
        <v>46073</v>
      </c>
      <c r="J544" s="6" t="n">
        <v>4181</v>
      </c>
    </row>
    <row r="545">
      <c r="A545" s="23" t="n">
        <v>46054</v>
      </c>
      <c r="B545" s="6" t="inlineStr">
        <is>
          <t>Pago</t>
        </is>
      </c>
      <c r="C545" s="6" t="inlineStr">
        <is>
          <t>PL530.001</t>
        </is>
      </c>
      <c r="D545" s="6" t="str">
        <f>IFERROR(VLOOKUP(E545,FORNECEDORES!$A$5:$F$999,6,FALSE),"L10")</f>
        <v>L01</v>
      </c>
      <c r="E545" s="6" t="inlineStr">
        <is>
          <t>QUALITY FIX DO BRASIL, INDUSTRIA, COMERCIO, IMPORTACAO E EXPORTACAO LTDA</t>
        </is>
      </c>
      <c r="F545" s="7" t="n">
        <v>199.97</v>
      </c>
      <c r="G545" s="6" t="inlineStr">
        <is>
          <t>EQUIPAMENTOS E FERRAMENTAS</t>
        </is>
      </c>
      <c r="H545" s="6" t="inlineStr">
        <is>
          <t>QUALITY FIX DO BRASIL, INDUSTRIA, COMERCIO, IMPORT</t>
        </is>
      </c>
      <c r="I545" s="24" t="n">
        <v>46073</v>
      </c>
      <c r="J545" s="6" t="n">
        <v>4181</v>
      </c>
    </row>
    <row r="546">
      <c r="A546" s="23" t="n">
        <v>46054</v>
      </c>
      <c r="B546" s="6" t="inlineStr">
        <is>
          <t>Pago</t>
        </is>
      </c>
      <c r="C546" s="6" t="inlineStr">
        <is>
          <t>PL530.001</t>
        </is>
      </c>
      <c r="D546" s="6" t="str">
        <f>IFERROR(VLOOKUP(E546,FORNECEDORES!$A$5:$F$999,6,FALSE),"L10")</f>
        <v>L01</v>
      </c>
      <c r="E546" s="6" t="inlineStr">
        <is>
          <t>QUALITY FIX DO BRASIL, INDUSTRIA, COMERCIO, IMPORTACAO E EXPORTACAO LTDA</t>
        </is>
      </c>
      <c r="F546" s="7" t="n">
        <v>849.47</v>
      </c>
      <c r="G546" s="6" t="inlineStr">
        <is>
          <t>EQUIPAMENTOS E FERRAMENTAS</t>
        </is>
      </c>
      <c r="H546" s="6" t="inlineStr">
        <is>
          <t>QUALITY FIX DO BRASIL, INDUSTRIA, COMERCIO, IMPORT</t>
        </is>
      </c>
      <c r="I546" s="24" t="n">
        <v>46073</v>
      </c>
      <c r="J546" s="6" t="n">
        <v>4181</v>
      </c>
    </row>
    <row r="547">
      <c r="A547" s="23" t="n">
        <v>46054</v>
      </c>
      <c r="B547" s="6" t="inlineStr">
        <is>
          <t>Pago</t>
        </is>
      </c>
      <c r="C547" s="6" t="inlineStr">
        <is>
          <t>PL530.001</t>
        </is>
      </c>
      <c r="D547" s="6" t="str">
        <f>IFERROR(VLOOKUP(E547,FORNECEDORES!$A$5:$F$999,6,FALSE),"L10")</f>
        <v>L08</v>
      </c>
      <c r="E547" s="6" t="inlineStr">
        <is>
          <t>TELAS PERAM COMERCIO IMPORTACAO E REPRESENTACOES LTDA.</t>
        </is>
      </c>
      <c r="F547" s="7" t="n">
        <v>2940</v>
      </c>
      <c r="G547" s="6" t="inlineStr">
        <is>
          <t>SINALIZAÇÃO</t>
        </is>
      </c>
      <c r="H547" s="6" t="inlineStr">
        <is>
          <t>TELAS PERAM COMERCIO IMPORTACAO E REPRESENTACOES L</t>
        </is>
      </c>
      <c r="I547" s="24" t="n">
        <v>46078</v>
      </c>
      <c r="J547" s="6" t="n">
        <v>4424</v>
      </c>
    </row>
    <row r="548">
      <c r="A548" s="23" t="n">
        <v>46054</v>
      </c>
      <c r="B548" s="6" t="inlineStr">
        <is>
          <t>Pago</t>
        </is>
      </c>
      <c r="C548" s="6" t="inlineStr">
        <is>
          <t>PL530.001</t>
        </is>
      </c>
      <c r="D548" s="6" t="str">
        <f>IFERROR(VLOOKUP(E548,FORNECEDORES!$A$5:$F$999,6,FALSE),"L10")</f>
        <v>L08</v>
      </c>
      <c r="E548" s="6" t="inlineStr">
        <is>
          <t>TELAS PERAM COMERCIO IMPORTACAO E REPRESENTACOES LTDA.</t>
        </is>
      </c>
      <c r="F548" s="7" t="n">
        <v>30432.45</v>
      </c>
      <c r="G548" s="6" t="inlineStr">
        <is>
          <t>SINALIZAÇÃO</t>
        </is>
      </c>
      <c r="H548" s="6" t="inlineStr">
        <is>
          <t>TELAS PERAM COMERCIO IMPORTACAO E REPRESENTACOES L</t>
        </is>
      </c>
      <c r="I548" s="24" t="n">
        <v>46078</v>
      </c>
      <c r="J548" s="6" t="n">
        <v>4520</v>
      </c>
    </row>
    <row r="549">
      <c r="A549" s="23" t="n">
        <v>46054</v>
      </c>
      <c r="B549" s="6" t="inlineStr">
        <is>
          <t>Pago</t>
        </is>
      </c>
      <c r="C549" s="6" t="inlineStr">
        <is>
          <t>PL530.001</t>
        </is>
      </c>
      <c r="D549" s="6" t="str">
        <f>IFERROR(VLOOKUP(E549,FORNECEDORES!$A$5:$F$999,6,FALSE),"L10")</f>
        <v>L08</v>
      </c>
      <c r="E549" s="6" t="inlineStr">
        <is>
          <t>TELAS PERAM COMERCIO IMPORTACAO E REPRESENTACOES LTDA.</t>
        </is>
      </c>
      <c r="F549" s="7" t="n">
        <v>1431.9</v>
      </c>
      <c r="G549" s="6" t="inlineStr">
        <is>
          <t>SINALIZAÇÃO</t>
        </is>
      </c>
      <c r="H549" s="6" t="inlineStr">
        <is>
          <t>TELAS PERAM COMERCIO IMPORTACAO E REPRESENTACOES L</t>
        </is>
      </c>
      <c r="I549" s="24" t="n">
        <v>46078</v>
      </c>
      <c r="J549" s="6" t="n">
        <v>4520</v>
      </c>
    </row>
    <row r="550">
      <c r="A550" s="23" t="n">
        <v>46054</v>
      </c>
      <c r="B550" s="6" t="inlineStr">
        <is>
          <t>Pago</t>
        </is>
      </c>
      <c r="C550" s="6" t="inlineStr">
        <is>
          <t>PL530.001</t>
        </is>
      </c>
      <c r="D550" s="6" t="str">
        <f>IFERROR(VLOOKUP(E550,FORNECEDORES!$A$5:$F$999,6,FALSE),"L10")</f>
        <v>L08</v>
      </c>
      <c r="E550" s="6" t="inlineStr">
        <is>
          <t>TELAS PERAM COMERCIO IMPORTACAO E REPRESENTACOES LTDA.</t>
        </is>
      </c>
      <c r="F550" s="7" t="n">
        <v>32413.3</v>
      </c>
      <c r="G550" s="6" t="inlineStr">
        <is>
          <t>SERRALHERIA</t>
        </is>
      </c>
      <c r="H550" s="6" t="inlineStr">
        <is>
          <t>TELAS PERAM COMERCIO IMPORTACAO E REPRESENTACOES L</t>
        </is>
      </c>
      <c r="I550" s="24" t="n">
        <v>46078</v>
      </c>
      <c r="J550" s="6" t="n">
        <v>4520</v>
      </c>
    </row>
    <row r="551">
      <c r="A551" s="23" t="n">
        <v>46054</v>
      </c>
      <c r="B551" s="6" t="inlineStr">
        <is>
          <t>Pago</t>
        </is>
      </c>
      <c r="C551" s="6" t="inlineStr">
        <is>
          <t>PL530.001</t>
        </is>
      </c>
      <c r="D551" s="6" t="str">
        <f>IFERROR(VLOOKUP(E551,FORNECEDORES!$A$5:$F$999,6,FALSE),"L10")</f>
        <v>L08</v>
      </c>
      <c r="E551" s="6" t="inlineStr">
        <is>
          <t>TELAS PERAM COMERCIO IMPORTACAO E REPRESENTACOES LTDA.</t>
        </is>
      </c>
      <c r="F551" s="7" t="n">
        <v>768</v>
      </c>
      <c r="G551" s="6" t="inlineStr">
        <is>
          <t>ACESSÓRIOS DE FIXAÇÃO</t>
        </is>
      </c>
      <c r="H551" s="6" t="inlineStr">
        <is>
          <t>TELAS PERAM COMERCIO IMPORTACAO E REPRESENTACOES L</t>
        </is>
      </c>
      <c r="I551" s="24" t="n">
        <v>46078</v>
      </c>
      <c r="J551" s="6" t="n">
        <v>4520</v>
      </c>
    </row>
    <row r="552">
      <c r="A552" s="23" t="n">
        <v>46054</v>
      </c>
      <c r="B552" s="6" t="inlineStr">
        <is>
          <t>Pago</t>
        </is>
      </c>
      <c r="C552" s="6" t="inlineStr">
        <is>
          <t>PL530.001</t>
        </is>
      </c>
      <c r="D552" s="6" t="str">
        <f>IFERROR(VLOOKUP(E552,FORNECEDORES!$A$5:$F$999,6,FALSE),"L10")</f>
        <v>L08</v>
      </c>
      <c r="E552" s="6" t="inlineStr">
        <is>
          <t>TELAS PERAM COMERCIO IMPORTACAO E REPRESENTACOES LTDA.</t>
        </is>
      </c>
      <c r="F552" s="7" t="n">
        <v>3525</v>
      </c>
      <c r="G552" s="6" t="inlineStr">
        <is>
          <t>SINALIZAÇÃO</t>
        </is>
      </c>
      <c r="H552" s="6" t="inlineStr">
        <is>
          <t>TELAS PERAM COMERCIO IMPORTACAO E REPRESENTACOES L</t>
        </is>
      </c>
      <c r="I552" s="24" t="n">
        <v>46078</v>
      </c>
      <c r="J552" s="6" t="n">
        <v>4525</v>
      </c>
    </row>
    <row r="553">
      <c r="A553" s="23" t="n">
        <v>46054</v>
      </c>
      <c r="B553" s="6" t="inlineStr">
        <is>
          <t>Pago</t>
        </is>
      </c>
      <c r="C553" s="6" t="inlineStr">
        <is>
          <t>PL530.001</t>
        </is>
      </c>
      <c r="D553" s="6" t="str">
        <f>IFERROR(VLOOKUP(E553,FORNECEDORES!$A$5:$F$999,6,FALSE),"L10")</f>
        <v>L08</v>
      </c>
      <c r="E553" s="6" t="inlineStr">
        <is>
          <t>TELAS PERAM COMERCIO IMPORTACAO E REPRESENTACOES LTDA.</t>
        </is>
      </c>
      <c r="F553" s="7" t="n">
        <v>3444</v>
      </c>
      <c r="G553" s="6" t="inlineStr">
        <is>
          <t>ACESSÓRIOS DE FIXAÇÃO</t>
        </is>
      </c>
      <c r="H553" s="6" t="inlineStr">
        <is>
          <t>TELAS PERAM COMERCIO IMPORTACAO E REPRESENTACOES L</t>
        </is>
      </c>
      <c r="I553" s="24" t="n">
        <v>46078</v>
      </c>
      <c r="J553" s="6" t="n">
        <v>4520</v>
      </c>
    </row>
    <row r="554">
      <c r="A554" s="23" t="n">
        <v>46054</v>
      </c>
      <c r="B554" s="6" t="inlineStr">
        <is>
          <t>Pago</t>
        </is>
      </c>
      <c r="C554" s="6" t="inlineStr">
        <is>
          <t>PL530.001</t>
        </is>
      </c>
      <c r="D554" s="6" t="str">
        <f>IFERROR(VLOOKUP(E554,FORNECEDORES!$A$5:$F$999,6,FALSE),"L10")</f>
        <v>L08</v>
      </c>
      <c r="E554" s="6" t="inlineStr">
        <is>
          <t>TELAS PERAM COMERCIO IMPORTACAO E REPRESENTACOES LTDA.</t>
        </is>
      </c>
      <c r="F554" s="7" t="n">
        <v>10246.66</v>
      </c>
      <c r="G554" s="6" t="inlineStr">
        <is>
          <t>SINALIZAÇÃO</t>
        </is>
      </c>
      <c r="H554" s="6" t="inlineStr">
        <is>
          <t>TELAS PERAM COMERCIO IMPORTACAO E REPRESENTACOES L</t>
        </is>
      </c>
      <c r="I554" s="24" t="n">
        <v>46078</v>
      </c>
      <c r="J554" s="6" t="n">
        <v>4520</v>
      </c>
    </row>
    <row r="555">
      <c r="A555" s="23" t="n">
        <v>46054</v>
      </c>
      <c r="B555" s="6" t="inlineStr">
        <is>
          <t>Pago</t>
        </is>
      </c>
      <c r="C555" s="6" t="inlineStr">
        <is>
          <t>PL530.001</t>
        </is>
      </c>
      <c r="D555" s="6" t="str">
        <f>IFERROR(VLOOKUP(E555,FORNECEDORES!$A$5:$F$999,6,FALSE),"L10")</f>
        <v>L08</v>
      </c>
      <c r="E555" s="6" t="inlineStr">
        <is>
          <t>TELAS PERAM COMERCIO IMPORTACAO E REPRESENTACOES LTDA.</t>
        </is>
      </c>
      <c r="F555" s="7" t="n">
        <v>1470</v>
      </c>
      <c r="G555" s="6" t="inlineStr">
        <is>
          <t>SINALIZAÇÃO</t>
        </is>
      </c>
      <c r="H555" s="6" t="inlineStr">
        <is>
          <t>TELAS PERAM COMERCIO IMPORTACAO E REPRESENTACOES L</t>
        </is>
      </c>
      <c r="I555" s="24" t="n">
        <v>46078</v>
      </c>
      <c r="J555" s="6" t="n">
        <v>4523</v>
      </c>
    </row>
    <row r="556">
      <c r="A556" s="23" t="n">
        <v>46054</v>
      </c>
      <c r="B556" s="6" t="inlineStr">
        <is>
          <t>Pago</t>
        </is>
      </c>
      <c r="C556" s="6" t="inlineStr">
        <is>
          <t>PL530.001</t>
        </is>
      </c>
      <c r="D556" s="6" t="str">
        <f>IFERROR(VLOOKUP(E556,FORNECEDORES!$A$5:$F$999,6,FALSE),"L10")</f>
        <v>L08</v>
      </c>
      <c r="E556" s="6" t="inlineStr">
        <is>
          <t>TELAS PERAM COMERCIO IMPORTACAO E REPRESENTACOES LTDA.</t>
        </is>
      </c>
      <c r="F556" s="7" t="n">
        <v>5886.88</v>
      </c>
      <c r="G556" s="6" t="inlineStr">
        <is>
          <t>SINALIZAÇÃO</t>
        </is>
      </c>
      <c r="H556" s="6" t="inlineStr">
        <is>
          <t>TELAS PERAM COMERCIO IMPORTACAO E REPRESENTACOES L</t>
        </is>
      </c>
      <c r="I556" s="24" t="n">
        <v>46078</v>
      </c>
      <c r="J556" s="6" t="n">
        <v>4524</v>
      </c>
    </row>
    <row r="557">
      <c r="A557" s="23" t="n">
        <v>46054</v>
      </c>
      <c r="B557" s="6" t="inlineStr">
        <is>
          <t>Pago</t>
        </is>
      </c>
      <c r="C557" s="6" t="inlineStr">
        <is>
          <t>PL530.001</t>
        </is>
      </c>
      <c r="D557" s="6" t="str">
        <f>IFERROR(VLOOKUP(E557,FORNECEDORES!$A$5:$F$999,6,FALSE),"L10")</f>
        <v>L08</v>
      </c>
      <c r="E557" s="6" t="inlineStr">
        <is>
          <t>TELAS PERAM COMERCIO IMPORTACAO E REPRESENTACOES LTDA.</t>
        </is>
      </c>
      <c r="F557" s="7" t="n">
        <v>9400</v>
      </c>
      <c r="G557" s="6" t="inlineStr">
        <is>
          <t>SINALIZAÇÃO</t>
        </is>
      </c>
      <c r="H557" s="6" t="inlineStr">
        <is>
          <t>TELAS PERAM COMERCIO IMPORTACAO E REPRESENTACOES L</t>
        </is>
      </c>
      <c r="I557" s="24" t="n">
        <v>46078</v>
      </c>
      <c r="J557" s="6" t="n">
        <v>4514</v>
      </c>
    </row>
    <row r="558">
      <c r="A558" s="23" t="n">
        <v>46054</v>
      </c>
      <c r="B558" s="6" t="inlineStr">
        <is>
          <t>Pago</t>
        </is>
      </c>
      <c r="C558" s="6" t="inlineStr">
        <is>
          <t>PL530.001</t>
        </is>
      </c>
      <c r="D558" s="6" t="str">
        <f>IFERROR(VLOOKUP(E558,FORNECEDORES!$A$5:$F$999,6,FALSE),"L10")</f>
        <v>L08</v>
      </c>
      <c r="E558" s="6" t="inlineStr">
        <is>
          <t>TELAS PERAM COMERCIO IMPORTACAO E REPRESENTACOES LTDA.</t>
        </is>
      </c>
      <c r="F558" s="7" t="n">
        <v>1631.5</v>
      </c>
      <c r="G558" s="6" t="inlineStr">
        <is>
          <t>SINALIZAÇÃO</t>
        </is>
      </c>
      <c r="H558" s="6" t="inlineStr">
        <is>
          <t>TELAS PERAM COMERCIO IMPORTACAO E REPRESENTACOES L</t>
        </is>
      </c>
      <c r="I558" s="24" t="n">
        <v>46078</v>
      </c>
      <c r="J558" s="6" t="n">
        <v>4513</v>
      </c>
    </row>
    <row r="559">
      <c r="A559" s="23" t="n">
        <v>46054</v>
      </c>
      <c r="B559" s="6" t="inlineStr">
        <is>
          <t>Pago</t>
        </is>
      </c>
      <c r="C559" s="6" t="inlineStr">
        <is>
          <t>PL530.001</t>
        </is>
      </c>
      <c r="D559" s="6" t="str">
        <f>IFERROR(VLOOKUP(E559,FORNECEDORES!$A$5:$F$999,6,FALSE),"L10")</f>
        <v>L08</v>
      </c>
      <c r="E559" s="6" t="inlineStr">
        <is>
          <t>TELAS PERAM COMERCIO IMPORTACAO E REPRESENTACOES LTDA.</t>
        </is>
      </c>
      <c r="F559" s="7" t="n">
        <v>3263.01</v>
      </c>
      <c r="G559" s="6" t="inlineStr">
        <is>
          <t>SINALIZAÇÃO</t>
        </is>
      </c>
      <c r="H559" s="6" t="inlineStr">
        <is>
          <t>TELAS PERAM COMERCIO IMPORTACAO E REPRESENTACOES L</t>
        </is>
      </c>
      <c r="I559" s="24" t="n">
        <v>46078</v>
      </c>
      <c r="J559" s="6" t="n">
        <v>4526</v>
      </c>
    </row>
    <row r="560">
      <c r="A560" s="23" t="n">
        <v>46054</v>
      </c>
      <c r="B560" s="6" t="inlineStr">
        <is>
          <t>Pago</t>
        </is>
      </c>
      <c r="C560" s="6" t="inlineStr">
        <is>
          <t>PL530.001</t>
        </is>
      </c>
      <c r="D560" s="6" t="str">
        <f>IFERROR(VLOOKUP(E560,FORNECEDORES!$A$5:$F$999,6,FALSE),"L10")</f>
        <v>L08</v>
      </c>
      <c r="E560" s="6" t="inlineStr">
        <is>
          <t>TELAS PERAM COMERCIO IMPORTACAO E REPRESENTACOES LTDA.</t>
        </is>
      </c>
      <c r="F560" s="7" t="n">
        <v>76.44</v>
      </c>
      <c r="G560" s="6" t="inlineStr">
        <is>
          <t>EQUIPAMENTOS E FERRAMENTAS</t>
        </is>
      </c>
      <c r="H560" s="6" t="inlineStr">
        <is>
          <t>TELAS PERAM COMERCIO IMPORTACAO E REPRESENTACOES L</t>
        </is>
      </c>
      <c r="I560" s="24" t="n">
        <v>46078</v>
      </c>
      <c r="J560" s="6" t="n">
        <v>4424</v>
      </c>
    </row>
    <row r="561">
      <c r="A561" s="23" t="n">
        <v>46054</v>
      </c>
      <c r="B561" s="6" t="inlineStr">
        <is>
          <t>Pago</t>
        </is>
      </c>
      <c r="C561" s="6" t="inlineStr">
        <is>
          <t>PL530.001</t>
        </is>
      </c>
      <c r="D561" s="6" t="str">
        <f>IFERROR(VLOOKUP(E561,FORNECEDORES!$A$5:$F$999,6,FALSE),"L10")</f>
        <v>L08</v>
      </c>
      <c r="E561" s="6" t="inlineStr">
        <is>
          <t>TELAS PERAM COMERCIO IMPORTACAO E REPRESENTACOES LTDA.</t>
        </is>
      </c>
      <c r="F561" s="7" t="n">
        <v>186.9</v>
      </c>
      <c r="G561" s="6" t="inlineStr">
        <is>
          <t>EQUIPAMENTOS E FERRAMENTAS</t>
        </is>
      </c>
      <c r="H561" s="6" t="inlineStr">
        <is>
          <t>TELAS PERAM COMERCIO IMPORTACAO E REPRESENTACOES L</t>
        </is>
      </c>
      <c r="I561" s="24" t="n">
        <v>46078</v>
      </c>
      <c r="J561" s="6" t="n">
        <v>4424</v>
      </c>
    </row>
    <row r="562">
      <c r="A562" s="23" t="n">
        <v>46054</v>
      </c>
      <c r="B562" s="6" t="inlineStr">
        <is>
          <t>Pago</t>
        </is>
      </c>
      <c r="C562" s="6" t="inlineStr">
        <is>
          <t>PL530.001</t>
        </is>
      </c>
      <c r="D562" s="6" t="str">
        <f>IFERROR(VLOOKUP(E562,FORNECEDORES!$A$5:$F$999,6,FALSE),"L10")</f>
        <v>L08</v>
      </c>
      <c r="E562" s="6" t="inlineStr">
        <is>
          <t>TELAS PERAM COMERCIO IMPORTACAO E REPRESENTACOES LTDA.</t>
        </is>
      </c>
      <c r="F562" s="7" t="n">
        <v>67.5</v>
      </c>
      <c r="G562" s="6" t="inlineStr">
        <is>
          <t>EQUIPAMENTOS E FERRAMENTAS</t>
        </is>
      </c>
      <c r="H562" s="6" t="inlineStr">
        <is>
          <t>TELAS PERAM COMERCIO IMPORTACAO E REPRESENTACOES L</t>
        </is>
      </c>
      <c r="I562" s="24" t="n">
        <v>46078</v>
      </c>
      <c r="J562" s="6" t="n">
        <v>4520</v>
      </c>
    </row>
    <row r="563">
      <c r="A563" s="23" t="n">
        <v>46054</v>
      </c>
      <c r="B563" s="6" t="inlineStr">
        <is>
          <t>Pago</t>
        </is>
      </c>
      <c r="C563" s="6" t="inlineStr">
        <is>
          <t>PL530.001</t>
        </is>
      </c>
      <c r="D563" s="6" t="str">
        <f>IFERROR(VLOOKUP(E563,FORNECEDORES!$A$5:$F$999,6,FALSE),"L10")</f>
        <v>L08</v>
      </c>
      <c r="E563" s="6" t="inlineStr">
        <is>
          <t>TELAS PERAM COMERCIO IMPORTACAO E REPRESENTACOES LTDA.</t>
        </is>
      </c>
      <c r="F563" s="7" t="n">
        <v>694.96</v>
      </c>
      <c r="G563" s="6" t="inlineStr">
        <is>
          <t>EQUIPAMENTOS E FERRAMENTAS</t>
        </is>
      </c>
      <c r="H563" s="6" t="inlineStr">
        <is>
          <t>TELAS PERAM COMERCIO IMPORTACAO E REPRESENTACOES L</t>
        </is>
      </c>
      <c r="I563" s="24" t="n">
        <v>46078</v>
      </c>
      <c r="J563" s="6" t="n">
        <v>4525</v>
      </c>
    </row>
    <row r="564">
      <c r="A564" s="23" t="n">
        <v>46054</v>
      </c>
      <c r="B564" s="6" t="inlineStr">
        <is>
          <t>Pago</t>
        </is>
      </c>
      <c r="C564" s="6" t="inlineStr">
        <is>
          <t>PL530.001</t>
        </is>
      </c>
      <c r="D564" s="6" t="str">
        <f>IFERROR(VLOOKUP(E564,FORNECEDORES!$A$5:$F$999,6,FALSE),"L10")</f>
        <v>L08</v>
      </c>
      <c r="E564" s="6" t="inlineStr">
        <is>
          <t>TELAS PERAM COMERCIO IMPORTACAO E REPRESENTACOES LTDA.</t>
        </is>
      </c>
      <c r="F564" s="7" t="n">
        <v>42</v>
      </c>
      <c r="G564" s="6" t="inlineStr">
        <is>
          <t>EQUIPAMENTOS E FERRAMENTAS</t>
        </is>
      </c>
      <c r="H564" s="6" t="inlineStr">
        <is>
          <t>TELAS PERAM COMERCIO IMPORTACAO E REPRESENTACOES L</t>
        </is>
      </c>
      <c r="I564" s="24" t="n">
        <v>46078</v>
      </c>
      <c r="J564" s="6" t="n">
        <v>4525</v>
      </c>
    </row>
    <row r="565">
      <c r="A565" s="23" t="n">
        <v>46054</v>
      </c>
      <c r="B565" s="6" t="inlineStr">
        <is>
          <t>Pago</t>
        </is>
      </c>
      <c r="C565" s="6" t="inlineStr">
        <is>
          <t>PL530.001</t>
        </is>
      </c>
      <c r="D565" s="6" t="str">
        <f>IFERROR(VLOOKUP(E565,FORNECEDORES!$A$5:$F$999,6,FALSE),"L10")</f>
        <v>L08</v>
      </c>
      <c r="E565" s="6" t="inlineStr">
        <is>
          <t>TELAS PERAM COMERCIO IMPORTACAO E REPRESENTACOES LTDA.</t>
        </is>
      </c>
      <c r="F565" s="7" t="n">
        <v>267</v>
      </c>
      <c r="G565" s="6" t="inlineStr">
        <is>
          <t>EQUIPAMENTOS E FERRAMENTAS</t>
        </is>
      </c>
      <c r="H565" s="6" t="inlineStr">
        <is>
          <t>TELAS PERAM COMERCIO IMPORTACAO E REPRESENTACOES L</t>
        </is>
      </c>
      <c r="I565" s="24" t="n">
        <v>46078</v>
      </c>
      <c r="J565" s="6" t="n">
        <v>4525</v>
      </c>
    </row>
    <row r="566">
      <c r="A566" s="23" t="n">
        <v>46054</v>
      </c>
      <c r="B566" s="6" t="inlineStr">
        <is>
          <t>Pago</t>
        </is>
      </c>
      <c r="C566" s="6" t="inlineStr">
        <is>
          <t>PL530.001</t>
        </is>
      </c>
      <c r="D566" s="6" t="str">
        <f>IFERROR(VLOOKUP(E566,FORNECEDORES!$A$5:$F$999,6,FALSE),"L10")</f>
        <v>L08</v>
      </c>
      <c r="E566" s="6" t="inlineStr">
        <is>
          <t>TELAS PERAM COMERCIO IMPORTACAO E REPRESENTACOES LTDA.</t>
        </is>
      </c>
      <c r="F566" s="7" t="n">
        <v>481.57</v>
      </c>
      <c r="G566" s="6" t="inlineStr">
        <is>
          <t>EQUIPAMENTOS E FERRAMENTAS</t>
        </is>
      </c>
      <c r="H566" s="6" t="inlineStr">
        <is>
          <t>TELAS PERAM COMERCIO IMPORTACAO E REPRESENTACOES L</t>
        </is>
      </c>
      <c r="I566" s="24" t="n">
        <v>46078</v>
      </c>
      <c r="J566" s="6" t="n">
        <v>4524</v>
      </c>
    </row>
    <row r="567">
      <c r="A567" s="23" t="n">
        <v>46054</v>
      </c>
      <c r="B567" s="6" t="inlineStr">
        <is>
          <t>Pago</t>
        </is>
      </c>
      <c r="C567" s="6" t="inlineStr">
        <is>
          <t>PL530.001</t>
        </is>
      </c>
      <c r="D567" s="6" t="str">
        <f>IFERROR(VLOOKUP(E567,FORNECEDORES!$A$5:$F$999,6,FALSE),"L10")</f>
        <v>L08</v>
      </c>
      <c r="E567" s="6" t="inlineStr">
        <is>
          <t>TELAS PERAM COMERCIO IMPORTACAO E REPRESENTACOES LTDA.</t>
        </is>
      </c>
      <c r="F567" s="7" t="n">
        <v>7649.99</v>
      </c>
      <c r="G567" s="6" t="inlineStr">
        <is>
          <t>EQUIPAMENTOS E FERRAMENTAS</t>
        </is>
      </c>
      <c r="H567" s="6" t="inlineStr">
        <is>
          <t>TELAS PERAM COMERCIO IMPORTACAO E REPRESENTACOES L</t>
        </is>
      </c>
      <c r="I567" s="24" t="n">
        <v>46078</v>
      </c>
      <c r="J567" s="6" t="n">
        <v>4520</v>
      </c>
    </row>
    <row r="568">
      <c r="A568" s="23" t="n">
        <v>46054</v>
      </c>
      <c r="B568" s="6" t="inlineStr">
        <is>
          <t>Pago</t>
        </is>
      </c>
      <c r="C568" s="6" t="inlineStr">
        <is>
          <t>PL530.001</t>
        </is>
      </c>
      <c r="D568" s="6" t="str">
        <f>IFERROR(VLOOKUP(E568,FORNECEDORES!$A$5:$F$999,6,FALSE),"L10")</f>
        <v>L08</v>
      </c>
      <c r="E568" s="6" t="inlineStr">
        <is>
          <t>TELAS PERAM COMERCIO IMPORTACAO E REPRESENTACOES LTDA.</t>
        </is>
      </c>
      <c r="F568" s="7" t="n">
        <v>67.64</v>
      </c>
      <c r="G568" s="6" t="inlineStr">
        <is>
          <t>EQUIPAMENTOS E FERRAMENTAS</t>
        </is>
      </c>
      <c r="H568" s="6" t="inlineStr">
        <is>
          <t>TELAS PERAM COMERCIO IMPORTACAO E REPRESENTACOES L</t>
        </is>
      </c>
      <c r="I568" s="24" t="n">
        <v>46078</v>
      </c>
      <c r="J568" s="6" t="n">
        <v>4524</v>
      </c>
    </row>
    <row r="569">
      <c r="A569" s="23" t="n">
        <v>46054</v>
      </c>
      <c r="B569" s="6" t="inlineStr">
        <is>
          <t>Pago</t>
        </is>
      </c>
      <c r="C569" s="6" t="inlineStr">
        <is>
          <t>PL530.001</t>
        </is>
      </c>
      <c r="D569" s="6" t="str">
        <f>IFERROR(VLOOKUP(E569,FORNECEDORES!$A$5:$F$999,6,FALSE),"L10")</f>
        <v>L08</v>
      </c>
      <c r="E569" s="6" t="inlineStr">
        <is>
          <t>TELAS PERAM COMERCIO IMPORTACAO E REPRESENTACOES LTDA.</t>
        </is>
      </c>
      <c r="F569" s="7" t="n">
        <v>1740.9</v>
      </c>
      <c r="G569" s="6" t="inlineStr">
        <is>
          <t>EQUIPAMENTOS E FERRAMENTAS</t>
        </is>
      </c>
      <c r="H569" s="6" t="inlineStr">
        <is>
          <t>TELAS PERAM COMERCIO IMPORTACAO E REPRESENTACOES L</t>
        </is>
      </c>
      <c r="I569" s="24" t="n">
        <v>46078</v>
      </c>
      <c r="J569" s="6" t="n">
        <v>4524</v>
      </c>
    </row>
    <row r="570">
      <c r="A570" s="23" t="n">
        <v>46054</v>
      </c>
      <c r="B570" s="6" t="inlineStr">
        <is>
          <t>Pago</t>
        </is>
      </c>
      <c r="C570" s="6" t="inlineStr">
        <is>
          <t>PL530.001</t>
        </is>
      </c>
      <c r="D570" s="6" t="str">
        <f>IFERROR(VLOOKUP(E570,FORNECEDORES!$A$5:$F$999,6,FALSE),"L10")</f>
        <v>L08</v>
      </c>
      <c r="E570" s="6" t="inlineStr">
        <is>
          <t>TELAS PERAM COMERCIO IMPORTACAO E REPRESENTACOES LTDA.</t>
        </is>
      </c>
      <c r="F570" s="7" t="n">
        <v>47.04</v>
      </c>
      <c r="G570" s="6" t="inlineStr">
        <is>
          <t>EQUIPAMENTOS E FERRAMENTAS</t>
        </is>
      </c>
      <c r="H570" s="6" t="inlineStr">
        <is>
          <t>TELAS PERAM COMERCIO IMPORTACAO E REPRESENTACOES L</t>
        </is>
      </c>
      <c r="I570" s="24" t="n">
        <v>46078</v>
      </c>
      <c r="J570" s="6" t="n">
        <v>4523</v>
      </c>
    </row>
    <row r="571">
      <c r="A571" s="23" t="n">
        <v>46054</v>
      </c>
      <c r="B571" s="6" t="inlineStr">
        <is>
          <t>Pago</t>
        </is>
      </c>
      <c r="C571" s="6" t="inlineStr">
        <is>
          <t>PL530.001</t>
        </is>
      </c>
      <c r="D571" s="6" t="str">
        <f>IFERROR(VLOOKUP(E571,FORNECEDORES!$A$5:$F$999,6,FALSE),"L10")</f>
        <v>L08</v>
      </c>
      <c r="E571" s="6" t="inlineStr">
        <is>
          <t>TELAS PERAM COMERCIO IMPORTACAO E REPRESENTACOES LTDA.</t>
        </is>
      </c>
      <c r="F571" s="7" t="n">
        <v>521.22</v>
      </c>
      <c r="G571" s="6" t="inlineStr">
        <is>
          <t>EQUIPAMENTOS E FERRAMENTAS</t>
        </is>
      </c>
      <c r="H571" s="6" t="inlineStr">
        <is>
          <t>TELAS PERAM COMERCIO IMPORTACAO E REPRESENTACOES L</t>
        </is>
      </c>
      <c r="I571" s="24" t="n">
        <v>46078</v>
      </c>
      <c r="J571" s="6" t="n">
        <v>4523</v>
      </c>
    </row>
    <row r="572">
      <c r="A572" s="23" t="n">
        <v>46054</v>
      </c>
      <c r="B572" s="6" t="inlineStr">
        <is>
          <t>Pago</t>
        </is>
      </c>
      <c r="C572" s="6" t="inlineStr">
        <is>
          <t>PL530.001</t>
        </is>
      </c>
      <c r="D572" s="6" t="str">
        <f>IFERROR(VLOOKUP(E572,FORNECEDORES!$A$5:$F$999,6,FALSE),"L10")</f>
        <v>L08</v>
      </c>
      <c r="E572" s="6" t="inlineStr">
        <is>
          <t>TELAS PERAM COMERCIO IMPORTACAO E REPRESENTACOES LTDA.</t>
        </is>
      </c>
      <c r="F572" s="7" t="n">
        <v>88.11</v>
      </c>
      <c r="G572" s="6" t="inlineStr">
        <is>
          <t>EQUIPAMENTOS E FERRAMENTAS</t>
        </is>
      </c>
      <c r="H572" s="6" t="inlineStr">
        <is>
          <t>TELAS PERAM COMERCIO IMPORTACAO E REPRESENTACOES L</t>
        </is>
      </c>
      <c r="I572" s="24" t="n">
        <v>46078</v>
      </c>
      <c r="J572" s="6" t="n">
        <v>4523</v>
      </c>
    </row>
    <row r="573">
      <c r="A573" s="23" t="n">
        <v>46054</v>
      </c>
      <c r="B573" s="6" t="inlineStr">
        <is>
          <t>Pago</t>
        </is>
      </c>
      <c r="C573" s="6" t="inlineStr">
        <is>
          <t>PL530.001</t>
        </is>
      </c>
      <c r="D573" s="6" t="str">
        <f>IFERROR(VLOOKUP(E573,FORNECEDORES!$A$5:$F$999,6,FALSE),"L10")</f>
        <v>L08</v>
      </c>
      <c r="E573" s="6" t="inlineStr">
        <is>
          <t>TELAS PERAM COMERCIO IMPORTACAO E REPRESENTACOES LTDA.</t>
        </is>
      </c>
      <c r="F573" s="7" t="n">
        <v>521.22</v>
      </c>
      <c r="G573" s="6" t="inlineStr">
        <is>
          <t>EQUIPAMENTOS E FERRAMENTAS</t>
        </is>
      </c>
      <c r="H573" s="6" t="inlineStr">
        <is>
          <t>TELAS PERAM COMERCIO IMPORTACAO E REPRESENTACOES L</t>
        </is>
      </c>
      <c r="I573" s="24" t="n">
        <v>46078</v>
      </c>
      <c r="J573" s="6" t="n">
        <v>4424</v>
      </c>
    </row>
    <row r="574">
      <c r="A574" s="23" t="n">
        <v>46054</v>
      </c>
      <c r="B574" s="6" t="inlineStr">
        <is>
          <t>Pago</t>
        </is>
      </c>
      <c r="C574" s="6" t="inlineStr">
        <is>
          <t>PL530.001</t>
        </is>
      </c>
      <c r="D574" s="6" t="str">
        <f>IFERROR(VLOOKUP(E574,FORNECEDORES!$A$5:$F$999,6,FALSE),"L10")</f>
        <v>L08</v>
      </c>
      <c r="E574" s="6" t="inlineStr">
        <is>
          <t>TELAS PERAM COMERCIO IMPORTACAO E REPRESENTACOES LTDA.</t>
        </is>
      </c>
      <c r="F574" s="7" t="n">
        <v>46.62</v>
      </c>
      <c r="G574" s="6" t="inlineStr">
        <is>
          <t>EQUIPAMENTOS E FERRAMENTAS</t>
        </is>
      </c>
      <c r="H574" s="6" t="inlineStr">
        <is>
          <t>TELAS PERAM COMERCIO IMPORTACAO E REPRESENTACOES L</t>
        </is>
      </c>
      <c r="I574" s="24" t="n">
        <v>46078</v>
      </c>
      <c r="J574" s="6" t="n">
        <v>4513</v>
      </c>
    </row>
    <row r="575">
      <c r="A575" s="23" t="n">
        <v>46054</v>
      </c>
      <c r="B575" s="6" t="inlineStr">
        <is>
          <t>Pago</t>
        </is>
      </c>
      <c r="C575" s="6" t="inlineStr">
        <is>
          <t>PL530.001</t>
        </is>
      </c>
      <c r="D575" s="6" t="str">
        <f>IFERROR(VLOOKUP(E575,FORNECEDORES!$A$5:$F$999,6,FALSE),"L10")</f>
        <v>L08</v>
      </c>
      <c r="E575" s="6" t="inlineStr">
        <is>
          <t>TELAS PERAM COMERCIO IMPORTACAO E REPRESENTACOES LTDA.</t>
        </is>
      </c>
      <c r="F575" s="7" t="n">
        <v>126</v>
      </c>
      <c r="G575" s="6" t="inlineStr">
        <is>
          <t>EQUIPAMENTOS E FERRAMENTAS</t>
        </is>
      </c>
      <c r="H575" s="6" t="inlineStr">
        <is>
          <t>TELAS PERAM COMERCIO IMPORTACAO E REPRESENTACOES L</t>
        </is>
      </c>
      <c r="I575" s="24" t="n">
        <v>46078</v>
      </c>
      <c r="J575" s="6" t="n">
        <v>4514</v>
      </c>
    </row>
    <row r="576">
      <c r="A576" s="23" t="n">
        <v>46054</v>
      </c>
      <c r="B576" s="6" t="inlineStr">
        <is>
          <t>Pago</t>
        </is>
      </c>
      <c r="C576" s="6" t="inlineStr">
        <is>
          <t>PL530.001</t>
        </is>
      </c>
      <c r="D576" s="6" t="str">
        <f>IFERROR(VLOOKUP(E576,FORNECEDORES!$A$5:$F$999,6,FALSE),"L10")</f>
        <v>L08</v>
      </c>
      <c r="E576" s="6" t="inlineStr">
        <is>
          <t>TELAS PERAM COMERCIO IMPORTACAO E REPRESENTACOES LTDA.</t>
        </is>
      </c>
      <c r="F576" s="7" t="n">
        <v>587.4</v>
      </c>
      <c r="G576" s="6" t="inlineStr">
        <is>
          <t>EQUIPAMENTOS E FERRAMENTAS</t>
        </is>
      </c>
      <c r="H576" s="6" t="inlineStr">
        <is>
          <t>TELAS PERAM COMERCIO IMPORTACAO E REPRESENTACOES L</t>
        </is>
      </c>
      <c r="I576" s="24" t="n">
        <v>46078</v>
      </c>
      <c r="J576" s="6" t="n">
        <v>4514</v>
      </c>
    </row>
    <row r="577">
      <c r="A577" s="23" t="n">
        <v>46054</v>
      </c>
      <c r="B577" s="6" t="inlineStr">
        <is>
          <t>Pago</t>
        </is>
      </c>
      <c r="C577" s="6" t="inlineStr">
        <is>
          <t>PL530.001</t>
        </is>
      </c>
      <c r="D577" s="6" t="str">
        <f>IFERROR(VLOOKUP(E577,FORNECEDORES!$A$5:$F$999,6,FALSE),"L10")</f>
        <v>L08</v>
      </c>
      <c r="E577" s="6" t="inlineStr">
        <is>
          <t>TELAS PERAM COMERCIO IMPORTACAO E REPRESENTACOES LTDA.</t>
        </is>
      </c>
      <c r="F577" s="7" t="n">
        <v>521.22</v>
      </c>
      <c r="G577" s="6" t="inlineStr">
        <is>
          <t>EQUIPAMENTOS E FERRAMENTAS</t>
        </is>
      </c>
      <c r="H577" s="6" t="inlineStr">
        <is>
          <t>TELAS PERAM COMERCIO IMPORTACAO E REPRESENTACOES L</t>
        </is>
      </c>
      <c r="I577" s="24" t="n">
        <v>46078</v>
      </c>
      <c r="J577" s="6" t="n">
        <v>4513</v>
      </c>
    </row>
    <row r="578">
      <c r="A578" s="23" t="n">
        <v>46054</v>
      </c>
      <c r="B578" s="6" t="inlineStr">
        <is>
          <t>Pago</t>
        </is>
      </c>
      <c r="C578" s="6" t="inlineStr">
        <is>
          <t>PL530.001</t>
        </is>
      </c>
      <c r="D578" s="6" t="str">
        <f>IFERROR(VLOOKUP(E578,FORNECEDORES!$A$5:$F$999,6,FALSE),"L10")</f>
        <v>L08</v>
      </c>
      <c r="E578" s="6" t="inlineStr">
        <is>
          <t>TELAS PERAM COMERCIO IMPORTACAO E REPRESENTACOES LTDA.</t>
        </is>
      </c>
      <c r="F578" s="7" t="n">
        <v>88.11</v>
      </c>
      <c r="G578" s="6" t="inlineStr">
        <is>
          <t>EQUIPAMENTOS E FERRAMENTAS</t>
        </is>
      </c>
      <c r="H578" s="6" t="inlineStr">
        <is>
          <t>TELAS PERAM COMERCIO IMPORTACAO E REPRESENTACOES L</t>
        </is>
      </c>
      <c r="I578" s="24" t="n">
        <v>46078</v>
      </c>
      <c r="J578" s="6" t="n">
        <v>4513</v>
      </c>
    </row>
    <row r="579">
      <c r="A579" s="23" t="n">
        <v>46054</v>
      </c>
      <c r="B579" s="6" t="inlineStr">
        <is>
          <t>Pago</t>
        </is>
      </c>
      <c r="C579" s="6" t="inlineStr">
        <is>
          <t>PL530.001</t>
        </is>
      </c>
      <c r="D579" s="6" t="str">
        <f>IFERROR(VLOOKUP(E579,FORNECEDORES!$A$5:$F$999,6,FALSE),"L10")</f>
        <v>L08</v>
      </c>
      <c r="E579" s="6" t="inlineStr">
        <is>
          <t>TELAS PERAM COMERCIO IMPORTACAO E REPRESENTACOES LTDA.</t>
        </is>
      </c>
      <c r="F579" s="7" t="n">
        <v>3474.78</v>
      </c>
      <c r="G579" s="6" t="inlineStr">
        <is>
          <t>EQUIPAMENTOS E FERRAMENTAS</t>
        </is>
      </c>
      <c r="H579" s="6" t="inlineStr">
        <is>
          <t>TELAS PERAM COMERCIO IMPORTACAO E REPRESENTACOES L</t>
        </is>
      </c>
      <c r="I579" s="24" t="n">
        <v>46078</v>
      </c>
      <c r="J579" s="6" t="n">
        <v>4514</v>
      </c>
    </row>
    <row r="580">
      <c r="A580" s="23" t="n">
        <v>46054</v>
      </c>
      <c r="B580" s="6" t="inlineStr">
        <is>
          <t>Pago</t>
        </is>
      </c>
      <c r="C580" s="6" t="inlineStr">
        <is>
          <t>PL530.001</t>
        </is>
      </c>
      <c r="D580" s="6" t="str">
        <f>IFERROR(VLOOKUP(E580,FORNECEDORES!$A$5:$F$999,6,FALSE),"L10")</f>
        <v>L08</v>
      </c>
      <c r="E580" s="6" t="inlineStr">
        <is>
          <t>TELAS PERAM COMERCIO IMPORTACAO E REPRESENTACOES LTDA.</t>
        </is>
      </c>
      <c r="F580" s="7" t="n">
        <v>76.44</v>
      </c>
      <c r="G580" s="6" t="inlineStr">
        <is>
          <t>EQUIPAMENTOS E FERRAMENTAS</t>
        </is>
      </c>
      <c r="H580" s="6" t="inlineStr">
        <is>
          <t>TELAS PERAM COMERCIO IMPORTACAO E REPRESENTACOES L</t>
        </is>
      </c>
      <c r="I580" s="24" t="n">
        <v>46078</v>
      </c>
      <c r="J580" s="6" t="n">
        <v>4526</v>
      </c>
    </row>
    <row r="581">
      <c r="A581" s="23" t="n">
        <v>46054</v>
      </c>
      <c r="B581" s="6" t="inlineStr">
        <is>
          <t>Pago</t>
        </is>
      </c>
      <c r="C581" s="6" t="inlineStr">
        <is>
          <t>PL530.001</t>
        </is>
      </c>
      <c r="D581" s="6" t="str">
        <f>IFERROR(VLOOKUP(E581,FORNECEDORES!$A$5:$F$999,6,FALSE),"L10")</f>
        <v>L08</v>
      </c>
      <c r="E581" s="6" t="inlineStr">
        <is>
          <t>TELAS PERAM COMERCIO IMPORTACAO E REPRESENTACOES LTDA.</t>
        </is>
      </c>
      <c r="F581" s="7" t="n">
        <v>186.9</v>
      </c>
      <c r="G581" s="6" t="inlineStr">
        <is>
          <t>EQUIPAMENTOS E FERRAMENTAS</t>
        </is>
      </c>
      <c r="H581" s="6" t="inlineStr">
        <is>
          <t>TELAS PERAM COMERCIO IMPORTACAO E REPRESENTACOES L</t>
        </is>
      </c>
      <c r="I581" s="24" t="n">
        <v>46078</v>
      </c>
      <c r="J581" s="6" t="n">
        <v>4526</v>
      </c>
    </row>
    <row r="582">
      <c r="A582" s="23" t="n">
        <v>46054</v>
      </c>
      <c r="B582" s="6" t="inlineStr">
        <is>
          <t>Pago</t>
        </is>
      </c>
      <c r="C582" s="6" t="inlineStr">
        <is>
          <t>PL530.001</t>
        </is>
      </c>
      <c r="D582" s="6" t="str">
        <f>IFERROR(VLOOKUP(E582,FORNECEDORES!$A$5:$F$999,6,FALSE),"L10")</f>
        <v>L08</v>
      </c>
      <c r="E582" s="6" t="inlineStr">
        <is>
          <t>TELAS PERAM COMERCIO IMPORTACAO E REPRESENTACOES LTDA.</t>
        </is>
      </c>
      <c r="F582" s="7" t="n">
        <v>521.21</v>
      </c>
      <c r="G582" s="6" t="inlineStr">
        <is>
          <t>EQUIPAMENTOS E FERRAMENTAS</t>
        </is>
      </c>
      <c r="H582" s="6" t="inlineStr">
        <is>
          <t>TELAS PERAM COMERCIO IMPORTACAO E REPRESENTACOES L</t>
        </is>
      </c>
      <c r="I582" s="24" t="n">
        <v>46078</v>
      </c>
      <c r="J582" s="6" t="n">
        <v>4526</v>
      </c>
    </row>
    <row r="583">
      <c r="A583" s="23" t="n">
        <v>46054</v>
      </c>
      <c r="B583" s="6" t="inlineStr">
        <is>
          <t>Pago</t>
        </is>
      </c>
      <c r="C583" s="6" t="inlineStr">
        <is>
          <t>PL530.001</t>
        </is>
      </c>
      <c r="D583" s="6" t="str">
        <f>IFERROR(VLOOKUP(E583,FORNECEDORES!$A$5:$F$999,6,FALSE),"L10")</f>
        <v>L08</v>
      </c>
      <c r="E583" s="6" t="inlineStr">
        <is>
          <t>TELAS PERAM COMERCIO IMPORTACAO E REPRESENTACOES LTDA.</t>
        </is>
      </c>
      <c r="F583" s="7" t="n">
        <v>8436</v>
      </c>
      <c r="G583" s="6" t="inlineStr">
        <is>
          <t>SINALIZAÇÃO</t>
        </is>
      </c>
      <c r="H583" s="6" t="inlineStr">
        <is>
          <t>TELAS PERAM COMERCIO IMPORTACAO E REPRESENTACOES L</t>
        </is>
      </c>
      <c r="I583" s="24" t="n">
        <v>46078</v>
      </c>
      <c r="J583" s="6" t="n">
        <v>4515</v>
      </c>
    </row>
    <row r="584">
      <c r="A584" s="23" t="n">
        <v>46054</v>
      </c>
      <c r="B584" s="6" t="inlineStr">
        <is>
          <t>Pago</t>
        </is>
      </c>
      <c r="C584" s="6" t="inlineStr">
        <is>
          <t>PL530.001</t>
        </is>
      </c>
      <c r="D584" s="6" t="str">
        <f>IFERROR(VLOOKUP(E584,FORNECEDORES!$A$5:$F$999,6,FALSE),"L10")</f>
        <v>L08</v>
      </c>
      <c r="E584" s="6" t="inlineStr">
        <is>
          <t>TELAS PERAM COMERCIO IMPORTACAO E REPRESENTACOES LTDA.</t>
        </is>
      </c>
      <c r="F584" s="7" t="n">
        <v>768</v>
      </c>
      <c r="G584" s="6" t="inlineStr">
        <is>
          <t>ACESSÓRIOS DE FIXAÇÃO</t>
        </is>
      </c>
      <c r="H584" s="6" t="inlineStr">
        <is>
          <t>TELAS PERAM COMERCIO IMPORTACAO E REPRESENTACOES L</t>
        </is>
      </c>
      <c r="I584" s="24" t="n">
        <v>46078</v>
      </c>
      <c r="J584" s="6" t="n">
        <v>4515</v>
      </c>
    </row>
    <row r="585">
      <c r="A585" s="23" t="n">
        <v>46082</v>
      </c>
      <c r="B585" s="6" t="inlineStr">
        <is>
          <t>Pago</t>
        </is>
      </c>
      <c r="C585" s="6" t="inlineStr">
        <is>
          <t>PL530.001</t>
        </is>
      </c>
      <c r="D585" s="6" t="str">
        <f>IFERROR(VLOOKUP(E585,FORNECEDORES!$A$5:$F$999,6,FALSE),"L10")</f>
        <v>L10</v>
      </c>
      <c r="E585" s="6" t="inlineStr">
        <is>
          <t>ALAVANCA TRANSPORTES E REMOCAO EIRELI</t>
        </is>
      </c>
      <c r="F585" s="7" t="n">
        <v>24025.25</v>
      </c>
      <c r="G585" s="6" t="inlineStr">
        <is>
          <t>INSUMOS PARA CONTRATO</t>
        </is>
      </c>
      <c r="H585" s="6" t="inlineStr">
        <is>
          <t>ALAVANCA TRANSPORTES E REMOCAO EIRELI</t>
        </is>
      </c>
      <c r="I585" s="24" t="n">
        <v>46100</v>
      </c>
      <c r="J585" s="6" t="n">
        <v>4599</v>
      </c>
    </row>
    <row r="586">
      <c r="A586" s="23" t="n">
        <v>46082</v>
      </c>
      <c r="B586" s="6" t="inlineStr">
        <is>
          <t>Pago</t>
        </is>
      </c>
      <c r="C586" s="6" t="inlineStr">
        <is>
          <t>PL530.001</t>
        </is>
      </c>
      <c r="D586" s="6" t="str">
        <f>IFERROR(VLOOKUP(E586,FORNECEDORES!$A$5:$F$999,6,FALSE),"L10")</f>
        <v>L10</v>
      </c>
      <c r="E586" s="6" t="inlineStr">
        <is>
          <t>ALAVANCA TRANSPORTES E REMOCAO EIRELI</t>
        </is>
      </c>
      <c r="F586" s="7" t="n">
        <v>4027.76</v>
      </c>
      <c r="G586" s="6" t="inlineStr">
        <is>
          <t>NÃO CLASSIFICADO</t>
        </is>
      </c>
      <c r="H586" s="6" t="inlineStr">
        <is>
          <t>ALAVANCA TRANSPORTES E REMOCAO EIRELI</t>
        </is>
      </c>
      <c r="I586" s="24" t="n">
        <v>46100</v>
      </c>
      <c r="J586" s="6" t="n">
        <v>4596</v>
      </c>
    </row>
    <row r="587">
      <c r="A587" s="23" t="n">
        <v>46082</v>
      </c>
      <c r="B587" s="6" t="inlineStr">
        <is>
          <t>Pago</t>
        </is>
      </c>
      <c r="C587" s="6" t="inlineStr">
        <is>
          <t>PL530.001</t>
        </is>
      </c>
      <c r="D587" s="6" t="str">
        <f>IFERROR(VLOOKUP(E587,FORNECEDORES!$A$5:$F$999,6,FALSE),"L10")</f>
        <v>L01</v>
      </c>
      <c r="E587" s="6" t="inlineStr">
        <is>
          <t>ALUGERAIS COMERCIO DE ALUMINIO LTDA</t>
        </is>
      </c>
      <c r="F587" s="7" t="n">
        <v>180</v>
      </c>
      <c r="G587" s="6" t="inlineStr">
        <is>
          <t>FRETE</t>
        </is>
      </c>
      <c r="H587" s="6" t="inlineStr">
        <is>
          <t>ALUGERAIS COMERCIO DE ALUMINIO LTDA</t>
        </is>
      </c>
      <c r="I587" s="24" t="n">
        <v>46106</v>
      </c>
      <c r="J587" s="6" t="n">
        <v>4528</v>
      </c>
    </row>
    <row r="588">
      <c r="A588" s="23" t="n">
        <v>46082</v>
      </c>
      <c r="B588" s="6" t="inlineStr">
        <is>
          <t>Pago</t>
        </is>
      </c>
      <c r="C588" s="6" t="inlineStr">
        <is>
          <t>PL530.001</t>
        </is>
      </c>
      <c r="D588" s="6" t="str">
        <f>IFERROR(VLOOKUP(E588,FORNECEDORES!$A$5:$F$999,6,FALSE),"L10")</f>
        <v>L01</v>
      </c>
      <c r="E588" s="6" t="inlineStr">
        <is>
          <t>ALUGERAIS COMERCIO DE ALUMINIO LTDA</t>
        </is>
      </c>
      <c r="F588" s="7" t="n">
        <v>584</v>
      </c>
      <c r="G588" s="6" t="inlineStr">
        <is>
          <t>EQUIPAMENTOS E FERRAMENTAS</t>
        </is>
      </c>
      <c r="H588" s="6" t="inlineStr">
        <is>
          <t>ALUGERAIS COMERCIO DE ALUMINIO LTDA</t>
        </is>
      </c>
      <c r="I588" s="24" t="n">
        <v>46106</v>
      </c>
      <c r="J588" s="6" t="n">
        <v>4528</v>
      </c>
    </row>
    <row r="589">
      <c r="A589" s="23" t="n">
        <v>46082</v>
      </c>
      <c r="B589" s="6" t="inlineStr">
        <is>
          <t>Pago</t>
        </is>
      </c>
      <c r="C589" s="6" t="inlineStr">
        <is>
          <t>PL530.001</t>
        </is>
      </c>
      <c r="D589" s="6" t="str">
        <f>IFERROR(VLOOKUP(E589,FORNECEDORES!$A$5:$F$999,6,FALSE),"L10")</f>
        <v>L01</v>
      </c>
      <c r="E589" s="6" t="inlineStr">
        <is>
          <t>ATACADAO DAS TINTAS LTDA</t>
        </is>
      </c>
      <c r="F589" s="7" t="n">
        <v>1111.11</v>
      </c>
      <c r="G589" s="6" t="inlineStr">
        <is>
          <t>MATERIAL DE PINTURA</t>
        </is>
      </c>
      <c r="H589" s="6" t="inlineStr">
        <is>
          <t>ATACADAO DAS TINTAS LTDA</t>
        </is>
      </c>
      <c r="I589" s="24" t="n">
        <v>46094</v>
      </c>
      <c r="J589" s="6" t="n">
        <v>4391</v>
      </c>
    </row>
    <row r="590">
      <c r="A590" s="23" t="n">
        <v>46082</v>
      </c>
      <c r="B590" s="6" t="inlineStr">
        <is>
          <t>Pago</t>
        </is>
      </c>
      <c r="C590" s="6" t="inlineStr">
        <is>
          <t>PL530.001</t>
        </is>
      </c>
      <c r="D590" s="6" t="str">
        <f>IFERROR(VLOOKUP(E590,FORNECEDORES!$A$5:$F$999,6,FALSE),"L10")</f>
        <v>L01</v>
      </c>
      <c r="E590" s="6" t="inlineStr">
        <is>
          <t>BLOW BRASIL INDUSTRIA DE TRANSFORMACAO DE PLASTICO LTDA</t>
        </is>
      </c>
      <c r="F590" s="7" t="n">
        <v>1328.94</v>
      </c>
      <c r="G590" s="6" t="inlineStr">
        <is>
          <t>EQUIPAMENTOS E FERRAMENTAS</t>
        </is>
      </c>
      <c r="H590" s="6" t="inlineStr">
        <is>
          <t>BLOW BRASIL INDUSTRIA DE TRANSFORMACAO DE PLASTICO</t>
        </is>
      </c>
      <c r="I590" s="24" t="n">
        <v>46092</v>
      </c>
      <c r="J590" s="6" t="n">
        <v>4192</v>
      </c>
    </row>
    <row r="591">
      <c r="A591" s="23" t="n">
        <v>46082</v>
      </c>
      <c r="B591" s="6" t="inlineStr">
        <is>
          <t>Pago</t>
        </is>
      </c>
      <c r="C591" s="6" t="inlineStr">
        <is>
          <t>PL530.001</t>
        </is>
      </c>
      <c r="D591" s="6" t="str">
        <f>IFERROR(VLOOKUP(E591,FORNECEDORES!$A$5:$F$999,6,FALSE),"L10")</f>
        <v>L07</v>
      </c>
      <c r="E591" s="6" t="inlineStr">
        <is>
          <t>CORDAL BH COMERCIO DE CABOS E ACESSORIOS LTDA</t>
        </is>
      </c>
      <c r="F591" s="7" t="n">
        <v>1200</v>
      </c>
      <c r="G591" s="6" t="inlineStr">
        <is>
          <t>EQUIPAMENTOS E FERRAMENTAS</t>
        </is>
      </c>
      <c r="H591" s="6" t="inlineStr">
        <is>
          <t>CORDAL BH COMERCIO DE CABOS E ACESSORIOS LTDA</t>
        </is>
      </c>
      <c r="I591" s="24" t="n">
        <v>46091</v>
      </c>
      <c r="J591" s="6" t="n">
        <v>4345</v>
      </c>
    </row>
    <row r="592">
      <c r="A592" s="23" t="n">
        <v>46082</v>
      </c>
      <c r="B592" s="6" t="inlineStr">
        <is>
          <t>Pago</t>
        </is>
      </c>
      <c r="C592" s="6" t="inlineStr">
        <is>
          <t>PL530.001</t>
        </is>
      </c>
      <c r="D592" s="6" t="str">
        <f>IFERROR(VLOOKUP(E592,FORNECEDORES!$A$5:$F$999,6,FALSE),"L10")</f>
        <v>L10</v>
      </c>
      <c r="E592" s="6" t="inlineStr">
        <is>
          <t>CORTEZ LOCACAO DE EQUIPAMENTOS LTDA-ME</t>
        </is>
      </c>
      <c r="F592" s="7" t="n">
        <v>19225.82</v>
      </c>
      <c r="G592" s="6" t="inlineStr">
        <is>
          <t>NÃO CLASSIFICADO</t>
        </is>
      </c>
      <c r="H592" s="6" t="inlineStr">
        <is>
          <t>CORTEZ LOCACAO DE EQUIPAMENTOS LTDA-ME</t>
        </is>
      </c>
      <c r="I592" s="24" t="n">
        <v>46087</v>
      </c>
      <c r="J592" s="6" t="n">
        <v>4579</v>
      </c>
    </row>
    <row r="593">
      <c r="A593" s="23" t="n">
        <v>46082</v>
      </c>
      <c r="B593" s="6" t="inlineStr">
        <is>
          <t>Pago</t>
        </is>
      </c>
      <c r="C593" s="6" t="inlineStr">
        <is>
          <t>PL530.001</t>
        </is>
      </c>
      <c r="D593" s="6" t="str">
        <f>IFERROR(VLOOKUP(E593,FORNECEDORES!$A$5:$F$999,6,FALSE),"L10")</f>
        <v>L03</v>
      </c>
      <c r="E593" s="6" t="inlineStr">
        <is>
          <t>DATRON TECNOLOGIA E LOCACAO LTDA</t>
        </is>
      </c>
      <c r="F593" s="7" t="n">
        <v>965</v>
      </c>
      <c r="G593" s="6" t="inlineStr">
        <is>
          <t>LOCAÇÕES</t>
        </is>
      </c>
      <c r="H593" s="6" t="inlineStr">
        <is>
          <t>DATRON TECNOLOGIA E LOCACAO LTDA</t>
        </is>
      </c>
      <c r="I593" s="24" t="n">
        <v>46097</v>
      </c>
      <c r="J593" s="6" t="n">
        <v>4631</v>
      </c>
    </row>
    <row r="594">
      <c r="A594" s="23" t="n">
        <v>46082</v>
      </c>
      <c r="B594" s="6" t="inlineStr">
        <is>
          <t>Pago</t>
        </is>
      </c>
      <c r="C594" s="6" t="inlineStr">
        <is>
          <t>PL530.001</t>
        </is>
      </c>
      <c r="D594" s="6" t="str">
        <f>IFERROR(VLOOKUP(E594,FORNECEDORES!$A$5:$F$999,6,FALSE),"L10")</f>
        <v>L03</v>
      </c>
      <c r="E594" s="6" t="inlineStr">
        <is>
          <t>EDIFICAR LOCACAO MANUTENCAO E SERVICOS LTDA</t>
        </is>
      </c>
      <c r="F594" s="7" t="n">
        <v>370.66</v>
      </c>
      <c r="G594" s="6" t="inlineStr">
        <is>
          <t>LOCAÇÕES</t>
        </is>
      </c>
      <c r="H594" s="6" t="inlineStr">
        <is>
          <t>EDIFICAR LOCACAO MANUTENCAO E SERVICOS LTDA</t>
        </is>
      </c>
      <c r="I594" s="24" t="n">
        <v>46086</v>
      </c>
      <c r="J594" s="6" t="n">
        <v>4557</v>
      </c>
    </row>
    <row r="595">
      <c r="A595" s="23" t="n">
        <v>46082</v>
      </c>
      <c r="B595" s="6" t="inlineStr">
        <is>
          <t>Pago</t>
        </is>
      </c>
      <c r="C595" s="6" t="inlineStr">
        <is>
          <t>PL530.001</t>
        </is>
      </c>
      <c r="D595" s="6" t="str">
        <f>IFERROR(VLOOKUP(E595,FORNECEDORES!$A$5:$F$999,6,FALSE),"L10")</f>
        <v>L03</v>
      </c>
      <c r="E595" s="6" t="inlineStr">
        <is>
          <t>EDIFICAR LOCACAO MANUTENCAO E SERVICOS LTDA</t>
        </is>
      </c>
      <c r="F595" s="7" t="n">
        <v>724.5700000000001</v>
      </c>
      <c r="G595" s="6" t="inlineStr">
        <is>
          <t>LOCAÇÕES</t>
        </is>
      </c>
      <c r="H595" s="6" t="inlineStr">
        <is>
          <t>EDIFICAR LOCACAO MANUTENCAO E SERVICOS LTDA</t>
        </is>
      </c>
      <c r="I595" s="24" t="n">
        <v>46086</v>
      </c>
      <c r="J595" s="6" t="n">
        <v>4557</v>
      </c>
    </row>
    <row r="596">
      <c r="A596" s="23" t="n">
        <v>46082</v>
      </c>
      <c r="B596" s="6" t="inlineStr">
        <is>
          <t>Pago</t>
        </is>
      </c>
      <c r="C596" s="6" t="inlineStr">
        <is>
          <t>PL530.001</t>
        </is>
      </c>
      <c r="D596" s="6" t="str">
        <f>IFERROR(VLOOKUP(E596,FORNECEDORES!$A$5:$F$999,6,FALSE),"L10")</f>
        <v>L03</v>
      </c>
      <c r="E596" s="6" t="inlineStr">
        <is>
          <t>EDIFICAR LOCACAO MANUTENCAO E SERVICOS LTDA</t>
        </is>
      </c>
      <c r="F596" s="7" t="n">
        <v>310.57</v>
      </c>
      <c r="G596" s="6" t="inlineStr">
        <is>
          <t>LOCAÇÕES</t>
        </is>
      </c>
      <c r="H596" s="6" t="inlineStr">
        <is>
          <t>EDIFICAR LOCACAO MANUTENCAO E SERVICOS LTDA</t>
        </is>
      </c>
      <c r="I596" s="24" t="n">
        <v>46086</v>
      </c>
      <c r="J596" s="6" t="n">
        <v>4557</v>
      </c>
    </row>
    <row r="597">
      <c r="A597" s="23" t="n">
        <v>46082</v>
      </c>
      <c r="B597" s="6" t="inlineStr">
        <is>
          <t>Pago</t>
        </is>
      </c>
      <c r="C597" s="6" t="inlineStr">
        <is>
          <t>PL530.001</t>
        </is>
      </c>
      <c r="D597" s="6" t="str">
        <f>IFERROR(VLOOKUP(E597,FORNECEDORES!$A$5:$F$999,6,FALSE),"L10")</f>
        <v>L03</v>
      </c>
      <c r="E597" s="6" t="inlineStr">
        <is>
          <t>EDIFICAR LOCACAO MANUTENCAO E SERVICOS LTDA</t>
        </is>
      </c>
      <c r="F597" s="7" t="n">
        <v>722.77</v>
      </c>
      <c r="G597" s="6" t="inlineStr">
        <is>
          <t>LOCAÇÕES</t>
        </is>
      </c>
      <c r="H597" s="6" t="inlineStr">
        <is>
          <t>EDIFICAR LOCACAO MANUTENCAO E SERVICOS LTDA</t>
        </is>
      </c>
      <c r="I597" s="24" t="n">
        <v>46097</v>
      </c>
      <c r="J597" s="6" t="n">
        <v>4677</v>
      </c>
    </row>
    <row r="598">
      <c r="A598" s="23" t="n">
        <v>46082</v>
      </c>
      <c r="B598" s="6" t="inlineStr">
        <is>
          <t>Pago</t>
        </is>
      </c>
      <c r="C598" s="6" t="inlineStr">
        <is>
          <t>PL530.001</t>
        </is>
      </c>
      <c r="D598" s="6" t="str">
        <f>IFERROR(VLOOKUP(E598,FORNECEDORES!$A$5:$F$999,6,FALSE),"L10")</f>
        <v>L03</v>
      </c>
      <c r="E598" s="6" t="inlineStr">
        <is>
          <t>EDIFICAR LOCACAO MANUTENCAO E SERVICOS LTDA</t>
        </is>
      </c>
      <c r="F598" s="7" t="n">
        <v>803.03</v>
      </c>
      <c r="G598" s="6" t="inlineStr">
        <is>
          <t>LOCAÇÕES</t>
        </is>
      </c>
      <c r="H598" s="6" t="inlineStr">
        <is>
          <t>EDIFICAR LOCACAO MANUTENCAO E SERVICOS LTDA</t>
        </is>
      </c>
      <c r="I598" s="24" t="n">
        <v>46097</v>
      </c>
      <c r="J598" s="6" t="n">
        <v>4677</v>
      </c>
    </row>
    <row r="599">
      <c r="A599" s="23" t="n">
        <v>46082</v>
      </c>
      <c r="B599" s="6" t="inlineStr">
        <is>
          <t>Pago</t>
        </is>
      </c>
      <c r="C599" s="6" t="inlineStr">
        <is>
          <t>PL530.001</t>
        </is>
      </c>
      <c r="D599" s="6" t="str">
        <f>IFERROR(VLOOKUP(E599,FORNECEDORES!$A$5:$F$999,6,FALSE),"L10")</f>
        <v>L03</v>
      </c>
      <c r="E599" s="6" t="inlineStr">
        <is>
          <t>EUROLINK IMPORTACAO E LOCACAO DE EQUIPAMENTOS LTDA</t>
        </is>
      </c>
      <c r="F599" s="7" t="n">
        <v>8477.68</v>
      </c>
      <c r="G599" s="6" t="inlineStr">
        <is>
          <t>LOCAÇÕES</t>
        </is>
      </c>
      <c r="H599" s="6" t="inlineStr">
        <is>
          <t>EUROLINK IMPORTACAO E LOCACAO DE EQUIPAMENTOS LTDA</t>
        </is>
      </c>
      <c r="I599" s="24" t="n">
        <v>46108</v>
      </c>
      <c r="J599" s="6" t="n">
        <v>4823</v>
      </c>
    </row>
    <row r="600">
      <c r="A600" s="23" t="n">
        <v>46082</v>
      </c>
      <c r="B600" s="6" t="inlineStr">
        <is>
          <t>Pago</t>
        </is>
      </c>
      <c r="C600" s="6" t="inlineStr">
        <is>
          <t>PL530.001</t>
        </is>
      </c>
      <c r="D600" s="6" t="str">
        <f>IFERROR(VLOOKUP(E600,FORNECEDORES!$A$5:$F$999,6,FALSE),"L10")</f>
        <v>L01</v>
      </c>
      <c r="E600" s="6" t="inlineStr">
        <is>
          <t>EXPRESSO 2000 TRANSPORTES E LOGISTICA LTDA</t>
        </is>
      </c>
      <c r="F600" s="7" t="n">
        <v>128.39</v>
      </c>
      <c r="G600" s="6" t="inlineStr">
        <is>
          <t>FRETE</t>
        </is>
      </c>
      <c r="H600" s="6" t="inlineStr">
        <is>
          <t>EXPRESSO 2000 TRANSPORTES E LOGISTICA LTDA</t>
        </is>
      </c>
      <c r="I600" s="24" t="n">
        <v>46107</v>
      </c>
      <c r="J600" s="6" t="n">
        <v>4462</v>
      </c>
    </row>
    <row r="601">
      <c r="A601" s="23" t="n">
        <v>46082</v>
      </c>
      <c r="B601" s="6" t="inlineStr">
        <is>
          <t>Pago</t>
        </is>
      </c>
      <c r="C601" s="6" t="inlineStr">
        <is>
          <t>PL530.001</t>
        </is>
      </c>
      <c r="D601" s="6" t="str">
        <f>IFERROR(VLOOKUP(E601,FORNECEDORES!$A$5:$F$999,6,FALSE),"L10")</f>
        <v>L01</v>
      </c>
      <c r="E601" s="6" t="inlineStr">
        <is>
          <t>EXPRESSO 2000 TRANSPORTES E LOGISTICA LTDA</t>
        </is>
      </c>
      <c r="F601" s="7" t="n">
        <v>240</v>
      </c>
      <c r="G601" s="6" t="inlineStr">
        <is>
          <t>FRETE</t>
        </is>
      </c>
      <c r="H601" s="6" t="inlineStr">
        <is>
          <t>EXPRESSO 2000 TRANSPORTES E LOGISTICA LTDA</t>
        </is>
      </c>
      <c r="I601" s="24" t="n">
        <v>46086</v>
      </c>
      <c r="J601" s="6" t="n">
        <v>4461</v>
      </c>
    </row>
    <row r="602">
      <c r="A602" s="23" t="n">
        <v>46082</v>
      </c>
      <c r="B602" s="6" t="inlineStr">
        <is>
          <t>Pago</t>
        </is>
      </c>
      <c r="C602" s="6" t="inlineStr">
        <is>
          <t>PL530.001</t>
        </is>
      </c>
      <c r="D602" s="6" t="str">
        <f>IFERROR(VLOOKUP(E602,FORNECEDORES!$A$5:$F$999,6,FALSE),"L10")</f>
        <v>L01</v>
      </c>
      <c r="E602" s="6" t="inlineStr">
        <is>
          <t>EXPRESSO 2000 TRANSPORTES E LOGISTICA LTDA</t>
        </is>
      </c>
      <c r="F602" s="7" t="n">
        <v>306.9</v>
      </c>
      <c r="G602" s="6" t="inlineStr">
        <is>
          <t>FRETE</t>
        </is>
      </c>
      <c r="H602" s="6" t="inlineStr">
        <is>
          <t>EXPRESSO 2000 TRANSPORTES E LOGISTICA LTDA</t>
        </is>
      </c>
      <c r="I602" s="24" t="n">
        <v>46086</v>
      </c>
      <c r="J602" s="6" t="n">
        <v>4455</v>
      </c>
    </row>
    <row r="603">
      <c r="A603" s="23" t="n">
        <v>46082</v>
      </c>
      <c r="B603" s="6" t="inlineStr">
        <is>
          <t>Pago</t>
        </is>
      </c>
      <c r="C603" s="6" t="inlineStr">
        <is>
          <t>PL530.001</t>
        </is>
      </c>
      <c r="D603" s="6" t="str">
        <f>IFERROR(VLOOKUP(E603,FORNECEDORES!$A$5:$F$999,6,FALSE),"L10")</f>
        <v>L01</v>
      </c>
      <c r="E603" s="6" t="inlineStr">
        <is>
          <t>EXPRESSO 2000 TRANSPORTES E LOGISTICA LTDA</t>
        </is>
      </c>
      <c r="F603" s="7" t="n">
        <v>7100</v>
      </c>
      <c r="G603" s="6" t="inlineStr">
        <is>
          <t>FRETE</t>
        </is>
      </c>
      <c r="H603" s="6" t="inlineStr">
        <is>
          <t>EXPRESSO 2000 TRANSPORTES E LOGISTICA LTDA</t>
        </is>
      </c>
      <c r="I603" s="24" t="n">
        <v>46086</v>
      </c>
      <c r="J603" s="6" t="n">
        <v>4307</v>
      </c>
    </row>
    <row r="604">
      <c r="A604" s="23" t="n">
        <v>46082</v>
      </c>
      <c r="B604" s="6" t="inlineStr">
        <is>
          <t>Pago</t>
        </is>
      </c>
      <c r="C604" s="6" t="inlineStr">
        <is>
          <t>PL530.001</t>
        </is>
      </c>
      <c r="D604" s="6" t="str">
        <f>IFERROR(VLOOKUP(E604,FORNECEDORES!$A$5:$F$999,6,FALSE),"L10")</f>
        <v>L01</v>
      </c>
      <c r="E604" s="6" t="inlineStr">
        <is>
          <t>EXPRESSO 2000 TRANSPORTES E LOGISTICA LTDA</t>
        </is>
      </c>
      <c r="F604" s="7" t="n">
        <v>160</v>
      </c>
      <c r="G604" s="6" t="inlineStr">
        <is>
          <t>FRETE</t>
        </is>
      </c>
      <c r="H604" s="6" t="inlineStr">
        <is>
          <t>EXPRESSO 2000 TRANSPORTES E LOGISTICA LTDA</t>
        </is>
      </c>
      <c r="I604" s="24" t="n">
        <v>46086</v>
      </c>
      <c r="J604" s="6" t="n">
        <v>4383</v>
      </c>
    </row>
    <row r="605">
      <c r="A605" s="23" t="n">
        <v>46082</v>
      </c>
      <c r="B605" s="6" t="inlineStr">
        <is>
          <t>Pago</t>
        </is>
      </c>
      <c r="C605" s="6" t="inlineStr">
        <is>
          <t>PL530.001</t>
        </is>
      </c>
      <c r="D605" s="6" t="str">
        <f>IFERROR(VLOOKUP(E605,FORNECEDORES!$A$5:$F$999,6,FALSE),"L10")</f>
        <v>L04</v>
      </c>
      <c r="E605" s="6" t="inlineStr">
        <is>
          <t>EXXI GLOBAL DO BRASIL LTDA</t>
        </is>
      </c>
      <c r="F605" s="7" t="n">
        <v>125</v>
      </c>
      <c r="G605" s="6" t="inlineStr">
        <is>
          <t>FRETE</t>
        </is>
      </c>
      <c r="H605" s="6" t="inlineStr">
        <is>
          <t>EXXI GLOBAL DO BRASIL LTDA</t>
        </is>
      </c>
      <c r="I605" s="24" t="n">
        <v>46104</v>
      </c>
      <c r="J605" s="6" t="n">
        <v>4402</v>
      </c>
    </row>
    <row r="606">
      <c r="A606" s="23" t="n">
        <v>46082</v>
      </c>
      <c r="B606" s="6" t="inlineStr">
        <is>
          <t>Pago</t>
        </is>
      </c>
      <c r="C606" s="6" t="inlineStr">
        <is>
          <t>PL530.001</t>
        </is>
      </c>
      <c r="D606" s="6" t="str">
        <f>IFERROR(VLOOKUP(E606,FORNECEDORES!$A$5:$F$999,6,FALSE),"L10")</f>
        <v>L04</v>
      </c>
      <c r="E606" s="6" t="inlineStr">
        <is>
          <t>EXXI GLOBAL DO BRASIL LTDA</t>
        </is>
      </c>
      <c r="F606" s="7" t="n">
        <v>2340</v>
      </c>
      <c r="G606" s="6" t="inlineStr">
        <is>
          <t>FORMA DE MADEIRA</t>
        </is>
      </c>
      <c r="H606" s="6" t="inlineStr">
        <is>
          <t>EXXI GLOBAL DO BRASIL LTDA</t>
        </is>
      </c>
      <c r="I606" s="24" t="n">
        <v>46104</v>
      </c>
      <c r="J606" s="6" t="n">
        <v>4402</v>
      </c>
    </row>
    <row r="607">
      <c r="A607" s="23" t="n">
        <v>46082</v>
      </c>
      <c r="B607" s="6" t="inlineStr">
        <is>
          <t>Pago</t>
        </is>
      </c>
      <c r="C607" s="6" t="inlineStr">
        <is>
          <t>PL530.001</t>
        </is>
      </c>
      <c r="D607" s="6" t="str">
        <f>IFERROR(VLOOKUP(E607,FORNECEDORES!$A$5:$F$999,6,FALSE),"L10")</f>
        <v>L10</v>
      </c>
      <c r="E607" s="6" t="inlineStr">
        <is>
          <t>FIAO LOCACOES E TRANSPORTES LTDA</t>
        </is>
      </c>
      <c r="F607" s="7" t="n">
        <v>4071.6</v>
      </c>
      <c r="G607" s="6" t="inlineStr">
        <is>
          <t>NÃO CLASSIFICADO</t>
        </is>
      </c>
      <c r="H607" s="6" t="inlineStr">
        <is>
          <t>FIAO LOCACOES E TRANSPORTES LTDA</t>
        </is>
      </c>
      <c r="I607" s="24" t="n">
        <v>46104</v>
      </c>
      <c r="J607" s="6" t="n">
        <v>4605</v>
      </c>
    </row>
    <row r="608">
      <c r="A608" s="23" t="n">
        <v>46082</v>
      </c>
      <c r="B608" s="6" t="inlineStr">
        <is>
          <t>Pago</t>
        </is>
      </c>
      <c r="C608" s="6" t="inlineStr">
        <is>
          <t>PL530.001</t>
        </is>
      </c>
      <c r="D608" s="6" t="str">
        <f>IFERROR(VLOOKUP(E608,FORNECEDORES!$A$5:$F$999,6,FALSE),"L10")</f>
        <v>L10</v>
      </c>
      <c r="E608" s="6" t="inlineStr">
        <is>
          <t>FIAO LOCACOES E TRANSPORTES LTDA</t>
        </is>
      </c>
      <c r="F608" s="7" t="n">
        <v>749.38</v>
      </c>
      <c r="G608" s="6" t="inlineStr">
        <is>
          <t>NÃO CLASSIFICADO</t>
        </is>
      </c>
      <c r="H608" s="6" t="inlineStr">
        <is>
          <t>INSS RETIDO PJ - MINISTERIO DA PREVIDENCIA</t>
        </is>
      </c>
      <c r="I608" s="24" t="n">
        <v>46100</v>
      </c>
      <c r="J608" s="6" t="n">
        <v>4447</v>
      </c>
    </row>
    <row r="609">
      <c r="A609" s="23" t="n">
        <v>46082</v>
      </c>
      <c r="B609" s="6" t="inlineStr">
        <is>
          <t>Pago</t>
        </is>
      </c>
      <c r="C609" s="6" t="inlineStr">
        <is>
          <t>PL530.001</t>
        </is>
      </c>
      <c r="D609" s="6" t="str">
        <f>IFERROR(VLOOKUP(E609,FORNECEDORES!$A$5:$F$999,6,FALSE),"L10")</f>
        <v>L10</v>
      </c>
      <c r="E609" s="6" t="inlineStr">
        <is>
          <t>FIAO LOCACOES E TRANSPORTES LTDA</t>
        </is>
      </c>
      <c r="F609" s="7" t="n">
        <v>557.26</v>
      </c>
      <c r="G609" s="6" t="inlineStr">
        <is>
          <t>NÃO CLASSIFICADO</t>
        </is>
      </c>
      <c r="H609" s="6" t="inlineStr">
        <is>
          <t>PREFEITURA DE BELO HORIZONTE - ISSQN RETIDO</t>
        </is>
      </c>
      <c r="I609" s="24" t="n">
        <v>46090</v>
      </c>
      <c r="J609" s="6" t="n">
        <v>4446</v>
      </c>
    </row>
    <row r="610">
      <c r="A610" s="23" t="n">
        <v>46082</v>
      </c>
      <c r="B610" s="6" t="inlineStr">
        <is>
          <t>Pago</t>
        </is>
      </c>
      <c r="C610" s="6" t="inlineStr">
        <is>
          <t>PL530.001</t>
        </is>
      </c>
      <c r="D610" s="6" t="str">
        <f>IFERROR(VLOOKUP(E610,FORNECEDORES!$A$5:$F$999,6,FALSE),"L10")</f>
        <v>L04</v>
      </c>
      <c r="E610" s="6" t="inlineStr">
        <is>
          <t>JRE COMERCIO DE MADEIRAS LTDA</t>
        </is>
      </c>
      <c r="F610" s="7" t="n">
        <v>10250</v>
      </c>
      <c r="G610" s="6" t="inlineStr">
        <is>
          <t>FORMA DE MADEIRA</t>
        </is>
      </c>
      <c r="H610" s="6" t="inlineStr">
        <is>
          <t>JRE COMERCIO DE MADEIRAS LTDA</t>
        </is>
      </c>
      <c r="I610" s="24" t="n">
        <v>46100</v>
      </c>
      <c r="J610" s="6" t="n">
        <v>4403</v>
      </c>
    </row>
    <row r="611">
      <c r="A611" s="23" t="n">
        <v>46082</v>
      </c>
      <c r="B611" s="6" t="inlineStr">
        <is>
          <t>Pago</t>
        </is>
      </c>
      <c r="C611" s="6" t="inlineStr">
        <is>
          <t>PL530.001</t>
        </is>
      </c>
      <c r="D611" s="6" t="str">
        <f>IFERROR(VLOOKUP(E611,FORNECEDORES!$A$5:$F$999,6,FALSE),"L10")</f>
        <v>L10</v>
      </c>
      <c r="E611" s="6" t="inlineStr">
        <is>
          <t>JSS AGENCIAMENTOS E TRANSPORTES LTDA</t>
        </is>
      </c>
      <c r="F611" s="7" t="n">
        <v>19</v>
      </c>
      <c r="G611" s="6" t="inlineStr">
        <is>
          <t>NÃO CLASSIFICADO</t>
        </is>
      </c>
      <c r="H611" s="6" t="inlineStr">
        <is>
          <t>PREFEITURA DE BELO HORIZONTE - ISSQN RETIDO</t>
        </is>
      </c>
      <c r="I611" s="24" t="n">
        <v>46090</v>
      </c>
      <c r="J611" s="6" t="n">
        <v>4531</v>
      </c>
    </row>
    <row r="612">
      <c r="A612" s="23" t="n">
        <v>46082</v>
      </c>
      <c r="B612" s="6" t="inlineStr">
        <is>
          <t>Pago</t>
        </is>
      </c>
      <c r="C612" s="6" t="inlineStr">
        <is>
          <t>PL530.001</t>
        </is>
      </c>
      <c r="D612" s="6" t="str">
        <f>IFERROR(VLOOKUP(E612,FORNECEDORES!$A$5:$F$999,6,FALSE),"L10")</f>
        <v>L02</v>
      </c>
      <c r="E612" s="6" t="inlineStr">
        <is>
          <t>LOC BRAGA LOCACAO E TRANSPORTES LTDA - EPP</t>
        </is>
      </c>
      <c r="F612" s="7" t="n">
        <v>3325</v>
      </c>
      <c r="G612" s="6" t="inlineStr">
        <is>
          <t>NÃO CLASSIFICADO</t>
        </is>
      </c>
      <c r="H612" s="6" t="inlineStr">
        <is>
          <t>LOC BRAGA LOCACAO E TRANSPORTES LTDA - EPP</t>
        </is>
      </c>
      <c r="I612" s="24" t="n">
        <v>46086</v>
      </c>
      <c r="J612" s="6" t="n">
        <v>4434</v>
      </c>
    </row>
    <row r="613">
      <c r="A613" s="23" t="n">
        <v>46082</v>
      </c>
      <c r="B613" s="6" t="inlineStr">
        <is>
          <t>Pago</t>
        </is>
      </c>
      <c r="C613" s="6" t="inlineStr">
        <is>
          <t>PL530.001</t>
        </is>
      </c>
      <c r="D613" s="6" t="str">
        <f>IFERROR(VLOOKUP(E613,FORNECEDORES!$A$5:$F$999,6,FALSE),"L10")</f>
        <v>L02</v>
      </c>
      <c r="E613" s="6" t="inlineStr">
        <is>
          <t>LOC BRAGA LOCACAO E TRANSPORTES LTDA - EPP</t>
        </is>
      </c>
      <c r="F613" s="7" t="n">
        <v>192.5</v>
      </c>
      <c r="G613" s="6" t="inlineStr">
        <is>
          <t>NÃO CLASSIFICADO</t>
        </is>
      </c>
      <c r="H613" s="6" t="inlineStr">
        <is>
          <t>PREFEITURA DE BELO HORIZONTE - ISSQN RETIDO</t>
        </is>
      </c>
      <c r="I613" s="24" t="n">
        <v>46090</v>
      </c>
      <c r="J613" s="6" t="n">
        <v>4441</v>
      </c>
    </row>
    <row r="614">
      <c r="A614" s="23" t="n">
        <v>46082</v>
      </c>
      <c r="B614" s="6" t="inlineStr">
        <is>
          <t>Pago</t>
        </is>
      </c>
      <c r="C614" s="6" t="inlineStr">
        <is>
          <t>PL530.001</t>
        </is>
      </c>
      <c r="D614" s="6" t="str">
        <f>IFERROR(VLOOKUP(E614,FORNECEDORES!$A$5:$F$999,6,FALSE),"L10")</f>
        <v>L02</v>
      </c>
      <c r="E614" s="6" t="inlineStr">
        <is>
          <t>LOC BRAGA LOCACAO E TRANSPORTES LTDA - EPP</t>
        </is>
      </c>
      <c r="F614" s="7" t="n">
        <v>175</v>
      </c>
      <c r="G614" s="6" t="inlineStr">
        <is>
          <t>NÃO CLASSIFICADO</t>
        </is>
      </c>
      <c r="H614" s="6" t="inlineStr">
        <is>
          <t>PREFEITURA DE BELO HORIZONTE - ISSQN RETIDO</t>
        </is>
      </c>
      <c r="I614" s="24" t="n">
        <v>46090</v>
      </c>
      <c r="J614" s="6" t="n">
        <v>4438</v>
      </c>
    </row>
    <row r="615">
      <c r="A615" s="23" t="n">
        <v>46082</v>
      </c>
      <c r="B615" s="6" t="inlineStr">
        <is>
          <t>Pago</t>
        </is>
      </c>
      <c r="C615" s="6" t="inlineStr">
        <is>
          <t>PL530.001</t>
        </is>
      </c>
      <c r="D615" s="6" t="str">
        <f>IFERROR(VLOOKUP(E615,FORNECEDORES!$A$5:$F$999,6,FALSE),"L10")</f>
        <v>L02</v>
      </c>
      <c r="E615" s="6" t="inlineStr">
        <is>
          <t>LOC BRAGA LOCACAO E TRANSPORTES LTDA - EPP</t>
        </is>
      </c>
      <c r="F615" s="7" t="n">
        <v>175</v>
      </c>
      <c r="G615" s="6" t="inlineStr">
        <is>
          <t>NÃO CLASSIFICADO</t>
        </is>
      </c>
      <c r="H615" s="6" t="inlineStr">
        <is>
          <t>PREFEITURA DE BELO HORIZONTE - ISSQN RETIDO</t>
        </is>
      </c>
      <c r="I615" s="24" t="n">
        <v>46090</v>
      </c>
      <c r="J615" s="6" t="n">
        <v>4435</v>
      </c>
    </row>
    <row r="616">
      <c r="A616" s="23" t="n">
        <v>46082</v>
      </c>
      <c r="B616" s="6" t="inlineStr">
        <is>
          <t>Pago</t>
        </is>
      </c>
      <c r="C616" s="6" t="inlineStr">
        <is>
          <t>PL530.001</t>
        </is>
      </c>
      <c r="D616" s="6" t="str">
        <f>IFERROR(VLOOKUP(E616,FORNECEDORES!$A$5:$F$999,6,FALSE),"L10")</f>
        <v>L03</v>
      </c>
      <c r="E616" s="6" t="inlineStr">
        <is>
          <t>LOC MASTER LOCADORA DE EQUIPAMENTOS LTDA</t>
        </is>
      </c>
      <c r="F616" s="7" t="n">
        <v>14250</v>
      </c>
      <c r="G616" s="6" t="inlineStr">
        <is>
          <t>LOCAÇÕES</t>
        </is>
      </c>
      <c r="H616" s="6" t="inlineStr">
        <is>
          <t>LOC MASTER LOCADORA DE EQUIPAMENTOS LTDA</t>
        </is>
      </c>
      <c r="I616" s="24" t="n">
        <v>46111</v>
      </c>
      <c r="J616" s="6" t="n">
        <v>4706</v>
      </c>
    </row>
    <row r="617">
      <c r="A617" s="23" t="n">
        <v>46082</v>
      </c>
      <c r="B617" s="6" t="inlineStr">
        <is>
          <t>Pago</t>
        </is>
      </c>
      <c r="C617" s="6" t="inlineStr">
        <is>
          <t>PL530.001</t>
        </is>
      </c>
      <c r="D617" s="6" t="str">
        <f>IFERROR(VLOOKUP(E617,FORNECEDORES!$A$5:$F$999,6,FALSE),"L10")</f>
        <v>L03</v>
      </c>
      <c r="E617" s="6" t="inlineStr">
        <is>
          <t>LOC MASTER LOCADORA DE EQUIPAMENTOS LTDA</t>
        </is>
      </c>
      <c r="F617" s="7" t="n">
        <v>7152.9</v>
      </c>
      <c r="G617" s="6" t="inlineStr">
        <is>
          <t>LOCAÇÕES</t>
        </is>
      </c>
      <c r="H617" s="6" t="inlineStr">
        <is>
          <t>LOC MASTER LOCADORA DE EQUIPAMENTOS LTDA</t>
        </is>
      </c>
      <c r="I617" s="24" t="n">
        <v>46086</v>
      </c>
      <c r="J617" s="6" t="n">
        <v>4429</v>
      </c>
    </row>
    <row r="618">
      <c r="A618" s="23" t="n">
        <v>46082</v>
      </c>
      <c r="B618" s="6" t="inlineStr">
        <is>
          <t>Pago</t>
        </is>
      </c>
      <c r="C618" s="6" t="inlineStr">
        <is>
          <t>PL530.001</t>
        </is>
      </c>
      <c r="D618" s="6" t="str">
        <f>IFERROR(VLOOKUP(E618,FORNECEDORES!$A$5:$F$999,6,FALSE),"L10")</f>
        <v>L03</v>
      </c>
      <c r="E618" s="6" t="inlineStr">
        <is>
          <t>LOC MASTER LOCADORA DE EQUIPAMENTOS LTDA</t>
        </is>
      </c>
      <c r="F618" s="7" t="n">
        <v>990</v>
      </c>
      <c r="G618" s="6" t="inlineStr">
        <is>
          <t>LOCAÇÕES</t>
        </is>
      </c>
      <c r="H618" s="6" t="inlineStr">
        <is>
          <t>LOC MASTER LOCADORA DE EQUIPAMENTOS LTDA</t>
        </is>
      </c>
      <c r="I618" s="24" t="n">
        <v>46107</v>
      </c>
      <c r="J618" s="6" t="n">
        <v>4819</v>
      </c>
    </row>
    <row r="619">
      <c r="A619" s="23" t="n">
        <v>46082</v>
      </c>
      <c r="B619" s="6" t="inlineStr">
        <is>
          <t>Pago</t>
        </is>
      </c>
      <c r="C619" s="6" t="inlineStr">
        <is>
          <t>PL530.001</t>
        </is>
      </c>
      <c r="D619" s="6" t="str">
        <f>IFERROR(VLOOKUP(E619,FORNECEDORES!$A$5:$F$999,6,FALSE),"L10")</f>
        <v>L03</v>
      </c>
      <c r="E619" s="6" t="inlineStr">
        <is>
          <t>LOC MASTER LOCADORA DE EQUIPAMENTOS LTDA</t>
        </is>
      </c>
      <c r="F619" s="7" t="n">
        <v>98.2</v>
      </c>
      <c r="G619" s="6" t="inlineStr">
        <is>
          <t>LOCAÇÕES</t>
        </is>
      </c>
      <c r="H619" s="6" t="inlineStr">
        <is>
          <t>LOC MASTER LOCADORA DE EQUIPAMENTOS LTDA</t>
        </is>
      </c>
      <c r="I619" s="24" t="n">
        <v>46107</v>
      </c>
      <c r="J619" s="6" t="n">
        <v>4825</v>
      </c>
    </row>
    <row r="620">
      <c r="A620" s="23" t="n">
        <v>46082</v>
      </c>
      <c r="B620" s="6" t="inlineStr">
        <is>
          <t>Pago</t>
        </is>
      </c>
      <c r="C620" s="6" t="inlineStr">
        <is>
          <t>PL530.001</t>
        </is>
      </c>
      <c r="D620" s="6" t="str">
        <f>IFERROR(VLOOKUP(E620,FORNECEDORES!$A$5:$F$999,6,FALSE),"L10")</f>
        <v>L03</v>
      </c>
      <c r="E620" s="6" t="inlineStr">
        <is>
          <t>LOC MASTER LOCADORA DE EQUIPAMENTOS LTDA</t>
        </is>
      </c>
      <c r="F620" s="7" t="n">
        <v>5376</v>
      </c>
      <c r="G620" s="6" t="inlineStr">
        <is>
          <t>NÃO CLASSIFICADO</t>
        </is>
      </c>
      <c r="H620" s="6" t="inlineStr">
        <is>
          <t>LOC MASTER LOCADORA DE EQUIPAMENTOS LTDA</t>
        </is>
      </c>
      <c r="I620" s="24" t="n">
        <v>46104</v>
      </c>
      <c r="J620" s="6" t="n">
        <v>4702</v>
      </c>
    </row>
    <row r="621">
      <c r="A621" s="23" t="n">
        <v>46082</v>
      </c>
      <c r="B621" s="6" t="inlineStr">
        <is>
          <t>Pago</t>
        </is>
      </c>
      <c r="C621" s="6" t="inlineStr">
        <is>
          <t>PL530.001</t>
        </is>
      </c>
      <c r="D621" s="6" t="str">
        <f>IFERROR(VLOOKUP(E621,FORNECEDORES!$A$5:$F$999,6,FALSE),"L10")</f>
        <v>L03</v>
      </c>
      <c r="E621" s="6" t="inlineStr">
        <is>
          <t>LOC MASTER LOCADORA DE EQUIPAMENTOS LTDA</t>
        </is>
      </c>
      <c r="F621" s="7" t="n">
        <v>3591</v>
      </c>
      <c r="G621" s="6" t="inlineStr">
        <is>
          <t>NÃO CLASSIFICADO</t>
        </is>
      </c>
      <c r="H621" s="6" t="inlineStr">
        <is>
          <t>LOC MASTER LOCADORA DE EQUIPAMENTOS LTDA</t>
        </is>
      </c>
      <c r="I621" s="24" t="n">
        <v>46086</v>
      </c>
      <c r="J621" s="6" t="n">
        <v>4502</v>
      </c>
    </row>
    <row r="622">
      <c r="A622" s="23" t="n">
        <v>46082</v>
      </c>
      <c r="B622" s="6" t="inlineStr">
        <is>
          <t>Pago</t>
        </is>
      </c>
      <c r="C622" s="6" t="inlineStr">
        <is>
          <t>PL530.001</t>
        </is>
      </c>
      <c r="D622" s="6" t="str">
        <f>IFERROR(VLOOKUP(E622,FORNECEDORES!$A$5:$F$999,6,FALSE),"L10")</f>
        <v>L03</v>
      </c>
      <c r="E622" s="6" t="inlineStr">
        <is>
          <t>LOC MASTER LOCADORA DE EQUIPAMENTOS LTDA</t>
        </is>
      </c>
      <c r="F622" s="7" t="n">
        <v>3591</v>
      </c>
      <c r="G622" s="6" t="inlineStr">
        <is>
          <t>NÃO CLASSIFICADO</t>
        </is>
      </c>
      <c r="H622" s="6" t="inlineStr">
        <is>
          <t>LOC MASTER LOCADORA DE EQUIPAMENTOS LTDA</t>
        </is>
      </c>
      <c r="I622" s="24" t="n">
        <v>46086</v>
      </c>
      <c r="J622" s="6" t="n">
        <v>4425</v>
      </c>
    </row>
    <row r="623">
      <c r="A623" s="23" t="n">
        <v>46082</v>
      </c>
      <c r="B623" s="6" t="inlineStr">
        <is>
          <t>Pago</t>
        </is>
      </c>
      <c r="C623" s="6" t="inlineStr">
        <is>
          <t>PL530.001</t>
        </is>
      </c>
      <c r="D623" s="6" t="str">
        <f>IFERROR(VLOOKUP(E623,FORNECEDORES!$A$5:$F$999,6,FALSE),"L10")</f>
        <v>L03</v>
      </c>
      <c r="E623" s="6" t="inlineStr">
        <is>
          <t>LOC MASTER LOCADORA DE EQUIPAMENTOS LTDA</t>
        </is>
      </c>
      <c r="F623" s="7" t="n">
        <v>470.25</v>
      </c>
      <c r="G623" s="6" t="inlineStr">
        <is>
          <t>NÃO CLASSIFICADO</t>
        </is>
      </c>
      <c r="H623" s="6" t="inlineStr">
        <is>
          <t>INSS RETIDO PJ - MINISTERIO DA PREVIDENCIA</t>
        </is>
      </c>
      <c r="I623" s="24" t="n">
        <v>46100</v>
      </c>
      <c r="J623" s="6" t="n">
        <v>4505</v>
      </c>
    </row>
    <row r="624">
      <c r="A624" s="23" t="n">
        <v>46082</v>
      </c>
      <c r="B624" s="6" t="inlineStr">
        <is>
          <t>Pago</t>
        </is>
      </c>
      <c r="C624" s="6" t="inlineStr">
        <is>
          <t>PL530.001</t>
        </is>
      </c>
      <c r="D624" s="6" t="str">
        <f>IFERROR(VLOOKUP(E624,FORNECEDORES!$A$5:$F$999,6,FALSE),"L10")</f>
        <v>L03</v>
      </c>
      <c r="E624" s="6" t="inlineStr">
        <is>
          <t>LOC MASTER LOCADORA DE EQUIPAMENTOS LTDA</t>
        </is>
      </c>
      <c r="F624" s="7" t="n">
        <v>470.25</v>
      </c>
      <c r="G624" s="6" t="inlineStr">
        <is>
          <t>NÃO CLASSIFICADO</t>
        </is>
      </c>
      <c r="H624" s="6" t="inlineStr">
        <is>
          <t>INSS RETIDO PJ - MINISTERIO DA PREVIDENCIA</t>
        </is>
      </c>
      <c r="I624" s="24" t="n">
        <v>46100</v>
      </c>
      <c r="J624" s="6" t="n">
        <v>4428</v>
      </c>
    </row>
    <row r="625">
      <c r="A625" s="23" t="n">
        <v>46082</v>
      </c>
      <c r="B625" s="6" t="inlineStr">
        <is>
          <t>Pago</t>
        </is>
      </c>
      <c r="C625" s="6" t="inlineStr">
        <is>
          <t>PL530.001</t>
        </is>
      </c>
      <c r="D625" s="6" t="str">
        <f>IFERROR(VLOOKUP(E625,FORNECEDORES!$A$5:$F$999,6,FALSE),"L10")</f>
        <v>L03</v>
      </c>
      <c r="E625" s="6" t="inlineStr">
        <is>
          <t>LOC MASTER LOCADORA DE EQUIPAMENTOS LTDA</t>
        </is>
      </c>
      <c r="F625" s="7" t="n">
        <v>213.75</v>
      </c>
      <c r="G625" s="6" t="inlineStr">
        <is>
          <t>NÃO CLASSIFICADO</t>
        </is>
      </c>
      <c r="H625" s="6" t="inlineStr">
        <is>
          <t>PREFEITURA DE BELO HORIZONTE - ISSQN RETIDO</t>
        </is>
      </c>
      <c r="I625" s="24" t="n">
        <v>46090</v>
      </c>
      <c r="J625" s="6" t="n">
        <v>4426</v>
      </c>
    </row>
    <row r="626">
      <c r="A626" s="23" t="n">
        <v>46082</v>
      </c>
      <c r="B626" s="6" t="inlineStr">
        <is>
          <t>Pago</t>
        </is>
      </c>
      <c r="C626" s="6" t="inlineStr">
        <is>
          <t>PL530.001</t>
        </is>
      </c>
      <c r="D626" s="6" t="str">
        <f>IFERROR(VLOOKUP(E626,FORNECEDORES!$A$5:$F$999,6,FALSE),"L10")</f>
        <v>L03</v>
      </c>
      <c r="E626" s="6" t="inlineStr">
        <is>
          <t>LOC MASTER LOCADORA DE EQUIPAMENTOS LTDA</t>
        </is>
      </c>
      <c r="F626" s="7" t="n">
        <v>213.75</v>
      </c>
      <c r="G626" s="6" t="inlineStr">
        <is>
          <t>NÃO CLASSIFICADO</t>
        </is>
      </c>
      <c r="H626" s="6" t="inlineStr">
        <is>
          <t>PREFEITURA DE BELO HORIZONTE - ISSQN RETIDO</t>
        </is>
      </c>
      <c r="I626" s="24" t="n">
        <v>46090</v>
      </c>
      <c r="J626" s="6" t="n">
        <v>4503</v>
      </c>
    </row>
    <row r="627">
      <c r="A627" s="23" t="n">
        <v>46082</v>
      </c>
      <c r="B627" s="6" t="inlineStr">
        <is>
          <t>Pago</t>
        </is>
      </c>
      <c r="C627" s="6" t="inlineStr">
        <is>
          <t>PL530.001</t>
        </is>
      </c>
      <c r="D627" s="6" t="str">
        <f>IFERROR(VLOOKUP(E627,FORNECEDORES!$A$5:$F$999,6,FALSE),"L10")</f>
        <v>L03</v>
      </c>
      <c r="E627" s="6" t="inlineStr">
        <is>
          <t>LOCAFAZ LOCACAO DE EQUIPAMENTOS LTDA</t>
        </is>
      </c>
      <c r="F627" s="7" t="n">
        <v>64.77</v>
      </c>
      <c r="G627" s="6" t="inlineStr">
        <is>
          <t>LOCAÇÕES</t>
        </is>
      </c>
      <c r="H627" s="6" t="inlineStr">
        <is>
          <t>LOCAFAZ LOCACAO DE EQUIPAMENTOS LTDA</t>
        </is>
      </c>
      <c r="I627" s="24" t="n">
        <v>46092</v>
      </c>
      <c r="J627" s="6" t="n">
        <v>4588</v>
      </c>
    </row>
    <row r="628">
      <c r="A628" s="23" t="n">
        <v>46082</v>
      </c>
      <c r="B628" s="6" t="inlineStr">
        <is>
          <t>Pago</t>
        </is>
      </c>
      <c r="C628" s="6" t="inlineStr">
        <is>
          <t>PL530.001</t>
        </is>
      </c>
      <c r="D628" s="6" t="str">
        <f>IFERROR(VLOOKUP(E628,FORNECEDORES!$A$5:$F$999,6,FALSE),"L10")</f>
        <v>L03</v>
      </c>
      <c r="E628" s="6" t="inlineStr">
        <is>
          <t>LOCAFAZ LOCACAO DE EQUIPAMENTOS LTDA</t>
        </is>
      </c>
      <c r="F628" s="7" t="n">
        <v>121.13</v>
      </c>
      <c r="G628" s="6" t="inlineStr">
        <is>
          <t>LOCAÇÕES</t>
        </is>
      </c>
      <c r="H628" s="6" t="inlineStr">
        <is>
          <t>LOCAFAZ LOCACAO DE EQUIPAMENTOS LTDA</t>
        </is>
      </c>
      <c r="I628" s="24" t="n">
        <v>46092</v>
      </c>
      <c r="J628" s="6" t="n">
        <v>4588</v>
      </c>
    </row>
    <row r="629">
      <c r="A629" s="23" t="n">
        <v>46082</v>
      </c>
      <c r="B629" s="6" t="inlineStr">
        <is>
          <t>Pago</t>
        </is>
      </c>
      <c r="C629" s="6" t="inlineStr">
        <is>
          <t>PL530.001</t>
        </is>
      </c>
      <c r="D629" s="6" t="str">
        <f>IFERROR(VLOOKUP(E629,FORNECEDORES!$A$5:$F$999,6,FALSE),"L10")</f>
        <v>L03</v>
      </c>
      <c r="E629" s="6" t="inlineStr">
        <is>
          <t>LOCAFAZ LOCACAO DE EQUIPAMENTOS LTDA</t>
        </is>
      </c>
      <c r="F629" s="7" t="n">
        <v>504.69</v>
      </c>
      <c r="G629" s="6" t="inlineStr">
        <is>
          <t>LOCAÇÕES</t>
        </is>
      </c>
      <c r="H629" s="6" t="inlineStr">
        <is>
          <t>LOCAFAZ LOCACAO DE EQUIPAMENTOS LTDA</t>
        </is>
      </c>
      <c r="I629" s="24" t="n">
        <v>46092</v>
      </c>
      <c r="J629" s="6" t="n">
        <v>4588</v>
      </c>
    </row>
    <row r="630">
      <c r="A630" s="23" t="n">
        <v>46082</v>
      </c>
      <c r="B630" s="6" t="inlineStr">
        <is>
          <t>Pago</t>
        </is>
      </c>
      <c r="C630" s="6" t="inlineStr">
        <is>
          <t>PL530.001</t>
        </is>
      </c>
      <c r="D630" s="6" t="str">
        <f>IFERROR(VLOOKUP(E630,FORNECEDORES!$A$5:$F$999,6,FALSE),"L10")</f>
        <v>L03</v>
      </c>
      <c r="E630" s="6" t="inlineStr">
        <is>
          <t>LOCAFAZ LOCACAO DE EQUIPAMENTOS LTDA</t>
        </is>
      </c>
      <c r="F630" s="7" t="n">
        <v>142.23</v>
      </c>
      <c r="G630" s="6" t="inlineStr">
        <is>
          <t>LOCAÇÕES</t>
        </is>
      </c>
      <c r="H630" s="6" t="inlineStr">
        <is>
          <t>LOCAFAZ LOCACAO DE EQUIPAMENTOS LTDA</t>
        </is>
      </c>
      <c r="I630" s="24" t="n">
        <v>46092</v>
      </c>
      <c r="J630" s="6" t="n">
        <v>4588</v>
      </c>
    </row>
    <row r="631">
      <c r="A631" s="23" t="n">
        <v>46082</v>
      </c>
      <c r="B631" s="6" t="inlineStr">
        <is>
          <t>Pago</t>
        </is>
      </c>
      <c r="C631" s="6" t="inlineStr">
        <is>
          <t>PL530.001</t>
        </is>
      </c>
      <c r="D631" s="6" t="str">
        <f>IFERROR(VLOOKUP(E631,FORNECEDORES!$A$5:$F$999,6,FALSE),"L10")</f>
        <v>L03</v>
      </c>
      <c r="E631" s="6" t="inlineStr">
        <is>
          <t>LOCAFAZ LOCACAO DE EQUIPAMENTOS LTDA</t>
        </is>
      </c>
      <c r="F631" s="7" t="n">
        <v>611</v>
      </c>
      <c r="G631" s="6" t="inlineStr">
        <is>
          <t>LOCAÇÕES</t>
        </is>
      </c>
      <c r="H631" s="6" t="inlineStr">
        <is>
          <t>LOCAFAZ LOCACAO DE EQUIPAMENTOS LTDA</t>
        </is>
      </c>
      <c r="I631" s="24" t="n">
        <v>46092</v>
      </c>
      <c r="J631" s="6" t="n">
        <v>4588</v>
      </c>
    </row>
    <row r="632">
      <c r="A632" s="23" t="n">
        <v>46082</v>
      </c>
      <c r="B632" s="6" t="inlineStr">
        <is>
          <t>Pago</t>
        </is>
      </c>
      <c r="C632" s="6" t="inlineStr">
        <is>
          <t>PL530.001</t>
        </is>
      </c>
      <c r="D632" s="6" t="str">
        <f>IFERROR(VLOOKUP(E632,FORNECEDORES!$A$5:$F$999,6,FALSE),"L10")</f>
        <v>L03</v>
      </c>
      <c r="E632" s="6" t="inlineStr">
        <is>
          <t>LOCAFAZ LOCACAO DE EQUIPAMENTOS LTDA</t>
        </is>
      </c>
      <c r="F632" s="7" t="n">
        <v>120.21</v>
      </c>
      <c r="G632" s="6" t="inlineStr">
        <is>
          <t>LOCAÇÕES</t>
        </is>
      </c>
      <c r="H632" s="6" t="inlineStr">
        <is>
          <t>LOCAFAZ LOCACAO DE EQUIPAMENTOS LTDA</t>
        </is>
      </c>
      <c r="I632" s="24" t="n">
        <v>46092</v>
      </c>
      <c r="J632" s="6" t="n">
        <v>4588</v>
      </c>
    </row>
    <row r="633">
      <c r="A633" s="23" t="n">
        <v>46082</v>
      </c>
      <c r="B633" s="6" t="inlineStr">
        <is>
          <t>Pago</t>
        </is>
      </c>
      <c r="C633" s="6" t="inlineStr">
        <is>
          <t>PL530.001</t>
        </is>
      </c>
      <c r="D633" s="6" t="str">
        <f>IFERROR(VLOOKUP(E633,FORNECEDORES!$A$5:$F$999,6,FALSE),"L10")</f>
        <v>L03</v>
      </c>
      <c r="E633" s="6" t="inlineStr">
        <is>
          <t>LOCAFAZ LOCACAO DE EQUIPAMENTOS LTDA</t>
        </is>
      </c>
      <c r="F633" s="7" t="n">
        <v>300.98</v>
      </c>
      <c r="G633" s="6" t="inlineStr">
        <is>
          <t>LOCAÇÕES</t>
        </is>
      </c>
      <c r="H633" s="6" t="inlineStr">
        <is>
          <t>LOCAFAZ LOCACAO DE EQUIPAMENTOS LTDA</t>
        </is>
      </c>
      <c r="I633" s="24" t="n">
        <v>46092</v>
      </c>
      <c r="J633" s="6" t="n">
        <v>4588</v>
      </c>
    </row>
    <row r="634">
      <c r="A634" s="23" t="n">
        <v>46082</v>
      </c>
      <c r="B634" s="6" t="inlineStr">
        <is>
          <t>Pago</t>
        </is>
      </c>
      <c r="C634" s="6" t="inlineStr">
        <is>
          <t>PL530.001</t>
        </is>
      </c>
      <c r="D634" s="6" t="str">
        <f>IFERROR(VLOOKUP(E634,FORNECEDORES!$A$5:$F$999,6,FALSE),"L10")</f>
        <v>L03</v>
      </c>
      <c r="E634" s="6" t="inlineStr">
        <is>
          <t>LOCAFAZ LOCACAO DE EQUIPAMENTOS LTDA</t>
        </is>
      </c>
      <c r="F634" s="7" t="n">
        <v>1190.2</v>
      </c>
      <c r="G634" s="6" t="inlineStr">
        <is>
          <t>LOCAÇÕES</t>
        </is>
      </c>
      <c r="H634" s="6" t="inlineStr">
        <is>
          <t>LOCAFAZ LOCACAO DE EQUIPAMENTOS LTDA</t>
        </is>
      </c>
      <c r="I634" s="24" t="n">
        <v>46086</v>
      </c>
      <c r="J634" s="6" t="n">
        <v>3515</v>
      </c>
    </row>
    <row r="635">
      <c r="A635" s="23" t="n">
        <v>46082</v>
      </c>
      <c r="B635" s="6" t="inlineStr">
        <is>
          <t>Pago</t>
        </is>
      </c>
      <c r="C635" s="6" t="inlineStr">
        <is>
          <t>PL530.001</t>
        </is>
      </c>
      <c r="D635" s="6" t="str">
        <f>IFERROR(VLOOKUP(E635,FORNECEDORES!$A$5:$F$999,6,FALSE),"L10")</f>
        <v>L01</v>
      </c>
      <c r="E635" s="6" t="inlineStr">
        <is>
          <t>LOJA ELETRICA LIMITADA</t>
        </is>
      </c>
      <c r="F635" s="7" t="n">
        <v>234.49</v>
      </c>
      <c r="G635" s="6" t="inlineStr">
        <is>
          <t>INFORMÁTICA E TELEFONIA</t>
        </is>
      </c>
      <c r="H635" s="6" t="inlineStr">
        <is>
          <t>LOJA ELETRICA LIMITADA</t>
        </is>
      </c>
      <c r="I635" s="24" t="n">
        <v>46093</v>
      </c>
      <c r="J635" s="6" t="n">
        <v>4263</v>
      </c>
    </row>
    <row r="636">
      <c r="A636" s="23" t="n">
        <v>46082</v>
      </c>
      <c r="B636" s="6" t="inlineStr">
        <is>
          <t>Pago</t>
        </is>
      </c>
      <c r="C636" s="6" t="inlineStr">
        <is>
          <t>PL530.001</t>
        </is>
      </c>
      <c r="D636" s="6" t="str">
        <f>IFERROR(VLOOKUP(E636,FORNECEDORES!$A$5:$F$999,6,FALSE),"L10")</f>
        <v>L01</v>
      </c>
      <c r="E636" s="6" t="inlineStr">
        <is>
          <t>LOJA ELETRICA LIMITADA</t>
        </is>
      </c>
      <c r="F636" s="7" t="n">
        <v>553.58</v>
      </c>
      <c r="G636" s="6" t="inlineStr">
        <is>
          <t>MATERIAL ELÉTRICO</t>
        </is>
      </c>
      <c r="H636" s="6" t="inlineStr">
        <is>
          <t>LOJA ELETRICA LIMITADA</t>
        </is>
      </c>
      <c r="I636" s="24" t="n">
        <v>46093</v>
      </c>
      <c r="J636" s="6" t="n">
        <v>4263</v>
      </c>
    </row>
    <row r="637">
      <c r="A637" s="23" t="n">
        <v>46082</v>
      </c>
      <c r="B637" s="6" t="inlineStr">
        <is>
          <t>Pago</t>
        </is>
      </c>
      <c r="C637" s="6" t="inlineStr">
        <is>
          <t>PL530.001</t>
        </is>
      </c>
      <c r="D637" s="6" t="str">
        <f>IFERROR(VLOOKUP(E637,FORNECEDORES!$A$5:$F$999,6,FALSE),"L10")</f>
        <v>L01</v>
      </c>
      <c r="E637" s="6" t="inlineStr">
        <is>
          <t>LOJA ELETRICA LIMITADA</t>
        </is>
      </c>
      <c r="F637" s="7" t="n">
        <v>135.73</v>
      </c>
      <c r="G637" s="6" t="inlineStr">
        <is>
          <t>MATERIAL ELÉTRICO</t>
        </is>
      </c>
      <c r="H637" s="6" t="inlineStr">
        <is>
          <t>LOJA ELETRICA LIMITADA</t>
        </is>
      </c>
      <c r="I637" s="24" t="n">
        <v>46087</v>
      </c>
      <c r="J637" s="6" t="n">
        <v>4099</v>
      </c>
    </row>
    <row r="638">
      <c r="A638" s="23" t="n">
        <v>46082</v>
      </c>
      <c r="B638" s="6" t="inlineStr">
        <is>
          <t>Pago</t>
        </is>
      </c>
      <c r="C638" s="6" t="inlineStr">
        <is>
          <t>PL530.001</t>
        </is>
      </c>
      <c r="D638" s="6" t="str">
        <f>IFERROR(VLOOKUP(E638,FORNECEDORES!$A$5:$F$999,6,FALSE),"L10")</f>
        <v>L01</v>
      </c>
      <c r="E638" s="6" t="inlineStr">
        <is>
          <t>LOJA ELETRICA LIMITADA</t>
        </is>
      </c>
      <c r="F638" s="7" t="n">
        <v>598.59</v>
      </c>
      <c r="G638" s="6" t="inlineStr">
        <is>
          <t>MATERIAL ELÉTRICO</t>
        </is>
      </c>
      <c r="H638" s="6" t="inlineStr">
        <is>
          <t>LOJA ELETRICA LIMITADA</t>
        </is>
      </c>
      <c r="I638" s="24" t="n">
        <v>46087</v>
      </c>
      <c r="J638" s="6" t="n">
        <v>4099</v>
      </c>
    </row>
    <row r="639">
      <c r="A639" s="23" t="n">
        <v>46082</v>
      </c>
      <c r="B639" s="6" t="inlineStr">
        <is>
          <t>Pago</t>
        </is>
      </c>
      <c r="C639" s="6" t="inlineStr">
        <is>
          <t>PL530.001</t>
        </is>
      </c>
      <c r="D639" s="6" t="str">
        <f>IFERROR(VLOOKUP(E639,FORNECEDORES!$A$5:$F$999,6,FALSE),"L10")</f>
        <v>L01</v>
      </c>
      <c r="E639" s="6" t="inlineStr">
        <is>
          <t>LOJA ELETRICA LIMITADA</t>
        </is>
      </c>
      <c r="F639" s="7" t="n">
        <v>122.83</v>
      </c>
      <c r="G639" s="6" t="inlineStr">
        <is>
          <t>MATERIAL ELÉTRICO</t>
        </is>
      </c>
      <c r="H639" s="6" t="inlineStr">
        <is>
          <t>LOJA ELETRICA LIMITADA</t>
        </is>
      </c>
      <c r="I639" s="24" t="n">
        <v>46087</v>
      </c>
      <c r="J639" s="6" t="n">
        <v>4099</v>
      </c>
    </row>
    <row r="640">
      <c r="A640" s="23" t="n">
        <v>46082</v>
      </c>
      <c r="B640" s="6" t="inlineStr">
        <is>
          <t>Pago</t>
        </is>
      </c>
      <c r="C640" s="6" t="inlineStr">
        <is>
          <t>PL530.001</t>
        </is>
      </c>
      <c r="D640" s="6" t="str">
        <f>IFERROR(VLOOKUP(E640,FORNECEDORES!$A$5:$F$999,6,FALSE),"L10")</f>
        <v>L10</v>
      </c>
      <c r="E640" s="6" t="inlineStr">
        <is>
          <t>MG CONSTRUCOES E ENGENHARIA LTDA</t>
        </is>
      </c>
      <c r="F640" s="7" t="n">
        <v>833.65</v>
      </c>
      <c r="G640" s="6" t="inlineStr">
        <is>
          <t>NÃO CLASSIFICADO</t>
        </is>
      </c>
      <c r="H640" s="6" t="inlineStr">
        <is>
          <t>INSS RETIDO PJ - MINISTERIO DA PREVIDENCIA</t>
        </is>
      </c>
      <c r="I640" s="24" t="n">
        <v>46100</v>
      </c>
      <c r="J640" s="6" t="n">
        <v>4460</v>
      </c>
    </row>
    <row r="641">
      <c r="A641" s="23" t="n">
        <v>46082</v>
      </c>
      <c r="B641" s="6" t="inlineStr">
        <is>
          <t>Pago</t>
        </is>
      </c>
      <c r="C641" s="6" t="inlineStr">
        <is>
          <t>PL530.001</t>
        </is>
      </c>
      <c r="D641" s="6" t="str">
        <f>IFERROR(VLOOKUP(E641,FORNECEDORES!$A$5:$F$999,6,FALSE),"L10")</f>
        <v>L10</v>
      </c>
      <c r="E641" s="6" t="inlineStr">
        <is>
          <t>MG CONSTRUCOES E ENGENHARIA LTDA</t>
        </is>
      </c>
      <c r="F641" s="7" t="n">
        <v>378.93</v>
      </c>
      <c r="G641" s="6" t="inlineStr">
        <is>
          <t>NÃO CLASSIFICADO</t>
        </is>
      </c>
      <c r="H641" s="6" t="inlineStr">
        <is>
          <t>PREFEITURA DE BELO HORIZONTE - ISSQN RETIDO</t>
        </is>
      </c>
      <c r="I641" s="24" t="n">
        <v>46090</v>
      </c>
      <c r="J641" s="6" t="n">
        <v>4459</v>
      </c>
    </row>
    <row r="642">
      <c r="A642" s="23" t="n">
        <v>46082</v>
      </c>
      <c r="B642" s="6" t="inlineStr">
        <is>
          <t>Pago</t>
        </is>
      </c>
      <c r="C642" s="6" t="inlineStr">
        <is>
          <t>PL530.001</t>
        </is>
      </c>
      <c r="D642" s="6" t="str">
        <f>IFERROR(VLOOKUP(E642,FORNECEDORES!$A$5:$F$999,6,FALSE),"L10")</f>
        <v>L01</v>
      </c>
      <c r="E642" s="6" t="inlineStr">
        <is>
          <t>MINAS FERRAMENTAS LTDA</t>
        </is>
      </c>
      <c r="F642" s="7" t="n">
        <v>67.84999999999999</v>
      </c>
      <c r="G642" s="6" t="inlineStr">
        <is>
          <t>FERRAGENS EM GERAL</t>
        </is>
      </c>
      <c r="H642" s="6" t="inlineStr">
        <is>
          <t>MINAS FERRAMENTAS LTDA</t>
        </is>
      </c>
      <c r="I642" s="24" t="n">
        <v>46091</v>
      </c>
      <c r="J642" s="6" t="n">
        <v>4104</v>
      </c>
    </row>
    <row r="643">
      <c r="A643" s="23" t="n">
        <v>46082</v>
      </c>
      <c r="B643" s="6" t="inlineStr">
        <is>
          <t>Pago</t>
        </is>
      </c>
      <c r="C643" s="6" t="inlineStr">
        <is>
          <t>PL530.001</t>
        </is>
      </c>
      <c r="D643" s="6" t="str">
        <f>IFERROR(VLOOKUP(E643,FORNECEDORES!$A$5:$F$999,6,FALSE),"L10")</f>
        <v>L01</v>
      </c>
      <c r="E643" s="6" t="inlineStr">
        <is>
          <t>MINAS FERRAMENTAS LTDA</t>
        </is>
      </c>
      <c r="F643" s="7" t="n">
        <v>14.6</v>
      </c>
      <c r="G643" s="6" t="inlineStr">
        <is>
          <t>MATERIAL ELÉTRICO</t>
        </is>
      </c>
      <c r="H643" s="6" t="inlineStr">
        <is>
          <t>MINAS FERRAMENTAS LTDA</t>
        </is>
      </c>
      <c r="I643" s="24" t="n">
        <v>46091</v>
      </c>
      <c r="J643" s="6" t="n">
        <v>4104</v>
      </c>
    </row>
    <row r="644">
      <c r="A644" s="23" t="n">
        <v>46082</v>
      </c>
      <c r="B644" s="6" t="inlineStr">
        <is>
          <t>Pago</t>
        </is>
      </c>
      <c r="C644" s="6" t="inlineStr">
        <is>
          <t>PL530.001</t>
        </is>
      </c>
      <c r="D644" s="6" t="str">
        <f>IFERROR(VLOOKUP(E644,FORNECEDORES!$A$5:$F$999,6,FALSE),"L10")</f>
        <v>L01</v>
      </c>
      <c r="E644" s="6" t="inlineStr">
        <is>
          <t>MINAS FERRAMENTAS LTDA</t>
        </is>
      </c>
      <c r="F644" s="7" t="n">
        <v>13.15</v>
      </c>
      <c r="G644" s="6" t="inlineStr">
        <is>
          <t>MATERIAL ELÉTRICO</t>
        </is>
      </c>
      <c r="H644" s="6" t="inlineStr">
        <is>
          <t>MINAS FERRAMENTAS LTDA</t>
        </is>
      </c>
      <c r="I644" s="24" t="n">
        <v>46091</v>
      </c>
      <c r="J644" s="6" t="n">
        <v>4104</v>
      </c>
    </row>
    <row r="645">
      <c r="A645" s="23" t="n">
        <v>46082</v>
      </c>
      <c r="B645" s="6" t="inlineStr">
        <is>
          <t>Pago</t>
        </is>
      </c>
      <c r="C645" s="6" t="inlineStr">
        <is>
          <t>PL530.001</t>
        </is>
      </c>
      <c r="D645" s="6" t="str">
        <f>IFERROR(VLOOKUP(E645,FORNECEDORES!$A$5:$F$999,6,FALSE),"L10")</f>
        <v>L01</v>
      </c>
      <c r="E645" s="6" t="inlineStr">
        <is>
          <t>MINAS FERRAMENTAS LTDA</t>
        </is>
      </c>
      <c r="F645" s="7" t="n">
        <v>83.31</v>
      </c>
      <c r="G645" s="6" t="inlineStr">
        <is>
          <t>EQUIPAMENTOS E FERRAMENTAS</t>
        </is>
      </c>
      <c r="H645" s="6" t="inlineStr">
        <is>
          <t>MINAS FERRAMENTAS LTDA</t>
        </is>
      </c>
      <c r="I645" s="24" t="n">
        <v>46091</v>
      </c>
      <c r="J645" s="6" t="n">
        <v>4104</v>
      </c>
    </row>
    <row r="646">
      <c r="A646" s="23" t="n">
        <v>46082</v>
      </c>
      <c r="B646" s="6" t="inlineStr">
        <is>
          <t>Pago</t>
        </is>
      </c>
      <c r="C646" s="6" t="inlineStr">
        <is>
          <t>PL530.001</t>
        </is>
      </c>
      <c r="D646" s="6" t="str">
        <f>IFERROR(VLOOKUP(E646,FORNECEDORES!$A$5:$F$999,6,FALSE),"L10")</f>
        <v>L01</v>
      </c>
      <c r="E646" s="6" t="inlineStr">
        <is>
          <t>MINAS FERRAMENTAS LTDA</t>
        </is>
      </c>
      <c r="F646" s="7" t="n">
        <v>338.76</v>
      </c>
      <c r="G646" s="6" t="inlineStr">
        <is>
          <t>EQUIPAMENTOS E FERRAMENTAS</t>
        </is>
      </c>
      <c r="H646" s="6" t="inlineStr">
        <is>
          <t>MINAS FERRAMENTAS LTDA</t>
        </is>
      </c>
      <c r="I646" s="24" t="n">
        <v>46091</v>
      </c>
      <c r="J646" s="6" t="n">
        <v>4104</v>
      </c>
    </row>
    <row r="647">
      <c r="A647" s="23" t="n">
        <v>46082</v>
      </c>
      <c r="B647" s="6" t="inlineStr">
        <is>
          <t>Pago</t>
        </is>
      </c>
      <c r="C647" s="6" t="inlineStr">
        <is>
          <t>PL530.001</t>
        </is>
      </c>
      <c r="D647" s="6" t="str">
        <f>IFERROR(VLOOKUP(E647,FORNECEDORES!$A$5:$F$999,6,FALSE),"L10")</f>
        <v>L01</v>
      </c>
      <c r="E647" s="6" t="inlineStr">
        <is>
          <t>MINAS FERRAMENTAS LTDA</t>
        </is>
      </c>
      <c r="F647" s="7" t="n">
        <v>45</v>
      </c>
      <c r="G647" s="6" t="inlineStr">
        <is>
          <t>EQUIPAMENTOS E FERRAMENTAS</t>
        </is>
      </c>
      <c r="H647" s="6" t="inlineStr">
        <is>
          <t>MINAS FERRAMENTAS LTDA</t>
        </is>
      </c>
      <c r="I647" s="24" t="n">
        <v>46091</v>
      </c>
      <c r="J647" s="6" t="n">
        <v>4104</v>
      </c>
    </row>
    <row r="648">
      <c r="A648" s="23" t="n">
        <v>46082</v>
      </c>
      <c r="B648" s="6" t="inlineStr">
        <is>
          <t>Pago</t>
        </is>
      </c>
      <c r="C648" s="6" t="inlineStr">
        <is>
          <t>PL530.001</t>
        </is>
      </c>
      <c r="D648" s="6" t="str">
        <f>IFERROR(VLOOKUP(E648,FORNECEDORES!$A$5:$F$999,6,FALSE),"L10")</f>
        <v>L01</v>
      </c>
      <c r="E648" s="6" t="inlineStr">
        <is>
          <t>MINAS FERRAMENTAS LTDA</t>
        </is>
      </c>
      <c r="F648" s="7" t="n">
        <v>166.35</v>
      </c>
      <c r="G648" s="6" t="inlineStr">
        <is>
          <t>EQUIPAMENTOS E FERRAMENTAS</t>
        </is>
      </c>
      <c r="H648" s="6" t="inlineStr">
        <is>
          <t>MINAS FERRAMENTAS LTDA</t>
        </is>
      </c>
      <c r="I648" s="24" t="n">
        <v>46091</v>
      </c>
      <c r="J648" s="6" t="n">
        <v>4104</v>
      </c>
    </row>
    <row r="649">
      <c r="A649" s="23" t="n">
        <v>46082</v>
      </c>
      <c r="B649" s="6" t="inlineStr">
        <is>
          <t>Pago</t>
        </is>
      </c>
      <c r="C649" s="6" t="inlineStr">
        <is>
          <t>PL530.001</t>
        </is>
      </c>
      <c r="D649" s="6" t="str">
        <f>IFERROR(VLOOKUP(E649,FORNECEDORES!$A$5:$F$999,6,FALSE),"L10")</f>
        <v>L01</v>
      </c>
      <c r="E649" s="6" t="inlineStr">
        <is>
          <t>MINAS FERRAMENTAS LTDA</t>
        </is>
      </c>
      <c r="F649" s="7" t="n">
        <v>51.4</v>
      </c>
      <c r="G649" s="6" t="inlineStr">
        <is>
          <t>EQUIPAMENTOS E FERRAMENTAS</t>
        </is>
      </c>
      <c r="H649" s="6" t="inlineStr">
        <is>
          <t>MINAS FERRAMENTAS LTDA</t>
        </is>
      </c>
      <c r="I649" s="24" t="n">
        <v>46091</v>
      </c>
      <c r="J649" s="6" t="n">
        <v>4104</v>
      </c>
    </row>
    <row r="650">
      <c r="A650" s="23" t="n">
        <v>46082</v>
      </c>
      <c r="B650" s="6" t="inlineStr">
        <is>
          <t>Pago</t>
        </is>
      </c>
      <c r="C650" s="6" t="inlineStr">
        <is>
          <t>PL530.001</t>
        </is>
      </c>
      <c r="D650" s="6" t="str">
        <f>IFERROR(VLOOKUP(E650,FORNECEDORES!$A$5:$F$999,6,FALSE),"L10")</f>
        <v>L01</v>
      </c>
      <c r="E650" s="6" t="inlineStr">
        <is>
          <t>MINAS FERRAMENTAS LTDA</t>
        </is>
      </c>
      <c r="F650" s="7" t="n">
        <v>124.38</v>
      </c>
      <c r="G650" s="6" t="inlineStr">
        <is>
          <t>EQUIPAMENTOS E FERRAMENTAS</t>
        </is>
      </c>
      <c r="H650" s="6" t="inlineStr">
        <is>
          <t>MINAS FERRAMENTAS LTDA</t>
        </is>
      </c>
      <c r="I650" s="24" t="n">
        <v>46093</v>
      </c>
      <c r="J650" s="6" t="n">
        <v>4265</v>
      </c>
    </row>
    <row r="651">
      <c r="A651" s="23" t="n">
        <v>46082</v>
      </c>
      <c r="B651" s="6" t="inlineStr">
        <is>
          <t>Pago</t>
        </is>
      </c>
      <c r="C651" s="6" t="inlineStr">
        <is>
          <t>PL530.001</t>
        </is>
      </c>
      <c r="D651" s="6" t="str">
        <f>IFERROR(VLOOKUP(E651,FORNECEDORES!$A$5:$F$999,6,FALSE),"L10")</f>
        <v>L01</v>
      </c>
      <c r="E651" s="6" t="inlineStr">
        <is>
          <t>MINAS FERRAMENTAS LTDA</t>
        </is>
      </c>
      <c r="F651" s="7" t="n">
        <v>342</v>
      </c>
      <c r="G651" s="6" t="inlineStr">
        <is>
          <t>EQUIPAMENTOS E FERRAMENTAS</t>
        </is>
      </c>
      <c r="H651" s="6" t="inlineStr">
        <is>
          <t>MINAS FERRAMENTAS LTDA</t>
        </is>
      </c>
      <c r="I651" s="24" t="n">
        <v>46093</v>
      </c>
      <c r="J651" s="6" t="n">
        <v>4265</v>
      </c>
    </row>
    <row r="652">
      <c r="A652" s="23" t="n">
        <v>46082</v>
      </c>
      <c r="B652" s="6" t="inlineStr">
        <is>
          <t>Pago</t>
        </is>
      </c>
      <c r="C652" s="6" t="inlineStr">
        <is>
          <t>PL530.001</t>
        </is>
      </c>
      <c r="D652" s="6" t="str">
        <f>IFERROR(VLOOKUP(E652,FORNECEDORES!$A$5:$F$999,6,FALSE),"L10")</f>
        <v>L01</v>
      </c>
      <c r="E652" s="6" t="inlineStr">
        <is>
          <t>MINAS FERRAMENTAS LTDA</t>
        </is>
      </c>
      <c r="F652" s="7" t="n">
        <v>44.46</v>
      </c>
      <c r="G652" s="6" t="inlineStr">
        <is>
          <t>EQUIPAMENTOS E FERRAMENTAS</t>
        </is>
      </c>
      <c r="H652" s="6" t="inlineStr">
        <is>
          <t>MINAS FERRAMENTAS LTDA</t>
        </is>
      </c>
      <c r="I652" s="24" t="n">
        <v>46093</v>
      </c>
      <c r="J652" s="6" t="n">
        <v>4265</v>
      </c>
    </row>
    <row r="653">
      <c r="A653" s="23" t="n">
        <v>46082</v>
      </c>
      <c r="B653" s="6" t="inlineStr">
        <is>
          <t>Pago</t>
        </is>
      </c>
      <c r="C653" s="6" t="inlineStr">
        <is>
          <t>PL530.001</t>
        </is>
      </c>
      <c r="D653" s="6" t="str">
        <f>IFERROR(VLOOKUP(E653,FORNECEDORES!$A$5:$F$999,6,FALSE),"L10")</f>
        <v>L01</v>
      </c>
      <c r="E653" s="6" t="inlineStr">
        <is>
          <t>MINAS FERRAMENTAS LTDA</t>
        </is>
      </c>
      <c r="F653" s="7" t="n">
        <v>675</v>
      </c>
      <c r="G653" s="6" t="inlineStr">
        <is>
          <t>EQUIPAMENTOS E FERRAMENTAS</t>
        </is>
      </c>
      <c r="H653" s="6" t="inlineStr">
        <is>
          <t>MINAS FERRAMENTAS LTDA</t>
        </is>
      </c>
      <c r="I653" s="24" t="n">
        <v>46093</v>
      </c>
      <c r="J653" s="6" t="n">
        <v>4265</v>
      </c>
    </row>
    <row r="654">
      <c r="A654" s="23" t="n">
        <v>46082</v>
      </c>
      <c r="B654" s="6" t="inlineStr">
        <is>
          <t>Pago</t>
        </is>
      </c>
      <c r="C654" s="6" t="inlineStr">
        <is>
          <t>PL530.001</t>
        </is>
      </c>
      <c r="D654" s="6" t="str">
        <f>IFERROR(VLOOKUP(E654,FORNECEDORES!$A$5:$F$999,6,FALSE),"L10")</f>
        <v>L01</v>
      </c>
      <c r="E654" s="6" t="inlineStr">
        <is>
          <t>MINAS FERRAMENTAS LTDA</t>
        </is>
      </c>
      <c r="F654" s="7" t="n">
        <v>67.5</v>
      </c>
      <c r="G654" s="6" t="inlineStr">
        <is>
          <t>EQUIPAMENTOS E FERRAMENTAS</t>
        </is>
      </c>
      <c r="H654" s="6" t="inlineStr">
        <is>
          <t>MINAS FERRAMENTAS LTDA</t>
        </is>
      </c>
      <c r="I654" s="24" t="n">
        <v>46093</v>
      </c>
      <c r="J654" s="6" t="n">
        <v>4265</v>
      </c>
    </row>
    <row r="655">
      <c r="A655" s="23" t="n">
        <v>46082</v>
      </c>
      <c r="B655" s="6" t="inlineStr">
        <is>
          <t>Pago</t>
        </is>
      </c>
      <c r="C655" s="6" t="inlineStr">
        <is>
          <t>PL530.001</t>
        </is>
      </c>
      <c r="D655" s="6" t="str">
        <f>IFERROR(VLOOKUP(E655,FORNECEDORES!$A$5:$F$999,6,FALSE),"L10")</f>
        <v>L01</v>
      </c>
      <c r="E655" s="6" t="inlineStr">
        <is>
          <t>MINAS FERRAMENTAS LTDA</t>
        </is>
      </c>
      <c r="F655" s="7" t="n">
        <v>327.14</v>
      </c>
      <c r="G655" s="6" t="inlineStr">
        <is>
          <t>EQUIPAMENTOS E FERRAMENTAS</t>
        </is>
      </c>
      <c r="H655" s="6" t="inlineStr">
        <is>
          <t>MINAS FERRAMENTAS LTDA</t>
        </is>
      </c>
      <c r="I655" s="24" t="n">
        <v>46093</v>
      </c>
      <c r="J655" s="6" t="n">
        <v>4265</v>
      </c>
    </row>
    <row r="656">
      <c r="A656" s="23" t="n">
        <v>46082</v>
      </c>
      <c r="B656" s="6" t="inlineStr">
        <is>
          <t>Pago</t>
        </is>
      </c>
      <c r="C656" s="6" t="inlineStr">
        <is>
          <t>PL530.001</t>
        </is>
      </c>
      <c r="D656" s="6" t="str">
        <f>IFERROR(VLOOKUP(E656,FORNECEDORES!$A$5:$F$999,6,FALSE),"L10")</f>
        <v>L01</v>
      </c>
      <c r="E656" s="6" t="inlineStr">
        <is>
          <t>MINAS FERRAMENTAS LTDA</t>
        </is>
      </c>
      <c r="F656" s="7" t="n">
        <v>85.40000000000001</v>
      </c>
      <c r="G656" s="6" t="inlineStr">
        <is>
          <t>EQUIPAMENTOS E FERRAMENTAS</t>
        </is>
      </c>
      <c r="H656" s="6" t="inlineStr">
        <is>
          <t>MINAS FERRAMENTAS LTDA</t>
        </is>
      </c>
      <c r="I656" s="24" t="n">
        <v>46093</v>
      </c>
      <c r="J656" s="6" t="n">
        <v>4265</v>
      </c>
    </row>
    <row r="657">
      <c r="A657" s="23" t="n">
        <v>46082</v>
      </c>
      <c r="B657" s="6" t="inlineStr">
        <is>
          <t>Pago</t>
        </is>
      </c>
      <c r="C657" s="6" t="inlineStr">
        <is>
          <t>PL530.001</t>
        </is>
      </c>
      <c r="D657" s="6" t="str">
        <f>IFERROR(VLOOKUP(E657,FORNECEDORES!$A$5:$F$999,6,FALSE),"L10")</f>
        <v>L01</v>
      </c>
      <c r="E657" s="6" t="inlineStr">
        <is>
          <t>NAF PAINEIS ELETRICOS LTDA</t>
        </is>
      </c>
      <c r="F657" s="7" t="n">
        <v>1071.33</v>
      </c>
      <c r="G657" s="6" t="inlineStr">
        <is>
          <t>MATERIAL ELÉTRICO</t>
        </is>
      </c>
      <c r="H657" s="6" t="inlineStr">
        <is>
          <t>NAF PAINEIS ELETRICOS LTDA</t>
        </is>
      </c>
      <c r="I657" s="24" t="n">
        <v>46086</v>
      </c>
      <c r="J657" s="6" t="n">
        <v>4289</v>
      </c>
    </row>
    <row r="658">
      <c r="A658" s="23" t="n">
        <v>46082</v>
      </c>
      <c r="B658" s="6" t="inlineStr">
        <is>
          <t>Pago</t>
        </is>
      </c>
      <c r="C658" s="6" t="inlineStr">
        <is>
          <t>PL530.001</t>
        </is>
      </c>
      <c r="D658" s="6" t="str">
        <f>IFERROR(VLOOKUP(E658,FORNECEDORES!$A$5:$F$999,6,FALSE),"L10")</f>
        <v>L01</v>
      </c>
      <c r="E658" s="6" t="inlineStr">
        <is>
          <t>NAF PAINEIS ELETRICOS LTDA</t>
        </is>
      </c>
      <c r="F658" s="7" t="n">
        <v>2601.64</v>
      </c>
      <c r="G658" s="6" t="inlineStr">
        <is>
          <t>MATERIAL ELÉTRICO</t>
        </is>
      </c>
      <c r="H658" s="6" t="inlineStr">
        <is>
          <t>NAF PAINEIS ELETRICOS LTDA</t>
        </is>
      </c>
      <c r="I658" s="24" t="n">
        <v>46086</v>
      </c>
      <c r="J658" s="6" t="n">
        <v>4289</v>
      </c>
    </row>
    <row r="659">
      <c r="A659" s="23" t="n">
        <v>46082</v>
      </c>
      <c r="B659" s="6" t="inlineStr">
        <is>
          <t>Pago</t>
        </is>
      </c>
      <c r="C659" s="6" t="inlineStr">
        <is>
          <t>PL530.001</t>
        </is>
      </c>
      <c r="D659" s="6" t="str">
        <f>IFERROR(VLOOKUP(E659,FORNECEDORES!$A$5:$F$999,6,FALSE),"L10")</f>
        <v>L03</v>
      </c>
      <c r="E659" s="6" t="inlineStr">
        <is>
          <t>ORIGINAL LOCACOES LTDA</t>
        </is>
      </c>
      <c r="F659" s="7" t="n">
        <v>1020</v>
      </c>
      <c r="G659" s="6" t="inlineStr">
        <is>
          <t>LOCAÇÕES</t>
        </is>
      </c>
      <c r="H659" s="6" t="inlineStr">
        <is>
          <t>ORIGINAL LOCACOES LTDA</t>
        </is>
      </c>
      <c r="I659" s="24" t="n">
        <v>46098</v>
      </c>
      <c r="J659" s="6" t="n">
        <v>4620</v>
      </c>
    </row>
    <row r="660">
      <c r="A660" s="23" t="n">
        <v>46082</v>
      </c>
      <c r="B660" s="6" t="inlineStr">
        <is>
          <t>Pago</t>
        </is>
      </c>
      <c r="C660" s="6" t="inlineStr">
        <is>
          <t>PL530.001</t>
        </is>
      </c>
      <c r="D660" s="6" t="str">
        <f>IFERROR(VLOOKUP(E660,FORNECEDORES!$A$5:$F$999,6,FALSE),"L10")</f>
        <v>L03</v>
      </c>
      <c r="E660" s="6" t="inlineStr">
        <is>
          <t>ORIGINAL LOCACOES LTDA</t>
        </is>
      </c>
      <c r="F660" s="7" t="n">
        <v>3342.61</v>
      </c>
      <c r="G660" s="6" t="inlineStr">
        <is>
          <t>LOCAÇÕES</t>
        </is>
      </c>
      <c r="H660" s="6" t="inlineStr">
        <is>
          <t>ORIGINAL LOCACOES LTDA</t>
        </is>
      </c>
      <c r="I660" s="24" t="n">
        <v>46098</v>
      </c>
      <c r="J660" s="6" t="n">
        <v>4722</v>
      </c>
    </row>
    <row r="661">
      <c r="A661" s="23" t="n">
        <v>46082</v>
      </c>
      <c r="B661" s="6" t="inlineStr">
        <is>
          <t>Pago</t>
        </is>
      </c>
      <c r="C661" s="6" t="inlineStr">
        <is>
          <t>PL530.001</t>
        </is>
      </c>
      <c r="D661" s="6" t="str">
        <f>IFERROR(VLOOKUP(E661,FORNECEDORES!$A$5:$F$999,6,FALSE),"L10")</f>
        <v>L01</v>
      </c>
      <c r="E661" s="6" t="inlineStr">
        <is>
          <t>OTHON DE CARVALHO E CIA LTDA</t>
        </is>
      </c>
      <c r="F661" s="7" t="n">
        <v>3554.2</v>
      </c>
      <c r="G661" s="6" t="inlineStr">
        <is>
          <t>MATERIAL ELÉTRICO</t>
        </is>
      </c>
      <c r="H661" s="6" t="inlineStr">
        <is>
          <t>OTHON DE CARVALHO E CIA LTDA</t>
        </is>
      </c>
      <c r="I661" s="24" t="n">
        <v>46100</v>
      </c>
      <c r="J661" s="6" t="n">
        <v>4415</v>
      </c>
    </row>
    <row r="662">
      <c r="A662" s="23" t="n">
        <v>46082</v>
      </c>
      <c r="B662" s="6" t="inlineStr">
        <is>
          <t>Pago</t>
        </is>
      </c>
      <c r="C662" s="6" t="inlineStr">
        <is>
          <t>PL530.001</t>
        </is>
      </c>
      <c r="D662" s="6" t="str">
        <f>IFERROR(VLOOKUP(E662,FORNECEDORES!$A$5:$F$999,6,FALSE),"L10")</f>
        <v>L08</v>
      </c>
      <c r="E662" s="6" t="inlineStr">
        <is>
          <t>PEREIRA TELAS E INSTALACOES LTDA</t>
        </is>
      </c>
      <c r="F662" s="7" t="n">
        <v>1877</v>
      </c>
      <c r="G662" s="6" t="inlineStr">
        <is>
          <t>NÃO CLASSIFICADO</t>
        </is>
      </c>
      <c r="H662" s="6" t="inlineStr">
        <is>
          <t>PEREIRA TELAS E INSTALACOES LTDA</t>
        </is>
      </c>
      <c r="I662" s="24" t="n">
        <v>46107</v>
      </c>
      <c r="J662" s="6" t="n">
        <v>4769</v>
      </c>
    </row>
    <row r="663">
      <c r="A663" s="23" t="n">
        <v>46082</v>
      </c>
      <c r="B663" s="6" t="inlineStr">
        <is>
          <t>Pago</t>
        </is>
      </c>
      <c r="C663" s="6" t="inlineStr">
        <is>
          <t>PL530.001</t>
        </is>
      </c>
      <c r="D663" s="6" t="str">
        <f>IFERROR(VLOOKUP(E663,FORNECEDORES!$A$5:$F$999,6,FALSE),"L10")</f>
        <v>L10</v>
      </c>
      <c r="E663" s="6" t="inlineStr">
        <is>
          <t>PGO PLANEJAMENTO GERENCIAMENTO E OBRAS LTDA. - ME</t>
        </is>
      </c>
      <c r="F663" s="7" t="n">
        <v>6752.67</v>
      </c>
      <c r="G663" s="6" t="inlineStr">
        <is>
          <t>NÃO CLASSIFICADO</t>
        </is>
      </c>
      <c r="H663" s="6" t="inlineStr">
        <is>
          <t>PGO PLANEJAMENTO GERENCIAMENTO E OBRAS LTDA. - ME</t>
        </is>
      </c>
      <c r="I663" s="24" t="n">
        <v>46086</v>
      </c>
      <c r="J663" s="6" t="n">
        <v>4477</v>
      </c>
    </row>
    <row r="664">
      <c r="A664" s="23" t="n">
        <v>46082</v>
      </c>
      <c r="B664" s="6" t="inlineStr">
        <is>
          <t>Pago</t>
        </is>
      </c>
      <c r="C664" s="6" t="inlineStr">
        <is>
          <t>PL530.001</t>
        </is>
      </c>
      <c r="D664" s="6" t="str">
        <f>IFERROR(VLOOKUP(E664,FORNECEDORES!$A$5:$F$999,6,FALSE),"L10")</f>
        <v>L10</v>
      </c>
      <c r="E664" s="6" t="inlineStr">
        <is>
          <t>PGO PLANEJAMENTO GERENCIAMENTO E OBRAS LTDA. - ME</t>
        </is>
      </c>
      <c r="F664" s="7" t="n">
        <v>4227.27</v>
      </c>
      <c r="G664" s="6" t="inlineStr">
        <is>
          <t>NÃO CLASSIFICADO</t>
        </is>
      </c>
      <c r="H664" s="6" t="inlineStr">
        <is>
          <t>PGO PLANEJAMENTO GERENCIAMENTO E OBRAS LTDA. - ME</t>
        </is>
      </c>
      <c r="I664" s="24" t="n">
        <v>46101</v>
      </c>
      <c r="J664" s="6" t="n">
        <v>4477</v>
      </c>
    </row>
    <row r="665">
      <c r="A665" s="23" t="n">
        <v>46082</v>
      </c>
      <c r="B665" s="6" t="inlineStr">
        <is>
          <t>Pago</t>
        </is>
      </c>
      <c r="C665" s="6" t="inlineStr">
        <is>
          <t>PL530.001</t>
        </is>
      </c>
      <c r="D665" s="6" t="str">
        <f>IFERROR(VLOOKUP(E665,FORNECEDORES!$A$5:$F$999,6,FALSE),"L10")</f>
        <v>L10</v>
      </c>
      <c r="E665" s="6" t="inlineStr">
        <is>
          <t>PGO PLANEJAMENTO GERENCIAMENTO E OBRAS LTDA. - ME</t>
        </is>
      </c>
      <c r="F665" s="7" t="n">
        <v>3184.5</v>
      </c>
      <c r="G665" s="6" t="inlineStr">
        <is>
          <t>NÃO CLASSIFICADO</t>
        </is>
      </c>
      <c r="H665" s="6" t="inlineStr">
        <is>
          <t>PGO PLANEJAMENTO GERENCIAMENTO E OBRAS LTDA. - ME</t>
        </is>
      </c>
      <c r="I665" s="24" t="n">
        <v>46086</v>
      </c>
      <c r="J665" s="6" t="n">
        <v>4221</v>
      </c>
    </row>
    <row r="666">
      <c r="A666" s="23" t="n">
        <v>46082</v>
      </c>
      <c r="B666" s="6" t="inlineStr">
        <is>
          <t>Pago</t>
        </is>
      </c>
      <c r="C666" s="6" t="inlineStr">
        <is>
          <t>PL530.001</t>
        </is>
      </c>
      <c r="D666" s="6" t="str">
        <f>IFERROR(VLOOKUP(E666,FORNECEDORES!$A$5:$F$999,6,FALSE),"L10")</f>
        <v>L01</v>
      </c>
      <c r="E666" s="6" t="inlineStr">
        <is>
          <t>QUALITY FIX DO BRASIL, INDUSTRIA, COMERCIO, IMPORTACAO E EXPORTACAO LTDA</t>
        </is>
      </c>
      <c r="F666" s="7" t="n">
        <v>92.40000000000001</v>
      </c>
      <c r="G666" s="6" t="inlineStr">
        <is>
          <t>ACESSÓRIOS DE FIXAÇÃO</t>
        </is>
      </c>
      <c r="H666" s="6" t="inlineStr">
        <is>
          <t>QUALITY FIX DO BRASIL, INDUSTRIA, COMERCIO, IMPORT</t>
        </is>
      </c>
      <c r="I666" s="24" t="n">
        <v>46104</v>
      </c>
      <c r="J666" s="6" t="n">
        <v>4181</v>
      </c>
    </row>
    <row r="667">
      <c r="A667" s="23" t="n">
        <v>46082</v>
      </c>
      <c r="B667" s="6" t="inlineStr">
        <is>
          <t>Pago</t>
        </is>
      </c>
      <c r="C667" s="6" t="inlineStr">
        <is>
          <t>PL530.001</t>
        </is>
      </c>
      <c r="D667" s="6" t="str">
        <f>IFERROR(VLOOKUP(E667,FORNECEDORES!$A$5:$F$999,6,FALSE),"L10")</f>
        <v>L01</v>
      </c>
      <c r="E667" s="6" t="inlineStr">
        <is>
          <t>QUALITY FIX DO BRASIL, INDUSTRIA, COMERCIO, IMPORTACAO E EXPORTACAO LTDA</t>
        </is>
      </c>
      <c r="F667" s="7" t="n">
        <v>188.74</v>
      </c>
      <c r="G667" s="6" t="inlineStr">
        <is>
          <t>EQUIPAMENTOS E FERRAMENTAS</t>
        </is>
      </c>
      <c r="H667" s="6" t="inlineStr">
        <is>
          <t>QUALITY FIX DO BRASIL, INDUSTRIA, COMERCIO, IMPORT</t>
        </is>
      </c>
      <c r="I667" s="24" t="n">
        <v>46104</v>
      </c>
      <c r="J667" s="6" t="n">
        <v>4181</v>
      </c>
    </row>
    <row r="668">
      <c r="A668" s="23" t="n">
        <v>46082</v>
      </c>
      <c r="B668" s="6" t="inlineStr">
        <is>
          <t>Pago</t>
        </is>
      </c>
      <c r="C668" s="6" t="inlineStr">
        <is>
          <t>PL530.001</t>
        </is>
      </c>
      <c r="D668" s="6" t="str">
        <f>IFERROR(VLOOKUP(E668,FORNECEDORES!$A$5:$F$999,6,FALSE),"L10")</f>
        <v>L01</v>
      </c>
      <c r="E668" s="6" t="inlineStr">
        <is>
          <t>QUALITY FIX DO BRASIL, INDUSTRIA, COMERCIO, IMPORTACAO E EXPORTACAO LTDA</t>
        </is>
      </c>
      <c r="F668" s="7" t="n">
        <v>199.97</v>
      </c>
      <c r="G668" s="6" t="inlineStr">
        <is>
          <t>EQUIPAMENTOS E FERRAMENTAS</t>
        </is>
      </c>
      <c r="H668" s="6" t="inlineStr">
        <is>
          <t>QUALITY FIX DO BRASIL, INDUSTRIA, COMERCIO, IMPORT</t>
        </is>
      </c>
      <c r="I668" s="24" t="n">
        <v>46104</v>
      </c>
      <c r="J668" s="6" t="n">
        <v>4181</v>
      </c>
    </row>
    <row r="669">
      <c r="A669" s="23" t="n">
        <v>46082</v>
      </c>
      <c r="B669" s="6" t="inlineStr">
        <is>
          <t>Pago</t>
        </is>
      </c>
      <c r="C669" s="6" t="inlineStr">
        <is>
          <t>PL530.001</t>
        </is>
      </c>
      <c r="D669" s="6" t="str">
        <f>IFERROR(VLOOKUP(E669,FORNECEDORES!$A$5:$F$999,6,FALSE),"L10")</f>
        <v>L01</v>
      </c>
      <c r="E669" s="6" t="inlineStr">
        <is>
          <t>QUALITY FIX DO BRASIL, INDUSTRIA, COMERCIO, IMPORTACAO E EXPORTACAO LTDA</t>
        </is>
      </c>
      <c r="F669" s="7" t="n">
        <v>849.47</v>
      </c>
      <c r="G669" s="6" t="inlineStr">
        <is>
          <t>EQUIPAMENTOS E FERRAMENTAS</t>
        </is>
      </c>
      <c r="H669" s="6" t="inlineStr">
        <is>
          <t>QUALITY FIX DO BRASIL, INDUSTRIA, COMERCIO, IMPORT</t>
        </is>
      </c>
      <c r="I669" s="24" t="n">
        <v>46104</v>
      </c>
      <c r="J669" s="6" t="n">
        <v>4181</v>
      </c>
    </row>
    <row r="670">
      <c r="A670" s="23" t="n">
        <v>46082</v>
      </c>
      <c r="B670" s="6" t="inlineStr">
        <is>
          <t>Pago</t>
        </is>
      </c>
      <c r="C670" s="6" t="inlineStr">
        <is>
          <t>PL530.001</t>
        </is>
      </c>
      <c r="D670" s="6" t="str">
        <f>IFERROR(VLOOKUP(E670,FORNECEDORES!$A$5:$F$999,6,FALSE),"L10")</f>
        <v>L10</v>
      </c>
      <c r="E670" s="6" t="inlineStr">
        <is>
          <t>SOIMA BRASIL INDUSTRIA E COMERCIO LTDA</t>
        </is>
      </c>
      <c r="F670" s="7" t="n">
        <v>20000</v>
      </c>
      <c r="G670" s="6" t="inlineStr">
        <is>
          <t>INSUMOS PARA CONTRATO</t>
        </is>
      </c>
      <c r="H670" s="6" t="inlineStr">
        <is>
          <t>SOIMA BRASIL INDUSTRIA E COMERCIO LTDA</t>
        </is>
      </c>
      <c r="I670" s="24" t="n">
        <v>46101</v>
      </c>
      <c r="J670" s="6" t="n">
        <v>4774</v>
      </c>
    </row>
    <row r="671">
      <c r="A671" s="23" t="n">
        <v>46082</v>
      </c>
      <c r="B671" s="6" t="inlineStr">
        <is>
          <t>Pago</t>
        </is>
      </c>
      <c r="C671" s="6" t="inlineStr">
        <is>
          <t>PL530.001</t>
        </is>
      </c>
      <c r="D671" s="6" t="str">
        <f>IFERROR(VLOOKUP(E671,FORNECEDORES!$A$5:$F$999,6,FALSE),"L10")</f>
        <v>L01</v>
      </c>
      <c r="E671" s="6" t="inlineStr">
        <is>
          <t>TECIDOS E ARMARINHOS MIGUEL BARTOLOMEU S/A</t>
        </is>
      </c>
      <c r="F671" s="7" t="n">
        <v>192.35</v>
      </c>
      <c r="G671" s="6" t="inlineStr">
        <is>
          <t>EQUIPAMENTOS E FERRAMENTAS</t>
        </is>
      </c>
      <c r="H671" s="6" t="inlineStr">
        <is>
          <t>TECIDOS E ARMARINHOS MIGUEL BARTOLOMEU S/A</t>
        </is>
      </c>
      <c r="I671" s="24" t="n">
        <v>46107</v>
      </c>
      <c r="J671" s="6" t="n">
        <v>4521</v>
      </c>
    </row>
    <row r="672">
      <c r="A672" s="23" t="n">
        <v>46082</v>
      </c>
      <c r="B672" s="6" t="inlineStr">
        <is>
          <t>Pago</t>
        </is>
      </c>
      <c r="C672" s="6" t="inlineStr">
        <is>
          <t>PL530.001</t>
        </is>
      </c>
      <c r="D672" s="6" t="str">
        <f>IFERROR(VLOOKUP(E672,FORNECEDORES!$A$5:$F$999,6,FALSE),"L10")</f>
        <v>L01</v>
      </c>
      <c r="E672" s="6" t="inlineStr">
        <is>
          <t>TECIDOS E ARMARINHOS MIGUEL BARTOLOMEU S/A</t>
        </is>
      </c>
      <c r="F672" s="7" t="n">
        <v>67.81</v>
      </c>
      <c r="G672" s="6" t="inlineStr">
        <is>
          <t>EQUIPAMENTOS E FERRAMENTAS</t>
        </is>
      </c>
      <c r="H672" s="6" t="inlineStr">
        <is>
          <t>TECIDOS E ARMARINHOS MIGUEL BARTOLOMEU S/A</t>
        </is>
      </c>
      <c r="I672" s="24" t="n">
        <v>46107</v>
      </c>
      <c r="J672" s="6" t="n">
        <v>4521</v>
      </c>
    </row>
    <row r="673">
      <c r="A673" s="23" t="n">
        <v>46082</v>
      </c>
      <c r="B673" s="6" t="inlineStr">
        <is>
          <t>Pago</t>
        </is>
      </c>
      <c r="C673" s="6" t="inlineStr">
        <is>
          <t>PL530.001</t>
        </is>
      </c>
      <c r="D673" s="6" t="str">
        <f>IFERROR(VLOOKUP(E673,FORNECEDORES!$A$5:$F$999,6,FALSE),"L10")</f>
        <v>L08</v>
      </c>
      <c r="E673" s="6" t="inlineStr">
        <is>
          <t>TECNYL INDUSTRIA E COMERCIO DE TELAS LTDA</t>
        </is>
      </c>
      <c r="F673" s="7" t="n">
        <v>4029.19</v>
      </c>
      <c r="G673" s="6" t="inlineStr">
        <is>
          <t>SINALIZAÇÃO</t>
        </is>
      </c>
      <c r="H673" s="6" t="inlineStr">
        <is>
          <t>TECNYL INDUSTRIA E COMERCIO DE TELAS LTDA</t>
        </is>
      </c>
      <c r="I673" s="24" t="n">
        <v>46085</v>
      </c>
      <c r="J673" s="6" t="n">
        <v>4423</v>
      </c>
    </row>
    <row r="674">
      <c r="A674" s="23" t="n">
        <v>46082</v>
      </c>
      <c r="B674" s="6" t="inlineStr">
        <is>
          <t>Pago</t>
        </is>
      </c>
      <c r="C674" s="6" t="inlineStr">
        <is>
          <t>PL530.001</t>
        </is>
      </c>
      <c r="D674" s="6" t="str">
        <f>IFERROR(VLOOKUP(E674,FORNECEDORES!$A$5:$F$999,6,FALSE),"L10")</f>
        <v>L08</v>
      </c>
      <c r="E674" s="6" t="inlineStr">
        <is>
          <t>TELAS UNIAO INDUSTRIA E COMERCIO LTDA</t>
        </is>
      </c>
      <c r="F674" s="7" t="n">
        <v>2268.1</v>
      </c>
      <c r="G674" s="6" t="inlineStr">
        <is>
          <t>ESQUADRIAS DE FERRO E CERCAMENTO</t>
        </is>
      </c>
      <c r="H674" s="6" t="inlineStr">
        <is>
          <t>TELAS UNIAO INDUSTRIA E COMERCIO LTDA</t>
        </is>
      </c>
      <c r="I674" s="24" t="n">
        <v>46107</v>
      </c>
      <c r="J674" s="6" t="n">
        <v>4395</v>
      </c>
    </row>
    <row r="675">
      <c r="A675" s="23" t="n">
        <v>46082</v>
      </c>
      <c r="B675" s="6" t="inlineStr">
        <is>
          <t>Pago</t>
        </is>
      </c>
      <c r="C675" s="6" t="inlineStr">
        <is>
          <t>PL530.001</t>
        </is>
      </c>
      <c r="D675" s="6" t="str">
        <f>IFERROR(VLOOKUP(E675,FORNECEDORES!$A$5:$F$999,6,FALSE),"L10")</f>
        <v>L08</v>
      </c>
      <c r="E675" s="6" t="inlineStr">
        <is>
          <t>TELAS UNIAO INDUSTRIA E COMERCIO LTDA</t>
        </is>
      </c>
      <c r="F675" s="7" t="n">
        <v>102.05</v>
      </c>
      <c r="G675" s="6" t="inlineStr">
        <is>
          <t>FRETE</t>
        </is>
      </c>
      <c r="H675" s="6" t="inlineStr">
        <is>
          <t>TELAS UNIAO INDUSTRIA E COMERCIO LTDA</t>
        </is>
      </c>
      <c r="I675" s="24" t="n">
        <v>46107</v>
      </c>
      <c r="J675" s="6" t="n">
        <v>4395</v>
      </c>
    </row>
    <row r="676">
      <c r="A676" s="23" t="n">
        <v>46113</v>
      </c>
      <c r="B676" s="6" t="inlineStr">
        <is>
          <t>Pago</t>
        </is>
      </c>
      <c r="C676" s="6" t="inlineStr">
        <is>
          <t>PL530.001</t>
        </is>
      </c>
      <c r="D676" s="6" t="str">
        <f>IFERROR(VLOOKUP(E676,FORNECEDORES!$A$5:$F$999,6,FALSE),"L10")</f>
        <v>L10</v>
      </c>
      <c r="E676" s="6" t="inlineStr">
        <is>
          <t>ALAVANCA TRANSPORTES E REMOCAO EIRELI</t>
        </is>
      </c>
      <c r="F676" s="7" t="n">
        <v>211.98</v>
      </c>
      <c r="G676" s="6" t="inlineStr">
        <is>
          <t>NÃO CLASSIFICADO</t>
        </is>
      </c>
      <c r="H676" s="6" t="inlineStr">
        <is>
          <t>PREFEITURA DE BELO HORIZONTE - ISSQN RETIDO</t>
        </is>
      </c>
      <c r="I676" s="24" t="n">
        <v>46120</v>
      </c>
      <c r="J676" s="6" t="n">
        <v>4597</v>
      </c>
    </row>
    <row r="677">
      <c r="A677" s="23" t="n">
        <v>46113</v>
      </c>
      <c r="B677" s="6" t="inlineStr">
        <is>
          <t>Pago</t>
        </is>
      </c>
      <c r="C677" s="6" t="inlineStr">
        <is>
          <t>PL530.001</t>
        </is>
      </c>
      <c r="D677" s="6" t="str">
        <f>IFERROR(VLOOKUP(E677,FORNECEDORES!$A$5:$F$999,6,FALSE),"L10")</f>
        <v>L10</v>
      </c>
      <c r="E677" s="6" t="inlineStr">
        <is>
          <t>COMERCIO E MANUTENCAO DE PALETEIRAS LTDA</t>
        </is>
      </c>
      <c r="F677" s="7" t="n">
        <v>902.39</v>
      </c>
      <c r="G677" s="6" t="inlineStr">
        <is>
          <t>NÃO CLASSIFICADO</t>
        </is>
      </c>
      <c r="H677" s="6" t="inlineStr">
        <is>
          <t>COMERCIO E MANUTENCAO DE PALETEIRAS LTDA</t>
        </is>
      </c>
      <c r="I677" s="24" t="n">
        <v>46132</v>
      </c>
      <c r="J677" s="6" t="n">
        <v>4909</v>
      </c>
    </row>
    <row r="678">
      <c r="A678" s="23" t="n">
        <v>46113</v>
      </c>
      <c r="B678" s="6" t="inlineStr">
        <is>
          <t>Pago</t>
        </is>
      </c>
      <c r="C678" s="6" t="inlineStr">
        <is>
          <t>PL530.001</t>
        </is>
      </c>
      <c r="D678" s="6" t="str">
        <f>IFERROR(VLOOKUP(E678,FORNECEDORES!$A$5:$F$999,6,FALSE),"L10")</f>
        <v>L01</v>
      </c>
      <c r="E678" s="6" t="inlineStr">
        <is>
          <t>CONSTRUMAQ INDUSTRIA DE MAQUINAS E EQUIPAMENTOS LTDA</t>
        </is>
      </c>
      <c r="F678" s="7" t="n">
        <v>1739.46</v>
      </c>
      <c r="G678" s="6" t="inlineStr">
        <is>
          <t>FRETE</t>
        </is>
      </c>
      <c r="H678" s="6" t="inlineStr">
        <is>
          <t>CONSTRUMAQ INDUSTRIA DE MAQUINAS E EQUIPAMENTOS LT</t>
        </is>
      </c>
      <c r="I678" s="24" t="n">
        <v>46141</v>
      </c>
      <c r="J678" s="6" t="n">
        <v>4408</v>
      </c>
    </row>
    <row r="679">
      <c r="A679" s="23" t="n">
        <v>46113</v>
      </c>
      <c r="B679" s="6" t="inlineStr">
        <is>
          <t>Pago</t>
        </is>
      </c>
      <c r="C679" s="6" t="inlineStr">
        <is>
          <t>PL530.001</t>
        </is>
      </c>
      <c r="D679" s="6" t="str">
        <f>IFERROR(VLOOKUP(E679,FORNECEDORES!$A$5:$F$999,6,FALSE),"L10")</f>
        <v>L01</v>
      </c>
      <c r="E679" s="6" t="inlineStr">
        <is>
          <t>CONSTRUMAQ INDUSTRIA DE MAQUINAS E EQUIPAMENTOS LTDA</t>
        </is>
      </c>
      <c r="F679" s="7" t="n">
        <v>1207.6</v>
      </c>
      <c r="G679" s="6" t="inlineStr">
        <is>
          <t>FRETE</t>
        </is>
      </c>
      <c r="H679" s="6" t="inlineStr">
        <is>
          <t>CONSTRUMAQ INDUSTRIA DE MAQUINAS E EQUIPAMENTOS LT</t>
        </is>
      </c>
      <c r="I679" s="24" t="n">
        <v>46113</v>
      </c>
      <c r="J679" s="6" t="n">
        <v>4187</v>
      </c>
    </row>
    <row r="680">
      <c r="A680" s="23" t="n">
        <v>46113</v>
      </c>
      <c r="B680" s="6" t="inlineStr">
        <is>
          <t>Pago</t>
        </is>
      </c>
      <c r="C680" s="6" t="inlineStr">
        <is>
          <t>PL530.001</t>
        </is>
      </c>
      <c r="D680" s="6" t="str">
        <f>IFERROR(VLOOKUP(E680,FORNECEDORES!$A$5:$F$999,6,FALSE),"L10")</f>
        <v>L01</v>
      </c>
      <c r="E680" s="6" t="inlineStr">
        <is>
          <t>CONSTRUMAQ INDUSTRIA DE MAQUINAS E EQUIPAMENTOS LTDA</t>
        </is>
      </c>
      <c r="F680" s="7" t="n">
        <v>1598.11</v>
      </c>
      <c r="G680" s="6" t="inlineStr">
        <is>
          <t>EQUIPAMENTOS E FERRAMENTAS</t>
        </is>
      </c>
      <c r="H680" s="6" t="inlineStr">
        <is>
          <t>CONSTRUMAQ INDUSTRIA DE MAQUINAS E EQUIPAMENTOS LT</t>
        </is>
      </c>
      <c r="I680" s="24" t="n">
        <v>46141</v>
      </c>
      <c r="J680" s="6" t="n">
        <v>4408</v>
      </c>
    </row>
    <row r="681">
      <c r="A681" s="23" t="n">
        <v>46113</v>
      </c>
      <c r="B681" s="6" t="inlineStr">
        <is>
          <t>Pago</t>
        </is>
      </c>
      <c r="C681" s="6" t="inlineStr">
        <is>
          <t>PL530.001</t>
        </is>
      </c>
      <c r="D681" s="6" t="str">
        <f>IFERROR(VLOOKUP(E681,FORNECEDORES!$A$5:$F$999,6,FALSE),"L10")</f>
        <v>L01</v>
      </c>
      <c r="E681" s="6" t="inlineStr">
        <is>
          <t>CONSTRUMAQ INDUSTRIA DE MAQUINAS E EQUIPAMENTOS LTDA</t>
        </is>
      </c>
      <c r="F681" s="7" t="n">
        <v>187.97</v>
      </c>
      <c r="G681" s="6" t="inlineStr">
        <is>
          <t>EQUIPAMENTOS E FERRAMENTAS</t>
        </is>
      </c>
      <c r="H681" s="6" t="inlineStr">
        <is>
          <t>CONSTRUMAQ INDUSTRIA DE MAQUINAS E EQUIPAMENTOS LT</t>
        </is>
      </c>
      <c r="I681" s="24" t="n">
        <v>46141</v>
      </c>
      <c r="J681" s="6" t="n">
        <v>4407</v>
      </c>
    </row>
    <row r="682">
      <c r="A682" s="23" t="n">
        <v>46113</v>
      </c>
      <c r="B682" s="6" t="inlineStr">
        <is>
          <t>Pago</t>
        </is>
      </c>
      <c r="C682" s="6" t="inlineStr">
        <is>
          <t>PL530.001</t>
        </is>
      </c>
      <c r="D682" s="6" t="str">
        <f>IFERROR(VLOOKUP(E682,FORNECEDORES!$A$5:$F$999,6,FALSE),"L10")</f>
        <v>L01</v>
      </c>
      <c r="E682" s="6" t="inlineStr">
        <is>
          <t>CONSTRUMAQ INDUSTRIA DE MAQUINAS E EQUIPAMENTOS LTDA</t>
        </is>
      </c>
      <c r="F682" s="7" t="n">
        <v>3449.53</v>
      </c>
      <c r="G682" s="6" t="inlineStr">
        <is>
          <t>EQUIPAMENTOS E FERRAMENTAS</t>
        </is>
      </c>
      <c r="H682" s="6" t="inlineStr">
        <is>
          <t>CONSTRUMAQ INDUSTRIA DE MAQUINAS E EQUIPAMENTOS LT</t>
        </is>
      </c>
      <c r="I682" s="24" t="n">
        <v>46113</v>
      </c>
      <c r="J682" s="6" t="n">
        <v>4407</v>
      </c>
    </row>
    <row r="683">
      <c r="A683" s="23" t="n">
        <v>46113</v>
      </c>
      <c r="B683" s="6" t="inlineStr">
        <is>
          <t>Pago</t>
        </is>
      </c>
      <c r="C683" s="6" t="inlineStr">
        <is>
          <t>PL530.001</t>
        </is>
      </c>
      <c r="D683" s="6" t="str">
        <f>IFERROR(VLOOKUP(E683,FORNECEDORES!$A$5:$F$999,6,FALSE),"L10")</f>
        <v>L01</v>
      </c>
      <c r="E683" s="6" t="inlineStr">
        <is>
          <t>CONSTRUMAQ INDUSTRIA DE MAQUINAS E EQUIPAMENTOS LTDA</t>
        </is>
      </c>
      <c r="F683" s="7" t="n">
        <v>217.04</v>
      </c>
      <c r="G683" s="6" t="inlineStr">
        <is>
          <t>EQUIPAMENTOS E FERRAMENTAS</t>
        </is>
      </c>
      <c r="H683" s="6" t="inlineStr">
        <is>
          <t>CONSTRUMAQ INDUSTRIA DE MAQUINAS E EQUIPAMENTOS LT</t>
        </is>
      </c>
      <c r="I683" s="24" t="n">
        <v>46141</v>
      </c>
      <c r="J683" s="6" t="n">
        <v>4407</v>
      </c>
    </row>
    <row r="684">
      <c r="A684" s="23" t="n">
        <v>46113</v>
      </c>
      <c r="B684" s="6" t="inlineStr">
        <is>
          <t>Pago</t>
        </is>
      </c>
      <c r="C684" s="6" t="inlineStr">
        <is>
          <t>PL530.001</t>
        </is>
      </c>
      <c r="D684" s="6" t="str">
        <f>IFERROR(VLOOKUP(E684,FORNECEDORES!$A$5:$F$999,6,FALSE),"L10")</f>
        <v>L01</v>
      </c>
      <c r="E684" s="6" t="inlineStr">
        <is>
          <t>CONSTRUMAQ INDUSTRIA DE MAQUINAS E EQUIPAMENTOS LTDA</t>
        </is>
      </c>
      <c r="F684" s="7" t="n">
        <v>3983.06</v>
      </c>
      <c r="G684" s="6" t="inlineStr">
        <is>
          <t>EQUIPAMENTOS E FERRAMENTAS</t>
        </is>
      </c>
      <c r="H684" s="6" t="inlineStr">
        <is>
          <t>CONSTRUMAQ INDUSTRIA DE MAQUINAS E EQUIPAMENTOS LT</t>
        </is>
      </c>
      <c r="I684" s="24" t="n">
        <v>46113</v>
      </c>
      <c r="J684" s="6" t="n">
        <v>4407</v>
      </c>
    </row>
    <row r="685">
      <c r="A685" s="23" t="n">
        <v>46113</v>
      </c>
      <c r="B685" s="6" t="inlineStr">
        <is>
          <t>Pago</t>
        </is>
      </c>
      <c r="C685" s="6" t="inlineStr">
        <is>
          <t>PL530.001</t>
        </is>
      </c>
      <c r="D685" s="6" t="str">
        <f>IFERROR(VLOOKUP(E685,FORNECEDORES!$A$5:$F$999,6,FALSE),"L10")</f>
        <v>L01</v>
      </c>
      <c r="E685" s="6" t="inlineStr">
        <is>
          <t>CONSTRUMAQ INDUSTRIA DE MAQUINAS E EQUIPAMENTOS LTDA</t>
        </is>
      </c>
      <c r="F685" s="7" t="n">
        <v>5571.15</v>
      </c>
      <c r="G685" s="6" t="inlineStr">
        <is>
          <t>EQUIPAMENTOS E FERRAMENTAS</t>
        </is>
      </c>
      <c r="H685" s="6" t="inlineStr">
        <is>
          <t>CONSTRUMAQ INDUSTRIA DE MAQUINAS E EQUIPAMENTOS LT</t>
        </is>
      </c>
      <c r="I685" s="24" t="n">
        <v>46113</v>
      </c>
      <c r="J685" s="6" t="n">
        <v>4187</v>
      </c>
    </row>
    <row r="686">
      <c r="A686" s="23" t="n">
        <v>46113</v>
      </c>
      <c r="B686" s="6" t="inlineStr">
        <is>
          <t>Pago</t>
        </is>
      </c>
      <c r="C686" s="6" t="inlineStr">
        <is>
          <t>PL530.001</t>
        </is>
      </c>
      <c r="D686" s="6" t="str">
        <f>IFERROR(VLOOKUP(E686,FORNECEDORES!$A$5:$F$999,6,FALSE),"L10")</f>
        <v>L07</v>
      </c>
      <c r="E686" s="6" t="inlineStr">
        <is>
          <t>CORDAL BH COMERCIO DE CABOS E ACESSORIOS LTDA</t>
        </is>
      </c>
      <c r="F686" s="7" t="n">
        <v>825.0700000000001</v>
      </c>
      <c r="G686" s="6" t="inlineStr">
        <is>
          <t>ACESSÓRIOS DE FIXAÇÃO</t>
        </is>
      </c>
      <c r="H686" s="6" t="inlineStr">
        <is>
          <t>CORDAL BH COMERCIO DE CABOS E ACESSORIOS LTDA</t>
        </is>
      </c>
      <c r="I686" s="24" t="n">
        <v>46134</v>
      </c>
      <c r="J686" s="6" t="n">
        <v>4810</v>
      </c>
    </row>
    <row r="687">
      <c r="A687" s="23" t="n">
        <v>46113</v>
      </c>
      <c r="B687" s="6" t="inlineStr">
        <is>
          <t>Pago</t>
        </is>
      </c>
      <c r="C687" s="6" t="inlineStr">
        <is>
          <t>PL530.001</t>
        </is>
      </c>
      <c r="D687" s="6" t="str">
        <f>IFERROR(VLOOKUP(E687,FORNECEDORES!$A$5:$F$999,6,FALSE),"L10")</f>
        <v>L10</v>
      </c>
      <c r="E687" s="6" t="inlineStr">
        <is>
          <t>CORTEZ LOCACAO DE EQUIPAMENTOS LTDA-ME</t>
        </is>
      </c>
      <c r="F687" s="7" t="n">
        <v>17446.41</v>
      </c>
      <c r="G687" s="6" t="inlineStr">
        <is>
          <t>NÃO CLASSIFICADO</t>
        </is>
      </c>
      <c r="H687" s="6" t="inlineStr">
        <is>
          <t>CORTEZ LOCACAO DE EQUIPAMENTOS LTDA-ME</t>
        </is>
      </c>
      <c r="I687" s="24" t="n">
        <v>46122</v>
      </c>
      <c r="J687" s="6" t="n">
        <v>4894</v>
      </c>
    </row>
    <row r="688">
      <c r="A688" s="23" t="n">
        <v>46113</v>
      </c>
      <c r="B688" s="6" t="inlineStr">
        <is>
          <t>Pago</t>
        </is>
      </c>
      <c r="C688" s="6" t="inlineStr">
        <is>
          <t>PL530.001</t>
        </is>
      </c>
      <c r="D688" s="6" t="str">
        <f>IFERROR(VLOOKUP(E688,FORNECEDORES!$A$5:$F$999,6,FALSE),"L10")</f>
        <v>L10</v>
      </c>
      <c r="E688" s="6" t="inlineStr">
        <is>
          <t>CORTEZ LOCACAO DE EQUIPAMENTOS LTDA-ME</t>
        </is>
      </c>
      <c r="F688" s="7" t="n">
        <v>18075.25</v>
      </c>
      <c r="G688" s="6" t="inlineStr">
        <is>
          <t>NÃO CLASSIFICADO</t>
        </is>
      </c>
      <c r="H688" s="6" t="inlineStr">
        <is>
          <t>CORTEZ LOCACAO DE EQUIPAMENTOS LTDA-ME</t>
        </is>
      </c>
      <c r="I688" s="24" t="n">
        <v>46141</v>
      </c>
      <c r="J688" s="6" t="n">
        <v>4989</v>
      </c>
    </row>
    <row r="689">
      <c r="A689" s="23" t="n">
        <v>46113</v>
      </c>
      <c r="B689" s="6" t="inlineStr">
        <is>
          <t>Pago</t>
        </is>
      </c>
      <c r="C689" s="6" t="inlineStr">
        <is>
          <t>PL530.001</t>
        </is>
      </c>
      <c r="D689" s="6" t="str">
        <f>IFERROR(VLOOKUP(E689,FORNECEDORES!$A$5:$F$999,6,FALSE),"L10")</f>
        <v>L10</v>
      </c>
      <c r="E689" s="6" t="inlineStr">
        <is>
          <t>CORTEZ LOCACAO DE EQUIPAMENTOS LTDA-ME</t>
        </is>
      </c>
      <c r="F689" s="7" t="n">
        <v>2486</v>
      </c>
      <c r="G689" s="6" t="inlineStr">
        <is>
          <t>NÃO CLASSIFICADO</t>
        </is>
      </c>
      <c r="H689" s="6" t="inlineStr">
        <is>
          <t>INSS RETIDO PJ - MINISTERIO DA PREVIDENCIA</t>
        </is>
      </c>
      <c r="I689" s="24" t="n">
        <v>46129</v>
      </c>
      <c r="J689" s="6" t="n">
        <v>4581</v>
      </c>
    </row>
    <row r="690">
      <c r="A690" s="23" t="n">
        <v>46113</v>
      </c>
      <c r="B690" s="6" t="inlineStr">
        <is>
          <t>Pago</t>
        </is>
      </c>
      <c r="C690" s="6" t="inlineStr">
        <is>
          <t>PL530.001</t>
        </is>
      </c>
      <c r="D690" s="6" t="str">
        <f>IFERROR(VLOOKUP(E690,FORNECEDORES!$A$5:$F$999,6,FALSE),"L10")</f>
        <v>L10</v>
      </c>
      <c r="E690" s="6" t="inlineStr">
        <is>
          <t>CORTEZ LOCACAO DE EQUIPAMENTOS LTDA-ME</t>
        </is>
      </c>
      <c r="F690" s="7" t="n">
        <v>888.1799999999999</v>
      </c>
      <c r="G690" s="6" t="inlineStr">
        <is>
          <t>NÃO CLASSIFICADO</t>
        </is>
      </c>
      <c r="H690" s="6" t="inlineStr">
        <is>
          <t>PREFEITURA DE BELO HORIZONTE - ISSQN RETIDO</t>
        </is>
      </c>
      <c r="I690" s="24" t="n">
        <v>46120</v>
      </c>
      <c r="J690" s="6" t="n">
        <v>4623</v>
      </c>
    </row>
    <row r="691">
      <c r="A691" s="23" t="n">
        <v>46113</v>
      </c>
      <c r="B691" s="6" t="inlineStr">
        <is>
          <t>Pago</t>
        </is>
      </c>
      <c r="C691" s="6" t="inlineStr">
        <is>
          <t>PL530.001</t>
        </is>
      </c>
      <c r="D691" s="6" t="str">
        <f>IFERROR(VLOOKUP(E691,FORNECEDORES!$A$5:$F$999,6,FALSE),"L10")</f>
        <v>L03</v>
      </c>
      <c r="E691" s="6" t="inlineStr">
        <is>
          <t>DATRON TECNOLOGIA E LOCACAO LTDA</t>
        </is>
      </c>
      <c r="F691" s="7" t="n">
        <v>875</v>
      </c>
      <c r="G691" s="6" t="inlineStr">
        <is>
          <t>LOCAÇÕES</t>
        </is>
      </c>
      <c r="H691" s="6" t="inlineStr">
        <is>
          <t>DATRON TECNOLOGIA E LOCACAO LTDA</t>
        </is>
      </c>
      <c r="I691" s="24" t="n">
        <v>46129</v>
      </c>
      <c r="J691" s="6" t="n">
        <v>4951</v>
      </c>
    </row>
    <row r="692">
      <c r="A692" s="23" t="n">
        <v>46113</v>
      </c>
      <c r="B692" s="6" t="inlineStr">
        <is>
          <t>Pago</t>
        </is>
      </c>
      <c r="C692" s="6" t="inlineStr">
        <is>
          <t>PL530.001</t>
        </is>
      </c>
      <c r="D692" s="6" t="str">
        <f>IFERROR(VLOOKUP(E692,FORNECEDORES!$A$5:$F$999,6,FALSE),"L10")</f>
        <v>L03</v>
      </c>
      <c r="E692" s="6" t="inlineStr">
        <is>
          <t>EDIFICAR LOCACAO MANUTENCAO E SERVICOS LTDA</t>
        </is>
      </c>
      <c r="F692" s="7" t="n">
        <v>1693.11</v>
      </c>
      <c r="G692" s="6" t="inlineStr">
        <is>
          <t>LOCAÇÕES</t>
        </is>
      </c>
      <c r="H692" s="6" t="inlineStr">
        <is>
          <t>EDIFICAR LOCACAO MANUTENCAO E SERVICOS LTDA</t>
        </is>
      </c>
      <c r="I692" s="24" t="n">
        <v>46142</v>
      </c>
      <c r="J692" s="6" t="n">
        <v>5109</v>
      </c>
    </row>
    <row r="693">
      <c r="A693" s="23" t="n">
        <v>46113</v>
      </c>
      <c r="B693" s="6" t="inlineStr">
        <is>
          <t>Pago</t>
        </is>
      </c>
      <c r="C693" s="6" t="inlineStr">
        <is>
          <t>PL530.001</t>
        </is>
      </c>
      <c r="D693" s="6" t="str">
        <f>IFERROR(VLOOKUP(E693,FORNECEDORES!$A$5:$F$999,6,FALSE),"L10")</f>
        <v>L03</v>
      </c>
      <c r="E693" s="6" t="inlineStr">
        <is>
          <t>EUROLINK IMPORTACAO E LOCACAO DE EQUIPAMENTOS LTDA</t>
        </is>
      </c>
      <c r="F693" s="7" t="n">
        <v>9180.98</v>
      </c>
      <c r="G693" s="6" t="inlineStr">
        <is>
          <t>LOCAÇÕES</t>
        </is>
      </c>
      <c r="H693" s="6" t="inlineStr">
        <is>
          <t>EUROLINK IMPORTACAO E LOCACAO DE EQUIPAMENTOS LTDA</t>
        </is>
      </c>
      <c r="I693" s="24" t="n">
        <v>46139</v>
      </c>
      <c r="J693" s="6" t="n">
        <v>5082</v>
      </c>
    </row>
    <row r="694">
      <c r="A694" s="23" t="n">
        <v>46113</v>
      </c>
      <c r="B694" s="6" t="inlineStr">
        <is>
          <t>Pago</t>
        </is>
      </c>
      <c r="C694" s="6" t="inlineStr">
        <is>
          <t>PL530.001</t>
        </is>
      </c>
      <c r="D694" s="6" t="str">
        <f>IFERROR(VLOOKUP(E694,FORNECEDORES!$A$5:$F$999,6,FALSE),"L10")</f>
        <v>L03</v>
      </c>
      <c r="E694" s="6" t="inlineStr">
        <is>
          <t>EUROLINK IMPORTACAO E LOCACAO DE EQUIPAMENTOS LTDA</t>
        </is>
      </c>
      <c r="F694" s="7" t="n">
        <v>350</v>
      </c>
      <c r="G694" s="6" t="inlineStr">
        <is>
          <t>LOCAÇÕES</t>
        </is>
      </c>
      <c r="H694" s="6" t="inlineStr">
        <is>
          <t>EUROLINK IMPORTACAO E LOCACAO DE EQUIPAMENTOS LTDA</t>
        </is>
      </c>
      <c r="I694" s="24" t="n">
        <v>46139</v>
      </c>
      <c r="J694" s="6" t="n">
        <v>5083</v>
      </c>
    </row>
    <row r="695">
      <c r="A695" s="23" t="n">
        <v>46113</v>
      </c>
      <c r="B695" s="6" t="inlineStr">
        <is>
          <t>Pago</t>
        </is>
      </c>
      <c r="C695" s="6" t="inlineStr">
        <is>
          <t>PL530.001</t>
        </is>
      </c>
      <c r="D695" s="6" t="str">
        <f>IFERROR(VLOOKUP(E695,FORNECEDORES!$A$5:$F$999,6,FALSE),"L10")</f>
        <v>L04</v>
      </c>
      <c r="E695" s="6" t="inlineStr">
        <is>
          <t>EXXI GLOBAL DO BRASIL LTDA</t>
        </is>
      </c>
      <c r="F695" s="7" t="n">
        <v>125</v>
      </c>
      <c r="G695" s="6" t="inlineStr">
        <is>
          <t>FRETE</t>
        </is>
      </c>
      <c r="H695" s="6" t="inlineStr">
        <is>
          <t>EXXI GLOBAL DO BRASIL LTDA</t>
        </is>
      </c>
      <c r="I695" s="24" t="n">
        <v>46128</v>
      </c>
      <c r="J695" s="6" t="n">
        <v>4402</v>
      </c>
    </row>
    <row r="696">
      <c r="A696" s="23" t="n">
        <v>46113</v>
      </c>
      <c r="B696" s="6" t="inlineStr">
        <is>
          <t>Pago</t>
        </is>
      </c>
      <c r="C696" s="6" t="inlineStr">
        <is>
          <t>PL530.001</t>
        </is>
      </c>
      <c r="D696" s="6" t="str">
        <f>IFERROR(VLOOKUP(E696,FORNECEDORES!$A$5:$F$999,6,FALSE),"L10")</f>
        <v>L04</v>
      </c>
      <c r="E696" s="6" t="inlineStr">
        <is>
          <t>EXXI GLOBAL DO BRASIL LTDA</t>
        </is>
      </c>
      <c r="F696" s="7" t="n">
        <v>150</v>
      </c>
      <c r="G696" s="6" t="inlineStr">
        <is>
          <t>FRETE</t>
        </is>
      </c>
      <c r="H696" s="6" t="inlineStr">
        <is>
          <t>EXXI GLOBAL DO BRASIL LTDA</t>
        </is>
      </c>
      <c r="I696" s="24" t="n">
        <v>46141</v>
      </c>
      <c r="J696" s="6" t="n">
        <v>4830</v>
      </c>
    </row>
    <row r="697">
      <c r="A697" s="23" t="n">
        <v>46113</v>
      </c>
      <c r="B697" s="6" t="inlineStr">
        <is>
          <t>Pago</t>
        </is>
      </c>
      <c r="C697" s="6" t="inlineStr">
        <is>
          <t>PL530.001</t>
        </is>
      </c>
      <c r="D697" s="6" t="str">
        <f>IFERROR(VLOOKUP(E697,FORNECEDORES!$A$5:$F$999,6,FALSE),"L10")</f>
        <v>L04</v>
      </c>
      <c r="E697" s="6" t="inlineStr">
        <is>
          <t>EXXI GLOBAL DO BRASIL LTDA</t>
        </is>
      </c>
      <c r="F697" s="7" t="n">
        <v>1872</v>
      </c>
      <c r="G697" s="6" t="inlineStr">
        <is>
          <t>FORMA DE MADEIRA</t>
        </is>
      </c>
      <c r="H697" s="6" t="inlineStr">
        <is>
          <t>EXXI GLOBAL DO BRASIL LTDA</t>
        </is>
      </c>
      <c r="I697" s="24" t="n">
        <v>46141</v>
      </c>
      <c r="J697" s="6" t="n">
        <v>4830</v>
      </c>
    </row>
    <row r="698">
      <c r="A698" s="23" t="n">
        <v>46113</v>
      </c>
      <c r="B698" s="6" t="inlineStr">
        <is>
          <t>Pago</t>
        </is>
      </c>
      <c r="C698" s="6" t="inlineStr">
        <is>
          <t>PL530.001</t>
        </is>
      </c>
      <c r="D698" s="6" t="str">
        <f>IFERROR(VLOOKUP(E698,FORNECEDORES!$A$5:$F$999,6,FALSE),"L10")</f>
        <v>L04</v>
      </c>
      <c r="E698" s="6" t="inlineStr">
        <is>
          <t>EXXI GLOBAL DO BRASIL LTDA</t>
        </is>
      </c>
      <c r="F698" s="7" t="n">
        <v>3060.05</v>
      </c>
      <c r="G698" s="6" t="inlineStr">
        <is>
          <t>FORMA DE MADEIRA</t>
        </is>
      </c>
      <c r="H698" s="6" t="inlineStr">
        <is>
          <t>EXXI GLOBAL DO BRASIL LTDA</t>
        </is>
      </c>
      <c r="I698" s="24" t="n">
        <v>46141</v>
      </c>
      <c r="J698" s="6" t="n">
        <v>4830</v>
      </c>
    </row>
    <row r="699">
      <c r="A699" s="23" t="n">
        <v>46113</v>
      </c>
      <c r="B699" s="6" t="inlineStr">
        <is>
          <t>Pago</t>
        </is>
      </c>
      <c r="C699" s="6" t="inlineStr">
        <is>
          <t>PL530.001</t>
        </is>
      </c>
      <c r="D699" s="6" t="str">
        <f>IFERROR(VLOOKUP(E699,FORNECEDORES!$A$5:$F$999,6,FALSE),"L10")</f>
        <v>L04</v>
      </c>
      <c r="E699" s="6" t="inlineStr">
        <is>
          <t>EXXI GLOBAL DO BRASIL LTDA</t>
        </is>
      </c>
      <c r="F699" s="7" t="n">
        <v>2339.99</v>
      </c>
      <c r="G699" s="6" t="inlineStr">
        <is>
          <t>FORMA DE MADEIRA</t>
        </is>
      </c>
      <c r="H699" s="6" t="inlineStr">
        <is>
          <t>EXXI GLOBAL DO BRASIL LTDA</t>
        </is>
      </c>
      <c r="I699" s="24" t="n">
        <v>46128</v>
      </c>
      <c r="J699" s="6" t="n">
        <v>4402</v>
      </c>
    </row>
    <row r="700">
      <c r="A700" s="23" t="n">
        <v>46113</v>
      </c>
      <c r="B700" s="6" t="inlineStr">
        <is>
          <t>Pago</t>
        </is>
      </c>
      <c r="C700" s="6" t="inlineStr">
        <is>
          <t>PL530.001</t>
        </is>
      </c>
      <c r="D700" s="6" t="str">
        <f>IFERROR(VLOOKUP(E700,FORNECEDORES!$A$5:$F$999,6,FALSE),"L10")</f>
        <v>L10</v>
      </c>
      <c r="E700" s="6" t="inlineStr">
        <is>
          <t>FIAO LOCACOES E TRANSPORTES LTDA</t>
        </is>
      </c>
      <c r="F700" s="7" t="n">
        <v>8145.9</v>
      </c>
      <c r="G700" s="6" t="inlineStr">
        <is>
          <t>NÃO CLASSIFICADO</t>
        </is>
      </c>
      <c r="H700" s="6" t="inlineStr">
        <is>
          <t>FIAO LOCACOES E TRANSPORTES LTDA</t>
        </is>
      </c>
      <c r="I700" s="24" t="n">
        <v>46132</v>
      </c>
      <c r="J700" s="6" t="n">
        <v>4853</v>
      </c>
    </row>
    <row r="701">
      <c r="A701" s="23" t="n">
        <v>46113</v>
      </c>
      <c r="B701" s="6" t="inlineStr">
        <is>
          <t>Pago</t>
        </is>
      </c>
      <c r="C701" s="6" t="inlineStr">
        <is>
          <t>PL530.001</t>
        </is>
      </c>
      <c r="D701" s="6" t="str">
        <f>IFERROR(VLOOKUP(E701,FORNECEDORES!$A$5:$F$999,6,FALSE),"L10")</f>
        <v>L10</v>
      </c>
      <c r="E701" s="6" t="inlineStr">
        <is>
          <t>FIAO LOCACOES E TRANSPORTES LTDA</t>
        </is>
      </c>
      <c r="F701" s="7" t="n">
        <v>247.5</v>
      </c>
      <c r="G701" s="6" t="inlineStr">
        <is>
          <t>NÃO CLASSIFICADO</t>
        </is>
      </c>
      <c r="H701" s="6" t="inlineStr">
        <is>
          <t>INSS RETIDO PJ - MINISTERIO DA PREVIDENCIA</t>
        </is>
      </c>
      <c r="I701" s="24" t="n">
        <v>46129</v>
      </c>
      <c r="J701" s="6" t="n">
        <v>4764</v>
      </c>
    </row>
    <row r="702">
      <c r="A702" s="23" t="n">
        <v>46113</v>
      </c>
      <c r="B702" s="6" t="inlineStr">
        <is>
          <t>Pago</t>
        </is>
      </c>
      <c r="C702" s="6" t="inlineStr">
        <is>
          <t>PL530.001</t>
        </is>
      </c>
      <c r="D702" s="6" t="str">
        <f>IFERROR(VLOOKUP(E702,FORNECEDORES!$A$5:$F$999,6,FALSE),"L10")</f>
        <v>L10</v>
      </c>
      <c r="E702" s="6" t="inlineStr">
        <is>
          <t>FIAO LOCACOES E TRANSPORTES LTDA</t>
        </is>
      </c>
      <c r="F702" s="7" t="n">
        <v>180.9</v>
      </c>
      <c r="G702" s="6" t="inlineStr">
        <is>
          <t>NÃO CLASSIFICADO</t>
        </is>
      </c>
      <c r="H702" s="6" t="inlineStr">
        <is>
          <t>PREFEITURA DE BELO HORIZONTE - ISSQN RETIDO</t>
        </is>
      </c>
      <c r="I702" s="24" t="n">
        <v>46120</v>
      </c>
      <c r="J702" s="6" t="n">
        <v>4765</v>
      </c>
    </row>
    <row r="703">
      <c r="A703" s="23" t="n">
        <v>46113</v>
      </c>
      <c r="B703" s="6" t="inlineStr">
        <is>
          <t>Pago</t>
        </is>
      </c>
      <c r="C703" s="6" t="inlineStr">
        <is>
          <t>PL530.001</t>
        </is>
      </c>
      <c r="D703" s="6" t="str">
        <f>IFERROR(VLOOKUP(E703,FORNECEDORES!$A$5:$F$999,6,FALSE),"L10")</f>
        <v>L04</v>
      </c>
      <c r="E703" s="6" t="inlineStr">
        <is>
          <t>JRE COMERCIO DE MADEIRAS LTDA</t>
        </is>
      </c>
      <c r="F703" s="7" t="n">
        <v>10250</v>
      </c>
      <c r="G703" s="6" t="inlineStr">
        <is>
          <t>FORMA DE MADEIRA</t>
        </is>
      </c>
      <c r="H703" s="6" t="inlineStr">
        <is>
          <t>JRE COMERCIO DE MADEIRAS LTDA</t>
        </is>
      </c>
      <c r="I703" s="24" t="n">
        <v>46128</v>
      </c>
      <c r="J703" s="6" t="n">
        <v>4403</v>
      </c>
    </row>
    <row r="704">
      <c r="A704" s="23" t="n">
        <v>46113</v>
      </c>
      <c r="B704" s="6" t="inlineStr">
        <is>
          <t>Pago</t>
        </is>
      </c>
      <c r="C704" s="6" t="inlineStr">
        <is>
          <t>PL530.001</t>
        </is>
      </c>
      <c r="D704" s="6" t="str">
        <f>IFERROR(VLOOKUP(E704,FORNECEDORES!$A$5:$F$999,6,FALSE),"L10")</f>
        <v>L03</v>
      </c>
      <c r="E704" s="6" t="inlineStr">
        <is>
          <t>LOC MASTER LOCADORA DE EQUIPAMENTOS LTDA</t>
        </is>
      </c>
      <c r="F704" s="7" t="n">
        <v>990</v>
      </c>
      <c r="G704" s="6" t="inlineStr">
        <is>
          <t>LOCAÇÕES</t>
        </is>
      </c>
      <c r="H704" s="6" t="inlineStr">
        <is>
          <t>LOC MASTER LOCADORA DE EQUIPAMENTOS LTDA</t>
        </is>
      </c>
      <c r="I704" s="24" t="n">
        <v>46142</v>
      </c>
      <c r="J704" s="6" t="n">
        <v>5110</v>
      </c>
    </row>
    <row r="705">
      <c r="A705" s="23" t="n">
        <v>46113</v>
      </c>
      <c r="B705" s="6" t="inlineStr">
        <is>
          <t>Pago</t>
        </is>
      </c>
      <c r="C705" s="6" t="inlineStr">
        <is>
          <t>PL530.001</t>
        </is>
      </c>
      <c r="D705" s="6" t="str">
        <f>IFERROR(VLOOKUP(E705,FORNECEDORES!$A$5:$F$999,6,FALSE),"L10")</f>
        <v>L03</v>
      </c>
      <c r="E705" s="6" t="inlineStr">
        <is>
          <t>LOC MASTER LOCADORA DE EQUIPAMENTOS LTDA</t>
        </is>
      </c>
      <c r="F705" s="7" t="n">
        <v>704</v>
      </c>
      <c r="G705" s="6" t="inlineStr">
        <is>
          <t>NÃO CLASSIFICADO</t>
        </is>
      </c>
      <c r="H705" s="6" t="inlineStr">
        <is>
          <t>INSS RETIDO PJ - MINISTERIO DA PREVIDENCIA</t>
        </is>
      </c>
      <c r="I705" s="24" t="n">
        <v>46129</v>
      </c>
      <c r="J705" s="6" t="n">
        <v>4705</v>
      </c>
    </row>
    <row r="706">
      <c r="A706" s="23" t="n">
        <v>46113</v>
      </c>
      <c r="B706" s="6" t="inlineStr">
        <is>
          <t>Pago</t>
        </is>
      </c>
      <c r="C706" s="6" t="inlineStr">
        <is>
          <t>PL530.001</t>
        </is>
      </c>
      <c r="D706" s="6" t="str">
        <f>IFERROR(VLOOKUP(E706,FORNECEDORES!$A$5:$F$999,6,FALSE),"L10")</f>
        <v>L03</v>
      </c>
      <c r="E706" s="6" t="inlineStr">
        <is>
          <t>LOC MASTER LOCADORA DE EQUIPAMENTOS LTDA</t>
        </is>
      </c>
      <c r="F706" s="7" t="n">
        <v>320</v>
      </c>
      <c r="G706" s="6" t="inlineStr">
        <is>
          <t>NÃO CLASSIFICADO</t>
        </is>
      </c>
      <c r="H706" s="6" t="inlineStr">
        <is>
          <t>PREFEITURA DE BELO HORIZONTE - ISSQN RETIDO</t>
        </is>
      </c>
      <c r="I706" s="24" t="n">
        <v>46120</v>
      </c>
      <c r="J706" s="6" t="n">
        <v>4703</v>
      </c>
    </row>
    <row r="707">
      <c r="A707" s="23" t="n">
        <v>46113</v>
      </c>
      <c r="B707" s="6" t="inlineStr">
        <is>
          <t>Pago</t>
        </is>
      </c>
      <c r="C707" s="6" t="inlineStr">
        <is>
          <t>PL530.001</t>
        </is>
      </c>
      <c r="D707" s="6" t="str">
        <f>IFERROR(VLOOKUP(E707,FORNECEDORES!$A$5:$F$999,6,FALSE),"L10")</f>
        <v>L03</v>
      </c>
      <c r="E707" s="6" t="inlineStr">
        <is>
          <t>LOCAFAZ LOCACAO DE EQUIPAMENTOS LTDA</t>
        </is>
      </c>
      <c r="F707" s="7" t="n">
        <v>109</v>
      </c>
      <c r="G707" s="6" t="inlineStr">
        <is>
          <t>LOCAÇÕES</t>
        </is>
      </c>
      <c r="H707" s="6" t="inlineStr">
        <is>
          <t>LOCAFAZ LOCACAO DE EQUIPAMENTOS LTDA</t>
        </is>
      </c>
      <c r="I707" s="24" t="n">
        <v>46139</v>
      </c>
      <c r="J707" s="6" t="n">
        <v>5089</v>
      </c>
    </row>
    <row r="708">
      <c r="A708" s="23" t="n">
        <v>46113</v>
      </c>
      <c r="B708" s="6" t="inlineStr">
        <is>
          <t>Pago</t>
        </is>
      </c>
      <c r="C708" s="6" t="inlineStr">
        <is>
          <t>PL530.001</t>
        </is>
      </c>
      <c r="D708" s="6" t="str">
        <f>IFERROR(VLOOKUP(E708,FORNECEDORES!$A$5:$F$999,6,FALSE),"L10")</f>
        <v>L03</v>
      </c>
      <c r="E708" s="6" t="inlineStr">
        <is>
          <t>LOCAFAZ LOCACAO DE EQUIPAMENTOS LTDA</t>
        </is>
      </c>
      <c r="F708" s="7" t="n">
        <v>850</v>
      </c>
      <c r="G708" s="6" t="inlineStr">
        <is>
          <t>LOCAÇÕES</t>
        </is>
      </c>
      <c r="H708" s="6" t="inlineStr">
        <is>
          <t>LOCAFAZ LOCACAO DE EQUIPAMENTOS LTDA</t>
        </is>
      </c>
      <c r="I708" s="24" t="n">
        <v>46139</v>
      </c>
      <c r="J708" s="6" t="n">
        <v>5089</v>
      </c>
    </row>
    <row r="709">
      <c r="A709" s="23" t="n">
        <v>46113</v>
      </c>
      <c r="B709" s="6" t="inlineStr">
        <is>
          <t>Pago</t>
        </is>
      </c>
      <c r="C709" s="6" t="inlineStr">
        <is>
          <t>PL530.001</t>
        </is>
      </c>
      <c r="D709" s="6" t="str">
        <f>IFERROR(VLOOKUP(E709,FORNECEDORES!$A$5:$F$999,6,FALSE),"L10")</f>
        <v>L03</v>
      </c>
      <c r="E709" s="6" t="inlineStr">
        <is>
          <t>LOCAFAZ LOCACAO DE EQUIPAMENTOS LTDA</t>
        </is>
      </c>
      <c r="F709" s="7" t="n">
        <v>519</v>
      </c>
      <c r="G709" s="6" t="inlineStr">
        <is>
          <t>LOCAÇÕES</t>
        </is>
      </c>
      <c r="H709" s="6" t="inlineStr">
        <is>
          <t>LOCAFAZ LOCACAO DE EQUIPAMENTOS LTDA</t>
        </is>
      </c>
      <c r="I709" s="24" t="n">
        <v>46139</v>
      </c>
      <c r="J709" s="6" t="n">
        <v>5089</v>
      </c>
    </row>
    <row r="710">
      <c r="A710" s="23" t="n">
        <v>46113</v>
      </c>
      <c r="B710" s="6" t="inlineStr">
        <is>
          <t>Pago</t>
        </is>
      </c>
      <c r="C710" s="6" t="inlineStr">
        <is>
          <t>PL530.001</t>
        </is>
      </c>
      <c r="D710" s="6" t="str">
        <f>IFERROR(VLOOKUP(E710,FORNECEDORES!$A$5:$F$999,6,FALSE),"L10")</f>
        <v>L03</v>
      </c>
      <c r="E710" s="6" t="inlineStr">
        <is>
          <t>LOCAFAZ LOCACAO DE EQUIPAMENTOS LTDA</t>
        </is>
      </c>
      <c r="F710" s="7" t="n">
        <v>327</v>
      </c>
      <c r="G710" s="6" t="inlineStr">
        <is>
          <t>LOCAÇÕES</t>
        </is>
      </c>
      <c r="H710" s="6" t="inlineStr">
        <is>
          <t>LOCAFAZ LOCACAO DE EQUIPAMENTOS LTDA</t>
        </is>
      </c>
      <c r="I710" s="24" t="n">
        <v>46129</v>
      </c>
      <c r="J710" s="6" t="n">
        <v>4952</v>
      </c>
    </row>
    <row r="711">
      <c r="A711" s="23" t="n">
        <v>46113</v>
      </c>
      <c r="B711" s="6" t="inlineStr">
        <is>
          <t>Pago</t>
        </is>
      </c>
      <c r="C711" s="6" t="inlineStr">
        <is>
          <t>PL530.001</t>
        </is>
      </c>
      <c r="D711" s="6" t="str">
        <f>IFERROR(VLOOKUP(E711,FORNECEDORES!$A$5:$F$999,6,FALSE),"L10")</f>
        <v>L03</v>
      </c>
      <c r="E711" s="6" t="inlineStr">
        <is>
          <t>LOCAFAZ LOCACAO DE EQUIPAMENTOS LTDA</t>
        </is>
      </c>
      <c r="F711" s="7" t="n">
        <v>414</v>
      </c>
      <c r="G711" s="6" t="inlineStr">
        <is>
          <t>LOCAÇÕES</t>
        </is>
      </c>
      <c r="H711" s="6" t="inlineStr">
        <is>
          <t>LOCAFAZ LOCACAO DE EQUIPAMENTOS LTDA</t>
        </is>
      </c>
      <c r="I711" s="24" t="n">
        <v>46129</v>
      </c>
      <c r="J711" s="6" t="n">
        <v>4952</v>
      </c>
    </row>
    <row r="712">
      <c r="A712" s="23" t="n">
        <v>46113</v>
      </c>
      <c r="B712" s="6" t="inlineStr">
        <is>
          <t>Pago</t>
        </is>
      </c>
      <c r="C712" s="6" t="inlineStr">
        <is>
          <t>PL530.001</t>
        </is>
      </c>
      <c r="D712" s="6" t="str">
        <f>IFERROR(VLOOKUP(E712,FORNECEDORES!$A$5:$F$999,6,FALSE),"L10")</f>
        <v>L03</v>
      </c>
      <c r="E712" s="6" t="inlineStr">
        <is>
          <t>LOCAFAZ LOCACAO DE EQUIPAMENTOS LTDA</t>
        </is>
      </c>
      <c r="F712" s="7" t="n">
        <v>550</v>
      </c>
      <c r="G712" s="6" t="inlineStr">
        <is>
          <t>LOCAÇÕES</t>
        </is>
      </c>
      <c r="H712" s="6" t="inlineStr">
        <is>
          <t>LOCAFAZ LOCACAO DE EQUIPAMENTOS LTDA</t>
        </is>
      </c>
      <c r="I712" s="24" t="n">
        <v>46129</v>
      </c>
      <c r="J712" s="6" t="n">
        <v>4952</v>
      </c>
    </row>
    <row r="713">
      <c r="A713" s="23" t="n">
        <v>46113</v>
      </c>
      <c r="B713" s="6" t="inlineStr">
        <is>
          <t>Pago</t>
        </is>
      </c>
      <c r="C713" s="6" t="inlineStr">
        <is>
          <t>PL530.001</t>
        </is>
      </c>
      <c r="D713" s="6" t="str">
        <f>IFERROR(VLOOKUP(E713,FORNECEDORES!$A$5:$F$999,6,FALSE),"L10")</f>
        <v>L03</v>
      </c>
      <c r="E713" s="6" t="inlineStr">
        <is>
          <t>LOCAFAZ LOCACAO DE EQUIPAMENTOS LTDA</t>
        </is>
      </c>
      <c r="F713" s="7" t="n">
        <v>574</v>
      </c>
      <c r="G713" s="6" t="inlineStr">
        <is>
          <t>LOCAÇÕES</t>
        </is>
      </c>
      <c r="H713" s="6" t="inlineStr">
        <is>
          <t>LOCAFAZ LOCACAO DE EQUIPAMENTOS LTDA</t>
        </is>
      </c>
      <c r="I713" s="24" t="n">
        <v>46129</v>
      </c>
      <c r="J713" s="6" t="n">
        <v>4952</v>
      </c>
    </row>
    <row r="714">
      <c r="A714" s="23" t="n">
        <v>46113</v>
      </c>
      <c r="B714" s="6" t="inlineStr">
        <is>
          <t>Pago</t>
        </is>
      </c>
      <c r="C714" s="6" t="inlineStr">
        <is>
          <t>PL530.001</t>
        </is>
      </c>
      <c r="D714" s="6" t="str">
        <f>IFERROR(VLOOKUP(E714,FORNECEDORES!$A$5:$F$999,6,FALSE),"L10")</f>
        <v>L03</v>
      </c>
      <c r="E714" s="6" t="inlineStr">
        <is>
          <t>LOCAFAZ LOCACAO DE EQUIPAMENTOS LTDA</t>
        </is>
      </c>
      <c r="F714" s="7" t="n">
        <v>550</v>
      </c>
      <c r="G714" s="6" t="inlineStr">
        <is>
          <t>LOCAÇÕES</t>
        </is>
      </c>
      <c r="H714" s="6" t="inlineStr">
        <is>
          <t>LOCAFAZ LOCACAO DE EQUIPAMENTOS LTDA</t>
        </is>
      </c>
      <c r="I714" s="24" t="n">
        <v>46139</v>
      </c>
      <c r="J714" s="6" t="n">
        <v>5089</v>
      </c>
    </row>
    <row r="715">
      <c r="A715" s="23" t="n">
        <v>46113</v>
      </c>
      <c r="B715" s="6" t="inlineStr">
        <is>
          <t>Pago</t>
        </is>
      </c>
      <c r="C715" s="6" t="inlineStr">
        <is>
          <t>PL530.001</t>
        </is>
      </c>
      <c r="D715" s="6" t="str">
        <f>IFERROR(VLOOKUP(E715,FORNECEDORES!$A$5:$F$999,6,FALSE),"L10")</f>
        <v>L03</v>
      </c>
      <c r="E715" s="6" t="inlineStr">
        <is>
          <t>LOCAFAZ LOCACAO DE EQUIPAMENTOS LTDA</t>
        </is>
      </c>
      <c r="F715" s="7" t="n">
        <v>687</v>
      </c>
      <c r="G715" s="6" t="inlineStr">
        <is>
          <t>LOCAÇÕES</t>
        </is>
      </c>
      <c r="H715" s="6" t="inlineStr">
        <is>
          <t>LOCAFAZ LOCACAO DE EQUIPAMENTOS LTDA</t>
        </is>
      </c>
      <c r="I715" s="24" t="n">
        <v>46139</v>
      </c>
      <c r="J715" s="6" t="n">
        <v>5089</v>
      </c>
    </row>
    <row r="716">
      <c r="A716" s="23" t="n">
        <v>46113</v>
      </c>
      <c r="B716" s="6" t="inlineStr">
        <is>
          <t>Pago</t>
        </is>
      </c>
      <c r="C716" s="6" t="inlineStr">
        <is>
          <t>PL530.001</t>
        </is>
      </c>
      <c r="D716" s="6" t="str">
        <f>IFERROR(VLOOKUP(E716,FORNECEDORES!$A$5:$F$999,6,FALSE),"L10")</f>
        <v>L03</v>
      </c>
      <c r="E716" s="6" t="inlineStr">
        <is>
          <t>LOCAFAZ LOCACAO DE EQUIPAMENTOS LTDA</t>
        </is>
      </c>
      <c r="F716" s="7" t="n">
        <v>2000</v>
      </c>
      <c r="G716" s="6" t="inlineStr">
        <is>
          <t>LOCAÇÕES</t>
        </is>
      </c>
      <c r="H716" s="6" t="inlineStr">
        <is>
          <t>LOCAFAZ LOCACAO DE EQUIPAMENTOS LTDA</t>
        </is>
      </c>
      <c r="I716" s="24" t="n">
        <v>46139</v>
      </c>
      <c r="J716" s="6" t="n">
        <v>5089</v>
      </c>
    </row>
    <row r="717">
      <c r="A717" s="23" t="n">
        <v>46113</v>
      </c>
      <c r="B717" s="6" t="inlineStr">
        <is>
          <t>Pago</t>
        </is>
      </c>
      <c r="C717" s="6" t="inlineStr">
        <is>
          <t>PL530.001</t>
        </is>
      </c>
      <c r="D717" s="6" t="str">
        <f>IFERROR(VLOOKUP(E717,FORNECEDORES!$A$5:$F$999,6,FALSE),"L10")</f>
        <v>L03</v>
      </c>
      <c r="E717" s="6" t="inlineStr">
        <is>
          <t>LOCAFAZ LOCACAO DE EQUIPAMENTOS LTDA</t>
        </is>
      </c>
      <c r="F717" s="7" t="n">
        <v>550</v>
      </c>
      <c r="G717" s="6" t="inlineStr">
        <is>
          <t>LOCAÇÕES</t>
        </is>
      </c>
      <c r="H717" s="6" t="inlineStr">
        <is>
          <t>LOCAFAZ LOCACAO DE EQUIPAMENTOS LTDA</t>
        </is>
      </c>
      <c r="I717" s="24" t="n">
        <v>46129</v>
      </c>
      <c r="J717" s="6" t="n">
        <v>4952</v>
      </c>
    </row>
    <row r="718">
      <c r="A718" s="23" t="n">
        <v>46113</v>
      </c>
      <c r="B718" s="6" t="inlineStr">
        <is>
          <t>Pago</t>
        </is>
      </c>
      <c r="C718" s="6" t="inlineStr">
        <is>
          <t>PL530.001</t>
        </is>
      </c>
      <c r="D718" s="6" t="str">
        <f>IFERROR(VLOOKUP(E718,FORNECEDORES!$A$5:$F$999,6,FALSE),"L10")</f>
        <v>L03</v>
      </c>
      <c r="E718" s="6" t="inlineStr">
        <is>
          <t>LOCAFAZ LOCACAO DE EQUIPAMENTOS LTDA</t>
        </is>
      </c>
      <c r="F718" s="7" t="n">
        <v>2500</v>
      </c>
      <c r="G718" s="6" t="inlineStr">
        <is>
          <t>LOCAÇÕES</t>
        </is>
      </c>
      <c r="H718" s="6" t="inlineStr">
        <is>
          <t>LOCAFAZ LOCACAO DE EQUIPAMENTOS LTDA</t>
        </is>
      </c>
      <c r="I718" s="24" t="n">
        <v>46129</v>
      </c>
      <c r="J718" s="6" t="n">
        <v>4952</v>
      </c>
    </row>
    <row r="719">
      <c r="A719" s="23" t="n">
        <v>46113</v>
      </c>
      <c r="B719" s="6" t="inlineStr">
        <is>
          <t>Pago</t>
        </is>
      </c>
      <c r="C719" s="6" t="inlineStr">
        <is>
          <t>PL530.001</t>
        </is>
      </c>
      <c r="D719" s="6" t="str">
        <f>IFERROR(VLOOKUP(E719,FORNECEDORES!$A$5:$F$999,6,FALSE),"L10")</f>
        <v>L03</v>
      </c>
      <c r="E719" s="6" t="inlineStr">
        <is>
          <t>LOCAFAZ LOCACAO DE EQUIPAMENTOS LTDA</t>
        </is>
      </c>
      <c r="F719" s="7" t="n">
        <v>1190.2</v>
      </c>
      <c r="G719" s="6" t="inlineStr">
        <is>
          <t>LOCAÇÕES</t>
        </is>
      </c>
      <c r="H719" s="6" t="inlineStr">
        <is>
          <t>LOCAFAZ LOCACAO DE EQUIPAMENTOS LTDA</t>
        </is>
      </c>
      <c r="I719" s="24" t="n">
        <v>46141</v>
      </c>
      <c r="J719" s="6" t="n">
        <v>3515</v>
      </c>
    </row>
    <row r="720">
      <c r="A720" s="23" t="n">
        <v>46113</v>
      </c>
      <c r="B720" s="6" t="inlineStr">
        <is>
          <t>Pago</t>
        </is>
      </c>
      <c r="C720" s="6" t="inlineStr">
        <is>
          <t>PL530.001</t>
        </is>
      </c>
      <c r="D720" s="6" t="str">
        <f>IFERROR(VLOOKUP(E720,FORNECEDORES!$A$5:$F$999,6,FALSE),"L10")</f>
        <v>L03</v>
      </c>
      <c r="E720" s="6" t="inlineStr">
        <is>
          <t>LOCAFAZ LOCACAO DE EQUIPAMENTOS LTDA</t>
        </is>
      </c>
      <c r="F720" s="7" t="n">
        <v>1190.2</v>
      </c>
      <c r="G720" s="6" t="inlineStr">
        <is>
          <t>LOCAÇÕES</t>
        </is>
      </c>
      <c r="H720" s="6" t="inlineStr">
        <is>
          <t>LOCAFAZ LOCACAO DE EQUIPAMENTOS LTDA</t>
        </is>
      </c>
      <c r="I720" s="24" t="n">
        <v>46114</v>
      </c>
      <c r="J720" s="6" t="n">
        <v>3515</v>
      </c>
    </row>
    <row r="721">
      <c r="A721" s="23" t="n">
        <v>46113</v>
      </c>
      <c r="B721" s="6" t="inlineStr">
        <is>
          <t>Pago</t>
        </is>
      </c>
      <c r="C721" s="6" t="inlineStr">
        <is>
          <t>PL530.001</t>
        </is>
      </c>
      <c r="D721" s="6" t="str">
        <f>IFERROR(VLOOKUP(E721,FORNECEDORES!$A$5:$F$999,6,FALSE),"L10")</f>
        <v>L01</v>
      </c>
      <c r="E721" s="6" t="inlineStr">
        <is>
          <t>LOJA DOS PARAFUSOS LTDA</t>
        </is>
      </c>
      <c r="F721" s="7" t="n">
        <v>185</v>
      </c>
      <c r="G721" s="6" t="inlineStr">
        <is>
          <t>ACESSÓRIOS DE FIXAÇÃO</t>
        </is>
      </c>
      <c r="H721" s="6" t="inlineStr">
        <is>
          <t>LOJA DOS PARAFUSOS LTDA</t>
        </is>
      </c>
      <c r="I721" s="24" t="n">
        <v>46141</v>
      </c>
      <c r="J721" s="6" t="n">
        <v>4837</v>
      </c>
    </row>
    <row r="722">
      <c r="A722" s="23" t="n">
        <v>46113</v>
      </c>
      <c r="B722" s="6" t="inlineStr">
        <is>
          <t>Pago</t>
        </is>
      </c>
      <c r="C722" s="6" t="inlineStr">
        <is>
          <t>PL530.001</t>
        </is>
      </c>
      <c r="D722" s="6" t="str">
        <f>IFERROR(VLOOKUP(E722,FORNECEDORES!$A$5:$F$999,6,FALSE),"L10")</f>
        <v>L01</v>
      </c>
      <c r="E722" s="6" t="inlineStr">
        <is>
          <t>LOJA DOS PARAFUSOS LTDA</t>
        </is>
      </c>
      <c r="F722" s="7" t="n">
        <v>462</v>
      </c>
      <c r="G722" s="6" t="inlineStr">
        <is>
          <t>ACESSÓRIOS DE FIXAÇÃO</t>
        </is>
      </c>
      <c r="H722" s="6" t="inlineStr">
        <is>
          <t>LOJA DOS PARAFUSOS LTDA</t>
        </is>
      </c>
      <c r="I722" s="24" t="n">
        <v>46120</v>
      </c>
      <c r="J722" s="6" t="n">
        <v>4663</v>
      </c>
    </row>
    <row r="723">
      <c r="A723" s="23" t="n">
        <v>46113</v>
      </c>
      <c r="B723" s="6" t="inlineStr">
        <is>
          <t>Pago</t>
        </is>
      </c>
      <c r="C723" s="6" t="inlineStr">
        <is>
          <t>PL530.001</t>
        </is>
      </c>
      <c r="D723" s="6" t="str">
        <f>IFERROR(VLOOKUP(E723,FORNECEDORES!$A$5:$F$999,6,FALSE),"L10")</f>
        <v>L01</v>
      </c>
      <c r="E723" s="6" t="inlineStr">
        <is>
          <t>LOJA DOS PARAFUSOS LTDA</t>
        </is>
      </c>
      <c r="F723" s="7" t="n">
        <v>52</v>
      </c>
      <c r="G723" s="6" t="inlineStr">
        <is>
          <t>ACESSÓRIOS DE FIXAÇÃO</t>
        </is>
      </c>
      <c r="H723" s="6" t="inlineStr">
        <is>
          <t>LOJA DOS PARAFUSOS LTDA</t>
        </is>
      </c>
      <c r="I723" s="24" t="n">
        <v>46120</v>
      </c>
      <c r="J723" s="6" t="n">
        <v>4663</v>
      </c>
    </row>
    <row r="724">
      <c r="A724" s="23" t="n">
        <v>46113</v>
      </c>
      <c r="B724" s="6" t="inlineStr">
        <is>
          <t>Pago</t>
        </is>
      </c>
      <c r="C724" s="6" t="inlineStr">
        <is>
          <t>PL530.001</t>
        </is>
      </c>
      <c r="D724" s="6" t="str">
        <f>IFERROR(VLOOKUP(E724,FORNECEDORES!$A$5:$F$999,6,FALSE),"L10")</f>
        <v>L01</v>
      </c>
      <c r="E724" s="6" t="inlineStr">
        <is>
          <t>LOJA DOS PARAFUSOS LTDA</t>
        </is>
      </c>
      <c r="F724" s="7" t="n">
        <v>8.32</v>
      </c>
      <c r="G724" s="6" t="inlineStr">
        <is>
          <t>ACESSÓRIOS DE FIXAÇÃO</t>
        </is>
      </c>
      <c r="H724" s="6" t="inlineStr">
        <is>
          <t>LOJA DOS PARAFUSOS LTDA</t>
        </is>
      </c>
      <c r="I724" s="24" t="n">
        <v>46120</v>
      </c>
      <c r="J724" s="6" t="n">
        <v>4663</v>
      </c>
    </row>
    <row r="725">
      <c r="A725" s="23" t="n">
        <v>46113</v>
      </c>
      <c r="B725" s="6" t="inlineStr">
        <is>
          <t>Pago</t>
        </is>
      </c>
      <c r="C725" s="6" t="inlineStr">
        <is>
          <t>PL530.001</t>
        </is>
      </c>
      <c r="D725" s="6" t="str">
        <f>IFERROR(VLOOKUP(E725,FORNECEDORES!$A$5:$F$999,6,FALSE),"L10")</f>
        <v>L01</v>
      </c>
      <c r="E725" s="6" t="inlineStr">
        <is>
          <t>LOJA DOS PARAFUSOS LTDA</t>
        </is>
      </c>
      <c r="F725" s="7" t="n">
        <v>6.24</v>
      </c>
      <c r="G725" s="6" t="inlineStr">
        <is>
          <t>ACESSÓRIOS DE FIXAÇÃO</t>
        </is>
      </c>
      <c r="H725" s="6" t="inlineStr">
        <is>
          <t>LOJA DOS PARAFUSOS LTDA</t>
        </is>
      </c>
      <c r="I725" s="24" t="n">
        <v>46120</v>
      </c>
      <c r="J725" s="6" t="n">
        <v>4663</v>
      </c>
    </row>
    <row r="726">
      <c r="A726" s="23" t="n">
        <v>46113</v>
      </c>
      <c r="B726" s="6" t="inlineStr">
        <is>
          <t>Pago</t>
        </is>
      </c>
      <c r="C726" s="6" t="inlineStr">
        <is>
          <t>PL530.001</t>
        </is>
      </c>
      <c r="D726" s="6" t="str">
        <f>IFERROR(VLOOKUP(E726,FORNECEDORES!$A$5:$F$999,6,FALSE),"L10")</f>
        <v>L01</v>
      </c>
      <c r="E726" s="6" t="inlineStr">
        <is>
          <t>LOJA DOS PARAFUSOS LTDA</t>
        </is>
      </c>
      <c r="F726" s="7" t="n">
        <v>332.8</v>
      </c>
      <c r="G726" s="6" t="inlineStr">
        <is>
          <t>ACESSÓRIOS DE FIXAÇÃO</t>
        </is>
      </c>
      <c r="H726" s="6" t="inlineStr">
        <is>
          <t>LOJA DOS PARAFUSOS LTDA</t>
        </is>
      </c>
      <c r="I726" s="24" t="n">
        <v>46120</v>
      </c>
      <c r="J726" s="6" t="n">
        <v>4663</v>
      </c>
    </row>
    <row r="727">
      <c r="A727" s="23" t="n">
        <v>46113</v>
      </c>
      <c r="B727" s="6" t="inlineStr">
        <is>
          <t>Pago</t>
        </is>
      </c>
      <c r="C727" s="6" t="inlineStr">
        <is>
          <t>PL530.001</t>
        </is>
      </c>
      <c r="D727" s="6" t="str">
        <f>IFERROR(VLOOKUP(E727,FORNECEDORES!$A$5:$F$999,6,FALSE),"L10")</f>
        <v>L01</v>
      </c>
      <c r="E727" s="6" t="inlineStr">
        <is>
          <t>LOJA DOS PARAFUSOS LTDA</t>
        </is>
      </c>
      <c r="F727" s="7" t="n">
        <v>259.2</v>
      </c>
      <c r="G727" s="6" t="inlineStr">
        <is>
          <t>ACESSÓRIOS DE FIXAÇÃO</t>
        </is>
      </c>
      <c r="H727" s="6" t="inlineStr">
        <is>
          <t>LOJA DOS PARAFUSOS LTDA</t>
        </is>
      </c>
      <c r="I727" s="24" t="n">
        <v>46120</v>
      </c>
      <c r="J727" s="6" t="n">
        <v>4663</v>
      </c>
    </row>
    <row r="728">
      <c r="A728" s="23" t="n">
        <v>46113</v>
      </c>
      <c r="B728" s="6" t="inlineStr">
        <is>
          <t>Pago</t>
        </is>
      </c>
      <c r="C728" s="6" t="inlineStr">
        <is>
          <t>PL530.001</t>
        </is>
      </c>
      <c r="D728" s="6" t="str">
        <f>IFERROR(VLOOKUP(E728,FORNECEDORES!$A$5:$F$999,6,FALSE),"L10")</f>
        <v>L10</v>
      </c>
      <c r="E728" s="6" t="inlineStr">
        <is>
          <t>MG CONSTRUCOES E ENGENHARIA LTDA</t>
        </is>
      </c>
      <c r="F728" s="7" t="n">
        <v>877.8</v>
      </c>
      <c r="G728" s="6" t="inlineStr">
        <is>
          <t>NÃO CLASSIFICADO</t>
        </is>
      </c>
      <c r="H728" s="6" t="inlineStr">
        <is>
          <t>MG CONSTRUCOES E ENGENHARIA LTDA</t>
        </is>
      </c>
      <c r="I728" s="24" t="n">
        <v>46139</v>
      </c>
      <c r="J728" s="6" t="n">
        <v>5054</v>
      </c>
    </row>
    <row r="729">
      <c r="A729" s="23" t="n">
        <v>46113</v>
      </c>
      <c r="B729" s="6" t="inlineStr">
        <is>
          <t>Pago</t>
        </is>
      </c>
      <c r="C729" s="6" t="inlineStr">
        <is>
          <t>PL530.001</t>
        </is>
      </c>
      <c r="D729" s="6" t="str">
        <f>IFERROR(VLOOKUP(E729,FORNECEDORES!$A$5:$F$999,6,FALSE),"L10")</f>
        <v>L01</v>
      </c>
      <c r="E729" s="6" t="inlineStr">
        <is>
          <t>MINAS FERRAMENTAS LTDA</t>
        </is>
      </c>
      <c r="F729" s="7" t="n">
        <v>145.5</v>
      </c>
      <c r="G729" s="6" t="inlineStr">
        <is>
          <t>EQUIPAMENTOS E FERRAMENTAS</t>
        </is>
      </c>
      <c r="H729" s="6" t="inlineStr">
        <is>
          <t>MINAS FERRAMENTAS LTDA</t>
        </is>
      </c>
      <c r="I729" s="24" t="n">
        <v>46120</v>
      </c>
      <c r="J729" s="6" t="n">
        <v>4399</v>
      </c>
    </row>
    <row r="730">
      <c r="A730" s="23" t="n">
        <v>46113</v>
      </c>
      <c r="B730" s="6" t="inlineStr">
        <is>
          <t>Pago</t>
        </is>
      </c>
      <c r="C730" s="6" t="inlineStr">
        <is>
          <t>PL530.001</t>
        </is>
      </c>
      <c r="D730" s="6" t="str">
        <f>IFERROR(VLOOKUP(E730,FORNECEDORES!$A$5:$F$999,6,FALSE),"L10")</f>
        <v>L01</v>
      </c>
      <c r="E730" s="6" t="inlineStr">
        <is>
          <t>MINAS FERRAMENTAS LTDA</t>
        </is>
      </c>
      <c r="F730" s="7" t="n">
        <v>69.09999999999999</v>
      </c>
      <c r="G730" s="6" t="inlineStr">
        <is>
          <t>EQUIPAMENTOS E FERRAMENTAS</t>
        </is>
      </c>
      <c r="H730" s="6" t="inlineStr">
        <is>
          <t>MINAS FERRAMENTAS LTDA</t>
        </is>
      </c>
      <c r="I730" s="24" t="n">
        <v>46120</v>
      </c>
      <c r="J730" s="6" t="n">
        <v>4399</v>
      </c>
    </row>
    <row r="731">
      <c r="A731" s="23" t="n">
        <v>46113</v>
      </c>
      <c r="B731" s="6" t="inlineStr">
        <is>
          <t>Pago</t>
        </is>
      </c>
      <c r="C731" s="6" t="inlineStr">
        <is>
          <t>PL530.001</t>
        </is>
      </c>
      <c r="D731" s="6" t="str">
        <f>IFERROR(VLOOKUP(E731,FORNECEDORES!$A$5:$F$999,6,FALSE),"L10")</f>
        <v>L01</v>
      </c>
      <c r="E731" s="6" t="inlineStr">
        <is>
          <t>MINAS FERRAMENTAS LTDA</t>
        </is>
      </c>
      <c r="F731" s="7" t="n">
        <v>33</v>
      </c>
      <c r="G731" s="6" t="inlineStr">
        <is>
          <t>EQUIPAMENTOS E FERRAMENTAS</t>
        </is>
      </c>
      <c r="H731" s="6" t="inlineStr">
        <is>
          <t>MINAS FERRAMENTAS LTDA</t>
        </is>
      </c>
      <c r="I731" s="24" t="n">
        <v>46120</v>
      </c>
      <c r="J731" s="6" t="n">
        <v>4399</v>
      </c>
    </row>
    <row r="732">
      <c r="A732" s="23" t="n">
        <v>46113</v>
      </c>
      <c r="B732" s="6" t="inlineStr">
        <is>
          <t>Pago</t>
        </is>
      </c>
      <c r="C732" s="6" t="inlineStr">
        <is>
          <t>PL530.001</t>
        </is>
      </c>
      <c r="D732" s="6" t="str">
        <f>IFERROR(VLOOKUP(E732,FORNECEDORES!$A$5:$F$999,6,FALSE),"L10")</f>
        <v>L01</v>
      </c>
      <c r="E732" s="6" t="inlineStr">
        <is>
          <t>MINAS FERRAMENTAS LTDA</t>
        </is>
      </c>
      <c r="F732" s="7" t="n">
        <v>251.34</v>
      </c>
      <c r="G732" s="6" t="inlineStr">
        <is>
          <t>EQUIPAMENTOS E FERRAMENTAS</t>
        </is>
      </c>
      <c r="H732" s="6" t="inlineStr">
        <is>
          <t>MINAS FERRAMENTAS LTDA</t>
        </is>
      </c>
      <c r="I732" s="24" t="n">
        <v>46120</v>
      </c>
      <c r="J732" s="6" t="n">
        <v>4399</v>
      </c>
    </row>
    <row r="733">
      <c r="A733" s="23" t="n">
        <v>46113</v>
      </c>
      <c r="B733" s="6" t="inlineStr">
        <is>
          <t>Pago</t>
        </is>
      </c>
      <c r="C733" s="6" t="inlineStr">
        <is>
          <t>PL530.001</t>
        </is>
      </c>
      <c r="D733" s="6" t="str">
        <f>IFERROR(VLOOKUP(E733,FORNECEDORES!$A$5:$F$999,6,FALSE),"L10")</f>
        <v>L01</v>
      </c>
      <c r="E733" s="6" t="inlineStr">
        <is>
          <t>MINAS FERRAMENTAS LTDA</t>
        </is>
      </c>
      <c r="F733" s="7" t="n">
        <v>37.66</v>
      </c>
      <c r="G733" s="6" t="inlineStr">
        <is>
          <t>EQUIPAMENTOS E FERRAMENTAS</t>
        </is>
      </c>
      <c r="H733" s="6" t="inlineStr">
        <is>
          <t>MINAS FERRAMENTAS LTDA</t>
        </is>
      </c>
      <c r="I733" s="24" t="n">
        <v>46139</v>
      </c>
      <c r="J733" s="6" t="n">
        <v>4668</v>
      </c>
    </row>
    <row r="734">
      <c r="A734" s="23" t="n">
        <v>46113</v>
      </c>
      <c r="B734" s="6" t="inlineStr">
        <is>
          <t>Pago</t>
        </is>
      </c>
      <c r="C734" s="6" t="inlineStr">
        <is>
          <t>PL530.001</t>
        </is>
      </c>
      <c r="D734" s="6" t="str">
        <f>IFERROR(VLOOKUP(E734,FORNECEDORES!$A$5:$F$999,6,FALSE),"L10")</f>
        <v>L01</v>
      </c>
      <c r="E734" s="6" t="inlineStr">
        <is>
          <t>MINAS FERRAMENTAS LTDA</t>
        </is>
      </c>
      <c r="F734" s="7" t="n">
        <v>646.9</v>
      </c>
      <c r="G734" s="6" t="inlineStr">
        <is>
          <t>EQUIPAMENTOS E FERRAMENTAS</t>
        </is>
      </c>
      <c r="H734" s="6" t="inlineStr">
        <is>
          <t>MINAS FERRAMENTAS LTDA</t>
        </is>
      </c>
      <c r="I734" s="24" t="n">
        <v>46120</v>
      </c>
      <c r="J734" s="6" t="n">
        <v>4399</v>
      </c>
    </row>
    <row r="735">
      <c r="A735" s="23" t="n">
        <v>46113</v>
      </c>
      <c r="B735" s="6" t="inlineStr">
        <is>
          <t>Pago</t>
        </is>
      </c>
      <c r="C735" s="6" t="inlineStr">
        <is>
          <t>PL530.001</t>
        </is>
      </c>
      <c r="D735" s="6" t="str">
        <f>IFERROR(VLOOKUP(E735,FORNECEDORES!$A$5:$F$999,6,FALSE),"L10")</f>
        <v>L01</v>
      </c>
      <c r="E735" s="6" t="inlineStr">
        <is>
          <t>MINAS FERRAMENTAS LTDA</t>
        </is>
      </c>
      <c r="F735" s="7" t="n">
        <v>288.3</v>
      </c>
      <c r="G735" s="6" t="inlineStr">
        <is>
          <t>EQUIPAMENTOS E FERRAMENTAS</t>
        </is>
      </c>
      <c r="H735" s="6" t="inlineStr">
        <is>
          <t>MINAS FERRAMENTAS LTDA</t>
        </is>
      </c>
      <c r="I735" s="24" t="n">
        <v>46139</v>
      </c>
      <c r="J735" s="6" t="n">
        <v>4668</v>
      </c>
    </row>
    <row r="736">
      <c r="A736" s="23" t="n">
        <v>46113</v>
      </c>
      <c r="B736" s="6" t="inlineStr">
        <is>
          <t>Pago</t>
        </is>
      </c>
      <c r="C736" s="6" t="inlineStr">
        <is>
          <t>PL530.001</t>
        </is>
      </c>
      <c r="D736" s="6" t="str">
        <f>IFERROR(VLOOKUP(E736,FORNECEDORES!$A$5:$F$999,6,FALSE),"L10")</f>
        <v>L01</v>
      </c>
      <c r="E736" s="6" t="inlineStr">
        <is>
          <t>MINAS FERRAMENTAS LTDA</t>
        </is>
      </c>
      <c r="F736" s="7" t="n">
        <v>31.03</v>
      </c>
      <c r="G736" s="6" t="inlineStr">
        <is>
          <t>EQUIPAMENTOS E FERRAMENTAS</t>
        </is>
      </c>
      <c r="H736" s="6" t="inlineStr">
        <is>
          <t>MINAS FERRAMENTAS LTDA</t>
        </is>
      </c>
      <c r="I736" s="24" t="n">
        <v>46120</v>
      </c>
      <c r="J736" s="6" t="n">
        <v>4399</v>
      </c>
    </row>
    <row r="737">
      <c r="A737" s="23" t="n">
        <v>46113</v>
      </c>
      <c r="B737" s="6" t="inlineStr">
        <is>
          <t>Pago</t>
        </is>
      </c>
      <c r="C737" s="6" t="inlineStr">
        <is>
          <t>PL530.001</t>
        </is>
      </c>
      <c r="D737" s="6" t="str">
        <f>IFERROR(VLOOKUP(E737,FORNECEDORES!$A$5:$F$999,6,FALSE),"L10")</f>
        <v>L01</v>
      </c>
      <c r="E737" s="6" t="inlineStr">
        <is>
          <t>MINAS FERRAMENTAS LTDA</t>
        </is>
      </c>
      <c r="F737" s="7" t="n">
        <v>33.22</v>
      </c>
      <c r="G737" s="6" t="inlineStr">
        <is>
          <t>EQUIPAMENTOS E FERRAMENTAS</t>
        </is>
      </c>
      <c r="H737" s="6" t="inlineStr">
        <is>
          <t>MINAS FERRAMENTAS LTDA</t>
        </is>
      </c>
      <c r="I737" s="24" t="n">
        <v>46139</v>
      </c>
      <c r="J737" s="6" t="n">
        <v>4668</v>
      </c>
    </row>
    <row r="738">
      <c r="A738" s="23" t="n">
        <v>46113</v>
      </c>
      <c r="B738" s="6" t="inlineStr">
        <is>
          <t>Pago</t>
        </is>
      </c>
      <c r="C738" s="6" t="inlineStr">
        <is>
          <t>PL530.001</t>
        </is>
      </c>
      <c r="D738" s="6" t="str">
        <f>IFERROR(VLOOKUP(E738,FORNECEDORES!$A$5:$F$999,6,FALSE),"L10")</f>
        <v>L01</v>
      </c>
      <c r="E738" s="6" t="inlineStr">
        <is>
          <t>MINAS FERRAMENTAS LTDA</t>
        </is>
      </c>
      <c r="F738" s="7" t="n">
        <v>149.6</v>
      </c>
      <c r="G738" s="6" t="inlineStr">
        <is>
          <t>EQUIPAMENTOS E FERRAMENTAS</t>
        </is>
      </c>
      <c r="H738" s="6" t="inlineStr">
        <is>
          <t>MINAS FERRAMENTAS LTDA</t>
        </is>
      </c>
      <c r="I738" s="24" t="n">
        <v>46141</v>
      </c>
      <c r="J738" s="6" t="n">
        <v>4829</v>
      </c>
    </row>
    <row r="739">
      <c r="A739" s="23" t="n">
        <v>46113</v>
      </c>
      <c r="B739" s="6" t="inlineStr">
        <is>
          <t>Pago</t>
        </is>
      </c>
      <c r="C739" s="6" t="inlineStr">
        <is>
          <t>PL530.001</t>
        </is>
      </c>
      <c r="D739" s="6" t="str">
        <f>IFERROR(VLOOKUP(E739,FORNECEDORES!$A$5:$F$999,6,FALSE),"L10")</f>
        <v>L01</v>
      </c>
      <c r="E739" s="6" t="inlineStr">
        <is>
          <t>MINAS FERRAMENTAS LTDA</t>
        </is>
      </c>
      <c r="F739" s="7" t="n">
        <v>147.1</v>
      </c>
      <c r="G739" s="6" t="inlineStr">
        <is>
          <t>EQUIPAMENTOS E FERRAMENTAS</t>
        </is>
      </c>
      <c r="H739" s="6" t="inlineStr">
        <is>
          <t>MINAS FERRAMENTAS LTDA</t>
        </is>
      </c>
      <c r="I739" s="24" t="n">
        <v>46141</v>
      </c>
      <c r="J739" s="6" t="n">
        <v>4834</v>
      </c>
    </row>
    <row r="740">
      <c r="A740" s="23" t="n">
        <v>46113</v>
      </c>
      <c r="B740" s="6" t="inlineStr">
        <is>
          <t>Pago</t>
        </is>
      </c>
      <c r="C740" s="6" t="inlineStr">
        <is>
          <t>PL530.001</t>
        </is>
      </c>
      <c r="D740" s="6" t="str">
        <f>IFERROR(VLOOKUP(E740,FORNECEDORES!$A$5:$F$999,6,FALSE),"L10")</f>
        <v>L01</v>
      </c>
      <c r="E740" s="6" t="inlineStr">
        <is>
          <t>MINAS FERRAMENTAS LTDA</t>
        </is>
      </c>
      <c r="F740" s="7" t="n">
        <v>306</v>
      </c>
      <c r="G740" s="6" t="inlineStr">
        <is>
          <t>EQUIPAMENTOS E FERRAMENTAS</t>
        </is>
      </c>
      <c r="H740" s="6" t="inlineStr">
        <is>
          <t>MINAS FERRAMENTAS LTDA</t>
        </is>
      </c>
      <c r="I740" s="24" t="n">
        <v>46141</v>
      </c>
      <c r="J740" s="6" t="n">
        <v>4834</v>
      </c>
    </row>
    <row r="741">
      <c r="A741" s="23" t="n">
        <v>46113</v>
      </c>
      <c r="B741" s="6" t="inlineStr">
        <is>
          <t>Pago</t>
        </is>
      </c>
      <c r="C741" s="6" t="inlineStr">
        <is>
          <t>PL530.001</t>
        </is>
      </c>
      <c r="D741" s="6" t="str">
        <f>IFERROR(VLOOKUP(E741,FORNECEDORES!$A$5:$F$999,6,FALSE),"L10")</f>
        <v>L01</v>
      </c>
      <c r="E741" s="6" t="inlineStr">
        <is>
          <t>MINAS FERRAMENTAS LTDA</t>
        </is>
      </c>
      <c r="F741" s="7" t="n">
        <v>32.12</v>
      </c>
      <c r="G741" s="6" t="inlineStr">
        <is>
          <t>EQUIPAMENTOS E FERRAMENTAS</t>
        </is>
      </c>
      <c r="H741" s="6" t="inlineStr">
        <is>
          <t>MINAS FERRAMENTAS LTDA</t>
        </is>
      </c>
      <c r="I741" s="24" t="n">
        <v>46114</v>
      </c>
      <c r="J741" s="6" t="n">
        <v>4590</v>
      </c>
    </row>
    <row r="742">
      <c r="A742" s="23" t="n">
        <v>46113</v>
      </c>
      <c r="B742" s="6" t="inlineStr">
        <is>
          <t>Pago</t>
        </is>
      </c>
      <c r="C742" s="6" t="inlineStr">
        <is>
          <t>PL530.001</t>
        </is>
      </c>
      <c r="D742" s="6" t="str">
        <f>IFERROR(VLOOKUP(E742,FORNECEDORES!$A$5:$F$999,6,FALSE),"L10")</f>
        <v>L10</v>
      </c>
      <c r="E742" s="6" t="inlineStr">
        <is>
          <t>ORGANIZACAO HC LTDA</t>
        </is>
      </c>
      <c r="F742" s="7" t="n">
        <v>1425</v>
      </c>
      <c r="G742" s="6" t="inlineStr">
        <is>
          <t>NÃO CLASSIFICADO</t>
        </is>
      </c>
      <c r="H742" s="6" t="inlineStr">
        <is>
          <t>ORGANIZACAO HC LTDA</t>
        </is>
      </c>
      <c r="I742" s="24" t="n">
        <v>46129</v>
      </c>
      <c r="J742" s="6" t="n">
        <v>4908</v>
      </c>
    </row>
    <row r="743">
      <c r="A743" s="23" t="n">
        <v>46113</v>
      </c>
      <c r="B743" s="6" t="inlineStr">
        <is>
          <t>Pago</t>
        </is>
      </c>
      <c r="C743" s="6" t="inlineStr">
        <is>
          <t>PL530.001</t>
        </is>
      </c>
      <c r="D743" s="6" t="str">
        <f>IFERROR(VLOOKUP(E743,FORNECEDORES!$A$5:$F$999,6,FALSE),"L10")</f>
        <v>L10</v>
      </c>
      <c r="E743" s="6" t="inlineStr">
        <is>
          <t>ORGUEL INDUSTRIA E LOCACAO DE EQUIPAMENTOS S/A</t>
        </is>
      </c>
      <c r="F743" s="7" t="n">
        <v>17430</v>
      </c>
      <c r="G743" s="6" t="inlineStr">
        <is>
          <t>NÃO CLASSIFICADO</t>
        </is>
      </c>
      <c r="H743" s="6" t="inlineStr">
        <is>
          <t>ORGUEL INDUSTRIA E LOCACAO DE EQUIPAMENTOS S/A</t>
        </is>
      </c>
      <c r="I743" s="24" t="n">
        <v>46128</v>
      </c>
      <c r="J743" s="6" t="n">
        <v>4899</v>
      </c>
    </row>
    <row r="744">
      <c r="A744" s="23" t="n">
        <v>46113</v>
      </c>
      <c r="B744" s="6" t="inlineStr">
        <is>
          <t>Pago</t>
        </is>
      </c>
      <c r="C744" s="6" t="inlineStr">
        <is>
          <t>PL530.001</t>
        </is>
      </c>
      <c r="D744" s="6" t="str">
        <f>IFERROR(VLOOKUP(E744,FORNECEDORES!$A$5:$F$999,6,FALSE),"L10")</f>
        <v>L03</v>
      </c>
      <c r="E744" s="6" t="inlineStr">
        <is>
          <t>ORIGINAL LOCACOES LTDA</t>
        </is>
      </c>
      <c r="F744" s="7" t="n">
        <v>1622.73</v>
      </c>
      <c r="G744" s="6" t="inlineStr">
        <is>
          <t>LOCAÇÕES</t>
        </is>
      </c>
      <c r="H744" s="6" t="inlineStr">
        <is>
          <t>ORIGINAL LOCACOES LTDA</t>
        </is>
      </c>
      <c r="I744" s="24" t="n">
        <v>46139</v>
      </c>
      <c r="J744" s="6" t="n">
        <v>5093</v>
      </c>
    </row>
    <row r="745">
      <c r="A745" s="23" t="n">
        <v>46113</v>
      </c>
      <c r="B745" s="6" t="inlineStr">
        <is>
          <t>Pago</t>
        </is>
      </c>
      <c r="C745" s="6" t="inlineStr">
        <is>
          <t>PL530.001</t>
        </is>
      </c>
      <c r="D745" s="6" t="str">
        <f>IFERROR(VLOOKUP(E745,FORNECEDORES!$A$5:$F$999,6,FALSE),"L10")</f>
        <v>L01</v>
      </c>
      <c r="E745" s="6" t="inlineStr">
        <is>
          <t>OTHON DE CARVALHO E CIA LTDA</t>
        </is>
      </c>
      <c r="F745" s="7" t="n">
        <v>3554.2</v>
      </c>
      <c r="G745" s="6" t="inlineStr">
        <is>
          <t>MATERIAL ELÉTRICO</t>
        </is>
      </c>
      <c r="H745" s="6" t="inlineStr">
        <is>
          <t>OTHON DE CARVALHO E CIA LTDA</t>
        </is>
      </c>
      <c r="I745" s="24" t="n">
        <v>46128</v>
      </c>
      <c r="J745" s="6" t="n">
        <v>4415</v>
      </c>
    </row>
    <row r="746">
      <c r="A746" s="23" t="n">
        <v>46113</v>
      </c>
      <c r="B746" s="6" t="inlineStr">
        <is>
          <t>Pago</t>
        </is>
      </c>
      <c r="C746" s="6" t="inlineStr">
        <is>
          <t>PL530.001</t>
        </is>
      </c>
      <c r="D746" s="6" t="str">
        <f>IFERROR(VLOOKUP(E746,FORNECEDORES!$A$5:$F$999,6,FALSE),"L10")</f>
        <v>L08</v>
      </c>
      <c r="E746" s="6" t="inlineStr">
        <is>
          <t>PEREIRA TELAS E INSTALACOES LTDA</t>
        </is>
      </c>
      <c r="F746" s="7" t="n">
        <v>30</v>
      </c>
      <c r="G746" s="6" t="inlineStr">
        <is>
          <t>NÃO CLASSIFICADO</t>
        </is>
      </c>
      <c r="H746" s="6" t="inlineStr">
        <is>
          <t>IRRF - MINISTERIO DA FAZENDA - SRF</t>
        </is>
      </c>
      <c r="I746" s="24" t="n">
        <v>46129</v>
      </c>
      <c r="J746" s="6" t="n">
        <v>4773</v>
      </c>
    </row>
    <row r="747">
      <c r="A747" s="23" t="n">
        <v>46113</v>
      </c>
      <c r="B747" s="6" t="inlineStr">
        <is>
          <t>Pago</t>
        </is>
      </c>
      <c r="C747" s="6" t="inlineStr">
        <is>
          <t>PL530.001</t>
        </is>
      </c>
      <c r="D747" s="6" t="str">
        <f>IFERROR(VLOOKUP(E747,FORNECEDORES!$A$5:$F$999,6,FALSE),"L10")</f>
        <v>L08</v>
      </c>
      <c r="E747" s="6" t="inlineStr">
        <is>
          <t>PEREIRA TELAS E INSTALACOES LTDA</t>
        </is>
      </c>
      <c r="F747" s="7" t="n">
        <v>93</v>
      </c>
      <c r="G747" s="6" t="inlineStr">
        <is>
          <t>NÃO CLASSIFICADO</t>
        </is>
      </c>
      <c r="H747" s="6" t="inlineStr">
        <is>
          <t>CSRF - MINISTERIO DA FAZENDA - SRF</t>
        </is>
      </c>
      <c r="I747" s="24" t="n">
        <v>46129</v>
      </c>
      <c r="J747" s="6" t="n">
        <v>4770</v>
      </c>
    </row>
    <row r="748">
      <c r="A748" s="23" t="n">
        <v>46113</v>
      </c>
      <c r="B748" s="6" t="inlineStr">
        <is>
          <t>Pago</t>
        </is>
      </c>
      <c r="C748" s="6" t="inlineStr">
        <is>
          <t>PL530.001</t>
        </is>
      </c>
      <c r="D748" s="6" t="str">
        <f>IFERROR(VLOOKUP(E748,FORNECEDORES!$A$5:$F$999,6,FALSE),"L10")</f>
        <v>L01</v>
      </c>
      <c r="E748" s="6" t="inlineStr">
        <is>
          <t>PRECISION SISTEMA ELETRONICO DE PESAGEM LTDA</t>
        </is>
      </c>
      <c r="F748" s="7" t="n">
        <v>2988.35</v>
      </c>
      <c r="G748" s="6" t="inlineStr">
        <is>
          <t>EQUIPAMENTOS E FERRAMENTAS</t>
        </is>
      </c>
      <c r="H748" s="6" t="inlineStr">
        <is>
          <t>PRECISION SISTEMA ELETRONICO DE PESAGEM LTDA</t>
        </is>
      </c>
      <c r="I748" s="24" t="n">
        <v>46134</v>
      </c>
      <c r="J748" s="6" t="n">
        <v>4610</v>
      </c>
    </row>
    <row r="749">
      <c r="A749" s="23" t="n">
        <v>46113</v>
      </c>
      <c r="B749" s="6" t="inlineStr">
        <is>
          <t>Pago</t>
        </is>
      </c>
      <c r="C749" s="6" t="inlineStr">
        <is>
          <t>PL530.001</t>
        </is>
      </c>
      <c r="D749" s="6" t="str">
        <f>IFERROR(VLOOKUP(E749,FORNECEDORES!$A$5:$F$999,6,FALSE),"L10")</f>
        <v>L01</v>
      </c>
      <c r="E749" s="6" t="inlineStr">
        <is>
          <t>PRECISION SISTEMA ELETRONICO DE PESAGEM LTDA</t>
        </is>
      </c>
      <c r="F749" s="7" t="n">
        <v>2925</v>
      </c>
      <c r="G749" s="6" t="inlineStr">
        <is>
          <t>EQUIPAMENTOS E FERRAMENTAS</t>
        </is>
      </c>
      <c r="H749" s="6" t="inlineStr">
        <is>
          <t>PRECISION SISTEMA ELETRONICO DE PESAGEM LTDA</t>
        </is>
      </c>
      <c r="I749" s="24" t="n">
        <v>46113</v>
      </c>
      <c r="J749" s="6" t="n">
        <v>4610</v>
      </c>
    </row>
    <row r="750">
      <c r="A750" s="23" t="n">
        <v>46113</v>
      </c>
      <c r="B750" s="6" t="inlineStr">
        <is>
          <t>Pago</t>
        </is>
      </c>
      <c r="C750" s="6" t="inlineStr">
        <is>
          <t>PL530.001</t>
        </is>
      </c>
      <c r="D750" s="6" t="str">
        <f>IFERROR(VLOOKUP(E750,FORNECEDORES!$A$5:$F$999,6,FALSE),"L10")</f>
        <v>L10</v>
      </c>
      <c r="E750" s="6" t="inlineStr">
        <is>
          <t>SERRALHERIA LAURA AMARAL LTDA</t>
        </is>
      </c>
      <c r="F750" s="7" t="n">
        <v>15762</v>
      </c>
      <c r="G750" s="6" t="inlineStr">
        <is>
          <t>SUB-EMPREITEIROS OBRAS</t>
        </is>
      </c>
      <c r="H750" s="6" t="inlineStr">
        <is>
          <t>SERRALHERIA LAURA AMARAL LTDA</t>
        </is>
      </c>
      <c r="I750" s="24" t="n">
        <v>46125</v>
      </c>
      <c r="J750" s="6" t="n">
        <v>4906</v>
      </c>
    </row>
    <row r="751">
      <c r="A751" s="23" t="n">
        <v>46113</v>
      </c>
      <c r="B751" s="6" t="inlineStr">
        <is>
          <t>Pago</t>
        </is>
      </c>
      <c r="C751" s="6" t="inlineStr">
        <is>
          <t>PL530.001</t>
        </is>
      </c>
      <c r="D751" s="6" t="str">
        <f>IFERROR(VLOOKUP(E751,FORNECEDORES!$A$5:$F$999,6,FALSE),"L10")</f>
        <v>L10</v>
      </c>
      <c r="E751" s="6" t="inlineStr">
        <is>
          <t>SERRALHERIA LAURA AMARAL LTDA</t>
        </is>
      </c>
      <c r="F751" s="7" t="n">
        <v>15762.5</v>
      </c>
      <c r="G751" s="6" t="inlineStr">
        <is>
          <t>SUB-EMPREITEIROS OBRAS</t>
        </is>
      </c>
      <c r="H751" s="6" t="inlineStr">
        <is>
          <t>SERRALHERIA LAURA AMARAL LTDA</t>
        </is>
      </c>
      <c r="I751" s="24" t="n">
        <v>46118</v>
      </c>
      <c r="J751" s="6" t="n">
        <v>4855</v>
      </c>
    </row>
    <row r="752">
      <c r="A752" s="23" t="n">
        <v>46113</v>
      </c>
      <c r="B752" s="6" t="inlineStr">
        <is>
          <t>Pago</t>
        </is>
      </c>
      <c r="C752" s="6" t="inlineStr">
        <is>
          <t>PL530.001</t>
        </is>
      </c>
      <c r="D752" s="6" t="str">
        <f>IFERROR(VLOOKUP(E752,FORNECEDORES!$A$5:$F$999,6,FALSE),"L10")</f>
        <v>L10</v>
      </c>
      <c r="E752" s="6" t="inlineStr">
        <is>
          <t>SOIMA BRASIL INDUSTRIA E COMERCIO LTDA</t>
        </is>
      </c>
      <c r="F752" s="7" t="n">
        <v>20440</v>
      </c>
      <c r="G752" s="6" t="inlineStr">
        <is>
          <t>INSUMOS PARA CONTRATO</t>
        </is>
      </c>
      <c r="H752" s="6" t="inlineStr">
        <is>
          <t>SOIMA BRASIL INDUSTRIA E COMERCIO LTDA</t>
        </is>
      </c>
      <c r="I752" s="24" t="n">
        <v>46134</v>
      </c>
      <c r="J752" s="6" t="n">
        <v>4997</v>
      </c>
    </row>
    <row r="753">
      <c r="A753" s="23" t="n">
        <v>46113</v>
      </c>
      <c r="B753" s="6" t="inlineStr">
        <is>
          <t>Pago</t>
        </is>
      </c>
      <c r="C753" s="6" t="inlineStr">
        <is>
          <t>PL530.001</t>
        </is>
      </c>
      <c r="D753" s="6" t="str">
        <f>IFERROR(VLOOKUP(E753,FORNECEDORES!$A$5:$F$999,6,FALSE),"L10")</f>
        <v>L01</v>
      </c>
      <c r="E753" s="6" t="inlineStr">
        <is>
          <t>TECIDOS E ARMARINHOS MIGUEL BARTOLOMEU S/A</t>
        </is>
      </c>
      <c r="F753" s="7" t="n">
        <v>67.64</v>
      </c>
      <c r="G753" s="6" t="inlineStr">
        <is>
          <t>EQUIPAMENTOS E FERRAMENTAS</t>
        </is>
      </c>
      <c r="H753" s="6" t="inlineStr">
        <is>
          <t>TECIDOS E ARMARINHOS MIGUEL BARTOLOMEU S/A</t>
        </is>
      </c>
      <c r="I753" s="24" t="n">
        <v>46135</v>
      </c>
      <c r="J753" s="6" t="n">
        <v>4816</v>
      </c>
    </row>
    <row r="754">
      <c r="A754" s="23" t="n">
        <v>46113</v>
      </c>
      <c r="B754" s="6" t="inlineStr">
        <is>
          <t>Pago</t>
        </is>
      </c>
      <c r="C754" s="6" t="inlineStr">
        <is>
          <t>PL530.001</t>
        </is>
      </c>
      <c r="D754" s="6" t="str">
        <f>IFERROR(VLOOKUP(E754,FORNECEDORES!$A$5:$F$999,6,FALSE),"L10")</f>
        <v>L01</v>
      </c>
      <c r="E754" s="6" t="inlineStr">
        <is>
          <t>TECIDOS E ARMARINHOS MIGUEL BARTOLOMEU S/A</t>
        </is>
      </c>
      <c r="F754" s="7" t="n">
        <v>302.36</v>
      </c>
      <c r="G754" s="6" t="inlineStr">
        <is>
          <t>EQUIPAMENTOS E FERRAMENTAS</t>
        </is>
      </c>
      <c r="H754" s="6" t="inlineStr">
        <is>
          <t>TECIDOS E ARMARINHOS MIGUEL BARTOLOMEU S/A</t>
        </is>
      </c>
      <c r="I754" s="24" t="n">
        <v>46135</v>
      </c>
      <c r="J754" s="6" t="n">
        <v>4816</v>
      </c>
    </row>
    <row r="755">
      <c r="A755" s="23" t="n">
        <v>46113</v>
      </c>
      <c r="B755" s="6" t="inlineStr">
        <is>
          <t>Pago</t>
        </is>
      </c>
      <c r="C755" s="6" t="inlineStr">
        <is>
          <t>PL530.001</t>
        </is>
      </c>
      <c r="D755" s="6" t="str">
        <f>IFERROR(VLOOKUP(E755,FORNECEDORES!$A$5:$F$999,6,FALSE),"L10")</f>
        <v>L10</v>
      </c>
      <c r="E755" s="6" t="inlineStr">
        <is>
          <t>TECSU ENGENHARIA LTDA</t>
        </is>
      </c>
      <c r="F755" s="7" t="n">
        <v>25280</v>
      </c>
      <c r="G755" s="6" t="inlineStr">
        <is>
          <t>NÃO CLASSIFICADO</t>
        </is>
      </c>
      <c r="H755" s="6" t="inlineStr">
        <is>
          <t>TECSU ENGENHARIA LTDA</t>
        </is>
      </c>
      <c r="I755" s="24" t="n">
        <v>46118</v>
      </c>
      <c r="J755" s="6" t="n">
        <v>4811</v>
      </c>
    </row>
    <row r="756">
      <c r="A756" s="23" t="n">
        <v>46113</v>
      </c>
      <c r="B756" s="6" t="inlineStr">
        <is>
          <t>Pago</t>
        </is>
      </c>
      <c r="C756" s="6" t="inlineStr">
        <is>
          <t>PL530.001</t>
        </is>
      </c>
      <c r="D756" s="6" t="str">
        <f>IFERROR(VLOOKUP(E756,FORNECEDORES!$A$5:$F$999,6,FALSE),"L10")</f>
        <v>L10</v>
      </c>
      <c r="E756" s="6" t="inlineStr">
        <is>
          <t>TECSU ENGENHARIA LTDA</t>
        </is>
      </c>
      <c r="F756" s="7" t="n">
        <v>3476</v>
      </c>
      <c r="G756" s="6" t="inlineStr">
        <is>
          <t>NÃO CLASSIFICADO</t>
        </is>
      </c>
      <c r="H756" s="6" t="inlineStr">
        <is>
          <t>INSS RETIDO PJ - MINISTERIO DA PREVIDENCIA</t>
        </is>
      </c>
      <c r="I756" s="24" t="n">
        <v>46129</v>
      </c>
      <c r="J756" s="6" t="n">
        <v>4815</v>
      </c>
    </row>
    <row r="757">
      <c r="A757" s="23" t="n">
        <v>46113</v>
      </c>
      <c r="B757" s="6" t="inlineStr">
        <is>
          <t>Pago</t>
        </is>
      </c>
      <c r="C757" s="6" t="inlineStr">
        <is>
          <t>PL530.001</t>
        </is>
      </c>
      <c r="D757" s="6" t="str">
        <f>IFERROR(VLOOKUP(E757,FORNECEDORES!$A$5:$F$999,6,FALSE),"L10")</f>
        <v>L10</v>
      </c>
      <c r="E757" s="6" t="inlineStr">
        <is>
          <t>TECSU ENGENHARIA LTDA</t>
        </is>
      </c>
      <c r="F757" s="7" t="n">
        <v>632</v>
      </c>
      <c r="G757" s="6" t="inlineStr">
        <is>
          <t>NÃO CLASSIFICADO</t>
        </is>
      </c>
      <c r="H757" s="6" t="inlineStr">
        <is>
          <t>PREFEITURA DE BELO HORIZONTE - ISSQN RETIDO</t>
        </is>
      </c>
      <c r="I757" s="24" t="n">
        <v>46120</v>
      </c>
      <c r="J757" s="6" t="n">
        <v>4817</v>
      </c>
    </row>
    <row r="758">
      <c r="A758" s="23" t="n">
        <v>46113</v>
      </c>
      <c r="B758" s="6" t="inlineStr">
        <is>
          <t>Pago</t>
        </is>
      </c>
      <c r="C758" s="6" t="inlineStr">
        <is>
          <t>PL530.001</t>
        </is>
      </c>
      <c r="D758" s="6" t="str">
        <f>IFERROR(VLOOKUP(E758,FORNECEDORES!$A$5:$F$999,6,FALSE),"L10")</f>
        <v>L08</v>
      </c>
      <c r="E758" s="6" t="inlineStr">
        <is>
          <t>TELAS PERAM COMERCIO IMPORTACAO E REPRESENTACOES LTDA.</t>
        </is>
      </c>
      <c r="F758" s="7" t="n">
        <v>35965.57</v>
      </c>
      <c r="G758" s="6" t="inlineStr">
        <is>
          <t>SINALIZAÇÃO</t>
        </is>
      </c>
      <c r="H758" s="6" t="inlineStr">
        <is>
          <t>TELAS PERAM COMERCIO IMPORTACAO E REPRESENTACOES L</t>
        </is>
      </c>
      <c r="I758" s="24" t="n">
        <v>46142</v>
      </c>
      <c r="J758" s="6" t="n">
        <v>4527</v>
      </c>
    </row>
    <row r="759">
      <c r="A759" s="23" t="n">
        <v>46113</v>
      </c>
      <c r="B759" s="6" t="inlineStr">
        <is>
          <t>Pago</t>
        </is>
      </c>
      <c r="C759" s="6" t="inlineStr">
        <is>
          <t>PL530.001</t>
        </is>
      </c>
      <c r="D759" s="6" t="str">
        <f>IFERROR(VLOOKUP(E759,FORNECEDORES!$A$5:$F$999,6,FALSE),"L10")</f>
        <v>L08</v>
      </c>
      <c r="E759" s="6" t="inlineStr">
        <is>
          <t>TELAS PERAM COMERCIO IMPORTACAO E REPRESENTACOES LTDA.</t>
        </is>
      </c>
      <c r="F759" s="7" t="n">
        <v>3329.24</v>
      </c>
      <c r="G759" s="6" t="inlineStr">
        <is>
          <t>SINALIZAÇÃO</t>
        </is>
      </c>
      <c r="H759" s="6" t="inlineStr">
        <is>
          <t>TELAS PERAM COMERCIO IMPORTACAO E REPRESENTACOES L</t>
        </is>
      </c>
      <c r="I759" s="24" t="n">
        <v>46142</v>
      </c>
      <c r="J759" s="6" t="n">
        <v>5111</v>
      </c>
    </row>
    <row r="760">
      <c r="A760" s="23" t="n">
        <v>46113</v>
      </c>
      <c r="B760" s="6" t="inlineStr">
        <is>
          <t>Pago</t>
        </is>
      </c>
      <c r="C760" s="6" t="inlineStr">
        <is>
          <t>PL530.001</t>
        </is>
      </c>
      <c r="D760" s="6" t="str">
        <f>IFERROR(VLOOKUP(E760,FORNECEDORES!$A$5:$F$999,6,FALSE),"L10")</f>
        <v>L08</v>
      </c>
      <c r="E760" s="6" t="inlineStr">
        <is>
          <t>TELAS PERAM COMERCIO IMPORTACAO E REPRESENTACOES LTDA.</t>
        </is>
      </c>
      <c r="F760" s="7" t="n">
        <v>10789.67</v>
      </c>
      <c r="G760" s="6" t="inlineStr">
        <is>
          <t>SINALIZAÇÃO</t>
        </is>
      </c>
      <c r="H760" s="6" t="inlineStr">
        <is>
          <t>TELAS PERAM COMERCIO IMPORTACAO E REPRESENTACOES L</t>
        </is>
      </c>
      <c r="I760" s="24" t="n">
        <v>46142</v>
      </c>
      <c r="J760" s="6" t="n">
        <v>5116</v>
      </c>
    </row>
    <row r="761">
      <c r="A761" s="23" t="n">
        <v>46113</v>
      </c>
      <c r="B761" s="6" t="inlineStr">
        <is>
          <t>Pago</t>
        </is>
      </c>
      <c r="C761" s="6" t="inlineStr">
        <is>
          <t>PL530.001</t>
        </is>
      </c>
      <c r="D761" s="6" t="str">
        <f>IFERROR(VLOOKUP(E761,FORNECEDORES!$A$5:$F$999,6,FALSE),"L10")</f>
        <v>L08</v>
      </c>
      <c r="E761" s="6" t="inlineStr">
        <is>
          <t>TELAS PERAM COMERCIO IMPORTACAO E REPRESENTACOES LTDA.</t>
        </is>
      </c>
      <c r="F761" s="7" t="n">
        <v>3596.56</v>
      </c>
      <c r="G761" s="6" t="inlineStr">
        <is>
          <t>SINALIZAÇÃO</t>
        </is>
      </c>
      <c r="H761" s="6" t="inlineStr">
        <is>
          <t>TELAS PERAM COMERCIO IMPORTACAO E REPRESENTACOES L</t>
        </is>
      </c>
      <c r="I761" s="24" t="n">
        <v>46142</v>
      </c>
      <c r="J761" s="6" t="n">
        <v>5115</v>
      </c>
    </row>
    <row r="762">
      <c r="A762" s="23" t="n">
        <v>46113</v>
      </c>
      <c r="B762" s="6" t="inlineStr">
        <is>
          <t>Pago</t>
        </is>
      </c>
      <c r="C762" s="6" t="inlineStr">
        <is>
          <t>PL530.001</t>
        </is>
      </c>
      <c r="D762" s="6" t="str">
        <f>IFERROR(VLOOKUP(E762,FORNECEDORES!$A$5:$F$999,6,FALSE),"L10")</f>
        <v>L08</v>
      </c>
      <c r="E762" s="6" t="inlineStr">
        <is>
          <t>TELAS PERAM COMERCIO IMPORTACAO E REPRESENTACOES LTDA.</t>
        </is>
      </c>
      <c r="F762" s="7" t="n">
        <v>2999.68</v>
      </c>
      <c r="G762" s="6" t="inlineStr">
        <is>
          <t>SINALIZAÇÃO</t>
        </is>
      </c>
      <c r="H762" s="6" t="inlineStr">
        <is>
          <t>TELAS PERAM COMERCIO IMPORTACAO E REPRESENTACOES L</t>
        </is>
      </c>
      <c r="I762" s="24" t="n">
        <v>46142</v>
      </c>
      <c r="J762" s="6" t="n">
        <v>5113</v>
      </c>
    </row>
    <row r="763">
      <c r="A763" s="23" t="n">
        <v>46113</v>
      </c>
      <c r="B763" s="6" t="inlineStr">
        <is>
          <t>Pago</t>
        </is>
      </c>
      <c r="C763" s="6" t="inlineStr">
        <is>
          <t>PL530.001</t>
        </is>
      </c>
      <c r="D763" s="6" t="str">
        <f>IFERROR(VLOOKUP(E763,FORNECEDORES!$A$5:$F$999,6,FALSE),"L10")</f>
        <v>L08</v>
      </c>
      <c r="E763" s="6" t="inlineStr">
        <is>
          <t>TELAS PERAM COMERCIO IMPORTACAO E REPRESENTACOES LTDA.</t>
        </is>
      </c>
      <c r="F763" s="7" t="n">
        <v>3329.24</v>
      </c>
      <c r="G763" s="6" t="inlineStr">
        <is>
          <t>SINALIZAÇÃO</t>
        </is>
      </c>
      <c r="H763" s="6" t="inlineStr">
        <is>
          <t>TELAS PERAM COMERCIO IMPORTACAO E REPRESENTACOES L</t>
        </is>
      </c>
      <c r="I763" s="24" t="n">
        <v>46142</v>
      </c>
      <c r="J763" s="6" t="n">
        <v>5112</v>
      </c>
    </row>
    <row r="764">
      <c r="A764" s="23" t="n">
        <v>46113</v>
      </c>
      <c r="B764" s="6" t="inlineStr">
        <is>
          <t>Pago</t>
        </is>
      </c>
      <c r="C764" s="6" t="inlineStr">
        <is>
          <t>PL530.001</t>
        </is>
      </c>
      <c r="D764" s="6" t="str">
        <f>IFERROR(VLOOKUP(E764,FORNECEDORES!$A$5:$F$999,6,FALSE),"L10")</f>
        <v>L08</v>
      </c>
      <c r="E764" s="6" t="inlineStr">
        <is>
          <t>TELAS PERAM COMERCIO IMPORTACAO E REPRESENTACOES LTDA.</t>
        </is>
      </c>
      <c r="F764" s="7" t="n">
        <v>2999.69</v>
      </c>
      <c r="G764" s="6" t="inlineStr">
        <is>
          <t>SINALIZAÇÃO</t>
        </is>
      </c>
      <c r="H764" s="6" t="inlineStr">
        <is>
          <t>TELAS PERAM COMERCIO IMPORTACAO E REPRESENTACOES L</t>
        </is>
      </c>
      <c r="I764" s="24" t="n">
        <v>46142</v>
      </c>
      <c r="J764" s="6" t="n">
        <v>5114</v>
      </c>
    </row>
    <row r="765">
      <c r="A765" s="23" t="n">
        <v>46113</v>
      </c>
      <c r="B765" s="6" t="inlineStr">
        <is>
          <t>Pago</t>
        </is>
      </c>
      <c r="C765" s="6" t="inlineStr">
        <is>
          <t>PL530.001</t>
        </is>
      </c>
      <c r="D765" s="6" t="str">
        <f>IFERROR(VLOOKUP(E765,FORNECEDORES!$A$5:$F$999,6,FALSE),"L10")</f>
        <v>L08</v>
      </c>
      <c r="E765" s="6" t="inlineStr">
        <is>
          <t>TELAS PERAM COMERCIO IMPORTACAO E REPRESENTACOES LTDA.</t>
        </is>
      </c>
      <c r="F765" s="7" t="n">
        <v>95.98999999999999</v>
      </c>
      <c r="G765" s="6" t="inlineStr">
        <is>
          <t>EQUIPAMENTOS E FERRAMENTAS</t>
        </is>
      </c>
      <c r="H765" s="6" t="inlineStr">
        <is>
          <t>TELAS PERAM COMERCIO IMPORTACAO E REPRESENTACOES L</t>
        </is>
      </c>
      <c r="I765" s="24" t="n">
        <v>46142</v>
      </c>
      <c r="J765" s="6" t="n">
        <v>5111</v>
      </c>
    </row>
    <row r="766">
      <c r="A766" s="23" t="n">
        <v>46113</v>
      </c>
      <c r="B766" s="6" t="inlineStr">
        <is>
          <t>Pago</t>
        </is>
      </c>
      <c r="C766" s="6" t="inlineStr">
        <is>
          <t>PL530.001</t>
        </is>
      </c>
      <c r="D766" s="6" t="str">
        <f>IFERROR(VLOOKUP(E766,FORNECEDORES!$A$5:$F$999,6,FALSE),"L10")</f>
        <v>L08</v>
      </c>
      <c r="E766" s="6" t="inlineStr">
        <is>
          <t>TELAS PERAM COMERCIO IMPORTACAO E REPRESENTACOES LTDA.</t>
        </is>
      </c>
      <c r="F766" s="7" t="n">
        <v>514.23</v>
      </c>
      <c r="G766" s="6" t="inlineStr">
        <is>
          <t>EQUIPAMENTOS E FERRAMENTAS</t>
        </is>
      </c>
      <c r="H766" s="6" t="inlineStr">
        <is>
          <t>TELAS PERAM COMERCIO IMPORTACAO E REPRESENTACOES L</t>
        </is>
      </c>
      <c r="I766" s="24" t="n">
        <v>46142</v>
      </c>
      <c r="J766" s="6" t="n">
        <v>4527</v>
      </c>
    </row>
    <row r="767">
      <c r="A767" s="23" t="n">
        <v>46113</v>
      </c>
      <c r="B767" s="6" t="inlineStr">
        <is>
          <t>Pago</t>
        </is>
      </c>
      <c r="C767" s="6" t="inlineStr">
        <is>
          <t>PL530.001</t>
        </is>
      </c>
      <c r="D767" s="6" t="str">
        <f>IFERROR(VLOOKUP(E767,FORNECEDORES!$A$5:$F$999,6,FALSE),"L10")</f>
        <v>L08</v>
      </c>
      <c r="E767" s="6" t="inlineStr">
        <is>
          <t>TELAS PERAM COMERCIO IMPORTACAO E REPRESENTACOES LTDA.</t>
        </is>
      </c>
      <c r="F767" s="7" t="n">
        <v>2315.57</v>
      </c>
      <c r="G767" s="6" t="inlineStr">
        <is>
          <t>EQUIPAMENTOS E FERRAMENTAS</t>
        </is>
      </c>
      <c r="H767" s="6" t="inlineStr">
        <is>
          <t>TELAS PERAM COMERCIO IMPORTACAO E REPRESENTACOES L</t>
        </is>
      </c>
      <c r="I767" s="24" t="n">
        <v>46142</v>
      </c>
      <c r="J767" s="6" t="n">
        <v>4527</v>
      </c>
    </row>
    <row r="768">
      <c r="A768" s="23" t="n">
        <v>46113</v>
      </c>
      <c r="B768" s="6" t="inlineStr">
        <is>
          <t>Pago</t>
        </is>
      </c>
      <c r="C768" s="6" t="inlineStr">
        <is>
          <t>PL530.001</t>
        </is>
      </c>
      <c r="D768" s="6" t="str">
        <f>IFERROR(VLOOKUP(E768,FORNECEDORES!$A$5:$F$999,6,FALSE),"L10")</f>
        <v>L08</v>
      </c>
      <c r="E768" s="6" t="inlineStr">
        <is>
          <t>TELAS PERAM COMERCIO IMPORTACAO E REPRESENTACOES LTDA.</t>
        </is>
      </c>
      <c r="F768" s="7" t="n">
        <v>128.56</v>
      </c>
      <c r="G768" s="6" t="inlineStr">
        <is>
          <t>EQUIPAMENTOS E FERRAMENTAS</t>
        </is>
      </c>
      <c r="H768" s="6" t="inlineStr">
        <is>
          <t>TELAS PERAM COMERCIO IMPORTACAO E REPRESENTACOES L</t>
        </is>
      </c>
      <c r="I768" s="24" t="n">
        <v>46142</v>
      </c>
      <c r="J768" s="6" t="n">
        <v>5116</v>
      </c>
    </row>
    <row r="769">
      <c r="A769" s="23" t="n">
        <v>46113</v>
      </c>
      <c r="B769" s="6" t="inlineStr">
        <is>
          <t>Pago</t>
        </is>
      </c>
      <c r="C769" s="6" t="inlineStr">
        <is>
          <t>PL530.001</t>
        </is>
      </c>
      <c r="D769" s="6" t="str">
        <f>IFERROR(VLOOKUP(E769,FORNECEDORES!$A$5:$F$999,6,FALSE),"L10")</f>
        <v>L08</v>
      </c>
      <c r="E769" s="6" t="inlineStr">
        <is>
          <t>TELAS PERAM COMERCIO IMPORTACAO E REPRESENTACOES LTDA.</t>
        </is>
      </c>
      <c r="F769" s="7" t="n">
        <v>182.52</v>
      </c>
      <c r="G769" s="6" t="inlineStr">
        <is>
          <t>EQUIPAMENTOS E FERRAMENTAS</t>
        </is>
      </c>
      <c r="H769" s="6" t="inlineStr">
        <is>
          <t>TELAS PERAM COMERCIO IMPORTACAO E REPRESENTACOES L</t>
        </is>
      </c>
      <c r="I769" s="24" t="n">
        <v>46142</v>
      </c>
      <c r="J769" s="6" t="n">
        <v>5111</v>
      </c>
    </row>
    <row r="770">
      <c r="A770" s="23" t="n">
        <v>46113</v>
      </c>
      <c r="B770" s="6" t="inlineStr">
        <is>
          <t>Pago</t>
        </is>
      </c>
      <c r="C770" s="6" t="inlineStr">
        <is>
          <t>PL530.001</t>
        </is>
      </c>
      <c r="D770" s="6" t="str">
        <f>IFERROR(VLOOKUP(E770,FORNECEDORES!$A$5:$F$999,6,FALSE),"L10")</f>
        <v>L08</v>
      </c>
      <c r="E770" s="6" t="inlineStr">
        <is>
          <t>TELAS PERAM COMERCIO IMPORTACAO E REPRESENTACOES LTDA.</t>
        </is>
      </c>
      <c r="F770" s="7" t="n">
        <v>871.74</v>
      </c>
      <c r="G770" s="6" t="inlineStr">
        <is>
          <t>EQUIPAMENTOS E FERRAMENTAS</t>
        </is>
      </c>
      <c r="H770" s="6" t="inlineStr">
        <is>
          <t>TELAS PERAM COMERCIO IMPORTACAO E REPRESENTACOES L</t>
        </is>
      </c>
      <c r="I770" s="24" t="n">
        <v>46142</v>
      </c>
      <c r="J770" s="6" t="n">
        <v>5116</v>
      </c>
    </row>
    <row r="771">
      <c r="A771" s="23" t="n">
        <v>46113</v>
      </c>
      <c r="B771" s="6" t="inlineStr">
        <is>
          <t>Pago</t>
        </is>
      </c>
      <c r="C771" s="6" t="inlineStr">
        <is>
          <t>PL530.001</t>
        </is>
      </c>
      <c r="D771" s="6" t="str">
        <f>IFERROR(VLOOKUP(E771,FORNECEDORES!$A$5:$F$999,6,FALSE),"L10")</f>
        <v>L08</v>
      </c>
      <c r="E771" s="6" t="inlineStr">
        <is>
          <t>TELAS PERAM COMERCIO IMPORTACAO E REPRESENTACOES LTDA.</t>
        </is>
      </c>
      <c r="F771" s="7" t="n">
        <v>272.42</v>
      </c>
      <c r="G771" s="6" t="inlineStr">
        <is>
          <t>EQUIPAMENTOS E FERRAMENTAS</t>
        </is>
      </c>
      <c r="H771" s="6" t="inlineStr">
        <is>
          <t>TELAS PERAM COMERCIO IMPORTACAO E REPRESENTACOES L</t>
        </is>
      </c>
      <c r="I771" s="24" t="n">
        <v>46142</v>
      </c>
      <c r="J771" s="6" t="n">
        <v>5115</v>
      </c>
    </row>
    <row r="772">
      <c r="A772" s="23" t="n">
        <v>46113</v>
      </c>
      <c r="B772" s="6" t="inlineStr">
        <is>
          <t>Pago</t>
        </is>
      </c>
      <c r="C772" s="6" t="inlineStr">
        <is>
          <t>PL530.001</t>
        </is>
      </c>
      <c r="D772" s="6" t="str">
        <f>IFERROR(VLOOKUP(E772,FORNECEDORES!$A$5:$F$999,6,FALSE),"L10")</f>
        <v>L08</v>
      </c>
      <c r="E772" s="6" t="inlineStr">
        <is>
          <t>TELAS PERAM COMERCIO IMPORTACAO E REPRESENTACOES LTDA.</t>
        </is>
      </c>
      <c r="F772" s="7" t="n">
        <v>78.42</v>
      </c>
      <c r="G772" s="6" t="inlineStr">
        <is>
          <t>EQUIPAMENTOS E FERRAMENTAS</t>
        </is>
      </c>
      <c r="H772" s="6" t="inlineStr">
        <is>
          <t>TELAS PERAM COMERCIO IMPORTACAO E REPRESENTACOES L</t>
        </is>
      </c>
      <c r="I772" s="24" t="n">
        <v>46142</v>
      </c>
      <c r="J772" s="6" t="n">
        <v>5112</v>
      </c>
    </row>
    <row r="773">
      <c r="A773" s="23" t="n">
        <v>46113</v>
      </c>
      <c r="B773" s="6" t="inlineStr">
        <is>
          <t>Pago</t>
        </is>
      </c>
      <c r="C773" s="6" t="inlineStr">
        <is>
          <t>PL530.001</t>
        </is>
      </c>
      <c r="D773" s="6" t="str">
        <f>IFERROR(VLOOKUP(E773,FORNECEDORES!$A$5:$F$999,6,FALSE),"L10")</f>
        <v>L08</v>
      </c>
      <c r="E773" s="6" t="inlineStr">
        <is>
          <t>TELAS PERAM COMERCIO IMPORTACAO E REPRESENTACOES LTDA.</t>
        </is>
      </c>
      <c r="F773" s="7" t="n">
        <v>42.85</v>
      </c>
      <c r="G773" s="6" t="inlineStr">
        <is>
          <t>EQUIPAMENTOS E FERRAMENTAS</t>
        </is>
      </c>
      <c r="H773" s="6" t="inlineStr">
        <is>
          <t>TELAS PERAM COMERCIO IMPORTACAO E REPRESENTACOES L</t>
        </is>
      </c>
      <c r="I773" s="24" t="n">
        <v>46142</v>
      </c>
      <c r="J773" s="6" t="n">
        <v>5115</v>
      </c>
    </row>
    <row r="774">
      <c r="A774" s="23" t="n">
        <v>46113</v>
      </c>
      <c r="B774" s="6" t="inlineStr">
        <is>
          <t>Pago</t>
        </is>
      </c>
      <c r="C774" s="6" t="inlineStr">
        <is>
          <t>PL530.001</t>
        </is>
      </c>
      <c r="D774" s="6" t="str">
        <f>IFERROR(VLOOKUP(E774,FORNECEDORES!$A$5:$F$999,6,FALSE),"L10")</f>
        <v>L08</v>
      </c>
      <c r="E774" s="6" t="inlineStr">
        <is>
          <t>TELAS PERAM COMERCIO IMPORTACAO E REPRESENTACOES LTDA.</t>
        </is>
      </c>
      <c r="F774" s="7" t="n">
        <v>182.52</v>
      </c>
      <c r="G774" s="6" t="inlineStr">
        <is>
          <t>EQUIPAMENTOS E FERRAMENTAS</t>
        </is>
      </c>
      <c r="H774" s="6" t="inlineStr">
        <is>
          <t>TELAS PERAM COMERCIO IMPORTACAO E REPRESENTACOES L</t>
        </is>
      </c>
      <c r="I774" s="24" t="n">
        <v>46142</v>
      </c>
      <c r="J774" s="6" t="n">
        <v>5113</v>
      </c>
    </row>
    <row r="775">
      <c r="A775" s="23" t="n">
        <v>46113</v>
      </c>
      <c r="B775" s="6" t="inlineStr">
        <is>
          <t>Pago</t>
        </is>
      </c>
      <c r="C775" s="6" t="inlineStr">
        <is>
          <t>PL530.001</t>
        </is>
      </c>
      <c r="D775" s="6" t="str">
        <f>IFERROR(VLOOKUP(E775,FORNECEDORES!$A$5:$F$999,6,FALSE),"L10")</f>
        <v>L08</v>
      </c>
      <c r="E775" s="6" t="inlineStr">
        <is>
          <t>TELAS PERAM COMERCIO IMPORTACAO E REPRESENTACOES LTDA.</t>
        </is>
      </c>
      <c r="F775" s="7" t="n">
        <v>95.56</v>
      </c>
      <c r="G775" s="6" t="inlineStr">
        <is>
          <t>EQUIPAMENTOS E FERRAMENTAS</t>
        </is>
      </c>
      <c r="H775" s="6" t="inlineStr">
        <is>
          <t>TELAS PERAM COMERCIO IMPORTACAO E REPRESENTACOES L</t>
        </is>
      </c>
      <c r="I775" s="24" t="n">
        <v>46142</v>
      </c>
      <c r="J775" s="6" t="n">
        <v>5113</v>
      </c>
    </row>
    <row r="776">
      <c r="A776" s="23" t="n">
        <v>46113</v>
      </c>
      <c r="B776" s="6" t="inlineStr">
        <is>
          <t>Pago</t>
        </is>
      </c>
      <c r="C776" s="6" t="inlineStr">
        <is>
          <t>PL530.001</t>
        </is>
      </c>
      <c r="D776" s="6" t="str">
        <f>IFERROR(VLOOKUP(E776,FORNECEDORES!$A$5:$F$999,6,FALSE),"L10")</f>
        <v>L08</v>
      </c>
      <c r="E776" s="6" t="inlineStr">
        <is>
          <t>TELAS PERAM COMERCIO IMPORTACAO E REPRESENTACOES LTDA.</t>
        </is>
      </c>
      <c r="F776" s="7" t="n">
        <v>190.69</v>
      </c>
      <c r="G776" s="6" t="inlineStr">
        <is>
          <t>EQUIPAMENTOS E FERRAMENTAS</t>
        </is>
      </c>
      <c r="H776" s="6" t="inlineStr">
        <is>
          <t>TELAS PERAM COMERCIO IMPORTACAO E REPRESENTACOES L</t>
        </is>
      </c>
      <c r="I776" s="24" t="n">
        <v>46142</v>
      </c>
      <c r="J776" s="6" t="n">
        <v>5112</v>
      </c>
    </row>
    <row r="777">
      <c r="A777" s="23" t="n">
        <v>46113</v>
      </c>
      <c r="B777" s="6" t="inlineStr">
        <is>
          <t>Pago</t>
        </is>
      </c>
      <c r="C777" s="6" t="inlineStr">
        <is>
          <t>PL530.001</t>
        </is>
      </c>
      <c r="D777" s="6" t="str">
        <f>IFERROR(VLOOKUP(E777,FORNECEDORES!$A$5:$F$999,6,FALSE),"L10")</f>
        <v>L08</v>
      </c>
      <c r="E777" s="6" t="inlineStr">
        <is>
          <t>TELAS PERAM COMERCIO IMPORTACAO E REPRESENTACOES LTDA.</t>
        </is>
      </c>
      <c r="F777" s="7" t="n">
        <v>78.42</v>
      </c>
      <c r="G777" s="6" t="inlineStr">
        <is>
          <t>EQUIPAMENTOS E FERRAMENTAS</t>
        </is>
      </c>
      <c r="H777" s="6" t="inlineStr">
        <is>
          <t>TELAS PERAM COMERCIO IMPORTACAO E REPRESENTACOES L</t>
        </is>
      </c>
      <c r="I777" s="24" t="n">
        <v>46142</v>
      </c>
      <c r="J777" s="6" t="n">
        <v>5114</v>
      </c>
    </row>
    <row r="778">
      <c r="A778" s="23" t="n">
        <v>46113</v>
      </c>
      <c r="B778" s="6" t="inlineStr">
        <is>
          <t>Pago</t>
        </is>
      </c>
      <c r="C778" s="6" t="inlineStr">
        <is>
          <t>PL530.001</t>
        </is>
      </c>
      <c r="D778" s="6" t="str">
        <f>IFERROR(VLOOKUP(E778,FORNECEDORES!$A$5:$F$999,6,FALSE),"L10")</f>
        <v>L08</v>
      </c>
      <c r="E778" s="6" t="inlineStr">
        <is>
          <t>TELAS PERAM COMERCIO IMPORTACAO E REPRESENTACOES LTDA.</t>
        </is>
      </c>
      <c r="F778" s="7" t="n">
        <v>190.69</v>
      </c>
      <c r="G778" s="6" t="inlineStr">
        <is>
          <t>EQUIPAMENTOS E FERRAMENTAS</t>
        </is>
      </c>
      <c r="H778" s="6" t="inlineStr">
        <is>
          <t>TELAS PERAM COMERCIO IMPORTACAO E REPRESENTACOES L</t>
        </is>
      </c>
      <c r="I778" s="24" t="n">
        <v>46142</v>
      </c>
      <c r="J778" s="6" t="n">
        <v>5114</v>
      </c>
    </row>
    <row r="779">
      <c r="A779" s="23" t="n">
        <v>46113</v>
      </c>
      <c r="B779" s="6" t="inlineStr">
        <is>
          <t>Pago</t>
        </is>
      </c>
      <c r="C779" s="6" t="inlineStr">
        <is>
          <t>PL530.001</t>
        </is>
      </c>
      <c r="D779" s="6" t="str">
        <f>IFERROR(VLOOKUP(E779,FORNECEDORES!$A$5:$F$999,6,FALSE),"L10")</f>
        <v>L08</v>
      </c>
      <c r="E779" s="6" t="inlineStr">
        <is>
          <t>TELAS UNIAO INDUSTRIA E COMERCIO LTDA</t>
        </is>
      </c>
      <c r="F779" s="7" t="n">
        <v>2222.32</v>
      </c>
      <c r="G779" s="6" t="inlineStr">
        <is>
          <t>ESQUADRIAS DE FERRO E CERCAMENTO</t>
        </is>
      </c>
      <c r="H779" s="6" t="inlineStr">
        <is>
          <t>TELAS UNIAO INDUSTRIA E COMERCIO LTDA</t>
        </is>
      </c>
      <c r="I779" s="24" t="n">
        <v>46134</v>
      </c>
      <c r="J779" s="6" t="n">
        <v>4395</v>
      </c>
    </row>
    <row r="780">
      <c r="A780" s="23" t="n">
        <v>46113</v>
      </c>
      <c r="B780" s="6" t="inlineStr">
        <is>
          <t>Pago</t>
        </is>
      </c>
      <c r="C780" s="6" t="inlineStr">
        <is>
          <t>PL530.001</t>
        </is>
      </c>
      <c r="D780" s="6" t="str">
        <f>IFERROR(VLOOKUP(E780,FORNECEDORES!$A$5:$F$999,6,FALSE),"L10")</f>
        <v>L08</v>
      </c>
      <c r="E780" s="6" t="inlineStr">
        <is>
          <t>TELAS UNIAO INDUSTRIA E COMERCIO LTDA</t>
        </is>
      </c>
      <c r="F780" s="7" t="n">
        <v>99.98999999999999</v>
      </c>
      <c r="G780" s="6" t="inlineStr">
        <is>
          <t>FRETE</t>
        </is>
      </c>
      <c r="H780" s="6" t="inlineStr">
        <is>
          <t>TELAS UNIAO INDUSTRIA E COMERCIO LTDA</t>
        </is>
      </c>
      <c r="I780" s="24" t="n">
        <v>46134</v>
      </c>
      <c r="J780" s="6" t="n">
        <v>4395</v>
      </c>
    </row>
    <row r="781">
      <c r="A781" s="23" t="n">
        <v>46143</v>
      </c>
      <c r="B781" s="6" t="inlineStr">
        <is>
          <t>Pago</t>
        </is>
      </c>
      <c r="C781" s="6" t="inlineStr">
        <is>
          <t>PL530.001</t>
        </is>
      </c>
      <c r="D781" s="6" t="str">
        <f>IFERROR(VLOOKUP(E781,FORNECEDORES!$A$5:$F$999,6,FALSE),"L10")</f>
        <v>L02</v>
      </c>
      <c r="E781" s="6" t="inlineStr">
        <is>
          <t>AMBIPLAN TERRAPLENAGEME LOCACOES</t>
        </is>
      </c>
      <c r="F781" s="7" t="n">
        <v>1300</v>
      </c>
      <c r="G781" s="6" t="inlineStr">
        <is>
          <t>SUB-EMPREITEIROS OBRAS</t>
        </is>
      </c>
      <c r="H781" s="6" t="inlineStr">
        <is>
          <t>AMBIPLAN TERRAPLENAGEME LOCACOES</t>
        </is>
      </c>
      <c r="I781" s="24" t="n">
        <v>46169</v>
      </c>
      <c r="J781" s="6" t="n">
        <v>5377</v>
      </c>
    </row>
    <row r="782">
      <c r="A782" s="23" t="n">
        <v>46143</v>
      </c>
      <c r="B782" s="6" t="inlineStr">
        <is>
          <t>Pago</t>
        </is>
      </c>
      <c r="C782" s="6" t="inlineStr">
        <is>
          <t>PL530.001</t>
        </is>
      </c>
      <c r="D782" s="6" t="str">
        <f>IFERROR(VLOOKUP(E782,FORNECEDORES!$A$5:$F$999,6,FALSE),"L10")</f>
        <v>L10</v>
      </c>
      <c r="E782" s="6" t="inlineStr">
        <is>
          <t>COMERCIO E MANUTENCAO DE PALETEIRAS LTDA</t>
        </is>
      </c>
      <c r="F782" s="7" t="n">
        <v>47.49</v>
      </c>
      <c r="G782" s="6" t="inlineStr">
        <is>
          <t>NÃO CLASSIFICADO</t>
        </is>
      </c>
      <c r="H782" s="6" t="inlineStr">
        <is>
          <t>PREFEITURA DE BELO HORIZONTE - ISSQN RETIDO</t>
        </is>
      </c>
      <c r="I782" s="24" t="n">
        <v>46150</v>
      </c>
      <c r="J782" s="6" t="n">
        <v>4965</v>
      </c>
    </row>
    <row r="783">
      <c r="A783" s="23" t="n">
        <v>46143</v>
      </c>
      <c r="B783" s="6" t="inlineStr">
        <is>
          <t>Pago</t>
        </is>
      </c>
      <c r="C783" s="6" t="inlineStr">
        <is>
          <t>PL530.001</t>
        </is>
      </c>
      <c r="D783" s="6" t="str">
        <f>IFERROR(VLOOKUP(E783,FORNECEDORES!$A$5:$F$999,6,FALSE),"L10")</f>
        <v>L01</v>
      </c>
      <c r="E783" s="6" t="inlineStr">
        <is>
          <t>CONSTRUMAQ INDUSTRIA DE MAQUINAS E EQUIPAMENTOS LTDA</t>
        </is>
      </c>
      <c r="F783" s="7" t="n">
        <v>1950.54</v>
      </c>
      <c r="G783" s="6" t="inlineStr">
        <is>
          <t>FRETE</t>
        </is>
      </c>
      <c r="H783" s="6" t="inlineStr">
        <is>
          <t>CONSTRUMAQ INDUSTRIA DE MAQUINAS E EQUIPAMENTOS LT</t>
        </is>
      </c>
      <c r="I783" s="24" t="n">
        <v>46169</v>
      </c>
      <c r="J783" s="6" t="n">
        <v>4408</v>
      </c>
    </row>
    <row r="784">
      <c r="A784" s="23" t="n">
        <v>46143</v>
      </c>
      <c r="B784" s="6" t="inlineStr">
        <is>
          <t>Pago</t>
        </is>
      </c>
      <c r="C784" s="6" t="inlineStr">
        <is>
          <t>PL530.001</t>
        </is>
      </c>
      <c r="D784" s="6" t="str">
        <f>IFERROR(VLOOKUP(E784,FORNECEDORES!$A$5:$F$999,6,FALSE),"L10")</f>
        <v>L01</v>
      </c>
      <c r="E784" s="6" t="inlineStr">
        <is>
          <t>CONSTRUMAQ INDUSTRIA DE MAQUINAS E EQUIPAMENTOS LTDA</t>
        </is>
      </c>
      <c r="F784" s="7" t="n">
        <v>842.4</v>
      </c>
      <c r="G784" s="6" t="inlineStr">
        <is>
          <t>FRETE</t>
        </is>
      </c>
      <c r="H784" s="6" t="inlineStr">
        <is>
          <t>CONSTRUMAQ INDUSTRIA DE MAQUINAS E EQUIPAMENTOS LT</t>
        </is>
      </c>
      <c r="I784" s="24" t="n">
        <v>46146</v>
      </c>
      <c r="J784" s="6" t="n">
        <v>4187</v>
      </c>
    </row>
    <row r="785">
      <c r="A785" s="23" t="n">
        <v>46143</v>
      </c>
      <c r="B785" s="6" t="inlineStr">
        <is>
          <t>Pago</t>
        </is>
      </c>
      <c r="C785" s="6" t="inlineStr">
        <is>
          <t>PL530.001</t>
        </is>
      </c>
      <c r="D785" s="6" t="str">
        <f>IFERROR(VLOOKUP(E785,FORNECEDORES!$A$5:$F$999,6,FALSE),"L10")</f>
        <v>L01</v>
      </c>
      <c r="E785" s="6" t="inlineStr">
        <is>
          <t>CONSTRUMAQ INDUSTRIA DE MAQUINAS E EQUIPAMENTOS LTDA</t>
        </is>
      </c>
      <c r="F785" s="7" t="n">
        <v>1792.04</v>
      </c>
      <c r="G785" s="6" t="inlineStr">
        <is>
          <t>EQUIPAMENTOS E FERRAMENTAS</t>
        </is>
      </c>
      <c r="H785" s="6" t="inlineStr">
        <is>
          <t>CONSTRUMAQ INDUSTRIA DE MAQUINAS E EQUIPAMENTOS LT</t>
        </is>
      </c>
      <c r="I785" s="24" t="n">
        <v>46169</v>
      </c>
      <c r="J785" s="6" t="n">
        <v>4408</v>
      </c>
    </row>
    <row r="786">
      <c r="A786" s="23" t="n">
        <v>46143</v>
      </c>
      <c r="B786" s="6" t="inlineStr">
        <is>
          <t>Pago</t>
        </is>
      </c>
      <c r="C786" s="6" t="inlineStr">
        <is>
          <t>PL530.001</t>
        </is>
      </c>
      <c r="D786" s="6" t="str">
        <f>IFERROR(VLOOKUP(E786,FORNECEDORES!$A$5:$F$999,6,FALSE),"L10")</f>
        <v>L01</v>
      </c>
      <c r="E786" s="6" t="inlineStr">
        <is>
          <t>CONSTRUMAQ INDUSTRIA DE MAQUINAS E EQUIPAMENTOS LTDA</t>
        </is>
      </c>
      <c r="F786" s="7" t="n">
        <v>3886.35</v>
      </c>
      <c r="G786" s="6" t="inlineStr">
        <is>
          <t>EQUIPAMENTOS E FERRAMENTAS</t>
        </is>
      </c>
      <c r="H786" s="6" t="inlineStr">
        <is>
          <t>CONSTRUMAQ INDUSTRIA DE MAQUINAS E EQUIPAMENTOS LT</t>
        </is>
      </c>
      <c r="I786" s="24" t="n">
        <v>46146</v>
      </c>
      <c r="J786" s="6" t="n">
        <v>4187</v>
      </c>
    </row>
    <row r="787">
      <c r="A787" s="23" t="n">
        <v>46143</v>
      </c>
      <c r="B787" s="6" t="inlineStr">
        <is>
          <t>Pago</t>
        </is>
      </c>
      <c r="C787" s="6" t="inlineStr">
        <is>
          <t>PL530.001</t>
        </is>
      </c>
      <c r="D787" s="6" t="str">
        <f>IFERROR(VLOOKUP(E787,FORNECEDORES!$A$5:$F$999,6,FALSE),"L10")</f>
        <v>L10</v>
      </c>
      <c r="E787" s="6" t="inlineStr">
        <is>
          <t>CORTEZ LOCACAO DE EQUIPAMENTOS LTDA-ME</t>
        </is>
      </c>
      <c r="F787" s="7" t="n">
        <v>2458.5</v>
      </c>
      <c r="G787" s="6" t="inlineStr">
        <is>
          <t>NÃO CLASSIFICADO</t>
        </is>
      </c>
      <c r="H787" s="6" t="inlineStr">
        <is>
          <t>INSS RETIDO PJ - MINISTERIO DA PREVIDENCIA</t>
        </is>
      </c>
      <c r="I787" s="24" t="n">
        <v>46161</v>
      </c>
      <c r="J787" s="6" t="n">
        <v>4896</v>
      </c>
    </row>
    <row r="788">
      <c r="A788" s="23" t="n">
        <v>46143</v>
      </c>
      <c r="B788" s="6" t="inlineStr">
        <is>
          <t>Pago</t>
        </is>
      </c>
      <c r="C788" s="6" t="inlineStr">
        <is>
          <t>PL530.001</t>
        </is>
      </c>
      <c r="D788" s="6" t="str">
        <f>IFERROR(VLOOKUP(E788,FORNECEDORES!$A$5:$F$999,6,FALSE),"L10")</f>
        <v>L10</v>
      </c>
      <c r="E788" s="6" t="inlineStr">
        <is>
          <t>CORTEZ LOCACAO DE EQUIPAMENTOS LTDA-ME</t>
        </is>
      </c>
      <c r="F788" s="7" t="n">
        <v>2337.5</v>
      </c>
      <c r="G788" s="6" t="inlineStr">
        <is>
          <t>NÃO CLASSIFICADO</t>
        </is>
      </c>
      <c r="H788" s="6" t="inlineStr">
        <is>
          <t>INSS RETIDO PJ - MINISTERIO DA PREVIDENCIA</t>
        </is>
      </c>
      <c r="I788" s="24" t="n">
        <v>46161</v>
      </c>
      <c r="J788" s="6" t="n">
        <v>5067</v>
      </c>
    </row>
    <row r="789">
      <c r="A789" s="23" t="n">
        <v>46143</v>
      </c>
      <c r="B789" s="6" t="inlineStr">
        <is>
          <t>Pago</t>
        </is>
      </c>
      <c r="C789" s="6" t="inlineStr">
        <is>
          <t>PL530.001</t>
        </is>
      </c>
      <c r="D789" s="6" t="str">
        <f>IFERROR(VLOOKUP(E789,FORNECEDORES!$A$5:$F$999,6,FALSE),"L10")</f>
        <v>L10</v>
      </c>
      <c r="E789" s="6" t="inlineStr">
        <is>
          <t>CORTEZ LOCACAO DE EQUIPAMENTOS LTDA-ME</t>
        </is>
      </c>
      <c r="F789" s="7" t="n">
        <v>837.25</v>
      </c>
      <c r="G789" s="6" t="inlineStr">
        <is>
          <t>NÃO CLASSIFICADO</t>
        </is>
      </c>
      <c r="H789" s="6" t="inlineStr">
        <is>
          <t>PREFEITURA DE BELO HORIZONTE - ISSQN RETIDO</t>
        </is>
      </c>
      <c r="I789" s="24" t="n">
        <v>46150</v>
      </c>
      <c r="J789" s="6" t="n">
        <v>5066</v>
      </c>
    </row>
    <row r="790">
      <c r="A790" s="23" t="n">
        <v>46143</v>
      </c>
      <c r="B790" s="6" t="inlineStr">
        <is>
          <t>Pago</t>
        </is>
      </c>
      <c r="C790" s="6" t="inlineStr">
        <is>
          <t>PL530.001</t>
        </is>
      </c>
      <c r="D790" s="6" t="str">
        <f>IFERROR(VLOOKUP(E790,FORNECEDORES!$A$5:$F$999,6,FALSE),"L10")</f>
        <v>L10</v>
      </c>
      <c r="E790" s="6" t="inlineStr">
        <is>
          <t>CORTEZ LOCACAO DE EQUIPAMENTOS LTDA-ME</t>
        </is>
      </c>
      <c r="F790" s="7" t="n">
        <v>880.59</v>
      </c>
      <c r="G790" s="6" t="inlineStr">
        <is>
          <t>NÃO CLASSIFICADO</t>
        </is>
      </c>
      <c r="H790" s="6" t="inlineStr">
        <is>
          <t>PREFEITURA DE BELO HORIZONTE - ISSQN RETIDO</t>
        </is>
      </c>
      <c r="I790" s="24" t="n">
        <v>46150</v>
      </c>
      <c r="J790" s="6" t="n">
        <v>4910</v>
      </c>
    </row>
    <row r="791">
      <c r="A791" s="23" t="n">
        <v>46143</v>
      </c>
      <c r="B791" s="6" t="inlineStr">
        <is>
          <t>Pago</t>
        </is>
      </c>
      <c r="C791" s="6" t="inlineStr">
        <is>
          <t>PL530.001</t>
        </is>
      </c>
      <c r="D791" s="6" t="str">
        <f>IFERROR(VLOOKUP(E791,FORNECEDORES!$A$5:$F$999,6,FALSE),"L10")</f>
        <v>L03</v>
      </c>
      <c r="E791" s="6" t="inlineStr">
        <is>
          <t>DATRON TECNOLOGIA E LOCACAO LTDA</t>
        </is>
      </c>
      <c r="F791" s="7" t="n">
        <v>1025</v>
      </c>
      <c r="G791" s="6" t="inlineStr">
        <is>
          <t>LOCAÇÕES</t>
        </is>
      </c>
      <c r="H791" s="6" t="inlineStr">
        <is>
          <t>DATRON TECNOLOGIA E LOCACAO LTDA</t>
        </is>
      </c>
      <c r="I791" s="24" t="n">
        <v>46161</v>
      </c>
      <c r="J791" s="6" t="n">
        <v>5235</v>
      </c>
    </row>
    <row r="792">
      <c r="A792" s="23" t="n">
        <v>46143</v>
      </c>
      <c r="B792" s="6" t="inlineStr">
        <is>
          <t>Pago</t>
        </is>
      </c>
      <c r="C792" s="6" t="inlineStr">
        <is>
          <t>PL530.001</t>
        </is>
      </c>
      <c r="D792" s="6" t="str">
        <f>IFERROR(VLOOKUP(E792,FORNECEDORES!$A$5:$F$999,6,FALSE),"L10")</f>
        <v>L10</v>
      </c>
      <c r="E792" s="6" t="inlineStr">
        <is>
          <t>ELITE FUNDACOES EIRELI</t>
        </is>
      </c>
      <c r="F792" s="7" t="n">
        <v>7267</v>
      </c>
      <c r="G792" s="6" t="inlineStr">
        <is>
          <t>NÃO CLASSIFICADO</t>
        </is>
      </c>
      <c r="H792" s="6" t="inlineStr">
        <is>
          <t>ELITE FUNDACOES EIRELI</t>
        </is>
      </c>
      <c r="I792" s="24" t="n">
        <v>46164</v>
      </c>
      <c r="J792" s="6" t="n">
        <v>5252</v>
      </c>
    </row>
    <row r="793">
      <c r="A793" s="23" t="n">
        <v>46143</v>
      </c>
      <c r="B793" s="6" t="inlineStr">
        <is>
          <t>Pago</t>
        </is>
      </c>
      <c r="C793" s="6" t="inlineStr">
        <is>
          <t>PL530.001</t>
        </is>
      </c>
      <c r="D793" s="6" t="str">
        <f>IFERROR(VLOOKUP(E793,FORNECEDORES!$A$5:$F$999,6,FALSE),"L10")</f>
        <v>L03</v>
      </c>
      <c r="E793" s="6" t="inlineStr">
        <is>
          <t>EUROLINK IMPORTACAO E LOCACAO DE EQUIPAMENTOS LTDA</t>
        </is>
      </c>
      <c r="F793" s="7" t="n">
        <v>102.27</v>
      </c>
      <c r="G793" s="6" t="inlineStr">
        <is>
          <t>LOCAÇÕES</t>
        </is>
      </c>
      <c r="H793" s="6" t="inlineStr">
        <is>
          <t>EUROLINK IMPORTACAO E LOCACAO DE EQUIPAMENTOS LTDA</t>
        </is>
      </c>
      <c r="I793" s="24" t="n">
        <v>46171</v>
      </c>
      <c r="J793" s="6" t="n">
        <v>5432</v>
      </c>
    </row>
    <row r="794">
      <c r="A794" s="23" t="n">
        <v>46143</v>
      </c>
      <c r="B794" s="6" t="inlineStr">
        <is>
          <t>Pago</t>
        </is>
      </c>
      <c r="C794" s="6" t="inlineStr">
        <is>
          <t>PL530.001</t>
        </is>
      </c>
      <c r="D794" s="6" t="str">
        <f>IFERROR(VLOOKUP(E794,FORNECEDORES!$A$5:$F$999,6,FALSE),"L10")</f>
        <v>L03</v>
      </c>
      <c r="E794" s="6" t="inlineStr">
        <is>
          <t>EUROLINK IMPORTACAO E LOCACAO DE EQUIPAMENTOS LTDA</t>
        </is>
      </c>
      <c r="F794" s="7" t="n">
        <v>8940.84</v>
      </c>
      <c r="G794" s="6" t="inlineStr">
        <is>
          <t>LOCAÇÕES</t>
        </is>
      </c>
      <c r="H794" s="6" t="inlineStr">
        <is>
          <t>EUROLINK IMPORTACAO E LOCACAO DE EQUIPAMENTOS LTDA</t>
        </is>
      </c>
      <c r="I794" s="24" t="n">
        <v>46171</v>
      </c>
      <c r="J794" s="6" t="n">
        <v>5431</v>
      </c>
    </row>
    <row r="795">
      <c r="A795" s="23" t="n">
        <v>46143</v>
      </c>
      <c r="B795" s="6" t="inlineStr">
        <is>
          <t>Pago</t>
        </is>
      </c>
      <c r="C795" s="6" t="inlineStr">
        <is>
          <t>PL530.001</t>
        </is>
      </c>
      <c r="D795" s="6" t="str">
        <f>IFERROR(VLOOKUP(E795,FORNECEDORES!$A$5:$F$999,6,FALSE),"L10")</f>
        <v>L01</v>
      </c>
      <c r="E795" s="6" t="inlineStr">
        <is>
          <t>EXPRESSO 2000 TRANSPORTES E LOGISTICA LTDA</t>
        </is>
      </c>
      <c r="F795" s="7" t="n">
        <v>820.08</v>
      </c>
      <c r="G795" s="6" t="inlineStr">
        <is>
          <t>FRETE</t>
        </is>
      </c>
      <c r="H795" s="6" t="inlineStr">
        <is>
          <t>EXPRESSO 2000 TRANSPORTES E LOGISTICA LTDA</t>
        </is>
      </c>
      <c r="I795" s="24" t="n">
        <v>46170</v>
      </c>
      <c r="J795" s="6" t="n">
        <v>5191</v>
      </c>
    </row>
    <row r="796">
      <c r="A796" s="23" t="n">
        <v>46143</v>
      </c>
      <c r="B796" s="6" t="inlineStr">
        <is>
          <t>Pago</t>
        </is>
      </c>
      <c r="C796" s="6" t="inlineStr">
        <is>
          <t>PL530.001</t>
        </is>
      </c>
      <c r="D796" s="6" t="str">
        <f>IFERROR(VLOOKUP(E796,FORNECEDORES!$A$5:$F$999,6,FALSE),"L10")</f>
        <v>L01</v>
      </c>
      <c r="E796" s="6" t="inlineStr">
        <is>
          <t>EXPRESSO 2000 TRANSPORTES E LOGISTICA LTDA</t>
        </is>
      </c>
      <c r="F796" s="7" t="n">
        <v>2319.73</v>
      </c>
      <c r="G796" s="6" t="inlineStr">
        <is>
          <t>FRETE</t>
        </is>
      </c>
      <c r="H796" s="6" t="inlineStr">
        <is>
          <t>EXPRESSO 2000 TRANSPORTES E LOGISTICA LTDA</t>
        </is>
      </c>
      <c r="I796" s="24" t="n">
        <v>46154</v>
      </c>
      <c r="J796" s="6" t="n">
        <v>4818</v>
      </c>
    </row>
    <row r="797">
      <c r="A797" s="23" t="n">
        <v>46143</v>
      </c>
      <c r="B797" s="6" t="inlineStr">
        <is>
          <t>Pago</t>
        </is>
      </c>
      <c r="C797" s="6" t="inlineStr">
        <is>
          <t>PL530.001</t>
        </is>
      </c>
      <c r="D797" s="6" t="str">
        <f>IFERROR(VLOOKUP(E797,FORNECEDORES!$A$5:$F$999,6,FALSE),"L10")</f>
        <v>L04</v>
      </c>
      <c r="E797" s="6" t="inlineStr">
        <is>
          <t>EXXI GLOBAL DO BRASIL LTDA</t>
        </is>
      </c>
      <c r="F797" s="7" t="n">
        <v>150</v>
      </c>
      <c r="G797" s="6" t="inlineStr">
        <is>
          <t>FRETE</t>
        </is>
      </c>
      <c r="H797" s="6" t="inlineStr">
        <is>
          <t>EXXI GLOBAL DO BRASIL LTDA</t>
        </is>
      </c>
      <c r="I797" s="24" t="n">
        <v>46169</v>
      </c>
      <c r="J797" s="6" t="n">
        <v>4830</v>
      </c>
    </row>
    <row r="798">
      <c r="A798" s="23" t="n">
        <v>46143</v>
      </c>
      <c r="B798" s="6" t="inlineStr">
        <is>
          <t>Pago</t>
        </is>
      </c>
      <c r="C798" s="6" t="inlineStr">
        <is>
          <t>PL530.001</t>
        </is>
      </c>
      <c r="D798" s="6" t="str">
        <f>IFERROR(VLOOKUP(E798,FORNECEDORES!$A$5:$F$999,6,FALSE),"L10")</f>
        <v>L04</v>
      </c>
      <c r="E798" s="6" t="inlineStr">
        <is>
          <t>EXXI GLOBAL DO BRASIL LTDA</t>
        </is>
      </c>
      <c r="F798" s="7" t="n">
        <v>1872</v>
      </c>
      <c r="G798" s="6" t="inlineStr">
        <is>
          <t>FORMA DE MADEIRA</t>
        </is>
      </c>
      <c r="H798" s="6" t="inlineStr">
        <is>
          <t>EXXI GLOBAL DO BRASIL LTDA</t>
        </is>
      </c>
      <c r="I798" s="24" t="n">
        <v>46169</v>
      </c>
      <c r="J798" s="6" t="n">
        <v>4830</v>
      </c>
    </row>
    <row r="799">
      <c r="A799" s="23" t="n">
        <v>46143</v>
      </c>
      <c r="B799" s="6" t="inlineStr">
        <is>
          <t>Pago</t>
        </is>
      </c>
      <c r="C799" s="6" t="inlineStr">
        <is>
          <t>PL530.001</t>
        </is>
      </c>
      <c r="D799" s="6" t="str">
        <f>IFERROR(VLOOKUP(E799,FORNECEDORES!$A$5:$F$999,6,FALSE),"L10")</f>
        <v>L04</v>
      </c>
      <c r="E799" s="6" t="inlineStr">
        <is>
          <t>EXXI GLOBAL DO BRASIL LTDA</t>
        </is>
      </c>
      <c r="F799" s="7" t="n">
        <v>3060.05</v>
      </c>
      <c r="G799" s="6" t="inlineStr">
        <is>
          <t>FORMA DE MADEIRA</t>
        </is>
      </c>
      <c r="H799" s="6" t="inlineStr">
        <is>
          <t>EXXI GLOBAL DO BRASIL LTDA</t>
        </is>
      </c>
      <c r="I799" s="24" t="n">
        <v>46169</v>
      </c>
      <c r="J799" s="6" t="n">
        <v>4830</v>
      </c>
    </row>
    <row r="800">
      <c r="A800" s="23" t="n">
        <v>46143</v>
      </c>
      <c r="B800" s="6" t="inlineStr">
        <is>
          <t>Pago</t>
        </is>
      </c>
      <c r="C800" s="6" t="inlineStr">
        <is>
          <t>PL530.001</t>
        </is>
      </c>
      <c r="D800" s="6" t="str">
        <f>IFERROR(VLOOKUP(E800,FORNECEDORES!$A$5:$F$999,6,FALSE),"L10")</f>
        <v>L10</v>
      </c>
      <c r="E800" s="6" t="inlineStr">
        <is>
          <t>FIAO LOCACOES E TRANSPORTES LTDA</t>
        </is>
      </c>
      <c r="F800" s="7" t="n">
        <v>5210.65</v>
      </c>
      <c r="G800" s="6" t="inlineStr">
        <is>
          <t>NÃO CLASSIFICADO</t>
        </is>
      </c>
      <c r="H800" s="6" t="inlineStr">
        <is>
          <t>FIAO LOCACOES E TRANSPORTES LTDA</t>
        </is>
      </c>
      <c r="I800" s="24" t="n">
        <v>46160</v>
      </c>
      <c r="J800" s="6" t="n">
        <v>5168</v>
      </c>
    </row>
    <row r="801">
      <c r="A801" s="23" t="n">
        <v>46143</v>
      </c>
      <c r="B801" s="6" t="inlineStr">
        <is>
          <t>Pago</t>
        </is>
      </c>
      <c r="C801" s="6" t="inlineStr">
        <is>
          <t>PL530.001</t>
        </is>
      </c>
      <c r="D801" s="6" t="str">
        <f>IFERROR(VLOOKUP(E801,FORNECEDORES!$A$5:$F$999,6,FALSE),"L10")</f>
        <v>L10</v>
      </c>
      <c r="E801" s="6" t="inlineStr">
        <is>
          <t>FIAO LOCACOES E TRANSPORTES LTDA</t>
        </is>
      </c>
      <c r="F801" s="7" t="n">
        <v>495</v>
      </c>
      <c r="G801" s="6" t="inlineStr">
        <is>
          <t>NÃO CLASSIFICADO</t>
        </is>
      </c>
      <c r="H801" s="6" t="inlineStr">
        <is>
          <t>INSS RETIDO PJ - MINISTERIO DA PREVIDENCIA</t>
        </is>
      </c>
      <c r="I801" s="24" t="n">
        <v>46161</v>
      </c>
      <c r="J801" s="6" t="n">
        <v>4964</v>
      </c>
    </row>
    <row r="802">
      <c r="A802" s="23" t="n">
        <v>46143</v>
      </c>
      <c r="B802" s="6" t="inlineStr">
        <is>
          <t>Pago</t>
        </is>
      </c>
      <c r="C802" s="6" t="inlineStr">
        <is>
          <t>PL530.001</t>
        </is>
      </c>
      <c r="D802" s="6" t="str">
        <f>IFERROR(VLOOKUP(E802,FORNECEDORES!$A$5:$F$999,6,FALSE),"L10")</f>
        <v>L10</v>
      </c>
      <c r="E802" s="6" t="inlineStr">
        <is>
          <t>FIAO LOCACOES E TRANSPORTES LTDA</t>
        </is>
      </c>
      <c r="F802" s="7" t="n">
        <v>359.1</v>
      </c>
      <c r="G802" s="6" t="inlineStr">
        <is>
          <t>NÃO CLASSIFICADO</t>
        </is>
      </c>
      <c r="H802" s="6" t="inlineStr">
        <is>
          <t>PREFEITURA DE BELO HORIZONTE - ISSQN RETIDO</t>
        </is>
      </c>
      <c r="I802" s="24" t="n">
        <v>46150</v>
      </c>
      <c r="J802" s="6" t="n">
        <v>4963</v>
      </c>
    </row>
    <row r="803">
      <c r="A803" s="23" t="n">
        <v>46143</v>
      </c>
      <c r="B803" s="6" t="inlineStr">
        <is>
          <t>Pago</t>
        </is>
      </c>
      <c r="C803" s="6" t="inlineStr">
        <is>
          <t>PL530.001</t>
        </is>
      </c>
      <c r="D803" s="6" t="str">
        <f>IFERROR(VLOOKUP(E803,FORNECEDORES!$A$5:$F$999,6,FALSE),"L10")</f>
        <v>L03</v>
      </c>
      <c r="E803" s="6" t="inlineStr">
        <is>
          <t>LOC MASTER LOCADORA DE EQUIPAMENTOS LTDA</t>
        </is>
      </c>
      <c r="F803" s="7" t="n">
        <v>990</v>
      </c>
      <c r="G803" s="6" t="inlineStr">
        <is>
          <t>LOCAÇÕES</t>
        </is>
      </c>
      <c r="H803" s="6" t="inlineStr">
        <is>
          <t>LOC MASTER LOCADORA DE EQUIPAMENTOS LTDA</t>
        </is>
      </c>
      <c r="I803" s="24" t="n">
        <v>46168</v>
      </c>
      <c r="J803" s="6" t="n">
        <v>5251</v>
      </c>
    </row>
    <row r="804">
      <c r="A804" s="23" t="n">
        <v>46143</v>
      </c>
      <c r="B804" s="6" t="inlineStr">
        <is>
          <t>Pago</t>
        </is>
      </c>
      <c r="C804" s="6" t="inlineStr">
        <is>
          <t>PL530.001</t>
        </is>
      </c>
      <c r="D804" s="6" t="str">
        <f>IFERROR(VLOOKUP(E804,FORNECEDORES!$A$5:$F$999,6,FALSE),"L10")</f>
        <v>L03</v>
      </c>
      <c r="E804" s="6" t="inlineStr">
        <is>
          <t>LOCSAFE LOCADORA DE EQUIPAMENTOS LTDA</t>
        </is>
      </c>
      <c r="F804" s="7" t="n">
        <v>2240</v>
      </c>
      <c r="G804" s="6" t="inlineStr">
        <is>
          <t>LOCAÇÕES</t>
        </is>
      </c>
      <c r="H804" s="6" t="inlineStr">
        <is>
          <t>LOCSAFE LOCADORA DE EQUIPAMENTOS LTDA</t>
        </is>
      </c>
      <c r="I804" s="24" t="n">
        <v>46171</v>
      </c>
      <c r="J804" s="6" t="n">
        <v>5430</v>
      </c>
    </row>
    <row r="805">
      <c r="A805" s="23" t="n">
        <v>46143</v>
      </c>
      <c r="B805" s="6" t="inlineStr">
        <is>
          <t>Pago</t>
        </is>
      </c>
      <c r="C805" s="6" t="inlineStr">
        <is>
          <t>PL530.001</t>
        </is>
      </c>
      <c r="D805" s="6" t="str">
        <f>IFERROR(VLOOKUP(E805,FORNECEDORES!$A$5:$F$999,6,FALSE),"L10")</f>
        <v>L01</v>
      </c>
      <c r="E805" s="6" t="inlineStr">
        <is>
          <t>LOJA DOS PARAFUSOS LTDA</t>
        </is>
      </c>
      <c r="F805" s="7" t="n">
        <v>185</v>
      </c>
      <c r="G805" s="6" t="inlineStr">
        <is>
          <t>ACESSÓRIOS DE FIXAÇÃO</t>
        </is>
      </c>
      <c r="H805" s="6" t="inlineStr">
        <is>
          <t>LOJA DOS PARAFUSOS LTDA</t>
        </is>
      </c>
      <c r="I805" s="24" t="n">
        <v>46169</v>
      </c>
      <c r="J805" s="6" t="n">
        <v>4837</v>
      </c>
    </row>
    <row r="806">
      <c r="A806" s="23" t="n">
        <v>46143</v>
      </c>
      <c r="B806" s="6" t="inlineStr">
        <is>
          <t>Pago</t>
        </is>
      </c>
      <c r="C806" s="6" t="inlineStr">
        <is>
          <t>PL530.001</t>
        </is>
      </c>
      <c r="D806" s="6" t="str">
        <f>IFERROR(VLOOKUP(E806,FORNECEDORES!$A$5:$F$999,6,FALSE),"L10")</f>
        <v>L01</v>
      </c>
      <c r="E806" s="6" t="inlineStr">
        <is>
          <t>LOJA DOS PARAFUSOS LTDA</t>
        </is>
      </c>
      <c r="F806" s="7" t="n">
        <v>185</v>
      </c>
      <c r="G806" s="6" t="inlineStr">
        <is>
          <t>ACESSÓRIOS DE FIXAÇÃO</t>
        </is>
      </c>
      <c r="H806" s="6" t="inlineStr">
        <is>
          <t>LOJA DOS PARAFUSOS LTDA</t>
        </is>
      </c>
      <c r="I806" s="24" t="n">
        <v>46156</v>
      </c>
      <c r="J806" s="6" t="n">
        <v>4837</v>
      </c>
    </row>
    <row r="807">
      <c r="A807" s="23" t="n">
        <v>46143</v>
      </c>
      <c r="B807" s="6" t="inlineStr">
        <is>
          <t>Pago</t>
        </is>
      </c>
      <c r="C807" s="6" t="inlineStr">
        <is>
          <t>PL530.001</t>
        </is>
      </c>
      <c r="D807" s="6" t="str">
        <f>IFERROR(VLOOKUP(E807,FORNECEDORES!$A$5:$F$999,6,FALSE),"L10")</f>
        <v>L01</v>
      </c>
      <c r="E807" s="6" t="inlineStr">
        <is>
          <t>LOJA ELETRICA LIMITADA</t>
        </is>
      </c>
      <c r="F807" s="7" t="n">
        <v>113</v>
      </c>
      <c r="G807" s="6" t="inlineStr">
        <is>
          <t>MATERIAL ELÉTRICO</t>
        </is>
      </c>
      <c r="H807" s="6" t="inlineStr">
        <is>
          <t>LOJA ELETRICA LIMITADA</t>
        </is>
      </c>
      <c r="I807" s="24" t="n">
        <v>46153</v>
      </c>
      <c r="J807" s="6" t="n">
        <v>4913</v>
      </c>
    </row>
    <row r="808">
      <c r="A808" s="23" t="n">
        <v>46143</v>
      </c>
      <c r="B808" s="6" t="inlineStr">
        <is>
          <t>Pago</t>
        </is>
      </c>
      <c r="C808" s="6" t="inlineStr">
        <is>
          <t>PL530.001</t>
        </is>
      </c>
      <c r="D808" s="6" t="str">
        <f>IFERROR(VLOOKUP(E808,FORNECEDORES!$A$5:$F$999,6,FALSE),"L10")</f>
        <v>L01</v>
      </c>
      <c r="E808" s="6" t="inlineStr">
        <is>
          <t>LOJA ELETRICA LIMITADA</t>
        </is>
      </c>
      <c r="F808" s="7" t="n">
        <v>136.2</v>
      </c>
      <c r="G808" s="6" t="inlineStr">
        <is>
          <t>MATERIAL ELÉTRICO</t>
        </is>
      </c>
      <c r="H808" s="6" t="inlineStr">
        <is>
          <t>LOJA ELETRICA LIMITADA</t>
        </is>
      </c>
      <c r="I808" s="24" t="n">
        <v>46153</v>
      </c>
      <c r="J808" s="6" t="n">
        <v>4913</v>
      </c>
    </row>
    <row r="809">
      <c r="A809" s="23" t="n">
        <v>46143</v>
      </c>
      <c r="B809" s="6" t="inlineStr">
        <is>
          <t>Pago</t>
        </is>
      </c>
      <c r="C809" s="6" t="inlineStr">
        <is>
          <t>PL530.001</t>
        </is>
      </c>
      <c r="D809" s="6" t="str">
        <f>IFERROR(VLOOKUP(E809,FORNECEDORES!$A$5:$F$999,6,FALSE),"L10")</f>
        <v>L01</v>
      </c>
      <c r="E809" s="6" t="inlineStr">
        <is>
          <t>LOJA ELETRICA LIMITADA</t>
        </is>
      </c>
      <c r="F809" s="7" t="n">
        <v>3.6</v>
      </c>
      <c r="G809" s="6" t="inlineStr">
        <is>
          <t>MATERIAL ELÉTRICO</t>
        </is>
      </c>
      <c r="H809" s="6" t="inlineStr">
        <is>
          <t>LOJA ELETRICA LIMITADA</t>
        </is>
      </c>
      <c r="I809" s="24" t="n">
        <v>46168</v>
      </c>
      <c r="J809" s="6" t="n">
        <v>5084</v>
      </c>
    </row>
    <row r="810">
      <c r="A810" s="23" t="n">
        <v>46143</v>
      </c>
      <c r="B810" s="6" t="inlineStr">
        <is>
          <t>Pago</t>
        </is>
      </c>
      <c r="C810" s="6" t="inlineStr">
        <is>
          <t>PL530.001</t>
        </is>
      </c>
      <c r="D810" s="6" t="str">
        <f>IFERROR(VLOOKUP(E810,FORNECEDORES!$A$5:$F$999,6,FALSE),"L10")</f>
        <v>L01</v>
      </c>
      <c r="E810" s="6" t="inlineStr">
        <is>
          <t>LOJA ELETRICA LIMITADA</t>
        </is>
      </c>
      <c r="F810" s="7" t="n">
        <v>3.56</v>
      </c>
      <c r="G810" s="6" t="inlineStr">
        <is>
          <t>MATERIAL ELÉTRICO</t>
        </is>
      </c>
      <c r="H810" s="6" t="inlineStr">
        <is>
          <t>LOJA ELETRICA LIMITADA</t>
        </is>
      </c>
      <c r="I810" s="24" t="n">
        <v>46168</v>
      </c>
      <c r="J810" s="6" t="n">
        <v>5084</v>
      </c>
    </row>
    <row r="811">
      <c r="A811" s="23" t="n">
        <v>46143</v>
      </c>
      <c r="B811" s="6" t="inlineStr">
        <is>
          <t>Pago</t>
        </is>
      </c>
      <c r="C811" s="6" t="inlineStr">
        <is>
          <t>PL530.001</t>
        </is>
      </c>
      <c r="D811" s="6" t="str">
        <f>IFERROR(VLOOKUP(E811,FORNECEDORES!$A$5:$F$999,6,FALSE),"L10")</f>
        <v>L01</v>
      </c>
      <c r="E811" s="6" t="inlineStr">
        <is>
          <t>LOJA ELETRICA LIMITADA</t>
        </is>
      </c>
      <c r="F811" s="7" t="n">
        <v>3.67</v>
      </c>
      <c r="G811" s="6" t="inlineStr">
        <is>
          <t>MATERIAL ELÉTRICO</t>
        </is>
      </c>
      <c r="H811" s="6" t="inlineStr">
        <is>
          <t>LOJA ELETRICA LIMITADA</t>
        </is>
      </c>
      <c r="I811" s="24" t="n">
        <v>46168</v>
      </c>
      <c r="J811" s="6" t="n">
        <v>5084</v>
      </c>
    </row>
    <row r="812">
      <c r="A812" s="23" t="n">
        <v>46143</v>
      </c>
      <c r="B812" s="6" t="inlineStr">
        <is>
          <t>Pago</t>
        </is>
      </c>
      <c r="C812" s="6" t="inlineStr">
        <is>
          <t>PL530.001</t>
        </is>
      </c>
      <c r="D812" s="6" t="str">
        <f>IFERROR(VLOOKUP(E812,FORNECEDORES!$A$5:$F$999,6,FALSE),"L10")</f>
        <v>L01</v>
      </c>
      <c r="E812" s="6" t="inlineStr">
        <is>
          <t>LOJA ELETRICA LIMITADA</t>
        </is>
      </c>
      <c r="F812" s="7" t="n">
        <v>121.8</v>
      </c>
      <c r="G812" s="6" t="inlineStr">
        <is>
          <t>MATERIAL ELÉTRICO</t>
        </is>
      </c>
      <c r="H812" s="6" t="inlineStr">
        <is>
          <t>LOJA ELETRICA LIMITADA</t>
        </is>
      </c>
      <c r="I812" s="24" t="n">
        <v>46169</v>
      </c>
      <c r="J812" s="6" t="n">
        <v>4954</v>
      </c>
    </row>
    <row r="813">
      <c r="A813" s="23" t="n">
        <v>46143</v>
      </c>
      <c r="B813" s="6" t="inlineStr">
        <is>
          <t>Pago</t>
        </is>
      </c>
      <c r="C813" s="6" t="inlineStr">
        <is>
          <t>PL530.001</t>
        </is>
      </c>
      <c r="D813" s="6" t="str">
        <f>IFERROR(VLOOKUP(E813,FORNECEDORES!$A$5:$F$999,6,FALSE),"L10")</f>
        <v>L01</v>
      </c>
      <c r="E813" s="6" t="inlineStr">
        <is>
          <t>LOJA ELETRICA LIMITADA</t>
        </is>
      </c>
      <c r="F813" s="7" t="n">
        <v>1381.8</v>
      </c>
      <c r="G813" s="6" t="inlineStr">
        <is>
          <t>MATERIAL ELÉTRICO</t>
        </is>
      </c>
      <c r="H813" s="6" t="inlineStr">
        <is>
          <t>LOJA ELETRICA LIMITADA</t>
        </is>
      </c>
      <c r="I813" s="24" t="n">
        <v>46169</v>
      </c>
      <c r="J813" s="6" t="n">
        <v>4954</v>
      </c>
    </row>
    <row r="814">
      <c r="A814" s="23" t="n">
        <v>46143</v>
      </c>
      <c r="B814" s="6" t="inlineStr">
        <is>
          <t>Pago</t>
        </is>
      </c>
      <c r="C814" s="6" t="inlineStr">
        <is>
          <t>PL530.001</t>
        </is>
      </c>
      <c r="D814" s="6" t="str">
        <f>IFERROR(VLOOKUP(E814,FORNECEDORES!$A$5:$F$999,6,FALSE),"L10")</f>
        <v>L01</v>
      </c>
      <c r="E814" s="6" t="inlineStr">
        <is>
          <t>LOJA ELETRICA LIMITADA</t>
        </is>
      </c>
      <c r="F814" s="7" t="n">
        <v>112.6</v>
      </c>
      <c r="G814" s="6" t="inlineStr">
        <is>
          <t>MATERIAL ELÉTRICO</t>
        </is>
      </c>
      <c r="H814" s="6" t="inlineStr">
        <is>
          <t>LOJA ELETRICA LIMITADA</t>
        </is>
      </c>
      <c r="I814" s="24" t="n">
        <v>46169</v>
      </c>
      <c r="J814" s="6" t="n">
        <v>4954</v>
      </c>
    </row>
    <row r="815">
      <c r="A815" s="23" t="n">
        <v>46143</v>
      </c>
      <c r="B815" s="6" t="inlineStr">
        <is>
          <t>Pago</t>
        </is>
      </c>
      <c r="C815" s="6" t="inlineStr">
        <is>
          <t>PL530.001</t>
        </is>
      </c>
      <c r="D815" s="6" t="str">
        <f>IFERROR(VLOOKUP(E815,FORNECEDORES!$A$5:$F$999,6,FALSE),"L10")</f>
        <v>L10</v>
      </c>
      <c r="E815" s="6" t="inlineStr">
        <is>
          <t>MG CONSTRUCOES E ENGENHARIA LTDA</t>
        </is>
      </c>
      <c r="F815" s="7" t="n">
        <v>125.4</v>
      </c>
      <c r="G815" s="6" t="inlineStr">
        <is>
          <t>NÃO CLASSIFICADO</t>
        </is>
      </c>
      <c r="H815" s="6" t="inlineStr">
        <is>
          <t>INSS RETIDO PJ - MINISTERIO DA PREVIDENCIA</t>
        </is>
      </c>
      <c r="I815" s="24" t="n">
        <v>46161</v>
      </c>
      <c r="J815" s="6" t="n">
        <v>5092</v>
      </c>
    </row>
    <row r="816">
      <c r="A816" s="23" t="n">
        <v>46143</v>
      </c>
      <c r="B816" s="6" t="inlineStr">
        <is>
          <t>Pago</t>
        </is>
      </c>
      <c r="C816" s="6" t="inlineStr">
        <is>
          <t>PL530.001</t>
        </is>
      </c>
      <c r="D816" s="6" t="str">
        <f>IFERROR(VLOOKUP(E816,FORNECEDORES!$A$5:$F$999,6,FALSE),"L10")</f>
        <v>L10</v>
      </c>
      <c r="E816" s="6" t="inlineStr">
        <is>
          <t>MG CONSTRUCOES E ENGENHARIA LTDA</t>
        </is>
      </c>
      <c r="F816" s="7" t="n">
        <v>57</v>
      </c>
      <c r="G816" s="6" t="inlineStr">
        <is>
          <t>NÃO CLASSIFICADO</t>
        </is>
      </c>
      <c r="H816" s="6" t="inlineStr">
        <is>
          <t>PREFEITURA DE BELO HORIZONTE - ISSQN RETIDO</t>
        </is>
      </c>
      <c r="I816" s="24" t="n">
        <v>46150</v>
      </c>
      <c r="J816" s="6" t="n">
        <v>5091</v>
      </c>
    </row>
    <row r="817">
      <c r="A817" s="23" t="n">
        <v>46143</v>
      </c>
      <c r="B817" s="6" t="inlineStr">
        <is>
          <t>Pago</t>
        </is>
      </c>
      <c r="C817" s="6" t="inlineStr">
        <is>
          <t>PL530.001</t>
        </is>
      </c>
      <c r="D817" s="6" t="str">
        <f>IFERROR(VLOOKUP(E817,FORNECEDORES!$A$5:$F$999,6,FALSE),"L10")</f>
        <v>L01</v>
      </c>
      <c r="E817" s="6" t="inlineStr">
        <is>
          <t>MINAS FERRAMENTAS LTDA</t>
        </is>
      </c>
      <c r="F817" s="7" t="n">
        <v>377.1</v>
      </c>
      <c r="G817" s="6" t="inlineStr">
        <is>
          <t>SINALIZAÇÃO</t>
        </is>
      </c>
      <c r="H817" s="6" t="inlineStr">
        <is>
          <t>MINAS FERRAMENTAS LTDA</t>
        </is>
      </c>
      <c r="I817" s="24" t="n">
        <v>46162</v>
      </c>
      <c r="J817" s="6" t="n">
        <v>4955</v>
      </c>
    </row>
    <row r="818">
      <c r="A818" s="23" t="n">
        <v>46143</v>
      </c>
      <c r="B818" s="6" t="inlineStr">
        <is>
          <t>Pago</t>
        </is>
      </c>
      <c r="C818" s="6" t="inlineStr">
        <is>
          <t>PL530.001</t>
        </is>
      </c>
      <c r="D818" s="6" t="str">
        <f>IFERROR(VLOOKUP(E818,FORNECEDORES!$A$5:$F$999,6,FALSE),"L10")</f>
        <v>L01</v>
      </c>
      <c r="E818" s="6" t="inlineStr">
        <is>
          <t>MINAS FERRAMENTAS LTDA</t>
        </is>
      </c>
      <c r="F818" s="7" t="n">
        <v>56.08</v>
      </c>
      <c r="G818" s="6" t="inlineStr">
        <is>
          <t>EQUIPAMENTOS E FERRAMENTAS</t>
        </is>
      </c>
      <c r="H818" s="6" t="inlineStr">
        <is>
          <t>MINAS FERRAMENTAS LTDA</t>
        </is>
      </c>
      <c r="I818" s="24" t="n">
        <v>46161</v>
      </c>
      <c r="J818" s="6" t="n">
        <v>4940</v>
      </c>
    </row>
    <row r="819">
      <c r="A819" s="23" t="n">
        <v>46143</v>
      </c>
      <c r="B819" s="6" t="inlineStr">
        <is>
          <t>Pago</t>
        </is>
      </c>
      <c r="C819" s="6" t="inlineStr">
        <is>
          <t>PL530.001</t>
        </is>
      </c>
      <c r="D819" s="6" t="str">
        <f>IFERROR(VLOOKUP(E819,FORNECEDORES!$A$5:$F$999,6,FALSE),"L10")</f>
        <v>L01</v>
      </c>
      <c r="E819" s="6" t="inlineStr">
        <is>
          <t>MINAS FERRAMENTAS LTDA</t>
        </is>
      </c>
      <c r="F819" s="7" t="n">
        <v>49.62</v>
      </c>
      <c r="G819" s="6" t="inlineStr">
        <is>
          <t>EQUIPAMENTOS E FERRAMENTAS</t>
        </is>
      </c>
      <c r="H819" s="6" t="inlineStr">
        <is>
          <t>MINAS FERRAMENTAS LTDA</t>
        </is>
      </c>
      <c r="I819" s="24" t="n">
        <v>46161</v>
      </c>
      <c r="J819" s="6" t="n">
        <v>4940</v>
      </c>
    </row>
    <row r="820">
      <c r="A820" s="23" t="n">
        <v>46143</v>
      </c>
      <c r="B820" s="6" t="inlineStr">
        <is>
          <t>Pago</t>
        </is>
      </c>
      <c r="C820" s="6" t="inlineStr">
        <is>
          <t>PL530.001</t>
        </is>
      </c>
      <c r="D820" s="6" t="str">
        <f>IFERROR(VLOOKUP(E820,FORNECEDORES!$A$5:$F$999,6,FALSE),"L10")</f>
        <v>L01</v>
      </c>
      <c r="E820" s="6" t="inlineStr">
        <is>
          <t>MINAS FERRAMENTAS LTDA</t>
        </is>
      </c>
      <c r="F820" s="7" t="n">
        <v>124.63</v>
      </c>
      <c r="G820" s="6" t="inlineStr">
        <is>
          <t>EQUIPAMENTOS E FERRAMENTAS</t>
        </is>
      </c>
      <c r="H820" s="6" t="inlineStr">
        <is>
          <t>MINAS FERRAMENTAS LTDA</t>
        </is>
      </c>
      <c r="I820" s="24" t="n">
        <v>46161</v>
      </c>
      <c r="J820" s="6" t="n">
        <v>4940</v>
      </c>
    </row>
    <row r="821">
      <c r="A821" s="23" t="n">
        <v>46143</v>
      </c>
      <c r="B821" s="6" t="inlineStr">
        <is>
          <t>Pago</t>
        </is>
      </c>
      <c r="C821" s="6" t="inlineStr">
        <is>
          <t>PL530.001</t>
        </is>
      </c>
      <c r="D821" s="6" t="str">
        <f>IFERROR(VLOOKUP(E821,FORNECEDORES!$A$5:$F$999,6,FALSE),"L10")</f>
        <v>L01</v>
      </c>
      <c r="E821" s="6" t="inlineStr">
        <is>
          <t>MINAS FERRAMENTAS LTDA</t>
        </is>
      </c>
      <c r="F821" s="7" t="n">
        <v>64.41</v>
      </c>
      <c r="G821" s="6" t="inlineStr">
        <is>
          <t>EQUIPAMENTOS E FERRAMENTAS</t>
        </is>
      </c>
      <c r="H821" s="6" t="inlineStr">
        <is>
          <t>MINAS FERRAMENTAS LTDA</t>
        </is>
      </c>
      <c r="I821" s="24" t="n">
        <v>46161</v>
      </c>
      <c r="J821" s="6" t="n">
        <v>4940</v>
      </c>
    </row>
    <row r="822">
      <c r="A822" s="23" t="n">
        <v>46143</v>
      </c>
      <c r="B822" s="6" t="inlineStr">
        <is>
          <t>Pago</t>
        </is>
      </c>
      <c r="C822" s="6" t="inlineStr">
        <is>
          <t>PL530.001</t>
        </is>
      </c>
      <c r="D822" s="6" t="str">
        <f>IFERROR(VLOOKUP(E822,FORNECEDORES!$A$5:$F$999,6,FALSE),"L10")</f>
        <v>L01</v>
      </c>
      <c r="E822" s="6" t="inlineStr">
        <is>
          <t>MINAS FERRAMENTAS LTDA</t>
        </is>
      </c>
      <c r="F822" s="7" t="n">
        <v>31.03</v>
      </c>
      <c r="G822" s="6" t="inlineStr">
        <is>
          <t>EQUIPAMENTOS E FERRAMENTAS</t>
        </is>
      </c>
      <c r="H822" s="6" t="inlineStr">
        <is>
          <t>MINAS FERRAMENTAS LTDA</t>
        </is>
      </c>
      <c r="I822" s="24" t="n">
        <v>46161</v>
      </c>
      <c r="J822" s="6" t="n">
        <v>4940</v>
      </c>
    </row>
    <row r="823">
      <c r="A823" s="23" t="n">
        <v>46143</v>
      </c>
      <c r="B823" s="6" t="inlineStr">
        <is>
          <t>Pago</t>
        </is>
      </c>
      <c r="C823" s="6" t="inlineStr">
        <is>
          <t>PL530.001</t>
        </is>
      </c>
      <c r="D823" s="6" t="str">
        <f>IFERROR(VLOOKUP(E823,FORNECEDORES!$A$5:$F$999,6,FALSE),"L10")</f>
        <v>L01</v>
      </c>
      <c r="E823" s="6" t="inlineStr">
        <is>
          <t>MINAS FERRAMENTAS LTDA</t>
        </is>
      </c>
      <c r="F823" s="7" t="n">
        <v>82.97</v>
      </c>
      <c r="G823" s="6" t="inlineStr">
        <is>
          <t>EQUIPAMENTOS E FERRAMENTAS</t>
        </is>
      </c>
      <c r="H823" s="6" t="inlineStr">
        <is>
          <t>MINAS FERRAMENTAS LTDA</t>
        </is>
      </c>
      <c r="I823" s="24" t="n">
        <v>46161</v>
      </c>
      <c r="J823" s="6" t="n">
        <v>4940</v>
      </c>
    </row>
    <row r="824">
      <c r="A824" s="23" t="n">
        <v>46143</v>
      </c>
      <c r="B824" s="6" t="inlineStr">
        <is>
          <t>Pago</t>
        </is>
      </c>
      <c r="C824" s="6" t="inlineStr">
        <is>
          <t>PL530.001</t>
        </is>
      </c>
      <c r="D824" s="6" t="str">
        <f>IFERROR(VLOOKUP(E824,FORNECEDORES!$A$5:$F$999,6,FALSE),"L10")</f>
        <v>L01</v>
      </c>
      <c r="E824" s="6" t="inlineStr">
        <is>
          <t>MINAS FERRAMENTAS LTDA</t>
        </is>
      </c>
      <c r="F824" s="7" t="n">
        <v>159.83</v>
      </c>
      <c r="G824" s="6" t="inlineStr">
        <is>
          <t>EQUIPAMENTOS E FERRAMENTAS</t>
        </is>
      </c>
      <c r="H824" s="6" t="inlineStr">
        <is>
          <t>MINAS FERRAMENTAS LTDA</t>
        </is>
      </c>
      <c r="I824" s="24" t="n">
        <v>46161</v>
      </c>
      <c r="J824" s="6" t="n">
        <v>4940</v>
      </c>
    </row>
    <row r="825">
      <c r="A825" s="23" t="n">
        <v>46143</v>
      </c>
      <c r="B825" s="6" t="inlineStr">
        <is>
          <t>Pago</t>
        </is>
      </c>
      <c r="C825" s="6" t="inlineStr">
        <is>
          <t>PL530.001</t>
        </is>
      </c>
      <c r="D825" s="6" t="str">
        <f>IFERROR(VLOOKUP(E825,FORNECEDORES!$A$5:$F$999,6,FALSE),"L10")</f>
        <v>L01</v>
      </c>
      <c r="E825" s="6" t="inlineStr">
        <is>
          <t>MINAS FERRAMENTAS LTDA</t>
        </is>
      </c>
      <c r="F825" s="7" t="n">
        <v>54.16</v>
      </c>
      <c r="G825" s="6" t="inlineStr">
        <is>
          <t>EQUIPAMENTOS E FERRAMENTAS</t>
        </is>
      </c>
      <c r="H825" s="6" t="inlineStr">
        <is>
          <t>MINAS FERRAMENTAS LTDA</t>
        </is>
      </c>
      <c r="I825" s="24" t="n">
        <v>46161</v>
      </c>
      <c r="J825" s="6" t="n">
        <v>4940</v>
      </c>
    </row>
    <row r="826">
      <c r="A826" s="23" t="n">
        <v>46143</v>
      </c>
      <c r="B826" s="6" t="inlineStr">
        <is>
          <t>Pago</t>
        </is>
      </c>
      <c r="C826" s="6" t="inlineStr">
        <is>
          <t>PL530.001</t>
        </is>
      </c>
      <c r="D826" s="6" t="str">
        <f>IFERROR(VLOOKUP(E826,FORNECEDORES!$A$5:$F$999,6,FALSE),"L10")</f>
        <v>L01</v>
      </c>
      <c r="E826" s="6" t="inlineStr">
        <is>
          <t>MINAS FERRAMENTAS LTDA</t>
        </is>
      </c>
      <c r="F826" s="7" t="n">
        <v>135.48</v>
      </c>
      <c r="G826" s="6" t="inlineStr">
        <is>
          <t>EQUIPAMENTOS E FERRAMENTAS</t>
        </is>
      </c>
      <c r="H826" s="6" t="inlineStr">
        <is>
          <t>MINAS FERRAMENTAS LTDA</t>
        </is>
      </c>
      <c r="I826" s="24" t="n">
        <v>46162</v>
      </c>
      <c r="J826" s="6" t="n">
        <v>4955</v>
      </c>
    </row>
    <row r="827">
      <c r="A827" s="23" t="n">
        <v>46143</v>
      </c>
      <c r="B827" s="6" t="inlineStr">
        <is>
          <t>Pago</t>
        </is>
      </c>
      <c r="C827" s="6" t="inlineStr">
        <is>
          <t>PL530.001</t>
        </is>
      </c>
      <c r="D827" s="6" t="str">
        <f>IFERROR(VLOOKUP(E827,FORNECEDORES!$A$5:$F$999,6,FALSE),"L10")</f>
        <v>L01</v>
      </c>
      <c r="E827" s="6" t="inlineStr">
        <is>
          <t>MINAS FERRAMENTAS LTDA</t>
        </is>
      </c>
      <c r="F827" s="7" t="n">
        <v>189.38</v>
      </c>
      <c r="G827" s="6" t="inlineStr">
        <is>
          <t>EQUIPAMENTOS E FERRAMENTAS</t>
        </is>
      </c>
      <c r="H827" s="6" t="inlineStr">
        <is>
          <t>MINAS FERRAMENTAS LTDA</t>
        </is>
      </c>
      <c r="I827" s="24" t="n">
        <v>46162</v>
      </c>
      <c r="J827" s="6" t="n">
        <v>4955</v>
      </c>
    </row>
    <row r="828">
      <c r="A828" s="23" t="n">
        <v>46143</v>
      </c>
      <c r="B828" s="6" t="inlineStr">
        <is>
          <t>Pago</t>
        </is>
      </c>
      <c r="C828" s="6" t="inlineStr">
        <is>
          <t>PL530.001</t>
        </is>
      </c>
      <c r="D828" s="6" t="str">
        <f>IFERROR(VLOOKUP(E828,FORNECEDORES!$A$5:$F$999,6,FALSE),"L10")</f>
        <v>L01</v>
      </c>
      <c r="E828" s="6" t="inlineStr">
        <is>
          <t>MINAS FERRAMENTAS LTDA</t>
        </is>
      </c>
      <c r="F828" s="7" t="n">
        <v>351.3</v>
      </c>
      <c r="G828" s="6" t="inlineStr">
        <is>
          <t>EQUIPAMENTOS E FERRAMENTAS</t>
        </is>
      </c>
      <c r="H828" s="6" t="inlineStr">
        <is>
          <t>MINAS FERRAMENTAS LTDA</t>
        </is>
      </c>
      <c r="I828" s="24" t="n">
        <v>46162</v>
      </c>
      <c r="J828" s="6" t="n">
        <v>4972</v>
      </c>
    </row>
    <row r="829">
      <c r="A829" s="23" t="n">
        <v>46143</v>
      </c>
      <c r="B829" s="6" t="inlineStr">
        <is>
          <t>Pago</t>
        </is>
      </c>
      <c r="C829" s="6" t="inlineStr">
        <is>
          <t>PL530.001</t>
        </is>
      </c>
      <c r="D829" s="6" t="str">
        <f>IFERROR(VLOOKUP(E829,FORNECEDORES!$A$5:$F$999,6,FALSE),"L10")</f>
        <v>L01</v>
      </c>
      <c r="E829" s="6" t="inlineStr">
        <is>
          <t>MINAS FERRAMENTAS LTDA</t>
        </is>
      </c>
      <c r="F829" s="7" t="n">
        <v>119.92</v>
      </c>
      <c r="G829" s="6" t="inlineStr">
        <is>
          <t>ACESSÓRIOS DE FIXAÇÃO</t>
        </is>
      </c>
      <c r="H829" s="6" t="inlineStr">
        <is>
          <t>MINAS FERRAMENTAS LTDA</t>
        </is>
      </c>
      <c r="I829" s="24" t="n">
        <v>46167</v>
      </c>
      <c r="J829" s="6" t="n">
        <v>5045</v>
      </c>
    </row>
    <row r="830">
      <c r="A830" s="23" t="n">
        <v>46143</v>
      </c>
      <c r="B830" s="6" t="inlineStr">
        <is>
          <t>Pago</t>
        </is>
      </c>
      <c r="C830" s="6" t="inlineStr">
        <is>
          <t>PL530.001</t>
        </is>
      </c>
      <c r="D830" s="6" t="str">
        <f>IFERROR(VLOOKUP(E830,FORNECEDORES!$A$5:$F$999,6,FALSE),"L10")</f>
        <v>L10</v>
      </c>
      <c r="E830" s="6" t="inlineStr">
        <is>
          <t>OMR CONSTRUCOES EIRELI</t>
        </is>
      </c>
      <c r="F830" s="7" t="n">
        <v>4250</v>
      </c>
      <c r="G830" s="6" t="inlineStr">
        <is>
          <t>SUB-EMPREITEIROS OBRAS</t>
        </is>
      </c>
      <c r="H830" s="6" t="inlineStr">
        <is>
          <t>OMR CONSTRUCOES EIRELI</t>
        </is>
      </c>
      <c r="I830" s="24" t="n">
        <v>46167</v>
      </c>
      <c r="J830" s="6" t="n">
        <v>5376</v>
      </c>
    </row>
    <row r="831">
      <c r="A831" s="23" t="n">
        <v>46143</v>
      </c>
      <c r="B831" s="6" t="inlineStr">
        <is>
          <t>Pago</t>
        </is>
      </c>
      <c r="C831" s="6" t="inlineStr">
        <is>
          <t>PL530.001</t>
        </is>
      </c>
      <c r="D831" s="6" t="str">
        <f>IFERROR(VLOOKUP(E831,FORNECEDORES!$A$5:$F$999,6,FALSE),"L10")</f>
        <v>L10</v>
      </c>
      <c r="E831" s="6" t="inlineStr">
        <is>
          <t>ORGANIZACAO HC LTDA</t>
        </is>
      </c>
      <c r="F831" s="7" t="n">
        <v>75</v>
      </c>
      <c r="G831" s="6" t="inlineStr">
        <is>
          <t>NÃO CLASSIFICADO</t>
        </is>
      </c>
      <c r="H831" s="6" t="inlineStr">
        <is>
          <t>PREFEITURA DE BELO HORIZONTE - ISSQN RETIDO</t>
        </is>
      </c>
      <c r="I831" s="24" t="n">
        <v>46150</v>
      </c>
      <c r="J831" s="6" t="n">
        <v>4960</v>
      </c>
    </row>
    <row r="832">
      <c r="A832" s="23" t="n">
        <v>46143</v>
      </c>
      <c r="B832" s="6" t="inlineStr">
        <is>
          <t>Pago</t>
        </is>
      </c>
      <c r="C832" s="6" t="inlineStr">
        <is>
          <t>PL530.001</t>
        </is>
      </c>
      <c r="D832" s="6" t="str">
        <f>IFERROR(VLOOKUP(E832,FORNECEDORES!$A$5:$F$999,6,FALSE),"L10")</f>
        <v>L10</v>
      </c>
      <c r="E832" s="6" t="inlineStr">
        <is>
          <t>ORGUEL INDUSTRIA E LOCACAO DE EQUIPAMENTOS S/A</t>
        </is>
      </c>
      <c r="F832" s="7" t="n">
        <v>6720</v>
      </c>
      <c r="G832" s="6" t="inlineStr">
        <is>
          <t>NÃO CLASSIFICADO</t>
        </is>
      </c>
      <c r="H832" s="6" t="inlineStr">
        <is>
          <t>ORGUEL INDUSTRIA E LOCACAO DE EQUIPAMENTOS S/A</t>
        </is>
      </c>
      <c r="I832" s="24" t="n">
        <v>46153</v>
      </c>
      <c r="J832" s="6" t="n">
        <v>4946</v>
      </c>
    </row>
    <row r="833">
      <c r="A833" s="23" t="n">
        <v>46143</v>
      </c>
      <c r="B833" s="6" t="inlineStr">
        <is>
          <t>Pago</t>
        </is>
      </c>
      <c r="C833" s="6" t="inlineStr">
        <is>
          <t>PL530.001</t>
        </is>
      </c>
      <c r="D833" s="6" t="str">
        <f>IFERROR(VLOOKUP(E833,FORNECEDORES!$A$5:$F$999,6,FALSE),"L10")</f>
        <v>L10</v>
      </c>
      <c r="E833" s="6" t="inlineStr">
        <is>
          <t>ORGUEL INDUSTRIA E LOCACAO DE EQUIPAMENTOS S/A</t>
        </is>
      </c>
      <c r="F833" s="7" t="n">
        <v>15000</v>
      </c>
      <c r="G833" s="6" t="inlineStr">
        <is>
          <t>NÃO CLASSIFICADO</t>
        </is>
      </c>
      <c r="H833" s="6" t="inlineStr">
        <is>
          <t>ORGUEL INDUSTRIA E LOCACAO DE EQUIPAMENTOS S/A</t>
        </is>
      </c>
      <c r="I833" s="24" t="n">
        <v>46149</v>
      </c>
      <c r="J833" s="6" t="n">
        <v>4923</v>
      </c>
    </row>
    <row r="834">
      <c r="A834" s="23" t="n">
        <v>46143</v>
      </c>
      <c r="B834" s="6" t="inlineStr">
        <is>
          <t>Pago</t>
        </is>
      </c>
      <c r="C834" s="6" t="inlineStr">
        <is>
          <t>PL530.001</t>
        </is>
      </c>
      <c r="D834" s="6" t="str">
        <f>IFERROR(VLOOKUP(E834,FORNECEDORES!$A$5:$F$999,6,FALSE),"L10")</f>
        <v>L10</v>
      </c>
      <c r="E834" s="6" t="inlineStr">
        <is>
          <t>ORGUEL INDUSTRIA E LOCACAO DE EQUIPAMENTOS S/A</t>
        </is>
      </c>
      <c r="F834" s="7" t="n">
        <v>880</v>
      </c>
      <c r="G834" s="6" t="inlineStr">
        <is>
          <t>NÃO CLASSIFICADO</t>
        </is>
      </c>
      <c r="H834" s="6" t="inlineStr">
        <is>
          <t>INSS RETIDO PJ - MINISTERIO DA PREVIDENCIA</t>
        </is>
      </c>
      <c r="I834" s="24" t="n">
        <v>46161</v>
      </c>
      <c r="J834" s="6" t="n">
        <v>5062</v>
      </c>
    </row>
    <row r="835">
      <c r="A835" s="23" t="n">
        <v>46143</v>
      </c>
      <c r="B835" s="6" t="inlineStr">
        <is>
          <t>Pago</t>
        </is>
      </c>
      <c r="C835" s="6" t="inlineStr">
        <is>
          <t>PL530.001</t>
        </is>
      </c>
      <c r="D835" s="6" t="str">
        <f>IFERROR(VLOOKUP(E835,FORNECEDORES!$A$5:$F$999,6,FALSE),"L10")</f>
        <v>L10</v>
      </c>
      <c r="E835" s="6" t="inlineStr">
        <is>
          <t>ORGUEL INDUSTRIA E LOCACAO DE EQUIPAMENTOS S/A</t>
        </is>
      </c>
      <c r="F835" s="7" t="n">
        <v>400</v>
      </c>
      <c r="G835" s="6" t="inlineStr">
        <is>
          <t>NÃO CLASSIFICADO</t>
        </is>
      </c>
      <c r="H835" s="6" t="inlineStr">
        <is>
          <t>PREFEITURA DE BELO HORIZONTE - ISSQN RETIDO</t>
        </is>
      </c>
      <c r="I835" s="24" t="n">
        <v>46150</v>
      </c>
      <c r="J835" s="6" t="n">
        <v>5061</v>
      </c>
    </row>
    <row r="836">
      <c r="A836" s="23" t="n">
        <v>46143</v>
      </c>
      <c r="B836" s="6" t="inlineStr">
        <is>
          <t>Pago</t>
        </is>
      </c>
      <c r="C836" s="6" t="inlineStr">
        <is>
          <t>PL530.001</t>
        </is>
      </c>
      <c r="D836" s="6" t="str">
        <f>IFERROR(VLOOKUP(E836,FORNECEDORES!$A$5:$F$999,6,FALSE),"L10")</f>
        <v>L08</v>
      </c>
      <c r="E836" s="6" t="inlineStr">
        <is>
          <t>PEREIRA TELAS E INSTALACOES LTDA</t>
        </is>
      </c>
      <c r="F836" s="7" t="n">
        <v>9774.5</v>
      </c>
      <c r="G836" s="6" t="inlineStr">
        <is>
          <t>NÃO CLASSIFICADO</t>
        </is>
      </c>
      <c r="H836" s="6" t="inlineStr">
        <is>
          <t>PEREIRA TELAS E INSTALACOES LTDA</t>
        </is>
      </c>
      <c r="I836" s="24" t="n">
        <v>46167</v>
      </c>
      <c r="J836" s="6" t="n">
        <v>5381</v>
      </c>
    </row>
    <row r="837">
      <c r="A837" s="23" t="n">
        <v>46143</v>
      </c>
      <c r="B837" s="6" t="inlineStr">
        <is>
          <t>Pago</t>
        </is>
      </c>
      <c r="C837" s="6" t="inlineStr">
        <is>
          <t>PL530.001</t>
        </is>
      </c>
      <c r="D837" s="6" t="str">
        <f>IFERROR(VLOOKUP(E837,FORNECEDORES!$A$5:$F$999,6,FALSE),"L10")</f>
        <v>L10</v>
      </c>
      <c r="E837" s="6" t="inlineStr">
        <is>
          <t>PERFILADOS MACOVI LTDA</t>
        </is>
      </c>
      <c r="F837" s="7" t="n">
        <v>359.46</v>
      </c>
      <c r="G837" s="6" t="inlineStr">
        <is>
          <t>SERRALHERIA</t>
        </is>
      </c>
      <c r="H837" s="6" t="inlineStr">
        <is>
          <t>PERFILADOS MACOVI LTDA</t>
        </is>
      </c>
      <c r="I837" s="24" t="n">
        <v>46155</v>
      </c>
      <c r="J837" s="6" t="n">
        <v>4933</v>
      </c>
    </row>
    <row r="838">
      <c r="A838" s="23" t="n">
        <v>46143</v>
      </c>
      <c r="B838" s="6" t="inlineStr">
        <is>
          <t>Pago</t>
        </is>
      </c>
      <c r="C838" s="6" t="inlineStr">
        <is>
          <t>PL530.001</t>
        </is>
      </c>
      <c r="D838" s="6" t="str">
        <f>IFERROR(VLOOKUP(E838,FORNECEDORES!$A$5:$F$999,6,FALSE),"L10")</f>
        <v>L10</v>
      </c>
      <c r="E838" s="6" t="inlineStr">
        <is>
          <t>PERFILADOS MACOVI LTDA</t>
        </is>
      </c>
      <c r="F838" s="7" t="n">
        <v>434.76</v>
      </c>
      <c r="G838" s="6" t="inlineStr">
        <is>
          <t>SERRALHERIA</t>
        </is>
      </c>
      <c r="H838" s="6" t="inlineStr">
        <is>
          <t>PERFILADOS MACOVI LTDA</t>
        </is>
      </c>
      <c r="I838" s="24" t="n">
        <v>46155</v>
      </c>
      <c r="J838" s="6" t="n">
        <v>4933</v>
      </c>
    </row>
    <row r="839">
      <c r="A839" s="23" t="n">
        <v>46143</v>
      </c>
      <c r="B839" s="6" t="inlineStr">
        <is>
          <t>Pago</t>
        </is>
      </c>
      <c r="C839" s="6" t="inlineStr">
        <is>
          <t>PL530.001</t>
        </is>
      </c>
      <c r="D839" s="6" t="str">
        <f>IFERROR(VLOOKUP(E839,FORNECEDORES!$A$5:$F$999,6,FALSE),"L10")</f>
        <v>L10</v>
      </c>
      <c r="E839" s="6" t="inlineStr">
        <is>
          <t>PERFILADOS MACOVI LTDA</t>
        </is>
      </c>
      <c r="F839" s="7" t="n">
        <v>250</v>
      </c>
      <c r="G839" s="6" t="inlineStr">
        <is>
          <t>FRETE</t>
        </is>
      </c>
      <c r="H839" s="6" t="inlineStr">
        <is>
          <t>PERFILADOS MACOVI LTDA</t>
        </is>
      </c>
      <c r="I839" s="24" t="n">
        <v>46155</v>
      </c>
      <c r="J839" s="6" t="n">
        <v>4933</v>
      </c>
    </row>
    <row r="840">
      <c r="A840" s="23" t="n">
        <v>46143</v>
      </c>
      <c r="B840" s="6" t="inlineStr">
        <is>
          <t>Pago</t>
        </is>
      </c>
      <c r="C840" s="6" t="inlineStr">
        <is>
          <t>PL530.001</t>
        </is>
      </c>
      <c r="D840" s="6" t="str">
        <f>IFERROR(VLOOKUP(E840,FORNECEDORES!$A$5:$F$999,6,FALSE),"L10")</f>
        <v>L10</v>
      </c>
      <c r="E840" s="6" t="inlineStr">
        <is>
          <t>PGO PLANEJAMENTO GERENCIAMENTO E OBRAS LTDA. - ME</t>
        </is>
      </c>
      <c r="F840" s="7" t="n">
        <v>8385.34</v>
      </c>
      <c r="G840" s="6" t="inlineStr">
        <is>
          <t>NÃO CLASSIFICADO</t>
        </is>
      </c>
      <c r="H840" s="6" t="inlineStr">
        <is>
          <t>PGO PLANEJAMENTO GERENCIAMENTO E OBRAS LTDA. - ME</t>
        </is>
      </c>
      <c r="I840" s="24" t="n">
        <v>46154</v>
      </c>
      <c r="J840" s="6" t="n">
        <v>5030</v>
      </c>
    </row>
    <row r="841">
      <c r="A841" s="23" t="n">
        <v>46143</v>
      </c>
      <c r="B841" s="6" t="inlineStr">
        <is>
          <t>Pago</t>
        </is>
      </c>
      <c r="C841" s="6" t="inlineStr">
        <is>
          <t>PL530.001</t>
        </is>
      </c>
      <c r="D841" s="6" t="str">
        <f>IFERROR(VLOOKUP(E841,FORNECEDORES!$A$5:$F$999,6,FALSE),"L10")</f>
        <v>L10</v>
      </c>
      <c r="E841" s="6" t="inlineStr">
        <is>
          <t>PGO PLANEJAMENTO GERENCIAMENTO E OBRAS LTDA. - ME</t>
        </is>
      </c>
      <c r="F841" s="7" t="n">
        <v>6999.9</v>
      </c>
      <c r="G841" s="6" t="inlineStr">
        <is>
          <t>NÃO CLASSIFICADO</t>
        </is>
      </c>
      <c r="H841" s="6" t="inlineStr">
        <is>
          <t>PGO PLANEJAMENTO GERENCIAMENTO E OBRAS LTDA. - ME</t>
        </is>
      </c>
      <c r="I841" s="24" t="n">
        <v>46162</v>
      </c>
      <c r="J841" s="6" t="n">
        <v>5030</v>
      </c>
    </row>
    <row r="842">
      <c r="A842" s="23" t="n">
        <v>46143</v>
      </c>
      <c r="B842" s="6" t="inlineStr">
        <is>
          <t>Pago</t>
        </is>
      </c>
      <c r="C842" s="6" t="inlineStr">
        <is>
          <t>PL530.001</t>
        </is>
      </c>
      <c r="D842" s="6" t="str">
        <f>IFERROR(VLOOKUP(E842,FORNECEDORES!$A$5:$F$999,6,FALSE),"L10")</f>
        <v>L10</v>
      </c>
      <c r="E842" s="6" t="inlineStr">
        <is>
          <t>PGO PLANEJAMENTO GERENCIAMENTO E OBRAS LTDA. - ME</t>
        </is>
      </c>
      <c r="F842" s="7" t="n">
        <v>636.35</v>
      </c>
      <c r="G842" s="6" t="inlineStr">
        <is>
          <t>NÃO CLASSIFICADO</t>
        </is>
      </c>
      <c r="H842" s="6" t="inlineStr">
        <is>
          <t>INSS RETIDO PJ - MINISTERIO DA PREVIDENCIA</t>
        </is>
      </c>
      <c r="I842" s="24" t="n">
        <v>46161</v>
      </c>
      <c r="J842" s="6" t="n">
        <v>5080</v>
      </c>
    </row>
    <row r="843">
      <c r="A843" s="23" t="n">
        <v>46143</v>
      </c>
      <c r="B843" s="6" t="inlineStr">
        <is>
          <t>Pago</t>
        </is>
      </c>
      <c r="C843" s="6" t="inlineStr">
        <is>
          <t>PL530.001</t>
        </is>
      </c>
      <c r="D843" s="6" t="str">
        <f>IFERROR(VLOOKUP(E843,FORNECEDORES!$A$5:$F$999,6,FALSE),"L10")</f>
        <v>L10</v>
      </c>
      <c r="E843" s="6" t="inlineStr">
        <is>
          <t>PGO PLANEJAMENTO GERENCIAMENTO E OBRAS LTDA. - ME</t>
        </is>
      </c>
      <c r="F843" s="7" t="n">
        <v>887.26</v>
      </c>
      <c r="G843" s="6" t="inlineStr">
        <is>
          <t>NÃO CLASSIFICADO</t>
        </is>
      </c>
      <c r="H843" s="6" t="inlineStr">
        <is>
          <t>PREFEITURA DE BELO HORIZONTE - ISSQN RETIDO</t>
        </is>
      </c>
      <c r="I843" s="24" t="n">
        <v>46150</v>
      </c>
      <c r="J843" s="6" t="n">
        <v>5079</v>
      </c>
    </row>
    <row r="844">
      <c r="A844" s="23" t="n">
        <v>46143</v>
      </c>
      <c r="B844" s="6" t="inlineStr">
        <is>
          <t>Pago</t>
        </is>
      </c>
      <c r="C844" s="6" t="inlineStr">
        <is>
          <t>PL530.001</t>
        </is>
      </c>
      <c r="D844" s="6" t="str">
        <f>IFERROR(VLOOKUP(E844,FORNECEDORES!$A$5:$F$999,6,FALSE),"L10")</f>
        <v>L01</v>
      </c>
      <c r="E844" s="6" t="inlineStr">
        <is>
          <t>ROSA GONCALVES COMERCIO DE MATERIAIS DE CONSTRUCAO LTDA</t>
        </is>
      </c>
      <c r="F844" s="7" t="n">
        <v>166.2</v>
      </c>
      <c r="G844" s="6" t="inlineStr">
        <is>
          <t>EQUIPAMENTOS E FERRAMENTAS</t>
        </is>
      </c>
      <c r="H844" s="6" t="inlineStr">
        <is>
          <t>ROSA GONCALVES COMERCIO DE MATERIAIS DE CONSTRUCAO</t>
        </is>
      </c>
      <c r="I844" s="24" t="n">
        <v>46169</v>
      </c>
      <c r="J844" s="6" t="n">
        <v>4970</v>
      </c>
    </row>
    <row r="845">
      <c r="A845" s="23" t="n">
        <v>46143</v>
      </c>
      <c r="B845" s="6" t="inlineStr">
        <is>
          <t>Pago</t>
        </is>
      </c>
      <c r="C845" s="6" t="inlineStr">
        <is>
          <t>PL530.001</t>
        </is>
      </c>
      <c r="D845" s="6" t="str">
        <f>IFERROR(VLOOKUP(E845,FORNECEDORES!$A$5:$F$999,6,FALSE),"L10")</f>
        <v>L01</v>
      </c>
      <c r="E845" s="6" t="inlineStr">
        <is>
          <t>ROSA GONCALVES COMERCIO DE MATERIAIS DE CONSTRUCAO LTDA</t>
        </is>
      </c>
      <c r="F845" s="7" t="n">
        <v>334.2</v>
      </c>
      <c r="G845" s="6" t="inlineStr">
        <is>
          <t>EQUIPAMENTOS E FERRAMENTAS</t>
        </is>
      </c>
      <c r="H845" s="6" t="inlineStr">
        <is>
          <t>ROSA GONCALVES COMERCIO DE MATERIAIS DE CONSTRUCAO</t>
        </is>
      </c>
      <c r="I845" s="24" t="n">
        <v>46169</v>
      </c>
      <c r="J845" s="6" t="n">
        <v>4970</v>
      </c>
    </row>
    <row r="846">
      <c r="A846" s="23" t="n">
        <v>46143</v>
      </c>
      <c r="B846" s="6" t="inlineStr">
        <is>
          <t>Pago</t>
        </is>
      </c>
      <c r="C846" s="6" t="inlineStr">
        <is>
          <t>PL530.001</t>
        </is>
      </c>
      <c r="D846" s="6" t="str">
        <f>IFERROR(VLOOKUP(E846,FORNECEDORES!$A$5:$F$999,6,FALSE),"L10")</f>
        <v>L01</v>
      </c>
      <c r="E846" s="6" t="inlineStr">
        <is>
          <t>ROSA GONCALVES COMERCIO DE MATERIAIS DE CONSTRUCAO LTDA</t>
        </is>
      </c>
      <c r="F846" s="7" t="n">
        <v>315</v>
      </c>
      <c r="G846" s="6" t="inlineStr">
        <is>
          <t>EQUIPAMENTOS E FERRAMENTAS</t>
        </is>
      </c>
      <c r="H846" s="6" t="inlineStr">
        <is>
          <t>ROSA GONCALVES COMERCIO DE MATERIAIS DE CONSTRUCAO</t>
        </is>
      </c>
      <c r="I846" s="24" t="n">
        <v>46169</v>
      </c>
      <c r="J846" s="6" t="n">
        <v>4970</v>
      </c>
    </row>
    <row r="847">
      <c r="A847" s="23" t="n">
        <v>46143</v>
      </c>
      <c r="B847" s="6" t="inlineStr">
        <is>
          <t>Pago</t>
        </is>
      </c>
      <c r="C847" s="6" t="inlineStr">
        <is>
          <t>PL530.001</t>
        </is>
      </c>
      <c r="D847" s="6" t="str">
        <f>IFERROR(VLOOKUP(E847,FORNECEDORES!$A$5:$F$999,6,FALSE),"L10")</f>
        <v>L01</v>
      </c>
      <c r="E847" s="6" t="inlineStr">
        <is>
          <t>ROSA GONCALVES COMERCIO DE MATERIAIS DE CONSTRUCAO LTDA</t>
        </is>
      </c>
      <c r="F847" s="7" t="n">
        <v>559.5</v>
      </c>
      <c r="G847" s="6" t="inlineStr">
        <is>
          <t>EQUIPAMENTOS E FERRAMENTAS</t>
        </is>
      </c>
      <c r="H847" s="6" t="inlineStr">
        <is>
          <t>ROSA GONCALVES COMERCIO DE MATERIAIS DE CONSTRUCAO</t>
        </is>
      </c>
      <c r="I847" s="24" t="n">
        <v>46169</v>
      </c>
      <c r="J847" s="6" t="n">
        <v>4970</v>
      </c>
    </row>
    <row r="848">
      <c r="A848" s="23" t="n">
        <v>46143</v>
      </c>
      <c r="B848" s="6" t="inlineStr">
        <is>
          <t>Pago</t>
        </is>
      </c>
      <c r="C848" s="6" t="inlineStr">
        <is>
          <t>PL530.001</t>
        </is>
      </c>
      <c r="D848" s="6" t="str">
        <f>IFERROR(VLOOKUP(E848,FORNECEDORES!$A$5:$F$999,6,FALSE),"L10")</f>
        <v>L01</v>
      </c>
      <c r="E848" s="6" t="inlineStr">
        <is>
          <t>ROSA GONCALVES COMERCIO DE MATERIAIS DE CONSTRUCAO LTDA</t>
        </is>
      </c>
      <c r="F848" s="7" t="n">
        <v>219</v>
      </c>
      <c r="G848" s="6" t="inlineStr">
        <is>
          <t>EQUIPAMENTOS E FERRAMENTAS</t>
        </is>
      </c>
      <c r="H848" s="6" t="inlineStr">
        <is>
          <t>ROSA GONCALVES COMERCIO DE MATERIAIS DE CONSTRUCAO</t>
        </is>
      </c>
      <c r="I848" s="24" t="n">
        <v>46169</v>
      </c>
      <c r="J848" s="6" t="n">
        <v>4970</v>
      </c>
    </row>
    <row r="849">
      <c r="A849" s="23" t="n">
        <v>46143</v>
      </c>
      <c r="B849" s="6" t="inlineStr">
        <is>
          <t>Pago</t>
        </is>
      </c>
      <c r="C849" s="6" t="inlineStr">
        <is>
          <t>PL530.001</t>
        </is>
      </c>
      <c r="D849" s="6" t="str">
        <f>IFERROR(VLOOKUP(E849,FORNECEDORES!$A$5:$F$999,6,FALSE),"L10")</f>
        <v>L10</v>
      </c>
      <c r="E849" s="6" t="inlineStr">
        <is>
          <t>SOIMA BRASIL INDUSTRIA E COMERCIO LTDA</t>
        </is>
      </c>
      <c r="F849" s="7" t="n">
        <v>20433.32</v>
      </c>
      <c r="G849" s="6" t="inlineStr">
        <is>
          <t>INSUMOS PARA CONTRATO</t>
        </is>
      </c>
      <c r="H849" s="6" t="inlineStr">
        <is>
          <t>SOIMA BRASIL INDUSTRIA E COMERCIO LTDA</t>
        </is>
      </c>
      <c r="I849" s="24" t="n">
        <v>46163</v>
      </c>
      <c r="J849" s="6" t="n">
        <v>5295</v>
      </c>
    </row>
    <row r="850">
      <c r="A850" s="23" t="n">
        <v>46143</v>
      </c>
      <c r="B850" s="6" t="inlineStr">
        <is>
          <t>Pago</t>
        </is>
      </c>
      <c r="C850" s="6" t="inlineStr">
        <is>
          <t>PL530.001</t>
        </is>
      </c>
      <c r="D850" s="6" t="str">
        <f>IFERROR(VLOOKUP(E850,FORNECEDORES!$A$5:$F$999,6,FALSE),"L10")</f>
        <v>L01</v>
      </c>
      <c r="E850" s="6" t="inlineStr">
        <is>
          <t>TECIDOS E ARMARINHOS MIGUEL BARTOLOMEU S/A</t>
        </is>
      </c>
      <c r="F850" s="7" t="n">
        <v>195</v>
      </c>
      <c r="G850" s="6" t="inlineStr">
        <is>
          <t>EQUIPAMENTOS E FERRAMENTAS</t>
        </is>
      </c>
      <c r="H850" s="6" t="inlineStr">
        <is>
          <t>TECIDOS E ARMARINHOS MIGUEL BARTOLOMEU S/A</t>
        </is>
      </c>
      <c r="I850" s="24" t="n">
        <v>46168</v>
      </c>
      <c r="J850" s="6" t="n">
        <v>5046</v>
      </c>
    </row>
    <row r="851">
      <c r="A851" s="23" t="n">
        <v>46143</v>
      </c>
      <c r="B851" s="6" t="inlineStr">
        <is>
          <t>Pago</t>
        </is>
      </c>
      <c r="C851" s="6" t="inlineStr">
        <is>
          <t>PL530.001</t>
        </is>
      </c>
      <c r="D851" s="6" t="str">
        <f>IFERROR(VLOOKUP(E851,FORNECEDORES!$A$5:$F$999,6,FALSE),"L10")</f>
        <v>L01</v>
      </c>
      <c r="E851" s="6" t="inlineStr">
        <is>
          <t>TECIDOS E ARMARINHOS MIGUEL BARTOLOMEU S/A</t>
        </is>
      </c>
      <c r="F851" s="7" t="n">
        <v>120</v>
      </c>
      <c r="G851" s="6" t="inlineStr">
        <is>
          <t>EQUIPAMENTOS E FERRAMENTAS</t>
        </is>
      </c>
      <c r="H851" s="6" t="inlineStr">
        <is>
          <t>TECIDOS E ARMARINHOS MIGUEL BARTOLOMEU S/A</t>
        </is>
      </c>
      <c r="I851" s="24" t="n">
        <v>46168</v>
      </c>
      <c r="J851" s="6" t="n">
        <v>5046</v>
      </c>
    </row>
    <row r="852">
      <c r="A852" s="23" t="n">
        <v>46143</v>
      </c>
      <c r="B852" s="6" t="inlineStr">
        <is>
          <t>Pago</t>
        </is>
      </c>
      <c r="C852" s="6" t="inlineStr">
        <is>
          <t>PL530.001</t>
        </is>
      </c>
      <c r="D852" s="6" t="str">
        <f>IFERROR(VLOOKUP(E852,FORNECEDORES!$A$5:$F$999,6,FALSE),"L10")</f>
        <v>L01</v>
      </c>
      <c r="E852" s="6" t="inlineStr">
        <is>
          <t>TECIDOS E ARMARINHOS MIGUEL BARTOLOMEU S/A</t>
        </is>
      </c>
      <c r="F852" s="7" t="n">
        <v>360</v>
      </c>
      <c r="G852" s="6" t="inlineStr">
        <is>
          <t>EQUIPAMENTOS E FERRAMENTAS</t>
        </is>
      </c>
      <c r="H852" s="6" t="inlineStr">
        <is>
          <t>TECIDOS E ARMARINHOS MIGUEL BARTOLOMEU S/A</t>
        </is>
      </c>
      <c r="I852" s="24" t="n">
        <v>46168</v>
      </c>
      <c r="J852" s="6" t="n">
        <v>5046</v>
      </c>
    </row>
    <row r="853">
      <c r="A853" s="23" t="n">
        <v>46143</v>
      </c>
      <c r="B853" s="6" t="inlineStr">
        <is>
          <t>Pago</t>
        </is>
      </c>
      <c r="C853" s="6" t="inlineStr">
        <is>
          <t>PL530.001</t>
        </is>
      </c>
      <c r="D853" s="6" t="str">
        <f>IFERROR(VLOOKUP(E853,FORNECEDORES!$A$5:$F$999,6,FALSE),"L10")</f>
        <v>L01</v>
      </c>
      <c r="E853" s="6" t="inlineStr">
        <is>
          <t>TECIDOS E ARMARINHOS MIGUEL BARTOLOMEU S/A</t>
        </is>
      </c>
      <c r="F853" s="7" t="n">
        <v>96</v>
      </c>
      <c r="G853" s="6" t="inlineStr">
        <is>
          <t>EQUIPAMENTOS E FERRAMENTAS</t>
        </is>
      </c>
      <c r="H853" s="6" t="inlineStr">
        <is>
          <t>TECIDOS E ARMARINHOS MIGUEL BARTOLOMEU S/A</t>
        </is>
      </c>
      <c r="I853" s="24" t="n">
        <v>46168</v>
      </c>
      <c r="J853" s="6" t="n">
        <v>5046</v>
      </c>
    </row>
    <row r="854">
      <c r="A854" s="23" t="n">
        <v>46143</v>
      </c>
      <c r="B854" s="6" t="inlineStr">
        <is>
          <t>Pago</t>
        </is>
      </c>
      <c r="C854" s="6" t="inlineStr">
        <is>
          <t>PL530.001</t>
        </is>
      </c>
      <c r="D854" s="6" t="str">
        <f>IFERROR(VLOOKUP(E854,FORNECEDORES!$A$5:$F$999,6,FALSE),"L10")</f>
        <v>L01</v>
      </c>
      <c r="E854" s="6" t="inlineStr">
        <is>
          <t>TECIDOS E ARMARINHOS MIGUEL BARTOLOMEU S/A</t>
        </is>
      </c>
      <c r="F854" s="7" t="n">
        <v>56</v>
      </c>
      <c r="G854" s="6" t="inlineStr">
        <is>
          <t>EQUIPAMENTOS E FERRAMENTAS</t>
        </is>
      </c>
      <c r="H854" s="6" t="inlineStr">
        <is>
          <t>TECIDOS E ARMARINHOS MIGUEL BARTOLOMEU S/A</t>
        </is>
      </c>
      <c r="I854" s="24" t="n">
        <v>46168</v>
      </c>
      <c r="J854" s="6" t="n">
        <v>5046</v>
      </c>
    </row>
    <row r="855">
      <c r="A855" s="23" t="n">
        <v>46143</v>
      </c>
      <c r="B855" s="6" t="inlineStr">
        <is>
          <t>Pago</t>
        </is>
      </c>
      <c r="C855" s="6" t="inlineStr">
        <is>
          <t>PL530.001</t>
        </is>
      </c>
      <c r="D855" s="6" t="str">
        <f>IFERROR(VLOOKUP(E855,FORNECEDORES!$A$5:$F$999,6,FALSE),"L10")</f>
        <v>L01</v>
      </c>
      <c r="E855" s="6" t="inlineStr">
        <is>
          <t>TECIDOS E ARMARINHOS MIGUEL BARTOLOMEU S/A</t>
        </is>
      </c>
      <c r="F855" s="7" t="n">
        <v>62.5</v>
      </c>
      <c r="G855" s="6" t="inlineStr">
        <is>
          <t>EQUIPAMENTOS DE PROTEÇÃO INDIVIDUAL</t>
        </is>
      </c>
      <c r="H855" s="6" t="inlineStr">
        <is>
          <t>TECIDOS E ARMARINHOS MIGUEL BARTOLOMEU S/A</t>
        </is>
      </c>
      <c r="I855" s="24" t="n">
        <v>46164</v>
      </c>
      <c r="J855" s="6" t="n">
        <v>5020</v>
      </c>
    </row>
    <row r="856">
      <c r="A856" s="23" t="n">
        <v>46143</v>
      </c>
      <c r="B856" s="6" t="inlineStr">
        <is>
          <t>Pago</t>
        </is>
      </c>
      <c r="C856" s="6" t="inlineStr">
        <is>
          <t>PL530.001</t>
        </is>
      </c>
      <c r="D856" s="6" t="str">
        <f>IFERROR(VLOOKUP(E856,FORNECEDORES!$A$5:$F$999,6,FALSE),"L10")</f>
        <v>L01</v>
      </c>
      <c r="E856" s="6" t="inlineStr">
        <is>
          <t>TECIDOS E ARMARINHOS MIGUEL BARTOLOMEU S/A</t>
        </is>
      </c>
      <c r="F856" s="7" t="n">
        <v>62.5</v>
      </c>
      <c r="G856" s="6" t="inlineStr">
        <is>
          <t>EQUIPAMENTOS DE PROTEÇÃO INDIVIDUAL</t>
        </is>
      </c>
      <c r="H856" s="6" t="inlineStr">
        <is>
          <t>TECIDOS E ARMARINHOS MIGUEL BARTOLOMEU S/A</t>
        </is>
      </c>
      <c r="I856" s="24" t="n">
        <v>46164</v>
      </c>
      <c r="J856" s="6" t="n">
        <v>5020</v>
      </c>
    </row>
    <row r="857">
      <c r="A857" s="23" t="n">
        <v>46143</v>
      </c>
      <c r="B857" s="6" t="inlineStr">
        <is>
          <t>Pago</t>
        </is>
      </c>
      <c r="C857" s="6" t="inlineStr">
        <is>
          <t>PL530.001</t>
        </is>
      </c>
      <c r="D857" s="6" t="str">
        <f>IFERROR(VLOOKUP(E857,FORNECEDORES!$A$5:$F$999,6,FALSE),"L10")</f>
        <v>L01</v>
      </c>
      <c r="E857" s="6" t="inlineStr">
        <is>
          <t>TECIDOS E ARMARINHOS MIGUEL BARTOLOMEU S/A</t>
        </is>
      </c>
      <c r="F857" s="7" t="n">
        <v>184.14</v>
      </c>
      <c r="G857" s="6" t="inlineStr">
        <is>
          <t>EQUIPAMENTOS E FERRAMENTAS</t>
        </is>
      </c>
      <c r="H857" s="6" t="inlineStr">
        <is>
          <t>TECIDOS E ARMARINHOS MIGUEL BARTOLOMEU S/A</t>
        </is>
      </c>
      <c r="I857" s="24" t="n">
        <v>46163</v>
      </c>
      <c r="J857" s="6" t="n">
        <v>4953</v>
      </c>
    </row>
    <row r="858">
      <c r="A858" s="23" t="n">
        <v>46143</v>
      </c>
      <c r="B858" s="6" t="inlineStr">
        <is>
          <t>Pago</t>
        </is>
      </c>
      <c r="C858" s="6" t="inlineStr">
        <is>
          <t>PL530.001</t>
        </is>
      </c>
      <c r="D858" s="6" t="str">
        <f>IFERROR(VLOOKUP(E858,FORNECEDORES!$A$5:$F$999,6,FALSE),"L10")</f>
        <v>L01</v>
      </c>
      <c r="E858" s="6" t="inlineStr">
        <is>
          <t>TECIDOS E ARMARINHOS MIGUEL BARTOLOMEU S/A</t>
        </is>
      </c>
      <c r="F858" s="7" t="n">
        <v>192.28</v>
      </c>
      <c r="G858" s="6" t="inlineStr">
        <is>
          <t>EQUIPAMENTOS E FERRAMENTAS</t>
        </is>
      </c>
      <c r="H858" s="6" t="inlineStr">
        <is>
          <t>TECIDOS E ARMARINHOS MIGUEL BARTOLOMEU S/A</t>
        </is>
      </c>
      <c r="I858" s="24" t="n">
        <v>46163</v>
      </c>
      <c r="J858" s="6" t="n">
        <v>4953</v>
      </c>
    </row>
    <row r="859">
      <c r="A859" s="23" t="n">
        <v>46143</v>
      </c>
      <c r="B859" s="6" t="inlineStr">
        <is>
          <t>Pago</t>
        </is>
      </c>
      <c r="C859" s="6" t="inlineStr">
        <is>
          <t>PL530.001</t>
        </is>
      </c>
      <c r="D859" s="6" t="str">
        <f>IFERROR(VLOOKUP(E859,FORNECEDORES!$A$5:$F$999,6,FALSE),"L10")</f>
        <v>L01</v>
      </c>
      <c r="E859" s="6" t="inlineStr">
        <is>
          <t>TECIDOS E ARMARINHOS MIGUEL BARTOLOMEU S/A</t>
        </is>
      </c>
      <c r="F859" s="7" t="n">
        <v>163.96</v>
      </c>
      <c r="G859" s="6" t="inlineStr">
        <is>
          <t>EQUIPAMENTOS E FERRAMENTAS</t>
        </is>
      </c>
      <c r="H859" s="6" t="inlineStr">
        <is>
          <t>TECIDOS E ARMARINHOS MIGUEL BARTOLOMEU S/A</t>
        </is>
      </c>
      <c r="I859" s="24" t="n">
        <v>46163</v>
      </c>
      <c r="J859" s="6" t="n">
        <v>4953</v>
      </c>
    </row>
    <row r="860">
      <c r="A860" s="23" t="n">
        <v>46143</v>
      </c>
      <c r="B860" s="6" t="inlineStr">
        <is>
          <t>Pago</t>
        </is>
      </c>
      <c r="C860" s="6" t="inlineStr">
        <is>
          <t>PL530.001</t>
        </is>
      </c>
      <c r="D860" s="6" t="str">
        <f>IFERROR(VLOOKUP(E860,FORNECEDORES!$A$5:$F$999,6,FALSE),"L10")</f>
        <v>L01</v>
      </c>
      <c r="E860" s="6" t="inlineStr">
        <is>
          <t>TECIDOS E ARMARINHOS MIGUEL BARTOLOMEU S/A</t>
        </is>
      </c>
      <c r="F860" s="7" t="n">
        <v>120</v>
      </c>
      <c r="G860" s="6" t="inlineStr">
        <is>
          <t>MATERIAL ELÉTRICO</t>
        </is>
      </c>
      <c r="H860" s="6" t="inlineStr">
        <is>
          <t>TECIDOS E ARMARINHOS MIGUEL BARTOLOMEU S/A</t>
        </is>
      </c>
      <c r="I860" s="24" t="n">
        <v>46150</v>
      </c>
      <c r="J860" s="6" t="n">
        <v>4870</v>
      </c>
    </row>
    <row r="861">
      <c r="A861" s="23" t="n">
        <v>46143</v>
      </c>
      <c r="B861" s="6" t="inlineStr">
        <is>
          <t>Pago</t>
        </is>
      </c>
      <c r="C861" s="6" t="inlineStr">
        <is>
          <t>PL530.001</t>
        </is>
      </c>
      <c r="D861" s="6" t="str">
        <f>IFERROR(VLOOKUP(E861,FORNECEDORES!$A$5:$F$999,6,FALSE),"L10")</f>
        <v>L01</v>
      </c>
      <c r="E861" s="6" t="inlineStr">
        <is>
          <t>TECIDOS E ARMARINHOS MIGUEL BARTOLOMEU S/A</t>
        </is>
      </c>
      <c r="F861" s="7" t="n">
        <v>150</v>
      </c>
      <c r="G861" s="6" t="inlineStr">
        <is>
          <t>MATERIAL ELÉTRICO</t>
        </is>
      </c>
      <c r="H861" s="6" t="inlineStr">
        <is>
          <t>TECIDOS E ARMARINHOS MIGUEL BARTOLOMEU S/A</t>
        </is>
      </c>
      <c r="I861" s="24" t="n">
        <v>46150</v>
      </c>
      <c r="J861" s="6" t="n">
        <v>4870</v>
      </c>
    </row>
    <row r="862">
      <c r="A862" s="23" t="n">
        <v>46143</v>
      </c>
      <c r="B862" s="6" t="inlineStr">
        <is>
          <t>Pago</t>
        </is>
      </c>
      <c r="C862" s="6" t="inlineStr">
        <is>
          <t>PL530.001</t>
        </is>
      </c>
      <c r="D862" s="6" t="str">
        <f>IFERROR(VLOOKUP(E862,FORNECEDORES!$A$5:$F$999,6,FALSE),"L10")</f>
        <v>L10</v>
      </c>
      <c r="E862" s="6" t="inlineStr">
        <is>
          <t>TECSU ENGENHARIA LTDA</t>
        </is>
      </c>
      <c r="F862" s="7" t="n">
        <v>18917.08</v>
      </c>
      <c r="G862" s="6" t="inlineStr">
        <is>
          <t>NÃO CLASSIFICADO</t>
        </is>
      </c>
      <c r="H862" s="6" t="inlineStr">
        <is>
          <t>TECSU ENGENHARIA LTDA</t>
        </is>
      </c>
      <c r="I862" s="24" t="n">
        <v>46153</v>
      </c>
      <c r="J862" s="6" t="n">
        <v>5049</v>
      </c>
    </row>
    <row r="863">
      <c r="A863" s="23" t="n">
        <v>46174</v>
      </c>
      <c r="B863" s="6" t="inlineStr">
        <is>
          <t>Pago</t>
        </is>
      </c>
      <c r="C863" s="6" t="inlineStr">
        <is>
          <t>PL530.001</t>
        </is>
      </c>
      <c r="D863" s="6" t="str">
        <f>IFERROR(VLOOKUP(E863,FORNECEDORES!$A$5:$F$999,6,FALSE),"L10")</f>
        <v>L01</v>
      </c>
      <c r="E863" s="6" t="inlineStr">
        <is>
          <t>ALUGERAIS COMERCIO DE ALUMINIO LTDA</t>
        </is>
      </c>
      <c r="F863" s="7" t="n">
        <v>190</v>
      </c>
      <c r="G863" s="6" t="inlineStr">
        <is>
          <t>FRETE</t>
        </is>
      </c>
      <c r="H863" s="6" t="inlineStr">
        <is>
          <t>ALUGERAIS COMERCIO DE ALUMINIO LTDA</t>
        </is>
      </c>
      <c r="I863" s="24" t="n">
        <v>46203</v>
      </c>
      <c r="J863" s="6" t="n">
        <v>5458</v>
      </c>
    </row>
    <row r="864">
      <c r="A864" s="23" t="n">
        <v>46174</v>
      </c>
      <c r="B864" s="6" t="inlineStr">
        <is>
          <t>Pago</t>
        </is>
      </c>
      <c r="C864" s="6" t="inlineStr">
        <is>
          <t>PL530.001</t>
        </is>
      </c>
      <c r="D864" s="6" t="str">
        <f>IFERROR(VLOOKUP(E864,FORNECEDORES!$A$5:$F$999,6,FALSE),"L10")</f>
        <v>L01</v>
      </c>
      <c r="E864" s="6" t="inlineStr">
        <is>
          <t>ALUGERAIS COMERCIO DE ALUMINIO LTDA</t>
        </is>
      </c>
      <c r="F864" s="7" t="n">
        <v>180</v>
      </c>
      <c r="G864" s="6" t="inlineStr">
        <is>
          <t>FRETE</t>
        </is>
      </c>
      <c r="H864" s="6" t="inlineStr">
        <is>
          <t>ALUGERAIS COMERCIO DE ALUMINIO LTDA</t>
        </is>
      </c>
      <c r="I864" s="24" t="n">
        <v>46195</v>
      </c>
      <c r="J864" s="6" t="n">
        <v>5380</v>
      </c>
    </row>
    <row r="865">
      <c r="A865" s="23" t="n">
        <v>46174</v>
      </c>
      <c r="B865" s="6" t="inlineStr">
        <is>
          <t>Pago</t>
        </is>
      </c>
      <c r="C865" s="6" t="inlineStr">
        <is>
          <t>PL530.001</t>
        </is>
      </c>
      <c r="D865" s="6" t="str">
        <f>IFERROR(VLOOKUP(E865,FORNECEDORES!$A$5:$F$999,6,FALSE),"L10")</f>
        <v>L01</v>
      </c>
      <c r="E865" s="6" t="inlineStr">
        <is>
          <t>ALUGERAIS COMERCIO DE ALUMINIO LTDA</t>
        </is>
      </c>
      <c r="F865" s="7" t="n">
        <v>876</v>
      </c>
      <c r="G865" s="6" t="inlineStr">
        <is>
          <t>EQUIPAMENTOS E FERRAMENTAS</t>
        </is>
      </c>
      <c r="H865" s="6" t="inlineStr">
        <is>
          <t>ALUGERAIS COMERCIO DE ALUMINIO LTDA</t>
        </is>
      </c>
      <c r="I865" s="24" t="n">
        <v>46203</v>
      </c>
      <c r="J865" s="6" t="n">
        <v>5458</v>
      </c>
    </row>
    <row r="866">
      <c r="A866" s="23" t="n">
        <v>46174</v>
      </c>
      <c r="B866" s="6" t="inlineStr">
        <is>
          <t>Pago</t>
        </is>
      </c>
      <c r="C866" s="6" t="inlineStr">
        <is>
          <t>PL530.001</t>
        </is>
      </c>
      <c r="D866" s="6" t="str">
        <f>IFERROR(VLOOKUP(E866,FORNECEDORES!$A$5:$F$999,6,FALSE),"L10")</f>
        <v>L01</v>
      </c>
      <c r="E866" s="6" t="inlineStr">
        <is>
          <t>ALUGERAIS COMERCIO DE ALUMINIO LTDA</t>
        </is>
      </c>
      <c r="F866" s="7" t="n">
        <v>584</v>
      </c>
      <c r="G866" s="6" t="inlineStr">
        <is>
          <t>EQUIPAMENTOS E FERRAMENTAS</t>
        </is>
      </c>
      <c r="H866" s="6" t="inlineStr">
        <is>
          <t>ALUGERAIS COMERCIO DE ALUMINIO LTDA</t>
        </is>
      </c>
      <c r="I866" s="24" t="n">
        <v>46195</v>
      </c>
      <c r="J866" s="6" t="n">
        <v>5380</v>
      </c>
    </row>
    <row r="867">
      <c r="A867" s="23" t="n">
        <v>46174</v>
      </c>
      <c r="B867" s="6" t="inlineStr">
        <is>
          <t>Pago</t>
        </is>
      </c>
      <c r="C867" s="6" t="inlineStr">
        <is>
          <t>PL530.001</t>
        </is>
      </c>
      <c r="D867" s="6" t="str">
        <f>IFERROR(VLOOKUP(E867,FORNECEDORES!$A$5:$F$999,6,FALSE),"L10")</f>
        <v>L01</v>
      </c>
      <c r="E867" s="6" t="inlineStr">
        <is>
          <t>CARRINHO DE MAO ROMA LTDA</t>
        </is>
      </c>
      <c r="F867" s="7" t="n">
        <v>1453.5</v>
      </c>
      <c r="G867" s="6" t="inlineStr">
        <is>
          <t>EQUIPAMENTOS E FERRAMENTAS</t>
        </is>
      </c>
      <c r="H867" s="6" t="inlineStr">
        <is>
          <t>CARRINHO DE MAO ROMA LTDA</t>
        </is>
      </c>
      <c r="I867" s="24" t="n">
        <v>46191</v>
      </c>
      <c r="J867" s="6" t="n">
        <v>5017</v>
      </c>
    </row>
    <row r="868">
      <c r="A868" s="23" t="n">
        <v>46174</v>
      </c>
      <c r="B868" s="6" t="inlineStr">
        <is>
          <t>Pago</t>
        </is>
      </c>
      <c r="C868" s="6" t="inlineStr">
        <is>
          <t>PL530.001</t>
        </is>
      </c>
      <c r="D868" s="6" t="str">
        <f>IFERROR(VLOOKUP(E868,FORNECEDORES!$A$5:$F$999,6,FALSE),"L10")</f>
        <v>L10</v>
      </c>
      <c r="E868" s="6" t="inlineStr">
        <is>
          <t>CORTEZ LOCACAO DE EQUIPAMENTOS LTDA-ME</t>
        </is>
      </c>
      <c r="F868" s="7" t="n">
        <v>24386.89</v>
      </c>
      <c r="G868" s="6" t="inlineStr">
        <is>
          <t>NÃO CLASSIFICADO</t>
        </is>
      </c>
      <c r="H868" s="6" t="inlineStr">
        <is>
          <t>CORTEZ LOCACAO DE EQUIPAMENTOS LTDA-ME</t>
        </is>
      </c>
      <c r="I868" s="24" t="n">
        <v>46195</v>
      </c>
      <c r="J868" s="6" t="n">
        <v>5552</v>
      </c>
    </row>
    <row r="869">
      <c r="A869" s="23" t="n">
        <v>46174</v>
      </c>
      <c r="B869" s="6" t="inlineStr">
        <is>
          <t>Pago</t>
        </is>
      </c>
      <c r="C869" s="6" t="inlineStr">
        <is>
          <t>PL530.001</t>
        </is>
      </c>
      <c r="D869" s="6" t="str">
        <f>IFERROR(VLOOKUP(E869,FORNECEDORES!$A$5:$F$999,6,FALSE),"L10")</f>
        <v>L10</v>
      </c>
      <c r="E869" s="6" t="inlineStr">
        <is>
          <t>CORTEZ LOCACAO DE EQUIPAMENTOS LTDA-ME</t>
        </is>
      </c>
      <c r="F869" s="7" t="n">
        <v>21888.87</v>
      </c>
      <c r="G869" s="6" t="inlineStr">
        <is>
          <t>NÃO CLASSIFICADO</t>
        </is>
      </c>
      <c r="H869" s="6" t="inlineStr">
        <is>
          <t>CORTEZ LOCACAO DE EQUIPAMENTOS LTDA-ME</t>
        </is>
      </c>
      <c r="I869" s="24" t="n">
        <v>46176</v>
      </c>
      <c r="J869" s="6" t="n">
        <v>5287</v>
      </c>
    </row>
    <row r="870">
      <c r="A870" s="23" t="n">
        <v>46174</v>
      </c>
      <c r="B870" s="6" t="inlineStr">
        <is>
          <t>Pago</t>
        </is>
      </c>
      <c r="C870" s="6" t="inlineStr">
        <is>
          <t>PL530.001</t>
        </is>
      </c>
      <c r="D870" s="6" t="str">
        <f>IFERROR(VLOOKUP(E870,FORNECEDORES!$A$5:$F$999,6,FALSE),"L10")</f>
        <v>L10</v>
      </c>
      <c r="E870" s="6" t="inlineStr">
        <is>
          <t>CORTEZ LOCACAO DE EQUIPAMENTOS LTDA-ME</t>
        </is>
      </c>
      <c r="F870" s="7" t="n">
        <v>2831.35</v>
      </c>
      <c r="G870" s="6" t="inlineStr">
        <is>
          <t>NÃO CLASSIFICADO</t>
        </is>
      </c>
      <c r="H870" s="6" t="inlineStr">
        <is>
          <t>INSS RETIDO PJ - MINISTERIO DA PREVIDENCIA</t>
        </is>
      </c>
      <c r="I870" s="24" t="n">
        <v>46191</v>
      </c>
      <c r="J870" s="6" t="n">
        <v>5402</v>
      </c>
    </row>
    <row r="871">
      <c r="A871" s="23" t="n">
        <v>46174</v>
      </c>
      <c r="B871" s="6" t="inlineStr">
        <is>
          <t>Pago</t>
        </is>
      </c>
      <c r="C871" s="6" t="inlineStr">
        <is>
          <t>PL530.001</t>
        </is>
      </c>
      <c r="D871" s="6" t="str">
        <f>IFERROR(VLOOKUP(E871,FORNECEDORES!$A$5:$F$999,6,FALSE),"L10")</f>
        <v>L10</v>
      </c>
      <c r="E871" s="6" t="inlineStr">
        <is>
          <t>CORTEZ LOCACAO DE EQUIPAMENTOS LTDA-ME</t>
        </is>
      </c>
      <c r="F871" s="7" t="n">
        <v>1019.28</v>
      </c>
      <c r="G871" s="6" t="inlineStr">
        <is>
          <t>NÃO CLASSIFICADO</t>
        </is>
      </c>
      <c r="H871" s="6" t="inlineStr">
        <is>
          <t>PREFEITURA DE BELO HORIZONTE - ISSQN RETIDO</t>
        </is>
      </c>
      <c r="I871" s="24" t="n">
        <v>46181</v>
      </c>
      <c r="J871" s="6" t="n">
        <v>5401</v>
      </c>
    </row>
    <row r="872">
      <c r="A872" s="23" t="n">
        <v>46174</v>
      </c>
      <c r="B872" s="6" t="inlineStr">
        <is>
          <t>Pago</t>
        </is>
      </c>
      <c r="C872" s="6" t="inlineStr">
        <is>
          <t>PL530.001</t>
        </is>
      </c>
      <c r="D872" s="6" t="str">
        <f>IFERROR(VLOOKUP(E872,FORNECEDORES!$A$5:$F$999,6,FALSE),"L10")</f>
        <v>L01</v>
      </c>
      <c r="E872" s="6" t="inlineStr">
        <is>
          <t>CRISTIANE E SILVIA COMERCIO LTDA</t>
        </is>
      </c>
      <c r="F872" s="7" t="n">
        <v>25.9</v>
      </c>
      <c r="G872" s="6" t="inlineStr">
        <is>
          <t>EQUIPAMENTOS E FERRAMENTAS</t>
        </is>
      </c>
      <c r="H872" s="6" t="inlineStr">
        <is>
          <t>CRISTIANE E SILVIA COMERCIO LTDA</t>
        </is>
      </c>
      <c r="I872" s="24" t="n">
        <v>46197</v>
      </c>
      <c r="J872" s="6" t="n">
        <v>5625</v>
      </c>
    </row>
    <row r="873">
      <c r="A873" s="23" t="n">
        <v>46174</v>
      </c>
      <c r="B873" s="6" t="inlineStr">
        <is>
          <t>Pago</t>
        </is>
      </c>
      <c r="C873" s="6" t="inlineStr">
        <is>
          <t>PL530.001</t>
        </is>
      </c>
      <c r="D873" s="6" t="str">
        <f>IFERROR(VLOOKUP(E873,FORNECEDORES!$A$5:$F$999,6,FALSE),"L10")</f>
        <v>L01</v>
      </c>
      <c r="E873" s="6" t="inlineStr">
        <is>
          <t>CRISTIANE E SILVIA COMERCIO LTDA</t>
        </is>
      </c>
      <c r="F873" s="7" t="n">
        <v>36.9</v>
      </c>
      <c r="G873" s="6" t="inlineStr">
        <is>
          <t>EQUIPAMENTOS E FERRAMENTAS</t>
        </is>
      </c>
      <c r="H873" s="6" t="inlineStr">
        <is>
          <t>CRISTIANE E SILVIA COMERCIO LTDA</t>
        </is>
      </c>
      <c r="I873" s="24" t="n">
        <v>46197</v>
      </c>
      <c r="J873" s="6" t="n">
        <v>5625</v>
      </c>
    </row>
    <row r="874">
      <c r="A874" s="23" t="n">
        <v>46174</v>
      </c>
      <c r="B874" s="6" t="inlineStr">
        <is>
          <t>Pago</t>
        </is>
      </c>
      <c r="C874" s="6" t="inlineStr">
        <is>
          <t>PL530.001</t>
        </is>
      </c>
      <c r="D874" s="6" t="str">
        <f>IFERROR(VLOOKUP(E874,FORNECEDORES!$A$5:$F$999,6,FALSE),"L10")</f>
        <v>L01</v>
      </c>
      <c r="E874" s="6" t="inlineStr">
        <is>
          <t>CRISTIANE E SILVIA COMERCIO LTDA</t>
        </is>
      </c>
      <c r="F874" s="7" t="n">
        <v>53.7</v>
      </c>
      <c r="G874" s="6" t="inlineStr">
        <is>
          <t>EQUIPAMENTOS E FERRAMENTAS</t>
        </is>
      </c>
      <c r="H874" s="6" t="inlineStr">
        <is>
          <t>CRISTIANE E SILVIA COMERCIO LTDA</t>
        </is>
      </c>
      <c r="I874" s="24" t="n">
        <v>46197</v>
      </c>
      <c r="J874" s="6" t="n">
        <v>5625</v>
      </c>
    </row>
    <row r="875">
      <c r="A875" s="23" t="n">
        <v>46174</v>
      </c>
      <c r="B875" s="6" t="inlineStr">
        <is>
          <t>Pago</t>
        </is>
      </c>
      <c r="C875" s="6" t="inlineStr">
        <is>
          <t>PL530.001</t>
        </is>
      </c>
      <c r="D875" s="6" t="str">
        <f>IFERROR(VLOOKUP(E875,FORNECEDORES!$A$5:$F$999,6,FALSE),"L10")</f>
        <v>L01</v>
      </c>
      <c r="E875" s="6" t="inlineStr">
        <is>
          <t>CRISTIANE E SILVIA COMERCIO LTDA</t>
        </is>
      </c>
      <c r="F875" s="7" t="n">
        <v>12.5</v>
      </c>
      <c r="G875" s="6" t="inlineStr">
        <is>
          <t>EQUIPAMENTOS E FERRAMENTAS</t>
        </is>
      </c>
      <c r="H875" s="6" t="inlineStr">
        <is>
          <t>CRISTIANE E SILVIA COMERCIO LTDA</t>
        </is>
      </c>
      <c r="I875" s="24" t="n">
        <v>46197</v>
      </c>
      <c r="J875" s="6" t="n">
        <v>5625</v>
      </c>
    </row>
    <row r="876">
      <c r="A876" s="23" t="n">
        <v>46174</v>
      </c>
      <c r="B876" s="6" t="inlineStr">
        <is>
          <t>Pago</t>
        </is>
      </c>
      <c r="C876" s="6" t="inlineStr">
        <is>
          <t>PL530.001</t>
        </is>
      </c>
      <c r="D876" s="6" t="str">
        <f>IFERROR(VLOOKUP(E876,FORNECEDORES!$A$5:$F$999,6,FALSE),"L10")</f>
        <v>L01</v>
      </c>
      <c r="E876" s="6" t="inlineStr">
        <is>
          <t>CRISTIANE E SILVIA COMERCIO LTDA</t>
        </is>
      </c>
      <c r="F876" s="7" t="n">
        <v>25.9</v>
      </c>
      <c r="G876" s="6" t="inlineStr">
        <is>
          <t>EQUIPAMENTOS E FERRAMENTAS</t>
        </is>
      </c>
      <c r="H876" s="6" t="inlineStr">
        <is>
          <t>CRISTIANE E SILVIA COMERCIO LTDA</t>
        </is>
      </c>
      <c r="I876" s="24" t="n">
        <v>46197</v>
      </c>
      <c r="J876" s="6" t="n">
        <v>5625</v>
      </c>
    </row>
    <row r="877">
      <c r="A877" s="23" t="n">
        <v>46174</v>
      </c>
      <c r="B877" s="6" t="inlineStr">
        <is>
          <t>Pago</t>
        </is>
      </c>
      <c r="C877" s="6" t="inlineStr">
        <is>
          <t>PL530.001</t>
        </is>
      </c>
      <c r="D877" s="6" t="str">
        <f>IFERROR(VLOOKUP(E877,FORNECEDORES!$A$5:$F$999,6,FALSE),"L10")</f>
        <v>L01</v>
      </c>
      <c r="E877" s="6" t="inlineStr">
        <is>
          <t>CRISTIANE E SILVIA COMERCIO LTDA</t>
        </is>
      </c>
      <c r="F877" s="7" t="n">
        <v>59</v>
      </c>
      <c r="G877" s="6" t="inlineStr">
        <is>
          <t>EQUIPAMENTOS E FERRAMENTAS</t>
        </is>
      </c>
      <c r="H877" s="6" t="inlineStr">
        <is>
          <t>CRISTIANE E SILVIA COMERCIO LTDA</t>
        </is>
      </c>
      <c r="I877" s="24" t="n">
        <v>46197</v>
      </c>
      <c r="J877" s="6" t="n">
        <v>5625</v>
      </c>
    </row>
    <row r="878">
      <c r="A878" s="23" t="n">
        <v>46174</v>
      </c>
      <c r="B878" s="6" t="inlineStr">
        <is>
          <t>Pago</t>
        </is>
      </c>
      <c r="C878" s="6" t="inlineStr">
        <is>
          <t>PL530.001</t>
        </is>
      </c>
      <c r="D878" s="6" t="str">
        <f>IFERROR(VLOOKUP(E878,FORNECEDORES!$A$5:$F$999,6,FALSE),"L10")</f>
        <v>L03</v>
      </c>
      <c r="E878" s="6" t="inlineStr">
        <is>
          <t>DATRON TECNOLOGIA E LOCACAO LTDA</t>
        </is>
      </c>
      <c r="F878" s="7" t="n">
        <v>1048.16</v>
      </c>
      <c r="G878" s="6" t="inlineStr">
        <is>
          <t>LOCAÇÕES</t>
        </is>
      </c>
      <c r="H878" s="6" t="inlineStr">
        <is>
          <t>DATRON TECNOLOGIA E LOCACAO LTDA</t>
        </is>
      </c>
      <c r="I878" s="24" t="n">
        <v>46192</v>
      </c>
      <c r="J878" s="6" t="n">
        <v>5643</v>
      </c>
    </row>
    <row r="879">
      <c r="A879" s="23" t="n">
        <v>46174</v>
      </c>
      <c r="B879" s="6" t="inlineStr">
        <is>
          <t>Pago</t>
        </is>
      </c>
      <c r="C879" s="6" t="inlineStr">
        <is>
          <t>PL530.001</t>
        </is>
      </c>
      <c r="D879" s="6" t="str">
        <f>IFERROR(VLOOKUP(E879,FORNECEDORES!$A$5:$F$999,6,FALSE),"L10")</f>
        <v>L10</v>
      </c>
      <c r="E879" s="6" t="inlineStr">
        <is>
          <t>ELITE FUNDACOES EIRELI</t>
        </is>
      </c>
      <c r="F879" s="7" t="n">
        <v>301</v>
      </c>
      <c r="G879" s="6" t="inlineStr">
        <is>
          <t>NÃO CLASSIFICADO</t>
        </is>
      </c>
      <c r="H879" s="6" t="inlineStr">
        <is>
          <t>INSS RETIDO PJ - MINISTERIO DA PREVIDENCIA</t>
        </is>
      </c>
      <c r="I879" s="24" t="n">
        <v>46191</v>
      </c>
      <c r="J879" s="6" t="n">
        <v>5296</v>
      </c>
    </row>
    <row r="880">
      <c r="A880" s="23" t="n">
        <v>46174</v>
      </c>
      <c r="B880" s="6" t="inlineStr">
        <is>
          <t>Pago</t>
        </is>
      </c>
      <c r="C880" s="6" t="inlineStr">
        <is>
          <t>PL530.001</t>
        </is>
      </c>
      <c r="D880" s="6" t="str">
        <f>IFERROR(VLOOKUP(E880,FORNECEDORES!$A$5:$F$999,6,FALSE),"L10")</f>
        <v>L10</v>
      </c>
      <c r="E880" s="6" t="inlineStr">
        <is>
          <t>ELITE FUNDACOES EIRELI</t>
        </is>
      </c>
      <c r="F880" s="7" t="n">
        <v>430</v>
      </c>
      <c r="G880" s="6" t="inlineStr">
        <is>
          <t>NÃO CLASSIFICADO</t>
        </is>
      </c>
      <c r="H880" s="6" t="inlineStr">
        <is>
          <t>PREFEITURA DE BELO HORIZONTE - ISSQN RETIDO</t>
        </is>
      </c>
      <c r="I880" s="24" t="n">
        <v>46181</v>
      </c>
      <c r="J880" s="6" t="n">
        <v>5253</v>
      </c>
    </row>
    <row r="881">
      <c r="A881" s="23" t="n">
        <v>46174</v>
      </c>
      <c r="B881" s="6" t="inlineStr">
        <is>
          <t>Pago</t>
        </is>
      </c>
      <c r="C881" s="6" t="inlineStr">
        <is>
          <t>PL530.001</t>
        </is>
      </c>
      <c r="D881" s="6" t="str">
        <f>IFERROR(VLOOKUP(E881,FORNECEDORES!$A$5:$F$999,6,FALSE),"L10")</f>
        <v>L01</v>
      </c>
      <c r="E881" s="6" t="inlineStr">
        <is>
          <t>EXPRESSO 2000 TRANSPORTES E LOGISTICA LTDA</t>
        </is>
      </c>
      <c r="F881" s="7" t="n">
        <v>137.38</v>
      </c>
      <c r="G881" s="6" t="inlineStr">
        <is>
          <t>FRETE</t>
        </is>
      </c>
      <c r="H881" s="6" t="inlineStr">
        <is>
          <t>EXPRESSO 2000 TRANSPORTES E LOGISTICA LTDA</t>
        </is>
      </c>
      <c r="I881" s="24" t="n">
        <v>46181</v>
      </c>
      <c r="J881" s="6" t="n">
        <v>5124</v>
      </c>
    </row>
    <row r="882">
      <c r="A882" s="23" t="n">
        <v>46174</v>
      </c>
      <c r="B882" s="6" t="inlineStr">
        <is>
          <t>Pago</t>
        </is>
      </c>
      <c r="C882" s="6" t="inlineStr">
        <is>
          <t>PL530.001</t>
        </is>
      </c>
      <c r="D882" s="6" t="str">
        <f>IFERROR(VLOOKUP(E882,FORNECEDORES!$A$5:$F$999,6,FALSE),"L10")</f>
        <v>L10</v>
      </c>
      <c r="E882" s="6" t="inlineStr">
        <is>
          <t>FIAO LOCACOES E TRANSPORTES LTDA</t>
        </is>
      </c>
      <c r="F882" s="7" t="n">
        <v>5630.33</v>
      </c>
      <c r="G882" s="6" t="inlineStr">
        <is>
          <t>NÃO CLASSIFICADO</t>
        </is>
      </c>
      <c r="H882" s="6" t="inlineStr">
        <is>
          <t>FIAO LOCACOES E TRANSPORTES LTDA</t>
        </is>
      </c>
      <c r="I882" s="24" t="n">
        <v>46188</v>
      </c>
      <c r="J882" s="6" t="n">
        <v>5508</v>
      </c>
    </row>
    <row r="883">
      <c r="A883" s="23" t="n">
        <v>46174</v>
      </c>
      <c r="B883" s="6" t="inlineStr">
        <is>
          <t>Pago</t>
        </is>
      </c>
      <c r="C883" s="6" t="inlineStr">
        <is>
          <t>PL530.001</t>
        </is>
      </c>
      <c r="D883" s="6" t="str">
        <f>IFERROR(VLOOKUP(E883,FORNECEDORES!$A$5:$F$999,6,FALSE),"L10")</f>
        <v>L10</v>
      </c>
      <c r="E883" s="6" t="inlineStr">
        <is>
          <t>FIAO LOCACOES E TRANSPORTES LTDA</t>
        </is>
      </c>
      <c r="F883" s="7" t="n">
        <v>316.25</v>
      </c>
      <c r="G883" s="6" t="inlineStr">
        <is>
          <t>NÃO CLASSIFICADO</t>
        </is>
      </c>
      <c r="H883" s="6" t="inlineStr">
        <is>
          <t>INSS RETIDO PJ - MINISTERIO DA PREVIDENCIA</t>
        </is>
      </c>
      <c r="I883" s="24" t="n">
        <v>46191</v>
      </c>
      <c r="J883" s="6" t="n">
        <v>5232</v>
      </c>
    </row>
    <row r="884">
      <c r="A884" s="23" t="n">
        <v>46174</v>
      </c>
      <c r="B884" s="6" t="inlineStr">
        <is>
          <t>Pago</t>
        </is>
      </c>
      <c r="C884" s="6" t="inlineStr">
        <is>
          <t>PL530.001</t>
        </is>
      </c>
      <c r="D884" s="6" t="str">
        <f>IFERROR(VLOOKUP(E884,FORNECEDORES!$A$5:$F$999,6,FALSE),"L10")</f>
        <v>L10</v>
      </c>
      <c r="E884" s="6" t="inlineStr">
        <is>
          <t>FIAO LOCACOES E TRANSPORTES LTDA</t>
        </is>
      </c>
      <c r="F884" s="7" t="n">
        <v>223.1</v>
      </c>
      <c r="G884" s="6" t="inlineStr">
        <is>
          <t>NÃO CLASSIFICADO</t>
        </is>
      </c>
      <c r="H884" s="6" t="inlineStr">
        <is>
          <t>PREFEITURA DE BELO HORIZONTE - ISSQN RETIDO</t>
        </is>
      </c>
      <c r="I884" s="24" t="n">
        <v>46181</v>
      </c>
      <c r="J884" s="6" t="n">
        <v>5231</v>
      </c>
    </row>
    <row r="885">
      <c r="A885" s="23" t="n">
        <v>46174</v>
      </c>
      <c r="B885" s="6" t="inlineStr">
        <is>
          <t>Pago</t>
        </is>
      </c>
      <c r="C885" s="6" t="inlineStr">
        <is>
          <t>PL530.001</t>
        </is>
      </c>
      <c r="D885" s="6" t="str">
        <f>IFERROR(VLOOKUP(E885,FORNECEDORES!$A$5:$F$999,6,FALSE),"L10")</f>
        <v>L03</v>
      </c>
      <c r="E885" s="6" t="inlineStr">
        <is>
          <t>LOCAFAZ LOCACAO DE EQUIPAMENTOS LTDA</t>
        </is>
      </c>
      <c r="F885" s="7" t="n">
        <v>400</v>
      </c>
      <c r="G885" s="6" t="inlineStr">
        <is>
          <t>LOCAÇÕES</t>
        </is>
      </c>
      <c r="H885" s="6" t="inlineStr">
        <is>
          <t>LOCAFAZ LOCACAO DE EQUIPAMENTOS LTDA</t>
        </is>
      </c>
      <c r="I885" s="24" t="n">
        <v>46195</v>
      </c>
      <c r="J885" s="6" t="n">
        <v>5654</v>
      </c>
    </row>
    <row r="886">
      <c r="A886" s="23" t="n">
        <v>46174</v>
      </c>
      <c r="B886" s="6" t="inlineStr">
        <is>
          <t>Pago</t>
        </is>
      </c>
      <c r="C886" s="6" t="inlineStr">
        <is>
          <t>PL530.001</t>
        </is>
      </c>
      <c r="D886" s="6" t="str">
        <f>IFERROR(VLOOKUP(E886,FORNECEDORES!$A$5:$F$999,6,FALSE),"L10")</f>
        <v>L03</v>
      </c>
      <c r="E886" s="6" t="inlineStr">
        <is>
          <t>LOCAFAZ LOCACAO DE EQUIPAMENTOS LTDA</t>
        </is>
      </c>
      <c r="F886" s="7" t="n">
        <v>879</v>
      </c>
      <c r="G886" s="6" t="inlineStr">
        <is>
          <t>LOCAÇÕES</t>
        </is>
      </c>
      <c r="H886" s="6" t="inlineStr">
        <is>
          <t>LOCAFAZ LOCACAO DE EQUIPAMENTOS LTDA</t>
        </is>
      </c>
      <c r="I886" s="24" t="n">
        <v>46183</v>
      </c>
      <c r="J886" s="6" t="n">
        <v>5536</v>
      </c>
    </row>
    <row r="887">
      <c r="A887" s="23" t="n">
        <v>46174</v>
      </c>
      <c r="B887" s="6" t="inlineStr">
        <is>
          <t>Pago</t>
        </is>
      </c>
      <c r="C887" s="6" t="inlineStr">
        <is>
          <t>PL530.001</t>
        </is>
      </c>
      <c r="D887" s="6" t="str">
        <f>IFERROR(VLOOKUP(E887,FORNECEDORES!$A$5:$F$999,6,FALSE),"L10")</f>
        <v>L03</v>
      </c>
      <c r="E887" s="6" t="inlineStr">
        <is>
          <t>LOCAFAZ LOCACAO DE EQUIPAMENTOS LTDA</t>
        </is>
      </c>
      <c r="F887" s="7" t="n">
        <v>550</v>
      </c>
      <c r="G887" s="6" t="inlineStr">
        <is>
          <t>LOCAÇÕES</t>
        </is>
      </c>
      <c r="H887" s="6" t="inlineStr">
        <is>
          <t>LOCAFAZ LOCACAO DE EQUIPAMENTOS LTDA</t>
        </is>
      </c>
      <c r="I887" s="24" t="n">
        <v>46183</v>
      </c>
      <c r="J887" s="6" t="n">
        <v>5536</v>
      </c>
    </row>
    <row r="888">
      <c r="A888" s="23" t="n">
        <v>46174</v>
      </c>
      <c r="B888" s="6" t="inlineStr">
        <is>
          <t>Pago</t>
        </is>
      </c>
      <c r="C888" s="6" t="inlineStr">
        <is>
          <t>PL530.001</t>
        </is>
      </c>
      <c r="D888" s="6" t="str">
        <f>IFERROR(VLOOKUP(E888,FORNECEDORES!$A$5:$F$999,6,FALSE),"L10")</f>
        <v>L03</v>
      </c>
      <c r="E888" s="6" t="inlineStr">
        <is>
          <t>LOCAFAZ LOCACAO DE EQUIPAMENTOS LTDA</t>
        </is>
      </c>
      <c r="F888" s="7" t="n">
        <v>109</v>
      </c>
      <c r="G888" s="6" t="inlineStr">
        <is>
          <t>LOCAÇÕES</t>
        </is>
      </c>
      <c r="H888" s="6" t="inlineStr">
        <is>
          <t>LOCAFAZ LOCACAO DE EQUIPAMENTOS LTDA</t>
        </is>
      </c>
      <c r="I888" s="24" t="n">
        <v>46183</v>
      </c>
      <c r="J888" s="6" t="n">
        <v>5536</v>
      </c>
    </row>
    <row r="889">
      <c r="A889" s="23" t="n">
        <v>46174</v>
      </c>
      <c r="B889" s="6" t="inlineStr">
        <is>
          <t>Pago</t>
        </is>
      </c>
      <c r="C889" s="6" t="inlineStr">
        <is>
          <t>PL530.001</t>
        </is>
      </c>
      <c r="D889" s="6" t="str">
        <f>IFERROR(VLOOKUP(E889,FORNECEDORES!$A$5:$F$999,6,FALSE),"L10")</f>
        <v>L03</v>
      </c>
      <c r="E889" s="6" t="inlineStr">
        <is>
          <t>LOCAFAZ LOCACAO DE EQUIPAMENTOS LTDA</t>
        </is>
      </c>
      <c r="F889" s="7" t="n">
        <v>400</v>
      </c>
      <c r="G889" s="6" t="inlineStr">
        <is>
          <t>LOCAÇÕES</t>
        </is>
      </c>
      <c r="H889" s="6" t="inlineStr">
        <is>
          <t>LOCAFAZ LOCACAO DE EQUIPAMENTOS LTDA</t>
        </is>
      </c>
      <c r="I889" s="24" t="n">
        <v>46183</v>
      </c>
      <c r="J889" s="6" t="n">
        <v>5536</v>
      </c>
    </row>
    <row r="890">
      <c r="A890" s="23" t="n">
        <v>46174</v>
      </c>
      <c r="B890" s="6" t="inlineStr">
        <is>
          <t>Pago</t>
        </is>
      </c>
      <c r="C890" s="6" t="inlineStr">
        <is>
          <t>PL530.001</t>
        </is>
      </c>
      <c r="D890" s="6" t="str">
        <f>IFERROR(VLOOKUP(E890,FORNECEDORES!$A$5:$F$999,6,FALSE),"L10")</f>
        <v>L03</v>
      </c>
      <c r="E890" s="6" t="inlineStr">
        <is>
          <t>LOCAFAZ LOCACAO DE EQUIPAMENTOS LTDA</t>
        </is>
      </c>
      <c r="F890" s="7" t="n">
        <v>327</v>
      </c>
      <c r="G890" s="6" t="inlineStr">
        <is>
          <t>LOCAÇÕES</t>
        </is>
      </c>
      <c r="H890" s="6" t="inlineStr">
        <is>
          <t>LOCAFAZ LOCACAO DE EQUIPAMENTOS LTDA</t>
        </is>
      </c>
      <c r="I890" s="24" t="n">
        <v>46183</v>
      </c>
      <c r="J890" s="6" t="n">
        <v>5536</v>
      </c>
    </row>
    <row r="891">
      <c r="A891" s="23" t="n">
        <v>46174</v>
      </c>
      <c r="B891" s="6" t="inlineStr">
        <is>
          <t>Pago</t>
        </is>
      </c>
      <c r="C891" s="6" t="inlineStr">
        <is>
          <t>PL530.001</t>
        </is>
      </c>
      <c r="D891" s="6" t="str">
        <f>IFERROR(VLOOKUP(E891,FORNECEDORES!$A$5:$F$999,6,FALSE),"L10")</f>
        <v>L03</v>
      </c>
      <c r="E891" s="6" t="inlineStr">
        <is>
          <t>LOCAFAZ LOCACAO DE EQUIPAMENTOS LTDA</t>
        </is>
      </c>
      <c r="F891" s="7" t="n">
        <v>350</v>
      </c>
      <c r="G891" s="6" t="inlineStr">
        <is>
          <t>LOCAÇÕES</t>
        </is>
      </c>
      <c r="H891" s="6" t="inlineStr">
        <is>
          <t>LOCAFAZ LOCACAO DE EQUIPAMENTOS LTDA</t>
        </is>
      </c>
      <c r="I891" s="24" t="n">
        <v>46183</v>
      </c>
      <c r="J891" s="6" t="n">
        <v>5536</v>
      </c>
    </row>
    <row r="892">
      <c r="A892" s="23" t="n">
        <v>46174</v>
      </c>
      <c r="B892" s="6" t="inlineStr">
        <is>
          <t>Pago</t>
        </is>
      </c>
      <c r="C892" s="6" t="inlineStr">
        <is>
          <t>PL530.001</t>
        </is>
      </c>
      <c r="D892" s="6" t="str">
        <f>IFERROR(VLOOKUP(E892,FORNECEDORES!$A$5:$F$999,6,FALSE),"L10")</f>
        <v>L01</v>
      </c>
      <c r="E892" s="6" t="inlineStr">
        <is>
          <t>LOJA ELETRICA LIMITADA</t>
        </is>
      </c>
      <c r="F892" s="7" t="n">
        <v>3.45</v>
      </c>
      <c r="G892" s="6" t="inlineStr">
        <is>
          <t>MATERIAL ELÉTRICO</t>
        </is>
      </c>
      <c r="H892" s="6" t="inlineStr">
        <is>
          <t>LOJA ELETRICA LIMITADA</t>
        </is>
      </c>
      <c r="I892" s="24" t="n">
        <v>46195</v>
      </c>
      <c r="J892" s="6" t="n">
        <v>5084</v>
      </c>
    </row>
    <row r="893">
      <c r="A893" s="23" t="n">
        <v>46174</v>
      </c>
      <c r="B893" s="6" t="inlineStr">
        <is>
          <t>Pago</t>
        </is>
      </c>
      <c r="C893" s="6" t="inlineStr">
        <is>
          <t>PL530.001</t>
        </is>
      </c>
      <c r="D893" s="6" t="str">
        <f>IFERROR(VLOOKUP(E893,FORNECEDORES!$A$5:$F$999,6,FALSE),"L10")</f>
        <v>L01</v>
      </c>
      <c r="E893" s="6" t="inlineStr">
        <is>
          <t>LOJA ELETRICA LIMITADA</t>
        </is>
      </c>
      <c r="F893" s="7" t="n">
        <v>3.55</v>
      </c>
      <c r="G893" s="6" t="inlineStr">
        <is>
          <t>MATERIAL ELÉTRICO</t>
        </is>
      </c>
      <c r="H893" s="6" t="inlineStr">
        <is>
          <t>LOJA ELETRICA LIMITADA</t>
        </is>
      </c>
      <c r="I893" s="24" t="n">
        <v>46195</v>
      </c>
      <c r="J893" s="6" t="n">
        <v>5084</v>
      </c>
    </row>
    <row r="894">
      <c r="A894" s="23" t="n">
        <v>46174</v>
      </c>
      <c r="B894" s="6" t="inlineStr">
        <is>
          <t>Pago</t>
        </is>
      </c>
      <c r="C894" s="6" t="inlineStr">
        <is>
          <t>PL530.001</t>
        </is>
      </c>
      <c r="D894" s="6" t="str">
        <f>IFERROR(VLOOKUP(E894,FORNECEDORES!$A$5:$F$999,6,FALSE),"L10")</f>
        <v>L01</v>
      </c>
      <c r="E894" s="6" t="inlineStr">
        <is>
          <t>LOJA ELETRICA LIMITADA</t>
        </is>
      </c>
      <c r="F894" s="7" t="n">
        <v>3.49</v>
      </c>
      <c r="G894" s="6" t="inlineStr">
        <is>
          <t>MATERIAL ELÉTRICO</t>
        </is>
      </c>
      <c r="H894" s="6" t="inlineStr">
        <is>
          <t>LOJA ELETRICA LIMITADA</t>
        </is>
      </c>
      <c r="I894" s="24" t="n">
        <v>46195</v>
      </c>
      <c r="J894" s="6" t="n">
        <v>5084</v>
      </c>
    </row>
    <row r="895">
      <c r="A895" s="23" t="n">
        <v>46174</v>
      </c>
      <c r="B895" s="6" t="inlineStr">
        <is>
          <t>Pago</t>
        </is>
      </c>
      <c r="C895" s="6" t="inlineStr">
        <is>
          <t>PL530.001</t>
        </is>
      </c>
      <c r="D895" s="6" t="str">
        <f>IFERROR(VLOOKUP(E895,FORNECEDORES!$A$5:$F$999,6,FALSE),"L10")</f>
        <v>L01</v>
      </c>
      <c r="E895" s="6" t="inlineStr">
        <is>
          <t>LOJA ELETRICA LIMITADA</t>
        </is>
      </c>
      <c r="F895" s="7" t="n">
        <v>141.6</v>
      </c>
      <c r="G895" s="6" t="inlineStr">
        <is>
          <t>MATERIAL ELÉTRICO</t>
        </is>
      </c>
      <c r="H895" s="6" t="inlineStr">
        <is>
          <t>LOJA ELETRICA LIMITADA</t>
        </is>
      </c>
      <c r="I895" s="24" t="n">
        <v>46176</v>
      </c>
      <c r="J895" s="6" t="n">
        <v>4968</v>
      </c>
    </row>
    <row r="896">
      <c r="A896" s="23" t="n">
        <v>46174</v>
      </c>
      <c r="B896" s="6" t="inlineStr">
        <is>
          <t>Pago</t>
        </is>
      </c>
      <c r="C896" s="6" t="inlineStr">
        <is>
          <t>PL530.001</t>
        </is>
      </c>
      <c r="D896" s="6" t="str">
        <f>IFERROR(VLOOKUP(E896,FORNECEDORES!$A$5:$F$999,6,FALSE),"L10")</f>
        <v>L01</v>
      </c>
      <c r="E896" s="6" t="inlineStr">
        <is>
          <t>LOJA ELETRICA LIMITADA</t>
        </is>
      </c>
      <c r="F896" s="7" t="n">
        <v>161.1</v>
      </c>
      <c r="G896" s="6" t="inlineStr">
        <is>
          <t>MATERIAL ELÉTRICO</t>
        </is>
      </c>
      <c r="H896" s="6" t="inlineStr">
        <is>
          <t>LOJA ELETRICA LIMITADA</t>
        </is>
      </c>
      <c r="I896" s="24" t="n">
        <v>46176</v>
      </c>
      <c r="J896" s="6" t="n">
        <v>4968</v>
      </c>
    </row>
    <row r="897">
      <c r="A897" s="23" t="n">
        <v>46174</v>
      </c>
      <c r="B897" s="6" t="inlineStr">
        <is>
          <t>Pago</t>
        </is>
      </c>
      <c r="C897" s="6" t="inlineStr">
        <is>
          <t>PL530.001</t>
        </is>
      </c>
      <c r="D897" s="6" t="str">
        <f>IFERROR(VLOOKUP(E897,FORNECEDORES!$A$5:$F$999,6,FALSE),"L10")</f>
        <v>L01</v>
      </c>
      <c r="E897" s="6" t="inlineStr">
        <is>
          <t>MINAS FERRAMENTAS LTDA</t>
        </is>
      </c>
      <c r="F897" s="7" t="n">
        <v>54.85</v>
      </c>
      <c r="G897" s="6" t="inlineStr">
        <is>
          <t>EQUIPAMENTOS E FERRAMENTAS</t>
        </is>
      </c>
      <c r="H897" s="6" t="inlineStr">
        <is>
          <t>MINAS FERRAMENTAS LTDA</t>
        </is>
      </c>
      <c r="I897" s="24" t="n">
        <v>46189</v>
      </c>
      <c r="J897" s="6" t="n">
        <v>4940</v>
      </c>
    </row>
    <row r="898">
      <c r="A898" s="23" t="n">
        <v>46174</v>
      </c>
      <c r="B898" s="6" t="inlineStr">
        <is>
          <t>Pago</t>
        </is>
      </c>
      <c r="C898" s="6" t="inlineStr">
        <is>
          <t>PL530.001</t>
        </is>
      </c>
      <c r="D898" s="6" t="str">
        <f>IFERROR(VLOOKUP(E898,FORNECEDORES!$A$5:$F$999,6,FALSE),"L10")</f>
        <v>L01</v>
      </c>
      <c r="E898" s="6" t="inlineStr">
        <is>
          <t>MINAS FERRAMENTAS LTDA</t>
        </is>
      </c>
      <c r="F898" s="7" t="n">
        <v>48.53</v>
      </c>
      <c r="G898" s="6" t="inlineStr">
        <is>
          <t>EQUIPAMENTOS E FERRAMENTAS</t>
        </is>
      </c>
      <c r="H898" s="6" t="inlineStr">
        <is>
          <t>MINAS FERRAMENTAS LTDA</t>
        </is>
      </c>
      <c r="I898" s="24" t="n">
        <v>46189</v>
      </c>
      <c r="J898" s="6" t="n">
        <v>4940</v>
      </c>
    </row>
    <row r="899">
      <c r="A899" s="23" t="n">
        <v>46174</v>
      </c>
      <c r="B899" s="6" t="inlineStr">
        <is>
          <t>Pago</t>
        </is>
      </c>
      <c r="C899" s="6" t="inlineStr">
        <is>
          <t>PL530.001</t>
        </is>
      </c>
      <c r="D899" s="6" t="str">
        <f>IFERROR(VLOOKUP(E899,FORNECEDORES!$A$5:$F$999,6,FALSE),"L10")</f>
        <v>L01</v>
      </c>
      <c r="E899" s="6" t="inlineStr">
        <is>
          <t>MINAS FERRAMENTAS LTDA</t>
        </is>
      </c>
      <c r="F899" s="7" t="n">
        <v>3782.22</v>
      </c>
      <c r="G899" s="6" t="inlineStr">
        <is>
          <t>EQUIPAMENTOS E FERRAMENTAS</t>
        </is>
      </c>
      <c r="H899" s="6" t="inlineStr">
        <is>
          <t>MINAS FERRAMENTAS LTDA</t>
        </is>
      </c>
      <c r="I899" s="24" t="n">
        <v>46188</v>
      </c>
      <c r="J899" s="6" t="n">
        <v>5107</v>
      </c>
    </row>
    <row r="900">
      <c r="A900" s="23" t="n">
        <v>46174</v>
      </c>
      <c r="B900" s="6" t="inlineStr">
        <is>
          <t>Pago</t>
        </is>
      </c>
      <c r="C900" s="6" t="inlineStr">
        <is>
          <t>PL530.001</t>
        </is>
      </c>
      <c r="D900" s="6" t="str">
        <f>IFERROR(VLOOKUP(E900,FORNECEDORES!$A$5:$F$999,6,FALSE),"L10")</f>
        <v>L01</v>
      </c>
      <c r="E900" s="6" t="inlineStr">
        <is>
          <t>MINAS FERRAMENTAS LTDA</t>
        </is>
      </c>
      <c r="F900" s="7" t="n">
        <v>30.35</v>
      </c>
      <c r="G900" s="6" t="inlineStr">
        <is>
          <t>EQUIPAMENTOS E FERRAMENTAS</t>
        </is>
      </c>
      <c r="H900" s="6" t="inlineStr">
        <is>
          <t>MINAS FERRAMENTAS LTDA</t>
        </is>
      </c>
      <c r="I900" s="24" t="n">
        <v>46189</v>
      </c>
      <c r="J900" s="6" t="n">
        <v>4940</v>
      </c>
    </row>
    <row r="901">
      <c r="A901" s="23" t="n">
        <v>46174</v>
      </c>
      <c r="B901" s="6" t="inlineStr">
        <is>
          <t>Pago</t>
        </is>
      </c>
      <c r="C901" s="6" t="inlineStr">
        <is>
          <t>PL530.001</t>
        </is>
      </c>
      <c r="D901" s="6" t="str">
        <f>IFERROR(VLOOKUP(E901,FORNECEDORES!$A$5:$F$999,6,FALSE),"L10")</f>
        <v>L01</v>
      </c>
      <c r="E901" s="6" t="inlineStr">
        <is>
          <t>MINAS FERRAMENTAS LTDA</t>
        </is>
      </c>
      <c r="F901" s="7" t="n">
        <v>81.15000000000001</v>
      </c>
      <c r="G901" s="6" t="inlineStr">
        <is>
          <t>EQUIPAMENTOS E FERRAMENTAS</t>
        </is>
      </c>
      <c r="H901" s="6" t="inlineStr">
        <is>
          <t>MINAS FERRAMENTAS LTDA</t>
        </is>
      </c>
      <c r="I901" s="24" t="n">
        <v>46189</v>
      </c>
      <c r="J901" s="6" t="n">
        <v>4940</v>
      </c>
    </row>
    <row r="902">
      <c r="A902" s="23" t="n">
        <v>46174</v>
      </c>
      <c r="B902" s="6" t="inlineStr">
        <is>
          <t>Pago</t>
        </is>
      </c>
      <c r="C902" s="6" t="inlineStr">
        <is>
          <t>PL530.001</t>
        </is>
      </c>
      <c r="D902" s="6" t="str">
        <f>IFERROR(VLOOKUP(E902,FORNECEDORES!$A$5:$F$999,6,FALSE),"L10")</f>
        <v>L01</v>
      </c>
      <c r="E902" s="6" t="inlineStr">
        <is>
          <t>MINAS FERRAMENTAS LTDA</t>
        </is>
      </c>
      <c r="F902" s="7" t="n">
        <v>52.97</v>
      </c>
      <c r="G902" s="6" t="inlineStr">
        <is>
          <t>EQUIPAMENTOS E FERRAMENTAS</t>
        </is>
      </c>
      <c r="H902" s="6" t="inlineStr">
        <is>
          <t>MINAS FERRAMENTAS LTDA</t>
        </is>
      </c>
      <c r="I902" s="24" t="n">
        <v>46189</v>
      </c>
      <c r="J902" s="6" t="n">
        <v>4940</v>
      </c>
    </row>
    <row r="903">
      <c r="A903" s="23" t="n">
        <v>46174</v>
      </c>
      <c r="B903" s="6" t="inlineStr">
        <is>
          <t>Pago</t>
        </is>
      </c>
      <c r="C903" s="6" t="inlineStr">
        <is>
          <t>PL530.001</t>
        </is>
      </c>
      <c r="D903" s="6" t="str">
        <f>IFERROR(VLOOKUP(E903,FORNECEDORES!$A$5:$F$999,6,FALSE),"L10")</f>
        <v>L01</v>
      </c>
      <c r="E903" s="6" t="inlineStr">
        <is>
          <t>MINAS FERRAMENTAS LTDA</t>
        </is>
      </c>
      <c r="F903" s="7" t="n">
        <v>156.33</v>
      </c>
      <c r="G903" s="6" t="inlineStr">
        <is>
          <t>EQUIPAMENTOS E FERRAMENTAS</t>
        </is>
      </c>
      <c r="H903" s="6" t="inlineStr">
        <is>
          <t>MINAS FERRAMENTAS LTDA</t>
        </is>
      </c>
      <c r="I903" s="24" t="n">
        <v>46189</v>
      </c>
      <c r="J903" s="6" t="n">
        <v>4940</v>
      </c>
    </row>
    <row r="904">
      <c r="A904" s="23" t="n">
        <v>46174</v>
      </c>
      <c r="B904" s="6" t="inlineStr">
        <is>
          <t>Pago</t>
        </is>
      </c>
      <c r="C904" s="6" t="inlineStr">
        <is>
          <t>PL530.001</t>
        </is>
      </c>
      <c r="D904" s="6" t="str">
        <f>IFERROR(VLOOKUP(E904,FORNECEDORES!$A$5:$F$999,6,FALSE),"L10")</f>
        <v>L01</v>
      </c>
      <c r="E904" s="6" t="inlineStr">
        <is>
          <t>MINAS FERRAMENTAS LTDA</t>
        </is>
      </c>
      <c r="F904" s="7" t="n">
        <v>63</v>
      </c>
      <c r="G904" s="6" t="inlineStr">
        <is>
          <t>EQUIPAMENTOS E FERRAMENTAS</t>
        </is>
      </c>
      <c r="H904" s="6" t="inlineStr">
        <is>
          <t>MINAS FERRAMENTAS LTDA</t>
        </is>
      </c>
      <c r="I904" s="24" t="n">
        <v>46189</v>
      </c>
      <c r="J904" s="6" t="n">
        <v>4940</v>
      </c>
    </row>
    <row r="905">
      <c r="A905" s="23" t="n">
        <v>46174</v>
      </c>
      <c r="B905" s="6" t="inlineStr">
        <is>
          <t>Pago</t>
        </is>
      </c>
      <c r="C905" s="6" t="inlineStr">
        <is>
          <t>PL530.001</t>
        </is>
      </c>
      <c r="D905" s="6" t="str">
        <f>IFERROR(VLOOKUP(E905,FORNECEDORES!$A$5:$F$999,6,FALSE),"L10")</f>
        <v>L01</v>
      </c>
      <c r="E905" s="6" t="inlineStr">
        <is>
          <t>MINAS FERRAMENTAS LTDA</t>
        </is>
      </c>
      <c r="F905" s="7" t="n">
        <v>121.9</v>
      </c>
      <c r="G905" s="6" t="inlineStr">
        <is>
          <t>EQUIPAMENTOS E FERRAMENTAS</t>
        </is>
      </c>
      <c r="H905" s="6" t="inlineStr">
        <is>
          <t>MINAS FERRAMENTAS LTDA</t>
        </is>
      </c>
      <c r="I905" s="24" t="n">
        <v>46189</v>
      </c>
      <c r="J905" s="6" t="n">
        <v>4940</v>
      </c>
    </row>
    <row r="906">
      <c r="A906" s="23" t="n">
        <v>46174</v>
      </c>
      <c r="B906" s="6" t="inlineStr">
        <is>
          <t>Pago</t>
        </is>
      </c>
      <c r="C906" s="6" t="inlineStr">
        <is>
          <t>PL530.001</t>
        </is>
      </c>
      <c r="D906" s="6" t="str">
        <f>IFERROR(VLOOKUP(E906,FORNECEDORES!$A$5:$F$999,6,FALSE),"L10")</f>
        <v>L01</v>
      </c>
      <c r="E906" s="6" t="inlineStr">
        <is>
          <t>MINAS FERRAMENTAS LTDA</t>
        </is>
      </c>
      <c r="F906" s="7" t="n">
        <v>2113.64</v>
      </c>
      <c r="G906" s="6" t="inlineStr">
        <is>
          <t>EQUIPAMENTOS E FERRAMENTAS</t>
        </is>
      </c>
      <c r="H906" s="6" t="inlineStr">
        <is>
          <t>MINAS FERRAMENTAS LTDA</t>
        </is>
      </c>
      <c r="I906" s="24" t="n">
        <v>46199</v>
      </c>
      <c r="J906" s="6" t="n">
        <v>5206</v>
      </c>
    </row>
    <row r="907">
      <c r="A907" s="23" t="n">
        <v>46174</v>
      </c>
      <c r="B907" s="6" t="inlineStr">
        <is>
          <t>Pago</t>
        </is>
      </c>
      <c r="C907" s="6" t="inlineStr">
        <is>
          <t>PL530.001</t>
        </is>
      </c>
      <c r="D907" s="6" t="str">
        <f>IFERROR(VLOOKUP(E907,FORNECEDORES!$A$5:$F$999,6,FALSE),"L10")</f>
        <v>L01</v>
      </c>
      <c r="E907" s="6" t="inlineStr">
        <is>
          <t>MINAS FERRAMENTAS LTDA</t>
        </is>
      </c>
      <c r="F907" s="7" t="n">
        <v>958</v>
      </c>
      <c r="G907" s="6" t="inlineStr">
        <is>
          <t>EQUIPAMENTOS E FERRAMENTAS</t>
        </is>
      </c>
      <c r="H907" s="6" t="inlineStr">
        <is>
          <t>MINAS FERRAMENTAS LTDA</t>
        </is>
      </c>
      <c r="I907" s="24" t="n">
        <v>46199</v>
      </c>
      <c r="J907" s="6" t="n">
        <v>5202</v>
      </c>
    </row>
    <row r="908">
      <c r="A908" s="23" t="n">
        <v>46174</v>
      </c>
      <c r="B908" s="6" t="inlineStr">
        <is>
          <t>Pago</t>
        </is>
      </c>
      <c r="C908" s="6" t="inlineStr">
        <is>
          <t>PL530.001</t>
        </is>
      </c>
      <c r="D908" s="6" t="str">
        <f>IFERROR(VLOOKUP(E908,FORNECEDORES!$A$5:$F$999,6,FALSE),"L10")</f>
        <v>L01</v>
      </c>
      <c r="E908" s="6" t="inlineStr">
        <is>
          <t>MINAS FERRAMENTAS LTDA</t>
        </is>
      </c>
      <c r="F908" s="7" t="n">
        <v>480.5</v>
      </c>
      <c r="G908" s="6" t="inlineStr">
        <is>
          <t>EQUIPAMENTOS E FERRAMENTAS</t>
        </is>
      </c>
      <c r="H908" s="6" t="inlineStr">
        <is>
          <t>MINAS FERRAMENTAS LTDA</t>
        </is>
      </c>
      <c r="I908" s="24" t="n">
        <v>46195</v>
      </c>
      <c r="J908" s="6" t="n">
        <v>5143</v>
      </c>
    </row>
    <row r="909">
      <c r="A909" s="23" t="n">
        <v>46174</v>
      </c>
      <c r="B909" s="6" t="inlineStr">
        <is>
          <t>Pago</t>
        </is>
      </c>
      <c r="C909" s="6" t="inlineStr">
        <is>
          <t>PL530.001</t>
        </is>
      </c>
      <c r="D909" s="6" t="str">
        <f>IFERROR(VLOOKUP(E909,FORNECEDORES!$A$5:$F$999,6,FALSE),"L10")</f>
        <v>L01</v>
      </c>
      <c r="E909" s="6" t="inlineStr">
        <is>
          <t>MINAS FERRAMENTAS LTDA</t>
        </is>
      </c>
      <c r="F909" s="7" t="n">
        <v>625.3200000000001</v>
      </c>
      <c r="G909" s="6" t="inlineStr">
        <is>
          <t>EQUIPAMENTOS E FERRAMENTAS</t>
        </is>
      </c>
      <c r="H909" s="6" t="inlineStr">
        <is>
          <t>MINAS FERRAMENTAS LTDA</t>
        </is>
      </c>
      <c r="I909" s="24" t="n">
        <v>46195</v>
      </c>
      <c r="J909" s="6" t="n">
        <v>5143</v>
      </c>
    </row>
    <row r="910">
      <c r="A910" s="23" t="n">
        <v>46174</v>
      </c>
      <c r="B910" s="6" t="inlineStr">
        <is>
          <t>Pago</t>
        </is>
      </c>
      <c r="C910" s="6" t="inlineStr">
        <is>
          <t>PL530.001</t>
        </is>
      </c>
      <c r="D910" s="6" t="str">
        <f>IFERROR(VLOOKUP(E910,FORNECEDORES!$A$5:$F$999,6,FALSE),"L10")</f>
        <v>L01</v>
      </c>
      <c r="E910" s="6" t="inlineStr">
        <is>
          <t>MINAS FERRAMENTAS LTDA</t>
        </is>
      </c>
      <c r="F910" s="7" t="n">
        <v>153.8</v>
      </c>
      <c r="G910" s="6" t="inlineStr">
        <is>
          <t>EQUIPAMENTOS E FERRAMENTAS</t>
        </is>
      </c>
      <c r="H910" s="6" t="inlineStr">
        <is>
          <t>MINAS FERRAMENTAS LTDA</t>
        </is>
      </c>
      <c r="I910" s="24" t="n">
        <v>46195</v>
      </c>
      <c r="J910" s="6" t="n">
        <v>5143</v>
      </c>
    </row>
    <row r="911">
      <c r="A911" s="23" t="n">
        <v>46174</v>
      </c>
      <c r="B911" s="6" t="inlineStr">
        <is>
          <t>Pago</t>
        </is>
      </c>
      <c r="C911" s="6" t="inlineStr">
        <is>
          <t>PL530.001</t>
        </is>
      </c>
      <c r="D911" s="6" t="str">
        <f>IFERROR(VLOOKUP(E911,FORNECEDORES!$A$5:$F$999,6,FALSE),"L10")</f>
        <v>L10</v>
      </c>
      <c r="E911" s="6" t="inlineStr">
        <is>
          <t>ORGUEL INDUSTRIA E LOCACAO DE EQUIPAMENTOS S/A</t>
        </is>
      </c>
      <c r="F911" s="7" t="n">
        <v>1259.15</v>
      </c>
      <c r="G911" s="6" t="inlineStr">
        <is>
          <t>NÃO CLASSIFICADO</t>
        </is>
      </c>
      <c r="H911" s="6" t="inlineStr">
        <is>
          <t>ORGUEL INDUSTRIA E LOCACAO DE EQUIPAMENTOS S/A</t>
        </is>
      </c>
      <c r="I911" s="24" t="n">
        <v>46184</v>
      </c>
      <c r="J911" s="6" t="n">
        <v>5460</v>
      </c>
    </row>
    <row r="912">
      <c r="A912" s="23" t="n">
        <v>46174</v>
      </c>
      <c r="B912" s="6" t="inlineStr">
        <is>
          <t>Pago</t>
        </is>
      </c>
      <c r="C912" s="6" t="inlineStr">
        <is>
          <t>PL530.001</t>
        </is>
      </c>
      <c r="D912" s="6" t="str">
        <f>IFERROR(VLOOKUP(E912,FORNECEDORES!$A$5:$F$999,6,FALSE),"L10")</f>
        <v>L10</v>
      </c>
      <c r="E912" s="6" t="inlineStr">
        <is>
          <t>ORGUEL INDUSTRIA E LOCACAO DE EQUIPAMENTOS S/A</t>
        </is>
      </c>
      <c r="F912" s="7" t="n">
        <v>15000</v>
      </c>
      <c r="G912" s="6" t="inlineStr">
        <is>
          <t>NÃO CLASSIFICADO</t>
        </is>
      </c>
      <c r="H912" s="6" t="inlineStr">
        <is>
          <t>ORGUEL INDUSTRIA E LOCACAO DE EQUIPAMENTOS S/A</t>
        </is>
      </c>
      <c r="I912" s="24" t="n">
        <v>46175</v>
      </c>
      <c r="J912" s="6" t="n">
        <v>5214</v>
      </c>
    </row>
    <row r="913">
      <c r="A913" s="23" t="n">
        <v>46174</v>
      </c>
      <c r="B913" s="6" t="inlineStr">
        <is>
          <t>Pago</t>
        </is>
      </c>
      <c r="C913" s="6" t="inlineStr">
        <is>
          <t>PL530.001</t>
        </is>
      </c>
      <c r="D913" s="6" t="str">
        <f>IFERROR(VLOOKUP(E913,FORNECEDORES!$A$5:$F$999,6,FALSE),"L10")</f>
        <v>L10</v>
      </c>
      <c r="E913" s="6" t="inlineStr">
        <is>
          <t>ORGUEL INDUSTRIA E LOCACAO DE EQUIPAMENTOS S/A</t>
        </is>
      </c>
      <c r="F913" s="7" t="n">
        <v>1008</v>
      </c>
      <c r="G913" s="6" t="inlineStr">
        <is>
          <t>NÃO CLASSIFICADO</t>
        </is>
      </c>
      <c r="H913" s="6" t="inlineStr">
        <is>
          <t>ORGUEL INDUSTRIA E LOCACAO DE EQUIPAMENTOS S/A</t>
        </is>
      </c>
      <c r="I913" s="24" t="n">
        <v>46184</v>
      </c>
      <c r="J913" s="6" t="n">
        <v>5239</v>
      </c>
    </row>
    <row r="914">
      <c r="A914" s="23" t="n">
        <v>46174</v>
      </c>
      <c r="B914" s="6" t="inlineStr">
        <is>
          <t>Pago</t>
        </is>
      </c>
      <c r="C914" s="6" t="inlineStr">
        <is>
          <t>PL530.001</t>
        </is>
      </c>
      <c r="D914" s="6" t="str">
        <f>IFERROR(VLOOKUP(E914,FORNECEDORES!$A$5:$F$999,6,FALSE),"L10")</f>
        <v>L10</v>
      </c>
      <c r="E914" s="6" t="inlineStr">
        <is>
          <t>ORGUEL INDUSTRIA E LOCACAO DE EQUIPAMENTOS S/A</t>
        </is>
      </c>
      <c r="F914" s="7" t="n">
        <v>132</v>
      </c>
      <c r="G914" s="6" t="inlineStr">
        <is>
          <t>NÃO CLASSIFICADO</t>
        </is>
      </c>
      <c r="H914" s="6" t="inlineStr">
        <is>
          <t>INSS RETIDO PJ - MINISTERIO DA PREVIDENCIA</t>
        </is>
      </c>
      <c r="I914" s="24" t="n">
        <v>46191</v>
      </c>
      <c r="J914" s="6" t="n">
        <v>5300</v>
      </c>
    </row>
    <row r="915">
      <c r="A915" s="23" t="n">
        <v>46174</v>
      </c>
      <c r="B915" s="6" t="inlineStr">
        <is>
          <t>Pago</t>
        </is>
      </c>
      <c r="C915" s="6" t="inlineStr">
        <is>
          <t>PL530.001</t>
        </is>
      </c>
      <c r="D915" s="6" t="str">
        <f>IFERROR(VLOOKUP(E915,FORNECEDORES!$A$5:$F$999,6,FALSE),"L10")</f>
        <v>L10</v>
      </c>
      <c r="E915" s="6" t="inlineStr">
        <is>
          <t>ORGUEL INDUSTRIA E LOCACAO DE EQUIPAMENTOS S/A</t>
        </is>
      </c>
      <c r="F915" s="7" t="n">
        <v>60</v>
      </c>
      <c r="G915" s="6" t="inlineStr">
        <is>
          <t>NÃO CLASSIFICADO</t>
        </is>
      </c>
      <c r="H915" s="6" t="inlineStr">
        <is>
          <t>PREFEITURA DE BELO HORIZONTE - ISSQN RETIDO</t>
        </is>
      </c>
      <c r="I915" s="24" t="n">
        <v>46181</v>
      </c>
      <c r="J915" s="6" t="n">
        <v>5299</v>
      </c>
    </row>
    <row r="916">
      <c r="A916" s="23" t="n">
        <v>46174</v>
      </c>
      <c r="B916" s="6" t="inlineStr">
        <is>
          <t>Pago</t>
        </is>
      </c>
      <c r="C916" s="6" t="inlineStr">
        <is>
          <t>PL530.001</t>
        </is>
      </c>
      <c r="D916" s="6" t="str">
        <f>IFERROR(VLOOKUP(E916,FORNECEDORES!$A$5:$F$999,6,FALSE),"L10")</f>
        <v>L03</v>
      </c>
      <c r="E916" s="6" t="inlineStr">
        <is>
          <t>ORIGINAL LOCACOES LTDA</t>
        </is>
      </c>
      <c r="F916" s="7" t="n">
        <v>959.73</v>
      </c>
      <c r="G916" s="6" t="inlineStr">
        <is>
          <t>LOCAÇÕES</t>
        </is>
      </c>
      <c r="H916" s="6" t="inlineStr">
        <is>
          <t>ORIGINAL LOCACOES LTDA</t>
        </is>
      </c>
      <c r="I916" s="24" t="n">
        <v>46175</v>
      </c>
      <c r="J916" s="6" t="n">
        <v>5442</v>
      </c>
    </row>
    <row r="917">
      <c r="A917" s="23" t="n">
        <v>46174</v>
      </c>
      <c r="B917" s="6" t="inlineStr">
        <is>
          <t>Pago</t>
        </is>
      </c>
      <c r="C917" s="6" t="inlineStr">
        <is>
          <t>PL530.001</t>
        </is>
      </c>
      <c r="D917" s="6" t="str">
        <f>IFERROR(VLOOKUP(E917,FORNECEDORES!$A$5:$F$999,6,FALSE),"L10")</f>
        <v>L03</v>
      </c>
      <c r="E917" s="6" t="inlineStr">
        <is>
          <t>ORIGINAL LOCACOES LTDA</t>
        </is>
      </c>
      <c r="F917" s="7" t="n">
        <v>574.8099999999999</v>
      </c>
      <c r="G917" s="6" t="inlineStr">
        <is>
          <t>LOCAÇÕES</t>
        </is>
      </c>
      <c r="H917" s="6" t="inlineStr">
        <is>
          <t>ORIGINAL LOCACOES LTDA</t>
        </is>
      </c>
      <c r="I917" s="24" t="n">
        <v>46175</v>
      </c>
      <c r="J917" s="6" t="n">
        <v>5442</v>
      </c>
    </row>
    <row r="918">
      <c r="A918" s="23" t="n">
        <v>46174</v>
      </c>
      <c r="B918" s="6" t="inlineStr">
        <is>
          <t>Pago</t>
        </is>
      </c>
      <c r="C918" s="6" t="inlineStr">
        <is>
          <t>PL530.001</t>
        </is>
      </c>
      <c r="D918" s="6" t="str">
        <f>IFERROR(VLOOKUP(E918,FORNECEDORES!$A$5:$F$999,6,FALSE),"L10")</f>
        <v>L03</v>
      </c>
      <c r="E918" s="6" t="inlineStr">
        <is>
          <t>ORIGINAL LOCACOES LTDA</t>
        </is>
      </c>
      <c r="F918" s="7" t="n">
        <v>533.75</v>
      </c>
      <c r="G918" s="6" t="inlineStr">
        <is>
          <t>LOCAÇÕES</t>
        </is>
      </c>
      <c r="H918" s="6" t="inlineStr">
        <is>
          <t>ORIGINAL LOCACOES LTDA</t>
        </is>
      </c>
      <c r="I918" s="24" t="n">
        <v>46175</v>
      </c>
      <c r="J918" s="6" t="n">
        <v>5442</v>
      </c>
    </row>
    <row r="919">
      <c r="A919" s="23" t="n">
        <v>46174</v>
      </c>
      <c r="B919" s="6" t="inlineStr">
        <is>
          <t>Pago</t>
        </is>
      </c>
      <c r="C919" s="6" t="inlineStr">
        <is>
          <t>PL530.001</t>
        </is>
      </c>
      <c r="D919" s="6" t="str">
        <f>IFERROR(VLOOKUP(E919,FORNECEDORES!$A$5:$F$999,6,FALSE),"L10")</f>
        <v>L03</v>
      </c>
      <c r="E919" s="6" t="inlineStr">
        <is>
          <t>ORIGINAL LOCACOES LTDA</t>
        </is>
      </c>
      <c r="F919" s="7" t="n">
        <v>366.53</v>
      </c>
      <c r="G919" s="6" t="inlineStr">
        <is>
          <t>LOCAÇÕES</t>
        </is>
      </c>
      <c r="H919" s="6" t="inlineStr">
        <is>
          <t>ORIGINAL LOCACOES LTDA</t>
        </is>
      </c>
      <c r="I919" s="24" t="n">
        <v>46192</v>
      </c>
      <c r="J919" s="6" t="n">
        <v>5644</v>
      </c>
    </row>
    <row r="920">
      <c r="A920" s="23" t="n">
        <v>46174</v>
      </c>
      <c r="B920" s="6" t="inlineStr">
        <is>
          <t>Pago</t>
        </is>
      </c>
      <c r="C920" s="6" t="inlineStr">
        <is>
          <t>PL530.001</t>
        </is>
      </c>
      <c r="D920" s="6" t="str">
        <f>IFERROR(VLOOKUP(E920,FORNECEDORES!$A$5:$F$999,6,FALSE),"L10")</f>
        <v>L03</v>
      </c>
      <c r="E920" s="6" t="inlineStr">
        <is>
          <t>ORIGINAL LOCACOES LTDA</t>
        </is>
      </c>
      <c r="F920" s="7" t="n">
        <v>439.84</v>
      </c>
      <c r="G920" s="6" t="inlineStr">
        <is>
          <t>LOCAÇÕES</t>
        </is>
      </c>
      <c r="H920" s="6" t="inlineStr">
        <is>
          <t>ORIGINAL LOCACOES LTDA</t>
        </is>
      </c>
      <c r="I920" s="24" t="n">
        <v>46192</v>
      </c>
      <c r="J920" s="6" t="n">
        <v>5644</v>
      </c>
    </row>
    <row r="921">
      <c r="A921" s="23" t="n">
        <v>46174</v>
      </c>
      <c r="B921" s="6" t="inlineStr">
        <is>
          <t>Pago</t>
        </is>
      </c>
      <c r="C921" s="6" t="inlineStr">
        <is>
          <t>PL530.001</t>
        </is>
      </c>
      <c r="D921" s="6" t="str">
        <f>IFERROR(VLOOKUP(E921,FORNECEDORES!$A$5:$F$999,6,FALSE),"L10")</f>
        <v>L03</v>
      </c>
      <c r="E921" s="6" t="inlineStr">
        <is>
          <t>ORIGINAL LOCACOES LTDA</t>
        </is>
      </c>
      <c r="F921" s="7" t="n">
        <v>314.17</v>
      </c>
      <c r="G921" s="6" t="inlineStr">
        <is>
          <t>LOCAÇÕES</t>
        </is>
      </c>
      <c r="H921" s="6" t="inlineStr">
        <is>
          <t>ORIGINAL LOCACOES LTDA</t>
        </is>
      </c>
      <c r="I921" s="24" t="n">
        <v>46192</v>
      </c>
      <c r="J921" s="6" t="n">
        <v>5644</v>
      </c>
    </row>
    <row r="922">
      <c r="A922" s="23" t="n">
        <v>46174</v>
      </c>
      <c r="B922" s="6" t="inlineStr">
        <is>
          <t>Pago</t>
        </is>
      </c>
      <c r="C922" s="6" t="inlineStr">
        <is>
          <t>PL530.001</t>
        </is>
      </c>
      <c r="D922" s="6" t="str">
        <f>IFERROR(VLOOKUP(E922,FORNECEDORES!$A$5:$F$999,6,FALSE),"L10")</f>
        <v>L03</v>
      </c>
      <c r="E922" s="6" t="inlineStr">
        <is>
          <t>ORIGINAL LOCACOES LTDA</t>
        </is>
      </c>
      <c r="F922" s="7" t="n">
        <v>272.28</v>
      </c>
      <c r="G922" s="6" t="inlineStr">
        <is>
          <t>LOCAÇÕES</t>
        </is>
      </c>
      <c r="H922" s="6" t="inlineStr">
        <is>
          <t>ORIGINAL LOCACOES LTDA</t>
        </is>
      </c>
      <c r="I922" s="24" t="n">
        <v>46192</v>
      </c>
      <c r="J922" s="6" t="n">
        <v>5644</v>
      </c>
    </row>
    <row r="923">
      <c r="A923" s="23" t="n">
        <v>46174</v>
      </c>
      <c r="B923" s="6" t="inlineStr">
        <is>
          <t>Pago</t>
        </is>
      </c>
      <c r="C923" s="6" t="inlineStr">
        <is>
          <t>PL530.001</t>
        </is>
      </c>
      <c r="D923" s="6" t="str">
        <f>IFERROR(VLOOKUP(E923,FORNECEDORES!$A$5:$F$999,6,FALSE),"L10")</f>
        <v>L03</v>
      </c>
      <c r="E923" s="6" t="inlineStr">
        <is>
          <t>ORIGINAL LOCACOES LTDA</t>
        </is>
      </c>
      <c r="F923" s="7" t="n">
        <v>377</v>
      </c>
      <c r="G923" s="6" t="inlineStr">
        <is>
          <t>LOCAÇÕES</t>
        </is>
      </c>
      <c r="H923" s="6" t="inlineStr">
        <is>
          <t>ORIGINAL LOCACOES LTDA</t>
        </is>
      </c>
      <c r="I923" s="24" t="n">
        <v>46192</v>
      </c>
      <c r="J923" s="6" t="n">
        <v>5644</v>
      </c>
    </row>
    <row r="924">
      <c r="A924" s="23" t="n">
        <v>46174</v>
      </c>
      <c r="B924" s="6" t="inlineStr">
        <is>
          <t>Pago</t>
        </is>
      </c>
      <c r="C924" s="6" t="inlineStr">
        <is>
          <t>PL530.001</t>
        </is>
      </c>
      <c r="D924" s="6" t="str">
        <f>IFERROR(VLOOKUP(E924,FORNECEDORES!$A$5:$F$999,6,FALSE),"L10")</f>
        <v>L03</v>
      </c>
      <c r="E924" s="6" t="inlineStr">
        <is>
          <t>ORIGINAL LOCACOES LTDA</t>
        </is>
      </c>
      <c r="F924" s="7" t="n">
        <v>314.17</v>
      </c>
      <c r="G924" s="6" t="inlineStr">
        <is>
          <t>LOCAÇÕES</t>
        </is>
      </c>
      <c r="H924" s="6" t="inlineStr">
        <is>
          <t>ORIGINAL LOCACOES LTDA</t>
        </is>
      </c>
      <c r="I924" s="24" t="n">
        <v>46192</v>
      </c>
      <c r="J924" s="6" t="n">
        <v>5644</v>
      </c>
    </row>
    <row r="925">
      <c r="A925" s="23" t="n">
        <v>46174</v>
      </c>
      <c r="B925" s="6" t="inlineStr">
        <is>
          <t>Pago</t>
        </is>
      </c>
      <c r="C925" s="6" t="inlineStr">
        <is>
          <t>PL530.001</t>
        </is>
      </c>
      <c r="D925" s="6" t="str">
        <f>IFERROR(VLOOKUP(E925,FORNECEDORES!$A$5:$F$999,6,FALSE),"L10")</f>
        <v>L03</v>
      </c>
      <c r="E925" s="6" t="inlineStr">
        <is>
          <t>ORIGINAL LOCACOES LTDA</t>
        </is>
      </c>
      <c r="F925" s="7" t="n">
        <v>628.34</v>
      </c>
      <c r="G925" s="6" t="inlineStr">
        <is>
          <t>LOCAÇÕES</t>
        </is>
      </c>
      <c r="H925" s="6" t="inlineStr">
        <is>
          <t>ORIGINAL LOCACOES LTDA</t>
        </is>
      </c>
      <c r="I925" s="24" t="n">
        <v>46192</v>
      </c>
      <c r="J925" s="6" t="n">
        <v>5644</v>
      </c>
    </row>
    <row r="926">
      <c r="A926" s="23" t="n">
        <v>46174</v>
      </c>
      <c r="B926" s="6" t="inlineStr">
        <is>
          <t>Pago</t>
        </is>
      </c>
      <c r="C926" s="6" t="inlineStr">
        <is>
          <t>PL530.001</t>
        </is>
      </c>
      <c r="D926" s="6" t="str">
        <f>IFERROR(VLOOKUP(E926,FORNECEDORES!$A$5:$F$999,6,FALSE),"L10")</f>
        <v>L03</v>
      </c>
      <c r="E926" s="6" t="inlineStr">
        <is>
          <t>ORIGINAL LOCACOES LTDA</t>
        </is>
      </c>
      <c r="F926" s="7" t="n">
        <v>230.39</v>
      </c>
      <c r="G926" s="6" t="inlineStr">
        <is>
          <t>LOCAÇÕES</t>
        </is>
      </c>
      <c r="H926" s="6" t="inlineStr">
        <is>
          <t>ORIGINAL LOCACOES LTDA</t>
        </is>
      </c>
      <c r="I926" s="24" t="n">
        <v>46192</v>
      </c>
      <c r="J926" s="6" t="n">
        <v>5644</v>
      </c>
    </row>
    <row r="927">
      <c r="A927" s="23" t="n">
        <v>46174</v>
      </c>
      <c r="B927" s="6" t="inlineStr">
        <is>
          <t>Pago</t>
        </is>
      </c>
      <c r="C927" s="6" t="inlineStr">
        <is>
          <t>PL530.001</t>
        </is>
      </c>
      <c r="D927" s="6" t="str">
        <f>IFERROR(VLOOKUP(E927,FORNECEDORES!$A$5:$F$999,6,FALSE),"L10")</f>
        <v>L03</v>
      </c>
      <c r="E927" s="6" t="inlineStr">
        <is>
          <t>ORIGINAL LOCACOES LTDA</t>
        </is>
      </c>
      <c r="F927" s="7" t="n">
        <v>2618.17</v>
      </c>
      <c r="G927" s="6" t="inlineStr">
        <is>
          <t>LOCAÇÕES</t>
        </is>
      </c>
      <c r="H927" s="6" t="inlineStr">
        <is>
          <t>ORIGINAL LOCACOES LTDA</t>
        </is>
      </c>
      <c r="I927" s="24" t="n">
        <v>46192</v>
      </c>
      <c r="J927" s="6" t="n">
        <v>5644</v>
      </c>
    </row>
    <row r="928">
      <c r="A928" s="23" t="n">
        <v>46174</v>
      </c>
      <c r="B928" s="6" t="inlineStr">
        <is>
          <t>Pago</t>
        </is>
      </c>
      <c r="C928" s="6" t="inlineStr">
        <is>
          <t>PL530.001</t>
        </is>
      </c>
      <c r="D928" s="6" t="str">
        <f>IFERROR(VLOOKUP(E928,FORNECEDORES!$A$5:$F$999,6,FALSE),"L10")</f>
        <v>L03</v>
      </c>
      <c r="E928" s="6" t="inlineStr">
        <is>
          <t>ORIGINAL LOCACOES LTDA</t>
        </is>
      </c>
      <c r="F928" s="7" t="n">
        <v>83.78</v>
      </c>
      <c r="G928" s="6" t="inlineStr">
        <is>
          <t>LOCAÇÕES</t>
        </is>
      </c>
      <c r="H928" s="6" t="inlineStr">
        <is>
          <t>ORIGINAL LOCACOES LTDA</t>
        </is>
      </c>
      <c r="I928" s="24" t="n">
        <v>46192</v>
      </c>
      <c r="J928" s="6" t="n">
        <v>5644</v>
      </c>
    </row>
    <row r="929">
      <c r="A929" s="23" t="n">
        <v>46174</v>
      </c>
      <c r="B929" s="6" t="inlineStr">
        <is>
          <t>Pago</t>
        </is>
      </c>
      <c r="C929" s="6" t="inlineStr">
        <is>
          <t>PL530.001</t>
        </is>
      </c>
      <c r="D929" s="6" t="str">
        <f>IFERROR(VLOOKUP(E929,FORNECEDORES!$A$5:$F$999,6,FALSE),"L10")</f>
        <v>L08</v>
      </c>
      <c r="E929" s="6" t="inlineStr">
        <is>
          <t>PEREIRA TELAS E INSTALACOES LTDA</t>
        </is>
      </c>
      <c r="F929" s="7" t="n">
        <v>9753.9</v>
      </c>
      <c r="G929" s="6" t="inlineStr">
        <is>
          <t>NÃO CLASSIFICADO</t>
        </is>
      </c>
      <c r="H929" s="6" t="inlineStr">
        <is>
          <t>PEREIRA TELAS E INSTALACOES LTDA</t>
        </is>
      </c>
      <c r="I929" s="24" t="n">
        <v>46183</v>
      </c>
      <c r="J929" s="6" t="n">
        <v>5342</v>
      </c>
    </row>
    <row r="930">
      <c r="A930" s="23" t="n">
        <v>46174</v>
      </c>
      <c r="B930" s="6" t="inlineStr">
        <is>
          <t>Pago</t>
        </is>
      </c>
      <c r="C930" s="6" t="inlineStr">
        <is>
          <t>PL530.001</t>
        </is>
      </c>
      <c r="D930" s="6" t="str">
        <f>IFERROR(VLOOKUP(E930,FORNECEDORES!$A$5:$F$999,6,FALSE),"L10")</f>
        <v>L08</v>
      </c>
      <c r="E930" s="6" t="inlineStr">
        <is>
          <t>PEREIRA TELAS E INSTALACOES LTDA</t>
        </is>
      </c>
      <c r="F930" s="7" t="n">
        <v>373.1</v>
      </c>
      <c r="G930" s="6" t="inlineStr">
        <is>
          <t>NÃO CLASSIFICADO</t>
        </is>
      </c>
      <c r="H930" s="6" t="inlineStr">
        <is>
          <t>INSS RETIDO PJ - MINISTERIO DA PREVIDENCIA</t>
        </is>
      </c>
      <c r="I930" s="24" t="n">
        <v>46191</v>
      </c>
      <c r="J930" s="6" t="n">
        <v>5411</v>
      </c>
    </row>
    <row r="931">
      <c r="A931" s="23" t="n">
        <v>46174</v>
      </c>
      <c r="B931" s="6" t="inlineStr">
        <is>
          <t>Pago</t>
        </is>
      </c>
      <c r="C931" s="6" t="inlineStr">
        <is>
          <t>PL530.001</t>
        </is>
      </c>
      <c r="D931" s="6" t="str">
        <f>IFERROR(VLOOKUP(E931,FORNECEDORES!$A$5:$F$999,6,FALSE),"L10")</f>
        <v>L08</v>
      </c>
      <c r="E931" s="6" t="inlineStr">
        <is>
          <t>PEREIRA TELAS E INSTALACOES LTDA</t>
        </is>
      </c>
      <c r="F931" s="7" t="n">
        <v>395.5</v>
      </c>
      <c r="G931" s="6" t="inlineStr">
        <is>
          <t>NÃO CLASSIFICADO</t>
        </is>
      </c>
      <c r="H931" s="6" t="inlineStr">
        <is>
          <t>INSS RETIDO PJ - MINISTERIO DA PREVIDENCIA</t>
        </is>
      </c>
      <c r="I931" s="24" t="n">
        <v>46191</v>
      </c>
      <c r="J931" s="6" t="n">
        <v>5385</v>
      </c>
    </row>
    <row r="932">
      <c r="A932" s="23" t="n">
        <v>46174</v>
      </c>
      <c r="B932" s="6" t="inlineStr">
        <is>
          <t>Pago</t>
        </is>
      </c>
      <c r="C932" s="6" t="inlineStr">
        <is>
          <t>PL530.001</t>
        </is>
      </c>
      <c r="D932" s="6" t="str">
        <f>IFERROR(VLOOKUP(E932,FORNECEDORES!$A$5:$F$999,6,FALSE),"L10")</f>
        <v>L08</v>
      </c>
      <c r="E932" s="6" t="inlineStr">
        <is>
          <t>PEREIRA TELAS E INSTALACOES LTDA</t>
        </is>
      </c>
      <c r="F932" s="7" t="n">
        <v>565</v>
      </c>
      <c r="G932" s="6" t="inlineStr">
        <is>
          <t>NÃO CLASSIFICADO</t>
        </is>
      </c>
      <c r="H932" s="6" t="inlineStr">
        <is>
          <t>PREFEITURA DE BELO HORIZONTE - ISSQN RETIDO</t>
        </is>
      </c>
      <c r="I932" s="24" t="n">
        <v>46181</v>
      </c>
      <c r="J932" s="6" t="n">
        <v>5382</v>
      </c>
    </row>
    <row r="933">
      <c r="A933" s="23" t="n">
        <v>46174</v>
      </c>
      <c r="B933" s="6" t="inlineStr">
        <is>
          <t>Pago</t>
        </is>
      </c>
      <c r="C933" s="6" t="inlineStr">
        <is>
          <t>PL530.001</t>
        </is>
      </c>
      <c r="D933" s="6" t="str">
        <f>IFERROR(VLOOKUP(E933,FORNECEDORES!$A$5:$F$999,6,FALSE),"L10")</f>
        <v>L08</v>
      </c>
      <c r="E933" s="6" t="inlineStr">
        <is>
          <t>PEREIRA TELAS E INSTALACOES LTDA</t>
        </is>
      </c>
      <c r="F933" s="7" t="n">
        <v>533</v>
      </c>
      <c r="G933" s="6" t="inlineStr">
        <is>
          <t>NÃO CLASSIFICADO</t>
        </is>
      </c>
      <c r="H933" s="6" t="inlineStr">
        <is>
          <t>PREFEITURA DE BELO HORIZONTE - ISSQN RETIDO</t>
        </is>
      </c>
      <c r="I933" s="24" t="n">
        <v>46181</v>
      </c>
      <c r="J933" s="6" t="n">
        <v>5343</v>
      </c>
    </row>
    <row r="934">
      <c r="A934" s="23" t="n">
        <v>46174</v>
      </c>
      <c r="B934" s="6" t="inlineStr">
        <is>
          <t>Pago</t>
        </is>
      </c>
      <c r="C934" s="6" t="inlineStr">
        <is>
          <t>PL530.001</t>
        </is>
      </c>
      <c r="D934" s="6" t="str">
        <f>IFERROR(VLOOKUP(E934,FORNECEDORES!$A$5:$F$999,6,FALSE),"L10")</f>
        <v>L01</v>
      </c>
      <c r="E934" s="6" t="inlineStr">
        <is>
          <t>QUALITY FIX DO BRASIL, INDUSTRIA, COMERCIO, IMPORTACAO E EXPORTACAO LTDA</t>
        </is>
      </c>
      <c r="F934" s="7" t="n">
        <v>471.92</v>
      </c>
      <c r="G934" s="6" t="inlineStr">
        <is>
          <t>EQUIPAMENTOS E FERRAMENTAS</t>
        </is>
      </c>
      <c r="H934" s="6" t="inlineStr">
        <is>
          <t>QUALITY FIX DO BRASIL, INDUSTRIA, COMERCIO, IMPORT</t>
        </is>
      </c>
      <c r="I934" s="24" t="n">
        <v>46183</v>
      </c>
      <c r="J934" s="6" t="n">
        <v>5123</v>
      </c>
    </row>
    <row r="935">
      <c r="A935" s="23" t="n">
        <v>46174</v>
      </c>
      <c r="B935" s="6" t="inlineStr">
        <is>
          <t>Pago</t>
        </is>
      </c>
      <c r="C935" s="6" t="inlineStr">
        <is>
          <t>PL530.001</t>
        </is>
      </c>
      <c r="D935" s="6" t="str">
        <f>IFERROR(VLOOKUP(E935,FORNECEDORES!$A$5:$F$999,6,FALSE),"L10")</f>
        <v>L10</v>
      </c>
      <c r="E935" s="6" t="inlineStr">
        <is>
          <t>SOIMA BRASIL INDUSTRIA E COMERCIO LTDA</t>
        </is>
      </c>
      <c r="F935" s="7" t="n">
        <v>20000</v>
      </c>
      <c r="G935" s="6" t="inlineStr">
        <is>
          <t>INSUMOS PARA CONTRATO</t>
        </is>
      </c>
      <c r="H935" s="6" t="inlineStr">
        <is>
          <t>SOIMA BRASIL INDUSTRIA E COMERCIO LTDA</t>
        </is>
      </c>
      <c r="I935" s="24" t="n">
        <v>46189</v>
      </c>
      <c r="J935" s="6" t="n">
        <v>5347</v>
      </c>
    </row>
    <row r="936">
      <c r="A936" s="23" t="n">
        <v>46174</v>
      </c>
      <c r="B936" s="6" t="inlineStr">
        <is>
          <t>Pago</t>
        </is>
      </c>
      <c r="C936" s="6" t="inlineStr">
        <is>
          <t>PL530.001</t>
        </is>
      </c>
      <c r="D936" s="6" t="str">
        <f>IFERROR(VLOOKUP(E936,FORNECEDORES!$A$5:$F$999,6,FALSE),"L10")</f>
        <v>L01</v>
      </c>
      <c r="E936" s="6" t="inlineStr">
        <is>
          <t>TECIDOS E ARMARINHOS MIGUEL BARTOLOMEU S/A</t>
        </is>
      </c>
      <c r="F936" s="7" t="n">
        <v>62.5</v>
      </c>
      <c r="G936" s="6" t="inlineStr">
        <is>
          <t>EQUIPAMENTOS DE PROTEÇÃO INDIVIDUAL</t>
        </is>
      </c>
      <c r="H936" s="6" t="inlineStr">
        <is>
          <t>TECIDOS E ARMARINHOS MIGUEL BARTOLOMEU S/A</t>
        </is>
      </c>
      <c r="I936" s="24" t="n">
        <v>46195</v>
      </c>
      <c r="J936" s="6" t="n">
        <v>5020</v>
      </c>
    </row>
    <row r="937">
      <c r="A937" s="23" t="n">
        <v>46174</v>
      </c>
      <c r="B937" s="6" t="inlineStr">
        <is>
          <t>Pago</t>
        </is>
      </c>
      <c r="C937" s="6" t="inlineStr">
        <is>
          <t>PL530.001</t>
        </is>
      </c>
      <c r="D937" s="6" t="str">
        <f>IFERROR(VLOOKUP(E937,FORNECEDORES!$A$5:$F$999,6,FALSE),"L10")</f>
        <v>L01</v>
      </c>
      <c r="E937" s="6" t="inlineStr">
        <is>
          <t>TECIDOS E ARMARINHOS MIGUEL BARTOLOMEU S/A</t>
        </is>
      </c>
      <c r="F937" s="7" t="n">
        <v>62.5</v>
      </c>
      <c r="G937" s="6" t="inlineStr">
        <is>
          <t>EQUIPAMENTOS DE PROTEÇÃO INDIVIDUAL</t>
        </is>
      </c>
      <c r="H937" s="6" t="inlineStr">
        <is>
          <t>TECIDOS E ARMARINHOS MIGUEL BARTOLOMEU S/A</t>
        </is>
      </c>
      <c r="I937" s="24" t="n">
        <v>46195</v>
      </c>
      <c r="J937" s="6" t="n">
        <v>5020</v>
      </c>
    </row>
    <row r="938">
      <c r="A938" s="23" t="n">
        <v>46174</v>
      </c>
      <c r="B938" s="6" t="inlineStr">
        <is>
          <t>Pago</t>
        </is>
      </c>
      <c r="C938" s="6" t="inlineStr">
        <is>
          <t>PL530.001</t>
        </is>
      </c>
      <c r="D938" s="6" t="str">
        <f>IFERROR(VLOOKUP(E938,FORNECEDORES!$A$5:$F$999,6,FALSE),"L10")</f>
        <v>L01</v>
      </c>
      <c r="E938" s="6" t="inlineStr">
        <is>
          <t>TECIDOS E ARMARINHOS MIGUEL BARTOLOMEU S/A</t>
        </is>
      </c>
      <c r="F938" s="7" t="n">
        <v>130</v>
      </c>
      <c r="G938" s="6" t="inlineStr">
        <is>
          <t>EQUIPAMENTOS E FERRAMENTAS</t>
        </is>
      </c>
      <c r="H938" s="6" t="inlineStr">
        <is>
          <t>TECIDOS E ARMARINHOS MIGUEL BARTOLOMEU S/A</t>
        </is>
      </c>
      <c r="I938" s="24" t="n">
        <v>46199</v>
      </c>
      <c r="J938" s="6" t="n">
        <v>5417</v>
      </c>
    </row>
    <row r="939">
      <c r="A939" s="23" t="n">
        <v>46174</v>
      </c>
      <c r="B939" s="6" t="inlineStr">
        <is>
          <t>Pago</t>
        </is>
      </c>
      <c r="C939" s="6" t="inlineStr">
        <is>
          <t>PL530.001</t>
        </is>
      </c>
      <c r="D939" s="6" t="str">
        <f>IFERROR(VLOOKUP(E939,FORNECEDORES!$A$5:$F$999,6,FALSE),"L10")</f>
        <v>L01</v>
      </c>
      <c r="E939" s="6" t="inlineStr">
        <is>
          <t>TECIDOS E ARMARINHOS MIGUEL BARTOLOMEU S/A</t>
        </is>
      </c>
      <c r="F939" s="7" t="n">
        <v>154</v>
      </c>
      <c r="G939" s="6" t="inlineStr">
        <is>
          <t>EQUIPAMENTOS E FERRAMENTAS</t>
        </is>
      </c>
      <c r="H939" s="6" t="inlineStr">
        <is>
          <t>TECIDOS E ARMARINHOS MIGUEL BARTOLOMEU S/A</t>
        </is>
      </c>
      <c r="I939" s="24" t="n">
        <v>46199</v>
      </c>
      <c r="J939" s="6" t="n">
        <v>5417</v>
      </c>
    </row>
    <row r="940">
      <c r="A940" s="23" t="n">
        <v>46174</v>
      </c>
      <c r="B940" s="6" t="inlineStr">
        <is>
          <t>Pago</t>
        </is>
      </c>
      <c r="C940" s="6" t="inlineStr">
        <is>
          <t>PL530.001</t>
        </is>
      </c>
      <c r="D940" s="6" t="str">
        <f>IFERROR(VLOOKUP(E940,FORNECEDORES!$A$5:$F$999,6,FALSE),"L10")</f>
        <v>L01</v>
      </c>
      <c r="E940" s="6" t="inlineStr">
        <is>
          <t>TECIDOS E ARMARINHOS MIGUEL BARTOLOMEU S/A</t>
        </is>
      </c>
      <c r="F940" s="7" t="n">
        <v>1840</v>
      </c>
      <c r="G940" s="6" t="inlineStr">
        <is>
          <t>EQUIPAMENTOS E FERRAMENTAS</t>
        </is>
      </c>
      <c r="H940" s="6" t="inlineStr">
        <is>
          <t>TECIDOS E ARMARINHOS MIGUEL BARTOLOMEU S/A</t>
        </is>
      </c>
      <c r="I940" s="24" t="n">
        <v>46199</v>
      </c>
      <c r="J940" s="6" t="n">
        <v>5417</v>
      </c>
    </row>
    <row r="941">
      <c r="A941" s="23" t="n">
        <v>46174</v>
      </c>
      <c r="B941" s="6" t="inlineStr">
        <is>
          <t>Pago</t>
        </is>
      </c>
      <c r="C941" s="6" t="inlineStr">
        <is>
          <t>PL530.001</t>
        </is>
      </c>
      <c r="D941" s="6" t="str">
        <f>IFERROR(VLOOKUP(E941,FORNECEDORES!$A$5:$F$999,6,FALSE),"L10")</f>
        <v>L01</v>
      </c>
      <c r="E941" s="6" t="inlineStr">
        <is>
          <t>TECIDOS E ARMARINHOS MIGUEL BARTOLOMEU S/A</t>
        </is>
      </c>
      <c r="F941" s="7" t="n">
        <v>120</v>
      </c>
      <c r="G941" s="6" t="inlineStr">
        <is>
          <t>EQUIPAMENTOS E FERRAMENTAS</t>
        </is>
      </c>
      <c r="H941" s="6" t="inlineStr">
        <is>
          <t>TECIDOS E ARMARINHOS MIGUEL BARTOLOMEU S/A</t>
        </is>
      </c>
      <c r="I941" s="24" t="n">
        <v>46199</v>
      </c>
      <c r="J941" s="6" t="n">
        <v>5417</v>
      </c>
    </row>
    <row r="942">
      <c r="A942" s="23" t="n">
        <v>46174</v>
      </c>
      <c r="B942" s="6" t="inlineStr">
        <is>
          <t>Pago</t>
        </is>
      </c>
      <c r="C942" s="6" t="inlineStr">
        <is>
          <t>PL530.001</t>
        </is>
      </c>
      <c r="D942" s="6" t="str">
        <f>IFERROR(VLOOKUP(E942,FORNECEDORES!$A$5:$F$999,6,FALSE),"L10")</f>
        <v>L10</v>
      </c>
      <c r="E942" s="6" t="inlineStr">
        <is>
          <t>TECSU ENGENHARIA LTDA</t>
        </is>
      </c>
      <c r="F942" s="7" t="n">
        <v>12417.56</v>
      </c>
      <c r="G942" s="6" t="inlineStr">
        <is>
          <t>NÃO CLASSIFICADO</t>
        </is>
      </c>
      <c r="H942" s="6" t="inlineStr">
        <is>
          <t>TECSU ENGENHARIA LTDA</t>
        </is>
      </c>
      <c r="I942" s="24" t="n">
        <v>46176</v>
      </c>
      <c r="J942" s="6" t="n">
        <v>5332</v>
      </c>
    </row>
    <row r="943">
      <c r="A943" s="23" t="n">
        <v>46174</v>
      </c>
      <c r="B943" s="6" t="inlineStr">
        <is>
          <t>Pago</t>
        </is>
      </c>
      <c r="C943" s="6" t="inlineStr">
        <is>
          <t>PL530.001</t>
        </is>
      </c>
      <c r="D943" s="6" t="str">
        <f>IFERROR(VLOOKUP(E943,FORNECEDORES!$A$5:$F$999,6,FALSE),"L10")</f>
        <v>L10</v>
      </c>
      <c r="E943" s="6" t="inlineStr">
        <is>
          <t>TECSU ENGENHARIA LTDA</t>
        </is>
      </c>
      <c r="F943" s="7" t="n">
        <v>1707.42</v>
      </c>
      <c r="G943" s="6" t="inlineStr">
        <is>
          <t>NÃO CLASSIFICADO</t>
        </is>
      </c>
      <c r="H943" s="6" t="inlineStr">
        <is>
          <t>INSS RETIDO PJ - MINISTERIO DA PREVIDENCIA</t>
        </is>
      </c>
      <c r="I943" s="24" t="n">
        <v>46191</v>
      </c>
      <c r="J943" s="6" t="n">
        <v>5427</v>
      </c>
    </row>
    <row r="944">
      <c r="A944" s="23" t="n">
        <v>46174</v>
      </c>
      <c r="B944" s="6" t="inlineStr">
        <is>
          <t>Pago</t>
        </is>
      </c>
      <c r="C944" s="6" t="inlineStr">
        <is>
          <t>PL530.001</t>
        </is>
      </c>
      <c r="D944" s="6" t="str">
        <f>IFERROR(VLOOKUP(E944,FORNECEDORES!$A$5:$F$999,6,FALSE),"L10")</f>
        <v>L10</v>
      </c>
      <c r="E944" s="6" t="inlineStr">
        <is>
          <t>TECSU ENGENHARIA LTDA</t>
        </is>
      </c>
      <c r="F944" s="7" t="n">
        <v>2391.81</v>
      </c>
      <c r="G944" s="6" t="inlineStr">
        <is>
          <t>NÃO CLASSIFICADO</t>
        </is>
      </c>
      <c r="H944" s="6" t="inlineStr">
        <is>
          <t>INSS RETIDO PJ - MINISTERIO DA PREVIDENCIA</t>
        </is>
      </c>
      <c r="I944" s="24" t="n">
        <v>46191</v>
      </c>
      <c r="J944" s="6" t="n">
        <v>5166</v>
      </c>
    </row>
    <row r="945">
      <c r="A945" s="23" t="n">
        <v>46174</v>
      </c>
      <c r="B945" s="6" t="inlineStr">
        <is>
          <t>Pago</t>
        </is>
      </c>
      <c r="C945" s="6" t="inlineStr">
        <is>
          <t>PL530.001</t>
        </is>
      </c>
      <c r="D945" s="6" t="str">
        <f>IFERROR(VLOOKUP(E945,FORNECEDORES!$A$5:$F$999,6,FALSE),"L10")</f>
        <v>L10</v>
      </c>
      <c r="E945" s="6" t="inlineStr">
        <is>
          <t>TECSU ENGENHARIA LTDA</t>
        </is>
      </c>
      <c r="F945" s="7" t="n">
        <v>310.44</v>
      </c>
      <c r="G945" s="6" t="inlineStr">
        <is>
          <t>NÃO CLASSIFICADO</t>
        </is>
      </c>
      <c r="H945" s="6" t="inlineStr">
        <is>
          <t>PREFEITURA DE BELO HORIZONTE - ISSQN RETIDO</t>
        </is>
      </c>
      <c r="I945" s="24" t="n">
        <v>46181</v>
      </c>
      <c r="J945" s="6" t="n">
        <v>5426</v>
      </c>
    </row>
    <row r="946">
      <c r="A946" s="23" t="n">
        <v>46174</v>
      </c>
      <c r="B946" s="6" t="inlineStr">
        <is>
          <t>Pago</t>
        </is>
      </c>
      <c r="C946" s="6" t="inlineStr">
        <is>
          <t>PL530.001</t>
        </is>
      </c>
      <c r="D946" s="6" t="str">
        <f>IFERROR(VLOOKUP(E946,FORNECEDORES!$A$5:$F$999,6,FALSE),"L10")</f>
        <v>L10</v>
      </c>
      <c r="E946" s="6" t="inlineStr">
        <is>
          <t>TECSU ENGENHARIA LTDA</t>
        </is>
      </c>
      <c r="F946" s="7" t="n">
        <v>434.88</v>
      </c>
      <c r="G946" s="6" t="inlineStr">
        <is>
          <t>NÃO CLASSIFICADO</t>
        </is>
      </c>
      <c r="H946" s="6" t="inlineStr">
        <is>
          <t>PREFEITURA DE BELO HORIZONTE - ISSQN RETIDO</t>
        </is>
      </c>
      <c r="I946" s="24" t="n">
        <v>46181</v>
      </c>
      <c r="J946" s="6" t="n">
        <v>5165</v>
      </c>
    </row>
    <row r="947">
      <c r="A947" s="23" t="n">
        <v>46174</v>
      </c>
      <c r="B947" s="6" t="inlineStr">
        <is>
          <t>Pago</t>
        </is>
      </c>
      <c r="C947" s="6" t="inlineStr">
        <is>
          <t>PL530.001</t>
        </is>
      </c>
      <c r="D947" s="6" t="str">
        <f>IFERROR(VLOOKUP(E947,FORNECEDORES!$A$5:$F$999,6,FALSE),"L10")</f>
        <v>L08</v>
      </c>
      <c r="E947" s="6" t="inlineStr">
        <is>
          <t>TELAS PERAM COMERCIO IMPORTACAO E REPRESENTACOES LTDA.</t>
        </is>
      </c>
      <c r="F947" s="7" t="n">
        <v>3003.21</v>
      </c>
      <c r="G947" s="6" t="inlineStr">
        <is>
          <t>SINALIZAÇÃO</t>
        </is>
      </c>
      <c r="H947" s="6" t="inlineStr">
        <is>
          <t>TELAS PERAM COMERCIO IMPORTACAO E REPRESENTACOES L</t>
        </is>
      </c>
      <c r="I947" s="24" t="n">
        <v>46181</v>
      </c>
      <c r="J947" s="6" t="n">
        <v>5131</v>
      </c>
    </row>
    <row r="948">
      <c r="A948" s="23" t="n">
        <v>46204</v>
      </c>
      <c r="B948" s="6" t="inlineStr">
        <is>
          <t>Pago</t>
        </is>
      </c>
      <c r="C948" s="6" t="inlineStr">
        <is>
          <t>PL530.001</t>
        </is>
      </c>
      <c r="D948" s="6" t="str">
        <f>IFERROR(VLOOKUP(E948,FORNECEDORES!$A$5:$F$999,6,FALSE),"L10")</f>
        <v>L01</v>
      </c>
      <c r="E948" s="6" t="inlineStr">
        <is>
          <t>CARRINHO DE MAO ROMA LTDA</t>
        </is>
      </c>
      <c r="F948" s="7" t="n">
        <v>1425</v>
      </c>
      <c r="G948" s="6" t="inlineStr">
        <is>
          <t>EQUIPAMENTOS E FERRAMENTAS</t>
        </is>
      </c>
      <c r="H948" s="6" t="inlineStr">
        <is>
          <t>CARRINHO DE MAO ROMA LTDA</t>
        </is>
      </c>
      <c r="I948" s="24" t="n">
        <v>46213</v>
      </c>
      <c r="J948" s="6" t="n">
        <v>5017</v>
      </c>
    </row>
    <row r="949">
      <c r="A949" s="23" t="n">
        <v>46204</v>
      </c>
      <c r="B949" s="6" t="inlineStr">
        <is>
          <t>Pago</t>
        </is>
      </c>
      <c r="C949" s="6" t="inlineStr">
        <is>
          <t>PL530.001</t>
        </is>
      </c>
      <c r="D949" s="6" t="str">
        <f>IFERROR(VLOOKUP(E949,FORNECEDORES!$A$5:$F$999,6,FALSE),"L10")</f>
        <v>L01</v>
      </c>
      <c r="E949" s="6" t="inlineStr">
        <is>
          <t>CARRINHO DE MAO ROMA LTDA</t>
        </is>
      </c>
      <c r="F949" s="7" t="n">
        <v>1900</v>
      </c>
      <c r="G949" s="6" t="inlineStr">
        <is>
          <t>EQUIPAMENTOS E FERRAMENTAS</t>
        </is>
      </c>
      <c r="H949" s="6" t="inlineStr">
        <is>
          <t>CARRINHO DE MAO ROMA LTDA</t>
        </is>
      </c>
      <c r="I949" s="24" t="n">
        <v>46209</v>
      </c>
      <c r="J949" s="6" t="n">
        <v>5365</v>
      </c>
    </row>
    <row r="950">
      <c r="A950" s="23" t="n">
        <v>46204</v>
      </c>
      <c r="B950" s="6" t="inlineStr">
        <is>
          <t>Pago</t>
        </is>
      </c>
      <c r="C950" s="6" t="inlineStr">
        <is>
          <t>PL530.001</t>
        </is>
      </c>
      <c r="D950" s="6" t="str">
        <f>IFERROR(VLOOKUP(E950,FORNECEDORES!$A$5:$F$999,6,FALSE),"L10")</f>
        <v>L01</v>
      </c>
      <c r="E950" s="6" t="inlineStr">
        <is>
          <t>CASA &amp; TINTA COMERCIAL LTDA</t>
        </is>
      </c>
      <c r="F950" s="7" t="n">
        <v>2989.5</v>
      </c>
      <c r="G950" s="6" t="inlineStr">
        <is>
          <t>MATERIAL DE PINTURA</t>
        </is>
      </c>
      <c r="H950" s="6" t="inlineStr">
        <is>
          <t>CASA &amp; TINTA COMERCIAL LTDA</t>
        </is>
      </c>
      <c r="I950" s="24" t="n">
        <v>46217</v>
      </c>
      <c r="J950" s="6" t="n">
        <v>5579</v>
      </c>
    </row>
    <row r="951">
      <c r="A951" s="23" t="n">
        <v>46204</v>
      </c>
      <c r="B951" s="6" t="inlineStr">
        <is>
          <t>Pago</t>
        </is>
      </c>
      <c r="C951" s="6" t="inlineStr">
        <is>
          <t>PL530.001</t>
        </is>
      </c>
      <c r="D951" s="6" t="str">
        <f>IFERROR(VLOOKUP(E951,FORNECEDORES!$A$5:$F$999,6,FALSE),"L10")</f>
        <v>L01</v>
      </c>
      <c r="E951" s="6" t="inlineStr">
        <is>
          <t>COFERMETA SA</t>
        </is>
      </c>
      <c r="F951" s="7" t="n">
        <v>132.48</v>
      </c>
      <c r="G951" s="6" t="inlineStr">
        <is>
          <t>EQUIPAMENTOS E FERRAMENTAS</t>
        </is>
      </c>
      <c r="H951" s="6" t="inlineStr">
        <is>
          <t>COFERMETA SA</t>
        </is>
      </c>
      <c r="I951" s="24" t="n">
        <v>46204</v>
      </c>
      <c r="J951" s="6" t="n">
        <v>5449</v>
      </c>
    </row>
    <row r="952">
      <c r="A952" s="23" t="n">
        <v>46204</v>
      </c>
      <c r="B952" s="6" t="inlineStr">
        <is>
          <t>Pago</t>
        </is>
      </c>
      <c r="C952" s="6" t="inlineStr">
        <is>
          <t>PL530.001</t>
        </is>
      </c>
      <c r="D952" s="6" t="str">
        <f>IFERROR(VLOOKUP(E952,FORNECEDORES!$A$5:$F$999,6,FALSE),"L10")</f>
        <v>L01</v>
      </c>
      <c r="E952" s="6" t="inlineStr">
        <is>
          <t>COFERMETA SA</t>
        </is>
      </c>
      <c r="F952" s="7" t="n">
        <v>237.35</v>
      </c>
      <c r="G952" s="6" t="inlineStr">
        <is>
          <t>EQUIPAMENTOS E FERRAMENTAS</t>
        </is>
      </c>
      <c r="H952" s="6" t="inlineStr">
        <is>
          <t>COFERMETA SA</t>
        </is>
      </c>
      <c r="I952" s="24" t="n">
        <v>46204</v>
      </c>
      <c r="J952" s="6" t="n">
        <v>5197</v>
      </c>
    </row>
    <row r="953">
      <c r="A953" s="23" t="n">
        <v>46204</v>
      </c>
      <c r="B953" s="6" t="inlineStr">
        <is>
          <t>Pago</t>
        </is>
      </c>
      <c r="C953" s="6" t="inlineStr">
        <is>
          <t>PL530.001</t>
        </is>
      </c>
      <c r="D953" s="6" t="str">
        <f>IFERROR(VLOOKUP(E953,FORNECEDORES!$A$5:$F$999,6,FALSE),"L10")</f>
        <v>L01</v>
      </c>
      <c r="E953" s="6" t="inlineStr">
        <is>
          <t>COFERMETA SA</t>
        </is>
      </c>
      <c r="F953" s="7" t="n">
        <v>169.28</v>
      </c>
      <c r="G953" s="6" t="inlineStr">
        <is>
          <t>EQUIPAMENTOS E FERRAMENTAS</t>
        </is>
      </c>
      <c r="H953" s="6" t="inlineStr">
        <is>
          <t>COFERMETA SA</t>
        </is>
      </c>
      <c r="I953" s="24" t="n">
        <v>46204</v>
      </c>
      <c r="J953" s="6" t="n">
        <v>5142</v>
      </c>
    </row>
    <row r="954">
      <c r="A954" s="23" t="n">
        <v>46204</v>
      </c>
      <c r="B954" s="6" t="inlineStr">
        <is>
          <t>Pago</t>
        </is>
      </c>
      <c r="C954" s="6" t="inlineStr">
        <is>
          <t>PL530.001</t>
        </is>
      </c>
      <c r="D954" s="6" t="str">
        <f>IFERROR(VLOOKUP(E954,FORNECEDORES!$A$5:$F$999,6,FALSE),"L10")</f>
        <v>L01</v>
      </c>
      <c r="E954" s="6" t="inlineStr">
        <is>
          <t>CONSTRUMAQ INDUSTRIA DE MAQUINAS E EQUIPAMENTOS LTDA</t>
        </is>
      </c>
      <c r="F954" s="7" t="n">
        <v>1613.5</v>
      </c>
      <c r="G954" s="6" t="inlineStr">
        <is>
          <t>FRETE</t>
        </is>
      </c>
      <c r="H954" s="6" t="inlineStr">
        <is>
          <t>CONSTRUMAQ INDUSTRIA DE MAQUINAS E EQUIPAMENTOS LT</t>
        </is>
      </c>
      <c r="I954" s="24" t="n">
        <v>46206</v>
      </c>
      <c r="J954" s="6" t="n">
        <v>5226</v>
      </c>
    </row>
    <row r="955">
      <c r="A955" s="23" t="n">
        <v>46204</v>
      </c>
      <c r="B955" s="6" t="inlineStr">
        <is>
          <t>Pago</t>
        </is>
      </c>
      <c r="C955" s="6" t="inlineStr">
        <is>
          <t>PL530.001</t>
        </is>
      </c>
      <c r="D955" s="6" t="str">
        <f>IFERROR(VLOOKUP(E955,FORNECEDORES!$A$5:$F$999,6,FALSE),"L10")</f>
        <v>L01</v>
      </c>
      <c r="E955" s="6" t="inlineStr">
        <is>
          <t>CONSTRUMAQ INDUSTRIA DE MAQUINAS E EQUIPAMENTOS LTDA</t>
        </is>
      </c>
      <c r="F955" s="7" t="n">
        <v>5286.5</v>
      </c>
      <c r="G955" s="6" t="inlineStr">
        <is>
          <t>EQUIPAMENTOS E FERRAMENTAS</t>
        </is>
      </c>
      <c r="H955" s="6" t="inlineStr">
        <is>
          <t>CONSTRUMAQ INDUSTRIA DE MAQUINAS E EQUIPAMENTOS LT</t>
        </is>
      </c>
      <c r="I955" s="24" t="n">
        <v>46206</v>
      </c>
      <c r="J955" s="6" t="n">
        <v>5226</v>
      </c>
    </row>
    <row r="956">
      <c r="A956" s="23" t="n">
        <v>46204</v>
      </c>
      <c r="B956" s="6" t="inlineStr">
        <is>
          <t>Pago</t>
        </is>
      </c>
      <c r="C956" s="6" t="inlineStr">
        <is>
          <t>PL530.001</t>
        </is>
      </c>
      <c r="D956" s="6" t="str">
        <f>IFERROR(VLOOKUP(E956,FORNECEDORES!$A$5:$F$999,6,FALSE),"L10")</f>
        <v>L10</v>
      </c>
      <c r="E956" s="6" t="inlineStr">
        <is>
          <t>CORTEZ LOCACAO DE EQUIPAMENTOS LTDA-ME</t>
        </is>
      </c>
      <c r="F956" s="7" t="n">
        <v>3151.49</v>
      </c>
      <c r="G956" s="6" t="inlineStr">
        <is>
          <t>NÃO CLASSIFICADO</t>
        </is>
      </c>
      <c r="H956" s="6" t="inlineStr">
        <is>
          <t>INSS RETIDO PJ - MINISTERIO DA PREVIDENCIA</t>
        </is>
      </c>
      <c r="I956" s="24" t="n">
        <v>46223</v>
      </c>
      <c r="J956" s="6" t="n">
        <v>5598</v>
      </c>
    </row>
    <row r="957">
      <c r="A957" s="23" t="n">
        <v>46204</v>
      </c>
      <c r="B957" s="6" t="inlineStr">
        <is>
          <t>Pago</t>
        </is>
      </c>
      <c r="C957" s="6" t="inlineStr">
        <is>
          <t>PL530.001</t>
        </is>
      </c>
      <c r="D957" s="6" t="str">
        <f>IFERROR(VLOOKUP(E957,FORNECEDORES!$A$5:$F$999,6,FALSE),"L10")</f>
        <v>L10</v>
      </c>
      <c r="E957" s="6" t="inlineStr">
        <is>
          <t>CORTEZ LOCACAO DE EQUIPAMENTOS LTDA-ME</t>
        </is>
      </c>
      <c r="F957" s="7" t="n">
        <v>1111.62</v>
      </c>
      <c r="G957" s="6" t="inlineStr">
        <is>
          <t>NÃO CLASSIFICADO</t>
        </is>
      </c>
      <c r="H957" s="6" t="inlineStr">
        <is>
          <t>PREFEITURA DE BELO HORIZONTE - ISSQN RETIDO</t>
        </is>
      </c>
      <c r="I957" s="24" t="n">
        <v>46211</v>
      </c>
      <c r="J957" s="6" t="n">
        <v>5597</v>
      </c>
    </row>
    <row r="958">
      <c r="A958" s="23" t="n">
        <v>46204</v>
      </c>
      <c r="B958" s="6" t="inlineStr">
        <is>
          <t>Pago</t>
        </is>
      </c>
      <c r="C958" s="6" t="inlineStr">
        <is>
          <t>PL530.001</t>
        </is>
      </c>
      <c r="D958" s="6" t="str">
        <f>IFERROR(VLOOKUP(E958,FORNECEDORES!$A$5:$F$999,6,FALSE),"L10")</f>
        <v>L03</v>
      </c>
      <c r="E958" s="6" t="inlineStr">
        <is>
          <t>DATRON TECNOLOGIA E LOCACAO LTDA</t>
        </is>
      </c>
      <c r="F958" s="7" t="n">
        <v>1126.29</v>
      </c>
      <c r="G958" s="6" t="inlineStr">
        <is>
          <t>LOCAÇÕES</t>
        </is>
      </c>
      <c r="H958" s="6" t="inlineStr">
        <is>
          <t>DATRON TECNOLOGIA E LOCACAO LTDA</t>
        </is>
      </c>
      <c r="I958" s="24" t="n">
        <v>46226</v>
      </c>
      <c r="J958" s="6" t="n">
        <v>6055</v>
      </c>
    </row>
    <row r="959">
      <c r="A959" s="23" t="n">
        <v>46204</v>
      </c>
      <c r="B959" s="6" t="inlineStr">
        <is>
          <t>Pago</t>
        </is>
      </c>
      <c r="C959" s="6" t="inlineStr">
        <is>
          <t>PL530.001</t>
        </is>
      </c>
      <c r="D959" s="6" t="str">
        <f>IFERROR(VLOOKUP(E959,FORNECEDORES!$A$5:$F$999,6,FALSE),"L10")</f>
        <v>L03</v>
      </c>
      <c r="E959" s="6" t="inlineStr">
        <is>
          <t>EDIFICAR LOCACAO MANUTENCAO E SERVICOS LTDA</t>
        </is>
      </c>
      <c r="F959" s="7" t="n">
        <v>277.69</v>
      </c>
      <c r="G959" s="6" t="inlineStr">
        <is>
          <t>LOCAÇÕES</t>
        </is>
      </c>
      <c r="H959" s="6" t="inlineStr">
        <is>
          <t>EDIFICAR LOCACAO MANUTENCAO E SERVICOS LTDA</t>
        </is>
      </c>
      <c r="I959" s="24" t="n">
        <v>46211</v>
      </c>
      <c r="J959" s="6" t="n">
        <v>5812</v>
      </c>
    </row>
    <row r="960">
      <c r="A960" s="23" t="n">
        <v>46204</v>
      </c>
      <c r="B960" s="6" t="inlineStr">
        <is>
          <t>Pago</t>
        </is>
      </c>
      <c r="C960" s="6" t="inlineStr">
        <is>
          <t>PL530.001</t>
        </is>
      </c>
      <c r="D960" s="6" t="str">
        <f>IFERROR(VLOOKUP(E960,FORNECEDORES!$A$5:$F$999,6,FALSE),"L10")</f>
        <v>L03</v>
      </c>
      <c r="E960" s="6" t="inlineStr">
        <is>
          <t>EDIFICAR LOCACAO MANUTENCAO E SERVICOS LTDA</t>
        </is>
      </c>
      <c r="F960" s="7" t="n">
        <v>313.11</v>
      </c>
      <c r="G960" s="6" t="inlineStr">
        <is>
          <t>LOCAÇÕES</t>
        </is>
      </c>
      <c r="H960" s="6" t="inlineStr">
        <is>
          <t>EDIFICAR LOCACAO MANUTENCAO E SERVICOS LTDA</t>
        </is>
      </c>
      <c r="I960" s="24" t="n">
        <v>46211</v>
      </c>
      <c r="J960" s="6" t="n">
        <v>5812</v>
      </c>
    </row>
    <row r="961">
      <c r="A961" s="23" t="n">
        <v>46204</v>
      </c>
      <c r="B961" s="6" t="inlineStr">
        <is>
          <t>Pago</t>
        </is>
      </c>
      <c r="C961" s="6" t="inlineStr">
        <is>
          <t>PL530.001</t>
        </is>
      </c>
      <c r="D961" s="6" t="str">
        <f>IFERROR(VLOOKUP(E961,FORNECEDORES!$A$5:$F$999,6,FALSE),"L10")</f>
        <v>L03</v>
      </c>
      <c r="E961" s="6" t="inlineStr">
        <is>
          <t>EDIFICAR LOCACAO MANUTENCAO E SERVICOS LTDA</t>
        </is>
      </c>
      <c r="F961" s="7" t="n">
        <v>400</v>
      </c>
      <c r="G961" s="6" t="inlineStr">
        <is>
          <t>LOCAÇÕES</t>
        </is>
      </c>
      <c r="H961" s="6" t="inlineStr">
        <is>
          <t>EDIFICAR LOCACAO MANUTENCAO E SERVICOS LTDA</t>
        </is>
      </c>
      <c r="I961" s="24" t="n">
        <v>46211</v>
      </c>
      <c r="J961" s="6" t="n">
        <v>5795</v>
      </c>
    </row>
    <row r="962">
      <c r="A962" s="23" t="n">
        <v>46204</v>
      </c>
      <c r="B962" s="6" t="inlineStr">
        <is>
          <t>Pago</t>
        </is>
      </c>
      <c r="C962" s="6" t="inlineStr">
        <is>
          <t>PL530.001</t>
        </is>
      </c>
      <c r="D962" s="6" t="str">
        <f>IFERROR(VLOOKUP(E962,FORNECEDORES!$A$5:$F$999,6,FALSE),"L10")</f>
        <v>L03</v>
      </c>
      <c r="E962" s="6" t="inlineStr">
        <is>
          <t>EDIFICAR LOCACAO MANUTENCAO E SERVICOS LTDA</t>
        </is>
      </c>
      <c r="F962" s="7" t="n">
        <v>700</v>
      </c>
      <c r="G962" s="6" t="inlineStr">
        <is>
          <t>LOCAÇÕES</t>
        </is>
      </c>
      <c r="H962" s="6" t="inlineStr">
        <is>
          <t>EDIFICAR LOCACAO MANUTENCAO E SERVICOS LTDA</t>
        </is>
      </c>
      <c r="I962" s="24" t="n">
        <v>46211</v>
      </c>
      <c r="J962" s="6" t="n">
        <v>5795</v>
      </c>
    </row>
    <row r="963">
      <c r="A963" s="23" t="n">
        <v>46204</v>
      </c>
      <c r="B963" s="6" t="inlineStr">
        <is>
          <t>Pago</t>
        </is>
      </c>
      <c r="C963" s="6" t="inlineStr">
        <is>
          <t>PL530.001</t>
        </is>
      </c>
      <c r="D963" s="6" t="str">
        <f>IFERROR(VLOOKUP(E963,FORNECEDORES!$A$5:$F$999,6,FALSE),"L10")</f>
        <v>L03</v>
      </c>
      <c r="E963" s="6" t="inlineStr">
        <is>
          <t>EDIFICAR LOCACAO MANUTENCAO E SERVICOS LTDA</t>
        </is>
      </c>
      <c r="F963" s="7" t="n">
        <v>520</v>
      </c>
      <c r="G963" s="6" t="inlineStr">
        <is>
          <t>LOCAÇÕES</t>
        </is>
      </c>
      <c r="H963" s="6" t="inlineStr">
        <is>
          <t>EDIFICAR LOCACAO MANUTENCAO E SERVICOS LTDA</t>
        </is>
      </c>
      <c r="I963" s="24" t="n">
        <v>46211</v>
      </c>
      <c r="J963" s="6" t="n">
        <v>5795</v>
      </c>
    </row>
    <row r="964">
      <c r="A964" s="23" t="n">
        <v>46204</v>
      </c>
      <c r="B964" s="6" t="inlineStr">
        <is>
          <t>Pago</t>
        </is>
      </c>
      <c r="C964" s="6" t="inlineStr">
        <is>
          <t>PL530.001</t>
        </is>
      </c>
      <c r="D964" s="6" t="str">
        <f>IFERROR(VLOOKUP(E964,FORNECEDORES!$A$5:$F$999,6,FALSE),"L10")</f>
        <v>L03</v>
      </c>
      <c r="E964" s="6" t="inlineStr">
        <is>
          <t>EUROLINK IMPORTACAO E LOCACAO DE EQUIPAMENTOS LTDA</t>
        </is>
      </c>
      <c r="F964" s="7" t="n">
        <v>9658.370000000001</v>
      </c>
      <c r="G964" s="6" t="inlineStr">
        <is>
          <t>LOCAÇÕES</t>
        </is>
      </c>
      <c r="H964" s="6" t="inlineStr">
        <is>
          <t>EUROLINK IMPORTACAO E LOCACAO DE EQUIPAMENTOS LTDA</t>
        </is>
      </c>
      <c r="I964" s="24" t="n">
        <v>46206</v>
      </c>
      <c r="J964" s="6" t="n">
        <v>5788</v>
      </c>
    </row>
    <row r="965">
      <c r="A965" s="23" t="n">
        <v>46204</v>
      </c>
      <c r="B965" s="6" t="inlineStr">
        <is>
          <t>Pago</t>
        </is>
      </c>
      <c r="C965" s="6" t="inlineStr">
        <is>
          <t>PL530.001</t>
        </is>
      </c>
      <c r="D965" s="6" t="str">
        <f>IFERROR(VLOOKUP(E965,FORNECEDORES!$A$5:$F$999,6,FALSE),"L10")</f>
        <v>L03</v>
      </c>
      <c r="E965" s="6" t="inlineStr">
        <is>
          <t>EUROLINK IMPORTACAO E LOCACAO DE EQUIPAMENTOS LTDA</t>
        </is>
      </c>
      <c r="F965" s="7" t="n">
        <v>11491.13</v>
      </c>
      <c r="G965" s="6" t="inlineStr">
        <is>
          <t>LOCAÇÕES</t>
        </is>
      </c>
      <c r="H965" s="6" t="inlineStr">
        <is>
          <t>EUROLINK IMPORTACAO E LOCACAO DE EQUIPAMENTOS LTDA</t>
        </is>
      </c>
      <c r="I965" s="24" t="n">
        <v>46223</v>
      </c>
      <c r="J965" s="6" t="n">
        <v>5980</v>
      </c>
    </row>
    <row r="966">
      <c r="A966" s="23" t="n">
        <v>46204</v>
      </c>
      <c r="B966" s="6" t="inlineStr">
        <is>
          <t>Pago</t>
        </is>
      </c>
      <c r="C966" s="6" t="inlineStr">
        <is>
          <t>PL530.001</t>
        </is>
      </c>
      <c r="D966" s="6" t="str">
        <f>IFERROR(VLOOKUP(E966,FORNECEDORES!$A$5:$F$999,6,FALSE),"L10")</f>
        <v>L01</v>
      </c>
      <c r="E966" s="6" t="inlineStr">
        <is>
          <t>EXPRESSO 2000 TRANSPORTES E LOGISTICA LTDA</t>
        </is>
      </c>
      <c r="F966" s="7" t="n">
        <v>141.96</v>
      </c>
      <c r="G966" s="6" t="inlineStr">
        <is>
          <t>FRETE</t>
        </is>
      </c>
      <c r="H966" s="6" t="inlineStr">
        <is>
          <t>EXPRESSO 2000 TRANSPORTES E LOGISTICA LTDA</t>
        </is>
      </c>
      <c r="I966" s="24" t="n">
        <v>46220</v>
      </c>
      <c r="J966" s="6" t="n">
        <v>5233</v>
      </c>
    </row>
    <row r="967">
      <c r="A967" s="23" t="n">
        <v>46204</v>
      </c>
      <c r="B967" s="6" t="inlineStr">
        <is>
          <t>Pago</t>
        </is>
      </c>
      <c r="C967" s="6" t="inlineStr">
        <is>
          <t>PL530.001</t>
        </is>
      </c>
      <c r="D967" s="6" t="str">
        <f>IFERROR(VLOOKUP(E967,FORNECEDORES!$A$5:$F$999,6,FALSE),"L10")</f>
        <v>L04</v>
      </c>
      <c r="E967" s="6" t="inlineStr">
        <is>
          <t>EXXI GLOBAL DO BRASIL LTDA</t>
        </is>
      </c>
      <c r="F967" s="7" t="n">
        <v>3602.99</v>
      </c>
      <c r="G967" s="6" t="inlineStr">
        <is>
          <t>FORMA DE MADEIRA</t>
        </is>
      </c>
      <c r="H967" s="6" t="inlineStr">
        <is>
          <t>EXXI GLOBAL DO BRASIL LTDA</t>
        </is>
      </c>
      <c r="I967" s="24" t="n">
        <v>46216</v>
      </c>
      <c r="J967" s="6" t="n">
        <v>5568</v>
      </c>
    </row>
    <row r="968">
      <c r="A968" s="23" t="n">
        <v>46204</v>
      </c>
      <c r="B968" s="6" t="inlineStr">
        <is>
          <t>Pago</t>
        </is>
      </c>
      <c r="C968" s="6" t="inlineStr">
        <is>
          <t>PL530.001</t>
        </is>
      </c>
      <c r="D968" s="6" t="str">
        <f>IFERROR(VLOOKUP(E968,FORNECEDORES!$A$5:$F$999,6,FALSE),"L10")</f>
        <v>L04</v>
      </c>
      <c r="E968" s="6" t="inlineStr">
        <is>
          <t>EXXI GLOBAL DO BRASIL LTDA</t>
        </is>
      </c>
      <c r="F968" s="7" t="n">
        <v>390</v>
      </c>
      <c r="G968" s="6" t="inlineStr">
        <is>
          <t>FRETE</t>
        </is>
      </c>
      <c r="H968" s="6" t="inlineStr">
        <is>
          <t>EXXI GLOBAL DO BRASIL LTDA</t>
        </is>
      </c>
      <c r="I968" s="24" t="n">
        <v>46216</v>
      </c>
      <c r="J968" s="6" t="n">
        <v>5568</v>
      </c>
    </row>
    <row r="969">
      <c r="A969" s="23" t="n">
        <v>46204</v>
      </c>
      <c r="B969" s="6" t="inlineStr">
        <is>
          <t>Pago</t>
        </is>
      </c>
      <c r="C969" s="6" t="inlineStr">
        <is>
          <t>PL530.001</t>
        </is>
      </c>
      <c r="D969" s="6" t="str">
        <f>IFERROR(VLOOKUP(E969,FORNECEDORES!$A$5:$F$999,6,FALSE),"L10")</f>
        <v>L10</v>
      </c>
      <c r="E969" s="6" t="inlineStr">
        <is>
          <t>FIAO LOCACOES E TRANSPORTES LTDA</t>
        </is>
      </c>
      <c r="F969" s="7" t="n">
        <v>2794.72</v>
      </c>
      <c r="G969" s="6" t="inlineStr">
        <is>
          <t>NÃO CLASSIFICADO</t>
        </is>
      </c>
      <c r="H969" s="6" t="inlineStr">
        <is>
          <t>FIAO LOCACOES E TRANSPORTES LTDA</t>
        </is>
      </c>
      <c r="I969" s="24" t="n">
        <v>46220</v>
      </c>
      <c r="J969" s="6" t="n">
        <v>5825</v>
      </c>
    </row>
    <row r="970">
      <c r="A970" s="23" t="n">
        <v>46204</v>
      </c>
      <c r="B970" s="6" t="inlineStr">
        <is>
          <t>Pago</t>
        </is>
      </c>
      <c r="C970" s="6" t="inlineStr">
        <is>
          <t>PL530.001</t>
        </is>
      </c>
      <c r="D970" s="6" t="str">
        <f>IFERROR(VLOOKUP(E970,FORNECEDORES!$A$5:$F$999,6,FALSE),"L10")</f>
        <v>L10</v>
      </c>
      <c r="E970" s="6" t="inlineStr">
        <is>
          <t>FIAO LOCACOES E TRANSPORTES LTDA</t>
        </is>
      </c>
      <c r="F970" s="7" t="n">
        <v>341.46</v>
      </c>
      <c r="G970" s="6" t="inlineStr">
        <is>
          <t>NÃO CLASSIFICADO</t>
        </is>
      </c>
      <c r="H970" s="6" t="inlineStr">
        <is>
          <t>INSS RETIDO PJ - MINISTERIO DA PREVIDENCIA</t>
        </is>
      </c>
      <c r="I970" s="24" t="n">
        <v>46223</v>
      </c>
      <c r="J970" s="6" t="n">
        <v>5592</v>
      </c>
    </row>
    <row r="971">
      <c r="A971" s="23" t="n">
        <v>46204</v>
      </c>
      <c r="B971" s="6" t="inlineStr">
        <is>
          <t>Pago</t>
        </is>
      </c>
      <c r="C971" s="6" t="inlineStr">
        <is>
          <t>PL530.001</t>
        </is>
      </c>
      <c r="D971" s="6" t="str">
        <f>IFERROR(VLOOKUP(E971,FORNECEDORES!$A$5:$F$999,6,FALSE),"L10")</f>
        <v>L10</v>
      </c>
      <c r="E971" s="6" t="inlineStr">
        <is>
          <t>FIAO LOCACOES E TRANSPORTES LTDA</t>
        </is>
      </c>
      <c r="F971" s="7" t="n">
        <v>236.54</v>
      </c>
      <c r="G971" s="6" t="inlineStr">
        <is>
          <t>NÃO CLASSIFICADO</t>
        </is>
      </c>
      <c r="H971" s="6" t="inlineStr">
        <is>
          <t>PREFEITURA DE BELO HORIZONTE - ISSQN RETIDO</t>
        </is>
      </c>
      <c r="I971" s="24" t="n">
        <v>46211</v>
      </c>
      <c r="J971" s="6" t="n">
        <v>5593</v>
      </c>
    </row>
    <row r="972">
      <c r="A972" s="23" t="n">
        <v>46204</v>
      </c>
      <c r="B972" s="6" t="inlineStr">
        <is>
          <t>Pago</t>
        </is>
      </c>
      <c r="C972" s="6" t="inlineStr">
        <is>
          <t>PL530.001</t>
        </is>
      </c>
      <c r="D972" s="6" t="str">
        <f>IFERROR(VLOOKUP(E972,FORNECEDORES!$A$5:$F$999,6,FALSE),"L10")</f>
        <v>L04</v>
      </c>
      <c r="E972" s="6" t="inlineStr">
        <is>
          <t>JRE COMERCIO DE MADEIRAS LTDA</t>
        </is>
      </c>
      <c r="F972" s="7" t="n">
        <v>12616.53</v>
      </c>
      <c r="G972" s="6" t="inlineStr">
        <is>
          <t>FORMA DE MADEIRA</t>
        </is>
      </c>
      <c r="H972" s="6" t="inlineStr">
        <is>
          <t>JRE COMERCIO DE MADEIRAS LTDA</t>
        </is>
      </c>
      <c r="I972" s="24" t="n">
        <v>46220</v>
      </c>
      <c r="J972" s="6" t="n">
        <v>5572</v>
      </c>
    </row>
    <row r="973">
      <c r="A973" s="23" t="n">
        <v>46204</v>
      </c>
      <c r="B973" s="6" t="inlineStr">
        <is>
          <t>Pago</t>
        </is>
      </c>
      <c r="C973" s="6" t="inlineStr">
        <is>
          <t>PL530.001</t>
        </is>
      </c>
      <c r="D973" s="6" t="str">
        <f>IFERROR(VLOOKUP(E973,FORNECEDORES!$A$5:$F$999,6,FALSE),"L10")</f>
        <v>L04</v>
      </c>
      <c r="E973" s="6" t="inlineStr">
        <is>
          <t>JRE COMERCIO DE MADEIRAS LTDA</t>
        </is>
      </c>
      <c r="F973" s="7" t="n">
        <v>66.94</v>
      </c>
      <c r="G973" s="6" t="inlineStr">
        <is>
          <t>FRETE</t>
        </is>
      </c>
      <c r="H973" s="6" t="inlineStr">
        <is>
          <t>JRE COMERCIO DE MADEIRAS LTDA</t>
        </is>
      </c>
      <c r="I973" s="24" t="n">
        <v>46220</v>
      </c>
      <c r="J973" s="6" t="n">
        <v>5572</v>
      </c>
    </row>
    <row r="974">
      <c r="A974" s="23" t="n">
        <v>46204</v>
      </c>
      <c r="B974" s="6" t="inlineStr">
        <is>
          <t>Pago</t>
        </is>
      </c>
      <c r="C974" s="6" t="inlineStr">
        <is>
          <t>PL530.001</t>
        </is>
      </c>
      <c r="D974" s="6" t="str">
        <f>IFERROR(VLOOKUP(E974,FORNECEDORES!$A$5:$F$999,6,FALSE),"L10")</f>
        <v>L03</v>
      </c>
      <c r="E974" s="6" t="inlineStr">
        <is>
          <t>LOC MASTER LOCADORA DE EQUIPAMENTOS LTDA</t>
        </is>
      </c>
      <c r="F974" s="7" t="n">
        <v>1001.88</v>
      </c>
      <c r="G974" s="6" t="inlineStr">
        <is>
          <t>LOCAÇÕES</t>
        </is>
      </c>
      <c r="H974" s="6" t="inlineStr">
        <is>
          <t>LOC MASTER LOCADORA DE EQUIPAMENTOS LTDA</t>
        </is>
      </c>
      <c r="I974" s="24" t="n">
        <v>46205</v>
      </c>
      <c r="J974" s="6" t="n">
        <v>5776</v>
      </c>
    </row>
    <row r="975">
      <c r="A975" s="23" t="n">
        <v>46204</v>
      </c>
      <c r="B975" s="6" t="inlineStr">
        <is>
          <t>Pago</t>
        </is>
      </c>
      <c r="C975" s="6" t="inlineStr">
        <is>
          <t>PL530.001</t>
        </is>
      </c>
      <c r="D975" s="6" t="str">
        <f>IFERROR(VLOOKUP(E975,FORNECEDORES!$A$5:$F$999,6,FALSE),"L10")</f>
        <v>L03</v>
      </c>
      <c r="E975" s="6" t="inlineStr">
        <is>
          <t>LOCAFAZ LOCACAO DE EQUIPAMENTOS LTDA</t>
        </is>
      </c>
      <c r="F975" s="7" t="n">
        <v>438.36</v>
      </c>
      <c r="G975" s="6" t="inlineStr">
        <is>
          <t>LOCAÇÕES</t>
        </is>
      </c>
      <c r="H975" s="6" t="inlineStr">
        <is>
          <t>LOCAFAZ LOCACAO DE EQUIPAMENTOS LTDA</t>
        </is>
      </c>
      <c r="I975" s="24" t="n">
        <v>46211</v>
      </c>
      <c r="J975" s="6" t="n">
        <v>5815</v>
      </c>
    </row>
    <row r="976">
      <c r="A976" s="23" t="n">
        <v>46204</v>
      </c>
      <c r="B976" s="6" t="inlineStr">
        <is>
          <t>Pago</t>
        </is>
      </c>
      <c r="C976" s="6" t="inlineStr">
        <is>
          <t>PL530.001</t>
        </is>
      </c>
      <c r="D976" s="6" t="str">
        <f>IFERROR(VLOOKUP(E976,FORNECEDORES!$A$5:$F$999,6,FALSE),"L10")</f>
        <v>L03</v>
      </c>
      <c r="E976" s="6" t="inlineStr">
        <is>
          <t>LOCAFAZ LOCACAO DE EQUIPAMENTOS LTDA</t>
        </is>
      </c>
      <c r="F976" s="7" t="n">
        <v>748.91</v>
      </c>
      <c r="G976" s="6" t="inlineStr">
        <is>
          <t>LOCAÇÕES</t>
        </is>
      </c>
      <c r="H976" s="6" t="inlineStr">
        <is>
          <t>LOCAFAZ LOCACAO DE EQUIPAMENTOS LTDA</t>
        </is>
      </c>
      <c r="I976" s="24" t="n">
        <v>46211</v>
      </c>
      <c r="J976" s="6" t="n">
        <v>5815</v>
      </c>
    </row>
    <row r="977">
      <c r="A977" s="23" t="n">
        <v>46204</v>
      </c>
      <c r="B977" s="6" t="inlineStr">
        <is>
          <t>Pago</t>
        </is>
      </c>
      <c r="C977" s="6" t="inlineStr">
        <is>
          <t>PL530.001</t>
        </is>
      </c>
      <c r="D977" s="6" t="str">
        <f>IFERROR(VLOOKUP(E977,FORNECEDORES!$A$5:$F$999,6,FALSE),"L10")</f>
        <v>L03</v>
      </c>
      <c r="E977" s="6" t="inlineStr">
        <is>
          <t>LOCAFAZ LOCACAO DE EQUIPAMENTOS LTDA</t>
        </is>
      </c>
      <c r="F977" s="7" t="n">
        <v>877.72</v>
      </c>
      <c r="G977" s="6" t="inlineStr">
        <is>
          <t>LOCAÇÕES</t>
        </is>
      </c>
      <c r="H977" s="6" t="inlineStr">
        <is>
          <t>LOCAFAZ LOCACAO DE EQUIPAMENTOS LTDA</t>
        </is>
      </c>
      <c r="I977" s="24" t="n">
        <v>46211</v>
      </c>
      <c r="J977" s="6" t="n">
        <v>5815</v>
      </c>
    </row>
    <row r="978">
      <c r="A978" s="23" t="n">
        <v>46204</v>
      </c>
      <c r="B978" s="6" t="inlineStr">
        <is>
          <t>Pago</t>
        </is>
      </c>
      <c r="C978" s="6" t="inlineStr">
        <is>
          <t>PL530.001</t>
        </is>
      </c>
      <c r="D978" s="6" t="str">
        <f>IFERROR(VLOOKUP(E978,FORNECEDORES!$A$5:$F$999,6,FALSE),"L10")</f>
        <v>L03</v>
      </c>
      <c r="E978" s="6" t="inlineStr">
        <is>
          <t>LOCSAFE LOCADORA DE EQUIPAMENTOS LTDA</t>
        </is>
      </c>
      <c r="F978" s="7" t="n">
        <v>2240</v>
      </c>
      <c r="G978" s="6" t="inlineStr">
        <is>
          <t>LOCAÇÕES</t>
        </is>
      </c>
      <c r="H978" s="6" t="inlineStr">
        <is>
          <t>LOCSAFE LOCADORA DE EQUIPAMENTOS LTDA</t>
        </is>
      </c>
      <c r="I978" s="24" t="n">
        <v>46216</v>
      </c>
      <c r="J978" s="6" t="n">
        <v>5777</v>
      </c>
    </row>
    <row r="979">
      <c r="A979" s="23" t="n">
        <v>46204</v>
      </c>
      <c r="B979" s="6" t="inlineStr">
        <is>
          <t>Pago</t>
        </is>
      </c>
      <c r="C979" s="6" t="inlineStr">
        <is>
          <t>PL530.001</t>
        </is>
      </c>
      <c r="D979" s="6" t="str">
        <f>IFERROR(VLOOKUP(E979,FORNECEDORES!$A$5:$F$999,6,FALSE),"L10")</f>
        <v>L03</v>
      </c>
      <c r="E979" s="6" t="inlineStr">
        <is>
          <t>LOCSAFE LOCADORA DE EQUIPAMENTOS LTDA</t>
        </is>
      </c>
      <c r="F979" s="7" t="n">
        <v>2324</v>
      </c>
      <c r="G979" s="6" t="inlineStr">
        <is>
          <t>LOCAÇÕES</t>
        </is>
      </c>
      <c r="H979" s="6" t="inlineStr">
        <is>
          <t>LOCSAFE LOCADORA DE EQUIPAMENTOS</t>
        </is>
      </c>
      <c r="I979" s="24" t="n">
        <v>46227</v>
      </c>
      <c r="J979" s="6" t="n">
        <v>5790</v>
      </c>
    </row>
    <row r="980">
      <c r="A980" s="23" t="n">
        <v>46204</v>
      </c>
      <c r="B980" s="6" t="inlineStr">
        <is>
          <t>Pago</t>
        </is>
      </c>
      <c r="C980" s="6" t="inlineStr">
        <is>
          <t>PL530.001</t>
        </is>
      </c>
      <c r="D980" s="6" t="str">
        <f>IFERROR(VLOOKUP(E980,FORNECEDORES!$A$5:$F$999,6,FALSE),"L10")</f>
        <v>L01</v>
      </c>
      <c r="E980" s="6" t="inlineStr">
        <is>
          <t>LOJA ELETRICA LIMITADA</t>
        </is>
      </c>
      <c r="F980" s="7" t="n">
        <v>3.55</v>
      </c>
      <c r="G980" s="6" t="inlineStr">
        <is>
          <t>MATERIAL ELÉTRICO</t>
        </is>
      </c>
      <c r="H980" s="6" t="inlineStr">
        <is>
          <t>LOJA ELETRICA LIMITADA</t>
        </is>
      </c>
      <c r="I980" s="24" t="n">
        <v>46223</v>
      </c>
      <c r="J980" s="6" t="n">
        <v>5084</v>
      </c>
    </row>
    <row r="981">
      <c r="A981" s="23" t="n">
        <v>46204</v>
      </c>
      <c r="B981" s="6" t="inlineStr">
        <is>
          <t>Pago</t>
        </is>
      </c>
      <c r="C981" s="6" t="inlineStr">
        <is>
          <t>PL530.001</t>
        </is>
      </c>
      <c r="D981" s="6" t="str">
        <f>IFERROR(VLOOKUP(E981,FORNECEDORES!$A$5:$F$999,6,FALSE),"L10")</f>
        <v>L01</v>
      </c>
      <c r="E981" s="6" t="inlineStr">
        <is>
          <t>LOJA ELETRICA LIMITADA</t>
        </is>
      </c>
      <c r="F981" s="7" t="n">
        <v>3.49</v>
      </c>
      <c r="G981" s="6" t="inlineStr">
        <is>
          <t>MATERIAL ELÉTRICO</t>
        </is>
      </c>
      <c r="H981" s="6" t="inlineStr">
        <is>
          <t>LOJA ELETRICA LIMITADA</t>
        </is>
      </c>
      <c r="I981" s="24" t="n">
        <v>46223</v>
      </c>
      <c r="J981" s="6" t="n">
        <v>5084</v>
      </c>
    </row>
    <row r="982">
      <c r="A982" s="23" t="n">
        <v>46204</v>
      </c>
      <c r="B982" s="6" t="inlineStr">
        <is>
          <t>Pago</t>
        </is>
      </c>
      <c r="C982" s="6" t="inlineStr">
        <is>
          <t>PL530.001</t>
        </is>
      </c>
      <c r="D982" s="6" t="str">
        <f>IFERROR(VLOOKUP(E982,FORNECEDORES!$A$5:$F$999,6,FALSE),"L10")</f>
        <v>L01</v>
      </c>
      <c r="E982" s="6" t="inlineStr">
        <is>
          <t>LOJA ELETRICA LIMITADA</t>
        </is>
      </c>
      <c r="F982" s="7" t="n">
        <v>3.45</v>
      </c>
      <c r="G982" s="6" t="inlineStr">
        <is>
          <t>MATERIAL ELÉTRICO</t>
        </is>
      </c>
      <c r="H982" s="6" t="inlineStr">
        <is>
          <t>LOJA ELETRICA LIMITADA</t>
        </is>
      </c>
      <c r="I982" s="24" t="n">
        <v>46223</v>
      </c>
      <c r="J982" s="6" t="n">
        <v>5084</v>
      </c>
    </row>
    <row r="983">
      <c r="A983" s="23" t="n">
        <v>46204</v>
      </c>
      <c r="B983" s="6" t="inlineStr">
        <is>
          <t>Pago</t>
        </is>
      </c>
      <c r="C983" s="6" t="inlineStr">
        <is>
          <t>PL530.001</t>
        </is>
      </c>
      <c r="D983" s="6" t="str">
        <f>IFERROR(VLOOKUP(E983,FORNECEDORES!$A$5:$F$999,6,FALSE),"L10")</f>
        <v>L01</v>
      </c>
      <c r="E983" s="6" t="inlineStr">
        <is>
          <t>MINAS FERRAMENTAS LTDA</t>
        </is>
      </c>
      <c r="F983" s="7" t="n">
        <v>585.5</v>
      </c>
      <c r="G983" s="6" t="inlineStr">
        <is>
          <t>EQUIPAMENTOS E FERRAMENTAS</t>
        </is>
      </c>
      <c r="H983" s="6" t="inlineStr">
        <is>
          <t>MINAS FERRAMENTAS LTDA</t>
        </is>
      </c>
      <c r="I983" s="24" t="n">
        <v>46223</v>
      </c>
      <c r="J983" s="6" t="n">
        <v>5462</v>
      </c>
    </row>
    <row r="984">
      <c r="A984" s="23" t="n">
        <v>46204</v>
      </c>
      <c r="B984" s="6" t="inlineStr">
        <is>
          <t>Pago</t>
        </is>
      </c>
      <c r="C984" s="6" t="inlineStr">
        <is>
          <t>PL530.001</t>
        </is>
      </c>
      <c r="D984" s="6" t="str">
        <f>IFERROR(VLOOKUP(E984,FORNECEDORES!$A$5:$F$999,6,FALSE),"L10")</f>
        <v>L01</v>
      </c>
      <c r="E984" s="6" t="inlineStr">
        <is>
          <t>MINAS FERRAMENTAS LTDA</t>
        </is>
      </c>
      <c r="F984" s="7" t="n">
        <v>297</v>
      </c>
      <c r="G984" s="6" t="inlineStr">
        <is>
          <t>EQUIPAMENTOS E FERRAMENTAS</t>
        </is>
      </c>
      <c r="H984" s="6" t="inlineStr">
        <is>
          <t>MINAS FERRAMENTAS LTDA</t>
        </is>
      </c>
      <c r="I984" s="24" t="n">
        <v>46223</v>
      </c>
      <c r="J984" s="6" t="n">
        <v>5462</v>
      </c>
    </row>
    <row r="985">
      <c r="A985" s="23" t="n">
        <v>46204</v>
      </c>
      <c r="B985" s="6" t="inlineStr">
        <is>
          <t>Pago</t>
        </is>
      </c>
      <c r="C985" s="6" t="inlineStr">
        <is>
          <t>PL530.001</t>
        </is>
      </c>
      <c r="D985" s="6" t="str">
        <f>IFERROR(VLOOKUP(E985,FORNECEDORES!$A$5:$F$999,6,FALSE),"L10")</f>
        <v>L01</v>
      </c>
      <c r="E985" s="6" t="inlineStr">
        <is>
          <t>MINAS FERRAMENTAS LTDA</t>
        </is>
      </c>
      <c r="F985" s="7" t="n">
        <v>416.5</v>
      </c>
      <c r="G985" s="6" t="inlineStr">
        <is>
          <t>EQUIPAMENTOS E FERRAMENTAS</t>
        </is>
      </c>
      <c r="H985" s="6" t="inlineStr">
        <is>
          <t>MINAS FERRAMENTAS LTDA</t>
        </is>
      </c>
      <c r="I985" s="24" t="n">
        <v>46227</v>
      </c>
      <c r="J985" s="6" t="n">
        <v>5565</v>
      </c>
    </row>
    <row r="986">
      <c r="A986" s="23" t="n">
        <v>46204</v>
      </c>
      <c r="B986" s="6" t="inlineStr">
        <is>
          <t>Pago</t>
        </is>
      </c>
      <c r="C986" s="6" t="inlineStr">
        <is>
          <t>PL530.001</t>
        </is>
      </c>
      <c r="D986" s="6" t="str">
        <f>IFERROR(VLOOKUP(E986,FORNECEDORES!$A$5:$F$999,6,FALSE),"L10")</f>
        <v>L01</v>
      </c>
      <c r="E986" s="6" t="inlineStr">
        <is>
          <t>MINAS FERRAMENTAS LTDA</t>
        </is>
      </c>
      <c r="F986" s="7" t="n">
        <v>511.9</v>
      </c>
      <c r="G986" s="6" t="inlineStr">
        <is>
          <t>EQUIPAMENTOS E FERRAMENTAS</t>
        </is>
      </c>
      <c r="H986" s="6" t="inlineStr">
        <is>
          <t>MINAS FERRAMENTAS LTDA</t>
        </is>
      </c>
      <c r="I986" s="24" t="n">
        <v>46227</v>
      </c>
      <c r="J986" s="6" t="n">
        <v>5565</v>
      </c>
    </row>
    <row r="987">
      <c r="A987" s="23" t="n">
        <v>46204</v>
      </c>
      <c r="B987" s="6" t="inlineStr">
        <is>
          <t>Pago</t>
        </is>
      </c>
      <c r="C987" s="6" t="inlineStr">
        <is>
          <t>PL530.001</t>
        </is>
      </c>
      <c r="D987" s="6" t="str">
        <f>IFERROR(VLOOKUP(E987,FORNECEDORES!$A$5:$F$999,6,FALSE),"L10")</f>
        <v>L01</v>
      </c>
      <c r="E987" s="6" t="inlineStr">
        <is>
          <t>MINAS FERRAMENTAS LTDA</t>
        </is>
      </c>
      <c r="F987" s="7" t="n">
        <v>1435.2</v>
      </c>
      <c r="G987" s="6" t="inlineStr">
        <is>
          <t>EQUIPAMENTOS E FERRAMENTAS</t>
        </is>
      </c>
      <c r="H987" s="6" t="inlineStr">
        <is>
          <t>MINAS FERRAMENTAS LTDA</t>
        </is>
      </c>
      <c r="I987" s="24" t="n">
        <v>46216</v>
      </c>
      <c r="J987" s="6" t="n">
        <v>5446</v>
      </c>
    </row>
    <row r="988">
      <c r="A988" s="23" t="n">
        <v>46204</v>
      </c>
      <c r="B988" s="6" t="inlineStr">
        <is>
          <t>Pago</t>
        </is>
      </c>
      <c r="C988" s="6" t="inlineStr">
        <is>
          <t>PL530.001</t>
        </is>
      </c>
      <c r="D988" s="6" t="str">
        <f>IFERROR(VLOOKUP(E988,FORNECEDORES!$A$5:$F$999,6,FALSE),"L10")</f>
        <v>L01</v>
      </c>
      <c r="E988" s="6" t="inlineStr">
        <is>
          <t>MINAS FERRAMENTAS LTDA</t>
        </is>
      </c>
      <c r="F988" s="7" t="n">
        <v>511.9</v>
      </c>
      <c r="G988" s="6" t="inlineStr">
        <is>
          <t>EQUIPAMENTOS E FERRAMENTAS</t>
        </is>
      </c>
      <c r="H988" s="6" t="inlineStr">
        <is>
          <t>MINAS FERRAMENTAS LTDA</t>
        </is>
      </c>
      <c r="I988" s="24" t="n">
        <v>46216</v>
      </c>
      <c r="J988" s="6" t="n">
        <v>5446</v>
      </c>
    </row>
    <row r="989">
      <c r="A989" s="23" t="n">
        <v>46204</v>
      </c>
      <c r="B989" s="6" t="inlineStr">
        <is>
          <t>Pago</t>
        </is>
      </c>
      <c r="C989" s="6" t="inlineStr">
        <is>
          <t>PL530.001</t>
        </is>
      </c>
      <c r="D989" s="6" t="str">
        <f>IFERROR(VLOOKUP(E989,FORNECEDORES!$A$5:$F$999,6,FALSE),"L10")</f>
        <v>L01</v>
      </c>
      <c r="E989" s="6" t="inlineStr">
        <is>
          <t>MINAS FERRAMENTAS LTDA</t>
        </is>
      </c>
      <c r="F989" s="7" t="n">
        <v>961</v>
      </c>
      <c r="G989" s="6" t="inlineStr">
        <is>
          <t>EQUIPAMENTOS E FERRAMENTAS</t>
        </is>
      </c>
      <c r="H989" s="6" t="inlineStr">
        <is>
          <t>MINAS FERRAMENTAS LTDA</t>
        </is>
      </c>
      <c r="I989" s="24" t="n">
        <v>46216</v>
      </c>
      <c r="J989" s="6" t="n">
        <v>5446</v>
      </c>
    </row>
    <row r="990">
      <c r="A990" s="23" t="n">
        <v>46204</v>
      </c>
      <c r="B990" s="6" t="inlineStr">
        <is>
          <t>Pago</t>
        </is>
      </c>
      <c r="C990" s="6" t="inlineStr">
        <is>
          <t>PL530.001</t>
        </is>
      </c>
      <c r="D990" s="6" t="str">
        <f>IFERROR(VLOOKUP(E990,FORNECEDORES!$A$5:$F$999,6,FALSE),"L10")</f>
        <v>L01</v>
      </c>
      <c r="E990" s="6" t="inlineStr">
        <is>
          <t>MINAS FERRAMENTAS LTDA</t>
        </is>
      </c>
      <c r="F990" s="7" t="n">
        <v>416.5</v>
      </c>
      <c r="G990" s="6" t="inlineStr">
        <is>
          <t>EQUIPAMENTOS E FERRAMENTAS</t>
        </is>
      </c>
      <c r="H990" s="6" t="inlineStr">
        <is>
          <t>MINAS FERRAMENTAS LTDA</t>
        </is>
      </c>
      <c r="I990" s="24" t="n">
        <v>46216</v>
      </c>
      <c r="J990" s="6" t="n">
        <v>5446</v>
      </c>
    </row>
    <row r="991">
      <c r="A991" s="23" t="n">
        <v>46204</v>
      </c>
      <c r="B991" s="6" t="inlineStr">
        <is>
          <t>Pago</t>
        </is>
      </c>
      <c r="C991" s="6" t="inlineStr">
        <is>
          <t>PL530.001</t>
        </is>
      </c>
      <c r="D991" s="6" t="str">
        <f>IFERROR(VLOOKUP(E991,FORNECEDORES!$A$5:$F$999,6,FALSE),"L10")</f>
        <v>L10</v>
      </c>
      <c r="E991" s="6" t="inlineStr">
        <is>
          <t>ORGUEL INDUSTRIA E LOCACAO DE EQUIPAMENTOS S/A</t>
        </is>
      </c>
      <c r="F991" s="7" t="n">
        <v>1012.2</v>
      </c>
      <c r="G991" s="6" t="inlineStr">
        <is>
          <t>NÃO CLASSIFICADO</t>
        </is>
      </c>
      <c r="H991" s="6" t="inlineStr">
        <is>
          <t>ORGUEL INDUSTRIA E LOCACAO DE EQUIPAMENTOS S/A</t>
        </is>
      </c>
      <c r="I991" s="24" t="n">
        <v>46209</v>
      </c>
      <c r="J991" s="6" t="n">
        <v>5547</v>
      </c>
    </row>
    <row r="992">
      <c r="A992" s="23" t="n">
        <v>46204</v>
      </c>
      <c r="B992" s="6" t="inlineStr">
        <is>
          <t>Pago</t>
        </is>
      </c>
      <c r="C992" s="6" t="inlineStr">
        <is>
          <t>PL530.001</t>
        </is>
      </c>
      <c r="D992" s="6" t="str">
        <f>IFERROR(VLOOKUP(E992,FORNECEDORES!$A$5:$F$999,6,FALSE),"L10")</f>
        <v>L10</v>
      </c>
      <c r="E992" s="6" t="inlineStr">
        <is>
          <t>ORGUEL INDUSTRIA E LOCACAO DE EQUIPAMENTOS S/A</t>
        </is>
      </c>
      <c r="F992" s="7" t="n">
        <v>2016</v>
      </c>
      <c r="G992" s="6" t="inlineStr">
        <is>
          <t>NÃO CLASSIFICADO</t>
        </is>
      </c>
      <c r="H992" s="6" t="inlineStr">
        <is>
          <t>ORGUEL INDUSTRIA E LOCACAO DE EQUIPAMENTOS S/A</t>
        </is>
      </c>
      <c r="I992" s="24" t="n">
        <v>46209</v>
      </c>
      <c r="J992" s="6" t="n">
        <v>5611</v>
      </c>
    </row>
    <row r="993">
      <c r="A993" s="23" t="n">
        <v>46204</v>
      </c>
      <c r="B993" s="6" t="inlineStr">
        <is>
          <t>Pago</t>
        </is>
      </c>
      <c r="C993" s="6" t="inlineStr">
        <is>
          <t>PL530.001</t>
        </is>
      </c>
      <c r="D993" s="6" t="str">
        <f>IFERROR(VLOOKUP(E993,FORNECEDORES!$A$5:$F$999,6,FALSE),"L10")</f>
        <v>L10</v>
      </c>
      <c r="E993" s="6" t="inlineStr">
        <is>
          <t>ORGUEL INDUSTRIA E LOCACAO DE EQUIPAMENTOS S/A</t>
        </is>
      </c>
      <c r="F993" s="7" t="n">
        <v>15000</v>
      </c>
      <c r="G993" s="6" t="inlineStr">
        <is>
          <t>NÃO CLASSIFICADO</t>
        </is>
      </c>
      <c r="H993" s="6" t="inlineStr">
        <is>
          <t>ORGUEL INDUSTRIA E LOCACAO DE EQUIPAMENTOS S/A</t>
        </is>
      </c>
      <c r="I993" s="24" t="n">
        <v>46209</v>
      </c>
      <c r="J993" s="6" t="n">
        <v>5544</v>
      </c>
    </row>
    <row r="994">
      <c r="A994" s="23" t="n">
        <v>46204</v>
      </c>
      <c r="B994" s="6" t="inlineStr">
        <is>
          <t>Pago</t>
        </is>
      </c>
      <c r="C994" s="6" t="inlineStr">
        <is>
          <t>PL530.001</t>
        </is>
      </c>
      <c r="D994" s="6" t="str">
        <f>IFERROR(VLOOKUP(E994,FORNECEDORES!$A$5:$F$999,6,FALSE),"L10")</f>
        <v>L10</v>
      </c>
      <c r="E994" s="6" t="inlineStr">
        <is>
          <t>ORGUEL INDUSTRIA E LOCACAO DE EQUIPAMENTOS S/A</t>
        </is>
      </c>
      <c r="F994" s="7" t="n">
        <v>22.5</v>
      </c>
      <c r="G994" s="6" t="inlineStr">
        <is>
          <t>NÃO CLASSIFICADO</t>
        </is>
      </c>
      <c r="H994" s="6" t="inlineStr">
        <is>
          <t>IRRF - MINISTERIO DA FAZENDA - SRF</t>
        </is>
      </c>
      <c r="I994" s="24" t="n">
        <v>46223</v>
      </c>
      <c r="J994" s="6" t="n">
        <v>5562</v>
      </c>
    </row>
    <row r="995">
      <c r="A995" s="23" t="n">
        <v>46204</v>
      </c>
      <c r="B995" s="6" t="inlineStr">
        <is>
          <t>Pago</t>
        </is>
      </c>
      <c r="C995" s="6" t="inlineStr">
        <is>
          <t>PL530.001</t>
        </is>
      </c>
      <c r="D995" s="6" t="str">
        <f>IFERROR(VLOOKUP(E995,FORNECEDORES!$A$5:$F$999,6,FALSE),"L10")</f>
        <v>L10</v>
      </c>
      <c r="E995" s="6" t="inlineStr">
        <is>
          <t>ORGUEL INDUSTRIA E LOCACAO DE EQUIPAMENTOS S/A</t>
        </is>
      </c>
      <c r="F995" s="7" t="n">
        <v>69.75</v>
      </c>
      <c r="G995" s="6" t="inlineStr">
        <is>
          <t>NÃO CLASSIFICADO</t>
        </is>
      </c>
      <c r="H995" s="6" t="inlineStr">
        <is>
          <t>CSRF - MINISTERIO DA FAZENDA - SRF</t>
        </is>
      </c>
      <c r="I995" s="24" t="n">
        <v>46223</v>
      </c>
      <c r="J995" s="6" t="n">
        <v>5563</v>
      </c>
    </row>
    <row r="996">
      <c r="A996" s="23" t="n">
        <v>46204</v>
      </c>
      <c r="B996" s="6" t="inlineStr">
        <is>
          <t>Pago</t>
        </is>
      </c>
      <c r="C996" s="6" t="inlineStr">
        <is>
          <t>PL530.001</t>
        </is>
      </c>
      <c r="D996" s="6" t="str">
        <f>IFERROR(VLOOKUP(E996,FORNECEDORES!$A$5:$F$999,6,FALSE),"L10")</f>
        <v>L10</v>
      </c>
      <c r="E996" s="6" t="inlineStr">
        <is>
          <t>ORGUEL INDUSTRIA E LOCACAO DE EQUIPAMENTOS S/A</t>
        </is>
      </c>
      <c r="F996" s="7" t="n">
        <v>55.8</v>
      </c>
      <c r="G996" s="6" t="inlineStr">
        <is>
          <t>NÃO CLASSIFICADO</t>
        </is>
      </c>
      <c r="H996" s="6" t="inlineStr">
        <is>
          <t>CSRF - MINISTERIO DA FAZENDA - SRF</t>
        </is>
      </c>
      <c r="I996" s="24" t="n">
        <v>46223</v>
      </c>
      <c r="J996" s="6" t="n">
        <v>5799</v>
      </c>
    </row>
    <row r="997">
      <c r="A997" s="23" t="n">
        <v>46204</v>
      </c>
      <c r="B997" s="6" t="inlineStr">
        <is>
          <t>Pago</t>
        </is>
      </c>
      <c r="C997" s="6" t="inlineStr">
        <is>
          <t>PL530.001</t>
        </is>
      </c>
      <c r="D997" s="6" t="str">
        <f>IFERROR(VLOOKUP(E997,FORNECEDORES!$A$5:$F$999,6,FALSE),"L10")</f>
        <v>L10</v>
      </c>
      <c r="E997" s="6" t="inlineStr">
        <is>
          <t>ORGUEL INDUSTRIA E LOCACAO DE EQUIPAMENTOS S/A</t>
        </is>
      </c>
      <c r="F997" s="7" t="n">
        <v>264</v>
      </c>
      <c r="G997" s="6" t="inlineStr">
        <is>
          <t>NÃO CLASSIFICADO</t>
        </is>
      </c>
      <c r="H997" s="6" t="inlineStr">
        <is>
          <t>INSS RETIDO PJ - MINISTERIO DA PREVIDENCIA</t>
        </is>
      </c>
      <c r="I997" s="24" t="n">
        <v>46223</v>
      </c>
      <c r="J997" s="6" t="n">
        <v>5622</v>
      </c>
    </row>
    <row r="998">
      <c r="A998" s="23" t="n">
        <v>46204</v>
      </c>
      <c r="B998" s="6" t="inlineStr">
        <is>
          <t>Pago</t>
        </is>
      </c>
      <c r="C998" s="6" t="inlineStr">
        <is>
          <t>PL530.001</t>
        </is>
      </c>
      <c r="D998" s="6" t="str">
        <f>IFERROR(VLOOKUP(E998,FORNECEDORES!$A$5:$F$999,6,FALSE),"L10")</f>
        <v>L10</v>
      </c>
      <c r="E998" s="6" t="inlineStr">
        <is>
          <t>ORGUEL INDUSTRIA E LOCACAO DE EQUIPAMENTOS S/A</t>
        </is>
      </c>
      <c r="F998" s="7" t="n">
        <v>165</v>
      </c>
      <c r="G998" s="6" t="inlineStr">
        <is>
          <t>NÃO CLASSIFICADO</t>
        </is>
      </c>
      <c r="H998" s="6" t="inlineStr">
        <is>
          <t>INSS RETIDO PJ - MINISTERIO DA PREVIDENCIA</t>
        </is>
      </c>
      <c r="I998" s="24" t="n">
        <v>46223</v>
      </c>
      <c r="J998" s="6" t="n">
        <v>5564</v>
      </c>
    </row>
    <row r="999">
      <c r="A999" s="23" t="n">
        <v>46204</v>
      </c>
      <c r="B999" s="6" t="inlineStr">
        <is>
          <t>Pago</t>
        </is>
      </c>
      <c r="C999" s="6" t="inlineStr">
        <is>
          <t>PL530.001</t>
        </is>
      </c>
      <c r="D999" s="6" t="str">
        <f>IFERROR(VLOOKUP(E999,FORNECEDORES!$A$5:$F$999,6,FALSE),"L10")</f>
        <v>L10</v>
      </c>
      <c r="E999" s="6" t="inlineStr">
        <is>
          <t>ORGUEL INDUSTRIA E LOCACAO DE EQUIPAMENTOS S/A</t>
        </is>
      </c>
      <c r="F999" s="7" t="n">
        <v>132</v>
      </c>
      <c r="G999" s="6" t="inlineStr">
        <is>
          <t>NÃO CLASSIFICADO</t>
        </is>
      </c>
      <c r="H999" s="6" t="inlineStr">
        <is>
          <t>INSS RETIDO PJ - MINISTERIO DA PREVIDENCIA</t>
        </is>
      </c>
      <c r="I999" s="24" t="n">
        <v>46223</v>
      </c>
      <c r="J999" s="6" t="n">
        <v>5798</v>
      </c>
    </row>
    <row r="1000">
      <c r="A1000" s="23" t="n">
        <v>46204</v>
      </c>
      <c r="B1000" s="6" t="inlineStr">
        <is>
          <t>Pago</t>
        </is>
      </c>
      <c r="C1000" s="6" t="inlineStr">
        <is>
          <t>PL530.001</t>
        </is>
      </c>
      <c r="D1000" s="6" t="str">
        <f>IFERROR(VLOOKUP(E1000,FORNECEDORES!$A$5:$F$999,6,FALSE),"L10")</f>
        <v>L10</v>
      </c>
      <c r="E1000" s="6" t="inlineStr">
        <is>
          <t>ORGUEL INDUSTRIA E LOCACAO DE EQUIPAMENTOS S/A</t>
        </is>
      </c>
      <c r="F1000" s="7" t="n">
        <v>120</v>
      </c>
      <c r="G1000" s="6" t="inlineStr">
        <is>
          <t>NÃO CLASSIFICADO</t>
        </is>
      </c>
      <c r="H1000" s="6" t="inlineStr">
        <is>
          <t>PREFEITURA DE BELO HORIZONTE - ISSQN RETIDO</t>
        </is>
      </c>
      <c r="I1000" s="24" t="n">
        <v>46211</v>
      </c>
      <c r="J1000" s="6" t="n">
        <v>5621</v>
      </c>
    </row>
    <row r="1001">
      <c r="A1001" s="23" t="n">
        <v>46204</v>
      </c>
      <c r="B1001" s="6" t="inlineStr">
        <is>
          <t>Pago</t>
        </is>
      </c>
      <c r="C1001" s="6" t="inlineStr">
        <is>
          <t>PL530.001</t>
        </is>
      </c>
      <c r="D1001" s="6" t="str">
        <f>IFERROR(VLOOKUP(E1001,FORNECEDORES!$A$5:$F$999,6,FALSE),"L10")</f>
        <v>L03</v>
      </c>
      <c r="E1001" s="6" t="inlineStr">
        <is>
          <t>ORIGINAL LOCACOES LTDA</t>
        </is>
      </c>
      <c r="F1001" s="7" t="n">
        <v>358.99</v>
      </c>
      <c r="G1001" s="6" t="inlineStr">
        <is>
          <t>LOCAÇÕES</t>
        </is>
      </c>
      <c r="H1001" s="6" t="inlineStr">
        <is>
          <t>ORIGINAL LOCACOES LTDA</t>
        </is>
      </c>
      <c r="I1001" s="24" t="n">
        <v>46210</v>
      </c>
      <c r="J1001" s="6" t="n">
        <v>5814</v>
      </c>
    </row>
    <row r="1002">
      <c r="A1002" s="23" t="n">
        <v>46204</v>
      </c>
      <c r="B1002" s="6" t="inlineStr">
        <is>
          <t>Pago</t>
        </is>
      </c>
      <c r="C1002" s="6" t="inlineStr">
        <is>
          <t>PL530.001</t>
        </is>
      </c>
      <c r="D1002" s="6" t="str">
        <f>IFERROR(VLOOKUP(E1002,FORNECEDORES!$A$5:$F$999,6,FALSE),"L10")</f>
        <v>L03</v>
      </c>
      <c r="E1002" s="6" t="inlineStr">
        <is>
          <t>ORIGINAL LOCACOES LTDA</t>
        </is>
      </c>
      <c r="F1002" s="7" t="n">
        <v>1538.42</v>
      </c>
      <c r="G1002" s="6" t="inlineStr">
        <is>
          <t>LOCAÇÕES</t>
        </is>
      </c>
      <c r="H1002" s="6" t="inlineStr">
        <is>
          <t>ORIGINAL LOCACOES LTDA</t>
        </is>
      </c>
      <c r="I1002" s="24" t="n">
        <v>46210</v>
      </c>
      <c r="J1002" s="6" t="n">
        <v>5814</v>
      </c>
    </row>
    <row r="1003">
      <c r="A1003" s="23" t="n">
        <v>46204</v>
      </c>
      <c r="B1003" s="6" t="inlineStr">
        <is>
          <t>Pago</t>
        </is>
      </c>
      <c r="C1003" s="6" t="inlineStr">
        <is>
          <t>PL530.001</t>
        </is>
      </c>
      <c r="D1003" s="6" t="str">
        <f>IFERROR(VLOOKUP(E1003,FORNECEDORES!$A$5:$F$999,6,FALSE),"L10")</f>
        <v>L03</v>
      </c>
      <c r="E1003" s="6" t="inlineStr">
        <is>
          <t>ORIGINAL LOCACOES LTDA</t>
        </is>
      </c>
      <c r="F1003" s="7" t="n">
        <v>353.86</v>
      </c>
      <c r="G1003" s="6" t="inlineStr">
        <is>
          <t>LOCAÇÕES</t>
        </is>
      </c>
      <c r="H1003" s="6" t="inlineStr">
        <is>
          <t>ORIGINAL LOCACOES LTDA</t>
        </is>
      </c>
      <c r="I1003" s="24" t="n">
        <v>46210</v>
      </c>
      <c r="J1003" s="6" t="n">
        <v>5814</v>
      </c>
    </row>
    <row r="1004">
      <c r="A1004" s="23" t="n">
        <v>46204</v>
      </c>
      <c r="B1004" s="6" t="inlineStr">
        <is>
          <t>Pago</t>
        </is>
      </c>
      <c r="C1004" s="6" t="inlineStr">
        <is>
          <t>PL530.001</t>
        </is>
      </c>
      <c r="D1004" s="6" t="str">
        <f>IFERROR(VLOOKUP(E1004,FORNECEDORES!$A$5:$F$999,6,FALSE),"L10")</f>
        <v>L03</v>
      </c>
      <c r="E1004" s="6" t="inlineStr">
        <is>
          <t>ORIGINAL LOCACOES LTDA</t>
        </is>
      </c>
      <c r="F1004" s="7" t="n">
        <v>307.71</v>
      </c>
      <c r="G1004" s="6" t="inlineStr">
        <is>
          <t>LOCAÇÕES</t>
        </is>
      </c>
      <c r="H1004" s="6" t="inlineStr">
        <is>
          <t>ORIGINAL LOCACOES LTDA</t>
        </is>
      </c>
      <c r="I1004" s="24" t="n">
        <v>46210</v>
      </c>
      <c r="J1004" s="6" t="n">
        <v>5814</v>
      </c>
    </row>
    <row r="1005">
      <c r="A1005" s="23" t="n">
        <v>46204</v>
      </c>
      <c r="B1005" s="6" t="inlineStr">
        <is>
          <t>Pago</t>
        </is>
      </c>
      <c r="C1005" s="6" t="inlineStr">
        <is>
          <t>PL530.001</t>
        </is>
      </c>
      <c r="D1005" s="6" t="str">
        <f>IFERROR(VLOOKUP(E1005,FORNECEDORES!$A$5:$F$999,6,FALSE),"L10")</f>
        <v>L03</v>
      </c>
      <c r="E1005" s="6" t="inlineStr">
        <is>
          <t>ORIGINAL LOCACOES LTDA</t>
        </is>
      </c>
      <c r="F1005" s="7" t="n">
        <v>143.6</v>
      </c>
      <c r="G1005" s="6" t="inlineStr">
        <is>
          <t>LOCAÇÕES</t>
        </is>
      </c>
      <c r="H1005" s="6" t="inlineStr">
        <is>
          <t>ORIGINAL LOCACOES LTDA</t>
        </is>
      </c>
      <c r="I1005" s="24" t="n">
        <v>46210</v>
      </c>
      <c r="J1005" s="6" t="n">
        <v>5814</v>
      </c>
    </row>
    <row r="1006">
      <c r="A1006" s="23" t="n">
        <v>46204</v>
      </c>
      <c r="B1006" s="6" t="inlineStr">
        <is>
          <t>Pago</t>
        </is>
      </c>
      <c r="C1006" s="6" t="inlineStr">
        <is>
          <t>PL530.001</t>
        </is>
      </c>
      <c r="D1006" s="6" t="str">
        <f>IFERROR(VLOOKUP(E1006,FORNECEDORES!$A$5:$F$999,6,FALSE),"L10")</f>
        <v>L03</v>
      </c>
      <c r="E1006" s="6" t="inlineStr">
        <is>
          <t>ORIGINAL LOCACOES LTDA</t>
        </is>
      </c>
      <c r="F1006" s="7" t="n">
        <v>615.42</v>
      </c>
      <c r="G1006" s="6" t="inlineStr">
        <is>
          <t>LOCAÇÕES</t>
        </is>
      </c>
      <c r="H1006" s="6" t="inlineStr">
        <is>
          <t>ORIGINAL LOCACOES LTDA</t>
        </is>
      </c>
      <c r="I1006" s="24" t="n">
        <v>46210</v>
      </c>
      <c r="J1006" s="6" t="n">
        <v>5814</v>
      </c>
    </row>
    <row r="1007">
      <c r="A1007" s="23" t="n">
        <v>46204</v>
      </c>
      <c r="B1007" s="6" t="inlineStr">
        <is>
          <t>Pago</t>
        </is>
      </c>
      <c r="C1007" s="6" t="inlineStr">
        <is>
          <t>PL530.001</t>
        </is>
      </c>
      <c r="D1007" s="6" t="str">
        <f>IFERROR(VLOOKUP(E1007,FORNECEDORES!$A$5:$F$999,6,FALSE),"L10")</f>
        <v>L03</v>
      </c>
      <c r="E1007" s="6" t="inlineStr">
        <is>
          <t>ORIGINAL LOCACOES LTDA</t>
        </is>
      </c>
      <c r="F1007" s="7" t="n">
        <v>30.77</v>
      </c>
      <c r="G1007" s="6" t="inlineStr">
        <is>
          <t>LOCAÇÕES</t>
        </is>
      </c>
      <c r="H1007" s="6" t="inlineStr">
        <is>
          <t>ORIGINAL LOCACOES LTDA</t>
        </is>
      </c>
      <c r="I1007" s="24" t="n">
        <v>46210</v>
      </c>
      <c r="J1007" s="6" t="n">
        <v>5814</v>
      </c>
    </row>
    <row r="1008">
      <c r="A1008" s="23" t="n">
        <v>46204</v>
      </c>
      <c r="B1008" s="6" t="inlineStr">
        <is>
          <t>Pago</t>
        </is>
      </c>
      <c r="C1008" s="6" t="inlineStr">
        <is>
          <t>PL530.001</t>
        </is>
      </c>
      <c r="D1008" s="6" t="str">
        <f>IFERROR(VLOOKUP(E1008,FORNECEDORES!$A$5:$F$999,6,FALSE),"L10")</f>
        <v>L03</v>
      </c>
      <c r="E1008" s="6" t="inlineStr">
        <is>
          <t>ORIGINAL LOCACOES LTDA</t>
        </is>
      </c>
      <c r="F1008" s="7" t="n">
        <v>205.14</v>
      </c>
      <c r="G1008" s="6" t="inlineStr">
        <is>
          <t>LOCAÇÕES</t>
        </is>
      </c>
      <c r="H1008" s="6" t="inlineStr">
        <is>
          <t>ORIGINAL LOCACOES LTDA</t>
        </is>
      </c>
      <c r="I1008" s="24" t="n">
        <v>46210</v>
      </c>
      <c r="J1008" s="6" t="n">
        <v>5814</v>
      </c>
    </row>
    <row r="1009">
      <c r="A1009" s="23" t="n">
        <v>46204</v>
      </c>
      <c r="B1009" s="6" t="inlineStr">
        <is>
          <t>Pago</t>
        </is>
      </c>
      <c r="C1009" s="6" t="inlineStr">
        <is>
          <t>PL530.001</t>
        </is>
      </c>
      <c r="D1009" s="6" t="str">
        <f>IFERROR(VLOOKUP(E1009,FORNECEDORES!$A$5:$F$999,6,FALSE),"L10")</f>
        <v>L03</v>
      </c>
      <c r="E1009" s="6" t="inlineStr">
        <is>
          <t>ORIGINAL LOCACOES LTDA</t>
        </is>
      </c>
      <c r="F1009" s="7" t="n">
        <v>266.68</v>
      </c>
      <c r="G1009" s="6" t="inlineStr">
        <is>
          <t>LOCAÇÕES</t>
        </is>
      </c>
      <c r="H1009" s="6" t="inlineStr">
        <is>
          <t>ORIGINAL LOCACOES LTDA</t>
        </is>
      </c>
      <c r="I1009" s="24" t="n">
        <v>46210</v>
      </c>
      <c r="J1009" s="6" t="n">
        <v>5814</v>
      </c>
    </row>
    <row r="1010">
      <c r="A1010" s="23" t="n">
        <v>46204</v>
      </c>
      <c r="B1010" s="6" t="inlineStr">
        <is>
          <t>Pago</t>
        </is>
      </c>
      <c r="C1010" s="6" t="inlineStr">
        <is>
          <t>PL530.001</t>
        </is>
      </c>
      <c r="D1010" s="6" t="str">
        <f>IFERROR(VLOOKUP(E1010,FORNECEDORES!$A$5:$F$999,6,FALSE),"L10")</f>
        <v>L03</v>
      </c>
      <c r="E1010" s="6" t="inlineStr">
        <is>
          <t>ORIGINAL LOCACOES LTDA</t>
        </is>
      </c>
      <c r="F1010" s="7" t="n">
        <v>861.58</v>
      </c>
      <c r="G1010" s="6" t="inlineStr">
        <is>
          <t>LOCAÇÕES</t>
        </is>
      </c>
      <c r="H1010" s="6" t="inlineStr">
        <is>
          <t>ORIGINAL LOCACOES LTDA</t>
        </is>
      </c>
      <c r="I1010" s="24" t="n">
        <v>46210</v>
      </c>
      <c r="J1010" s="6" t="n">
        <v>5814</v>
      </c>
    </row>
    <row r="1011">
      <c r="A1011" s="23" t="n">
        <v>46204</v>
      </c>
      <c r="B1011" s="6" t="inlineStr">
        <is>
          <t>Pago</t>
        </is>
      </c>
      <c r="C1011" s="6" t="inlineStr">
        <is>
          <t>PL530.001</t>
        </is>
      </c>
      <c r="D1011" s="6" t="str">
        <f>IFERROR(VLOOKUP(E1011,FORNECEDORES!$A$5:$F$999,6,FALSE),"L10")</f>
        <v>L03</v>
      </c>
      <c r="E1011" s="6" t="inlineStr">
        <is>
          <t>ORIGINAL LOCACOES LTDA</t>
        </is>
      </c>
      <c r="F1011" s="7" t="n">
        <v>82.06</v>
      </c>
      <c r="G1011" s="6" t="inlineStr">
        <is>
          <t>LOCAÇÕES</t>
        </is>
      </c>
      <c r="H1011" s="6" t="inlineStr">
        <is>
          <t>ORIGINAL LOCACOES LTDA</t>
        </is>
      </c>
      <c r="I1011" s="24" t="n">
        <v>46210</v>
      </c>
      <c r="J1011" s="6" t="n">
        <v>5814</v>
      </c>
    </row>
    <row r="1012">
      <c r="A1012" s="23" t="n">
        <v>46204</v>
      </c>
      <c r="B1012" s="6" t="inlineStr">
        <is>
          <t>Pago</t>
        </is>
      </c>
      <c r="C1012" s="6" t="inlineStr">
        <is>
          <t>PL530.001</t>
        </is>
      </c>
      <c r="D1012" s="6" t="str">
        <f>IFERROR(VLOOKUP(E1012,FORNECEDORES!$A$5:$F$999,6,FALSE),"L10")</f>
        <v>L10</v>
      </c>
      <c r="E1012" s="6" t="inlineStr">
        <is>
          <t>SOIMA BRASIL INDUSTRIA E COMERCIO LTDA</t>
        </is>
      </c>
      <c r="F1012" s="7" t="n">
        <v>20000</v>
      </c>
      <c r="G1012" s="6" t="inlineStr">
        <is>
          <t>INSUMOS PARA CONTRATO</t>
        </is>
      </c>
      <c r="H1012" s="6" t="inlineStr">
        <is>
          <t>SOIMA BRASIL INDUSTRIA E COMERCIO LTDA</t>
        </is>
      </c>
      <c r="I1012" s="24" t="n">
        <v>46219</v>
      </c>
      <c r="J1012" s="6" t="n">
        <v>5769</v>
      </c>
    </row>
    <row r="1013">
      <c r="A1013" s="23" t="n">
        <v>46204</v>
      </c>
      <c r="B1013" s="6" t="inlineStr">
        <is>
          <t>Pago</t>
        </is>
      </c>
      <c r="C1013" s="6" t="inlineStr">
        <is>
          <t>PL530.001</t>
        </is>
      </c>
      <c r="D1013" s="6" t="str">
        <f>IFERROR(VLOOKUP(E1013,FORNECEDORES!$A$5:$F$999,6,FALSE),"L10")</f>
        <v>L10</v>
      </c>
      <c r="E1013" s="6" t="inlineStr">
        <is>
          <t>TECSU ENGENHARIA LTDA</t>
        </is>
      </c>
      <c r="F1013" s="7" t="n">
        <v>14282.25</v>
      </c>
      <c r="G1013" s="6" t="inlineStr">
        <is>
          <t>NÃO CLASSIFICADO</t>
        </is>
      </c>
      <c r="H1013" s="6" t="inlineStr">
        <is>
          <t>TECSU ENGENHARIA LTDA</t>
        </is>
      </c>
      <c r="I1013" s="24" t="n">
        <v>46209</v>
      </c>
      <c r="J1013" s="6" t="n">
        <v>5661</v>
      </c>
    </row>
    <row r="1014">
      <c r="A1014" s="23" t="n">
        <v>46204</v>
      </c>
      <c r="B1014" s="6" t="inlineStr">
        <is>
          <t>Pago</t>
        </is>
      </c>
      <c r="C1014" s="6" t="inlineStr">
        <is>
          <t>PL530.001</t>
        </is>
      </c>
      <c r="D1014" s="6" t="str">
        <f>IFERROR(VLOOKUP(E1014,FORNECEDORES!$A$5:$F$999,6,FALSE),"L10")</f>
        <v>L10</v>
      </c>
      <c r="E1014" s="6" t="inlineStr">
        <is>
          <t>TECSU ENGENHARIA LTDA</t>
        </is>
      </c>
      <c r="F1014" s="7" t="n">
        <v>1963.81</v>
      </c>
      <c r="G1014" s="6" t="inlineStr">
        <is>
          <t>NÃO CLASSIFICADO</t>
        </is>
      </c>
      <c r="H1014" s="6" t="inlineStr">
        <is>
          <t>INSS RETIDO PJ - MINISTERIO DA PREVIDENCIA</t>
        </is>
      </c>
      <c r="I1014" s="24" t="n">
        <v>46223</v>
      </c>
      <c r="J1014" s="6" t="n">
        <v>5665</v>
      </c>
    </row>
    <row r="1015">
      <c r="A1015" s="23" t="n">
        <v>46204</v>
      </c>
      <c r="B1015" s="6" t="inlineStr">
        <is>
          <t>Pago</t>
        </is>
      </c>
      <c r="C1015" s="6" t="inlineStr">
        <is>
          <t>PL530.001</t>
        </is>
      </c>
      <c r="D1015" s="6" t="str">
        <f>IFERROR(VLOOKUP(E1015,FORNECEDORES!$A$5:$F$999,6,FALSE),"L10")</f>
        <v>L10</v>
      </c>
      <c r="E1015" s="6" t="inlineStr">
        <is>
          <t>TECSU ENGENHARIA LTDA</t>
        </is>
      </c>
      <c r="F1015" s="7" t="n">
        <v>357.06</v>
      </c>
      <c r="G1015" s="6" t="inlineStr">
        <is>
          <t>NÃO CLASSIFICADO</t>
        </is>
      </c>
      <c r="H1015" s="6" t="inlineStr">
        <is>
          <t>PREFEITURA DE BELO HORIZONTE - ISSQN RETIDO</t>
        </is>
      </c>
      <c r="I1015" s="24" t="n">
        <v>46211</v>
      </c>
      <c r="J1015" s="6" t="n">
        <v>5688</v>
      </c>
    </row>
    <row r="1016">
      <c r="A1016" s="23" t="n">
        <v>46204</v>
      </c>
      <c r="B1016" s="6" t="inlineStr">
        <is>
          <t>Pago</t>
        </is>
      </c>
      <c r="C1016" s="6" t="inlineStr">
        <is>
          <t>PL530.001</t>
        </is>
      </c>
      <c r="D1016" s="6" t="str">
        <f>IFERROR(VLOOKUP(E1016,FORNECEDORES!$A$5:$F$999,6,FALSE),"L10")</f>
        <v>L08</v>
      </c>
      <c r="E1016" s="6" t="inlineStr">
        <is>
          <t>TELAS UNIAO INDUSTRIA E COMERCIO LTDA</t>
        </is>
      </c>
      <c r="F1016" s="7" t="n">
        <v>2089.86</v>
      </c>
      <c r="G1016" s="6" t="inlineStr">
        <is>
          <t>ESQUADRIAS DE FERRO E CERCAMENTO</t>
        </is>
      </c>
      <c r="H1016" s="6" t="inlineStr">
        <is>
          <t>TELAS UNIAO INDUSTRIA E COMERCIO LTDA</t>
        </is>
      </c>
      <c r="I1016" s="24" t="n">
        <v>46227</v>
      </c>
      <c r="J1016" s="6" t="n">
        <v>5571</v>
      </c>
    </row>
    <row r="1017">
      <c r="A1017" s="23" t="n">
        <v>46204</v>
      </c>
      <c r="B1017" s="6" t="inlineStr">
        <is>
          <t>Pago</t>
        </is>
      </c>
      <c r="C1017" s="6" t="inlineStr">
        <is>
          <t>PL530.001</t>
        </is>
      </c>
      <c r="D1017" s="6" t="str">
        <f>IFERROR(VLOOKUP(E1017,FORNECEDORES!$A$5:$F$999,6,FALSE),"L10")</f>
        <v>L08</v>
      </c>
      <c r="E1017" s="6" t="inlineStr">
        <is>
          <t>TELAS UNIAO INDUSTRIA E COMERCIO LTDA</t>
        </is>
      </c>
      <c r="F1017" s="7" t="n">
        <v>100</v>
      </c>
      <c r="G1017" s="6" t="inlineStr">
        <is>
          <t>FRETE</t>
        </is>
      </c>
      <c r="H1017" s="6" t="inlineStr">
        <is>
          <t>TELAS UNIAO INDUSTRIA E COMERCIO LTDA</t>
        </is>
      </c>
      <c r="I1017" s="24" t="n">
        <v>46227</v>
      </c>
      <c r="J1017" s="6" t="n">
        <v>5571</v>
      </c>
    </row>
    <row r="1018">
      <c r="A1018" s="23" t="n">
        <v>46235</v>
      </c>
      <c r="B1018" s="6" t="inlineStr">
        <is>
          <t>Pago</t>
        </is>
      </c>
      <c r="C1018" s="6" t="inlineStr">
        <is>
          <t>PL530.001</t>
        </is>
      </c>
      <c r="D1018" s="6" t="str">
        <f>IFERROR(VLOOKUP(E1018,FORNECEDORES!$A$5:$F$999,6,FALSE),"L10")</f>
        <v>L10</v>
      </c>
      <c r="E1018" s="6" t="inlineStr">
        <is>
          <t>ADEMILSON ROSA DO CARMO 07607064680</t>
        </is>
      </c>
      <c r="F1018" s="7" t="n">
        <v>2120.4</v>
      </c>
      <c r="G1018" s="6" t="inlineStr">
        <is>
          <t>NÃO CLASSIFICADO</t>
        </is>
      </c>
      <c r="H1018" s="6" t="inlineStr">
        <is>
          <t>ADEMILSON ROSA DO CARMO 07607064680</t>
        </is>
      </c>
      <c r="I1018" s="24" t="n">
        <v>46265</v>
      </c>
      <c r="J1018" s="6" t="n">
        <v>6448</v>
      </c>
    </row>
    <row r="1019">
      <c r="A1019" s="23" t="n">
        <v>46235</v>
      </c>
      <c r="B1019" s="6" t="inlineStr">
        <is>
          <t>Pago</t>
        </is>
      </c>
      <c r="C1019" s="6" t="inlineStr">
        <is>
          <t>PL530.001</t>
        </is>
      </c>
      <c r="D1019" s="6" t="str">
        <f>IFERROR(VLOOKUP(E1019,FORNECEDORES!$A$5:$F$999,6,FALSE),"L10")</f>
        <v>L01</v>
      </c>
      <c r="E1019" s="6" t="inlineStr">
        <is>
          <t>ARQ DESIGN MOVEIS PARA ESCRITORIO LTDA</t>
        </is>
      </c>
      <c r="F1019" s="7" t="n">
        <v>4650</v>
      </c>
      <c r="G1019" s="6" t="inlineStr">
        <is>
          <t>MÓVEIS E ELETRODOMÉSTICOS</t>
        </is>
      </c>
      <c r="H1019" s="6" t="inlineStr">
        <is>
          <t>ARQ DESIGN MOVEIS PARA ESCRITORIO LTDA</t>
        </is>
      </c>
      <c r="I1019" s="24" t="n">
        <v>46248</v>
      </c>
      <c r="J1019" s="6" t="n">
        <v>5940</v>
      </c>
    </row>
    <row r="1020">
      <c r="A1020" s="23" t="n">
        <v>46235</v>
      </c>
      <c r="B1020" s="6" t="inlineStr">
        <is>
          <t>Pago</t>
        </is>
      </c>
      <c r="C1020" s="6" t="inlineStr">
        <is>
          <t>PL530.001</t>
        </is>
      </c>
      <c r="D1020" s="6" t="str">
        <f>IFERROR(VLOOKUP(E1020,FORNECEDORES!$A$5:$F$999,6,FALSE),"L10")</f>
        <v>L01</v>
      </c>
      <c r="E1020" s="6" t="inlineStr">
        <is>
          <t>ARQ DESIGN MOVEIS PARA ESCRITORIO LTDA</t>
        </is>
      </c>
      <c r="F1020" s="7" t="n">
        <v>170</v>
      </c>
      <c r="G1020" s="6" t="inlineStr">
        <is>
          <t>FRETE</t>
        </is>
      </c>
      <c r="H1020" s="6" t="inlineStr">
        <is>
          <t>ARQ DESIGN MOVEIS PARA ESCRITORIO LTDA</t>
        </is>
      </c>
      <c r="I1020" s="24" t="n">
        <v>46248</v>
      </c>
      <c r="J1020" s="6" t="n">
        <v>5940</v>
      </c>
    </row>
    <row r="1021">
      <c r="A1021" s="23" t="n">
        <v>46235</v>
      </c>
      <c r="B1021" s="6" t="inlineStr">
        <is>
          <t>Pago</t>
        </is>
      </c>
      <c r="C1021" s="6" t="inlineStr">
        <is>
          <t>PL530.001</t>
        </is>
      </c>
      <c r="D1021" s="6" t="str">
        <f>IFERROR(VLOOKUP(E1021,FORNECEDORES!$A$5:$F$999,6,FALSE),"L10")</f>
        <v>L01</v>
      </c>
      <c r="E1021" s="6" t="inlineStr">
        <is>
          <t>BRENFEER E-COMMERCE E CONSULTORIA EMPRESARIAL LTDA</t>
        </is>
      </c>
      <c r="F1021" s="7" t="n">
        <v>69.03</v>
      </c>
      <c r="G1021" s="6" t="inlineStr">
        <is>
          <t>ACESSÓRIOS DE FIXAÇÃO</t>
        </is>
      </c>
      <c r="H1021" s="6" t="inlineStr">
        <is>
          <t>BRENFEER E-COMMERCE E CONSULTORIA EMPRESARIAL LTDA</t>
        </is>
      </c>
      <c r="I1021" s="24" t="n">
        <v>46240</v>
      </c>
      <c r="J1021" s="6" t="n">
        <v>6191</v>
      </c>
    </row>
    <row r="1022">
      <c r="A1022" s="23" t="n">
        <v>46235</v>
      </c>
      <c r="B1022" s="6" t="inlineStr">
        <is>
          <t>Pago</t>
        </is>
      </c>
      <c r="C1022" s="6" t="inlineStr">
        <is>
          <t>PL530.001</t>
        </is>
      </c>
      <c r="D1022" s="6" t="str">
        <f>IFERROR(VLOOKUP(E1022,FORNECEDORES!$A$5:$F$999,6,FALSE),"L10")</f>
        <v>L01</v>
      </c>
      <c r="E1022" s="6" t="inlineStr">
        <is>
          <t>BRENFEER E-COMMERCE E CONSULTORIA EMPRESARIAL LTDA</t>
        </is>
      </c>
      <c r="F1022" s="7" t="n">
        <v>22.2</v>
      </c>
      <c r="G1022" s="6" t="inlineStr">
        <is>
          <t>FRETE</t>
        </is>
      </c>
      <c r="H1022" s="6" t="inlineStr">
        <is>
          <t>BRENFEER E-COMMERCE E CONSULTORIA EMPRESARIAL LTDA</t>
        </is>
      </c>
      <c r="I1022" s="24" t="n">
        <v>46240</v>
      </c>
      <c r="J1022" s="6" t="n">
        <v>6191</v>
      </c>
    </row>
    <row r="1023">
      <c r="A1023" s="23" t="n">
        <v>46235</v>
      </c>
      <c r="B1023" s="6" t="inlineStr">
        <is>
          <t>Pago</t>
        </is>
      </c>
      <c r="C1023" s="6" t="inlineStr">
        <is>
          <t>PL530.001</t>
        </is>
      </c>
      <c r="D1023" s="6" t="str">
        <f>IFERROR(VLOOKUP(E1023,FORNECEDORES!$A$5:$F$999,6,FALSE),"L10")</f>
        <v>L01</v>
      </c>
      <c r="E1023" s="6" t="inlineStr">
        <is>
          <t>CARRINHO DE MAO ROMA LTDA</t>
        </is>
      </c>
      <c r="F1023" s="7" t="n">
        <v>1900</v>
      </c>
      <c r="G1023" s="6" t="inlineStr">
        <is>
          <t>EQUIPAMENTOS E FERRAMENTAS</t>
        </is>
      </c>
      <c r="H1023" s="6" t="inlineStr">
        <is>
          <t>CARRINHO DE MAO ROMA LTDA</t>
        </is>
      </c>
      <c r="I1023" s="24" t="n">
        <v>46238</v>
      </c>
      <c r="J1023" s="6" t="n">
        <v>5365</v>
      </c>
    </row>
    <row r="1024">
      <c r="A1024" s="23" t="n">
        <v>46235</v>
      </c>
      <c r="B1024" s="6" t="inlineStr">
        <is>
          <t>Pago</t>
        </is>
      </c>
      <c r="C1024" s="6" t="inlineStr">
        <is>
          <t>PL530.001</t>
        </is>
      </c>
      <c r="D1024" s="6" t="str">
        <f>IFERROR(VLOOKUP(E1024,FORNECEDORES!$A$5:$F$999,6,FALSE),"L10")</f>
        <v>L07</v>
      </c>
      <c r="E1024" s="6" t="inlineStr">
        <is>
          <t>CORDAL BH COMERCIO DE CABOS E ACESSORIOS LTDA</t>
        </is>
      </c>
      <c r="F1024" s="7" t="n">
        <v>240</v>
      </c>
      <c r="G1024" s="6" t="inlineStr">
        <is>
          <t>ACESSÓRIOS DE FIXAÇÃO</t>
        </is>
      </c>
      <c r="H1024" s="6" t="inlineStr">
        <is>
          <t>CORDAL BH COMERCIO DE CABOS E ACESSORIOS LTDA</t>
        </is>
      </c>
      <c r="I1024" s="24" t="n">
        <v>46244</v>
      </c>
      <c r="J1024" s="6" t="n">
        <v>5927</v>
      </c>
    </row>
    <row r="1025">
      <c r="A1025" s="23" t="n">
        <v>46235</v>
      </c>
      <c r="B1025" s="6" t="inlineStr">
        <is>
          <t>Pago</t>
        </is>
      </c>
      <c r="C1025" s="6" t="inlineStr">
        <is>
          <t>PL530.001</t>
        </is>
      </c>
      <c r="D1025" s="6" t="str">
        <f>IFERROR(VLOOKUP(E1025,FORNECEDORES!$A$5:$F$999,6,FALSE),"L10")</f>
        <v>L10</v>
      </c>
      <c r="E1025" s="6" t="inlineStr">
        <is>
          <t>CORTEZ LOCACAO DE EQUIPAMENTOS LTDA-ME</t>
        </is>
      </c>
      <c r="F1025" s="7" t="n">
        <v>22404.53</v>
      </c>
      <c r="G1025" s="6" t="inlineStr">
        <is>
          <t>NÃO CLASSIFICADO</t>
        </is>
      </c>
      <c r="H1025" s="6" t="inlineStr">
        <is>
          <t>CORTEZ LOCACAO DE EQUIPAMENTOS LTDA-ME</t>
        </is>
      </c>
      <c r="I1025" s="24" t="n">
        <v>46239</v>
      </c>
      <c r="J1025" s="6" t="n">
        <v>6080</v>
      </c>
    </row>
    <row r="1026">
      <c r="A1026" s="23" t="n">
        <v>46235</v>
      </c>
      <c r="B1026" s="6" t="inlineStr">
        <is>
          <t>Pago</t>
        </is>
      </c>
      <c r="C1026" s="6" t="inlineStr">
        <is>
          <t>PL530.001</t>
        </is>
      </c>
      <c r="D1026" s="6" t="str">
        <f>IFERROR(VLOOKUP(E1026,FORNECEDORES!$A$5:$F$999,6,FALSE),"L10")</f>
        <v>L10</v>
      </c>
      <c r="E1026" s="6" t="inlineStr">
        <is>
          <t>CORTEZ LOCACAO DE EQUIPAMENTOS LTDA-ME</t>
        </is>
      </c>
      <c r="F1026" s="7" t="n">
        <v>27658.92</v>
      </c>
      <c r="G1026" s="6" t="inlineStr">
        <is>
          <t>NÃO CLASSIFICADO</t>
        </is>
      </c>
      <c r="H1026" s="6" t="inlineStr">
        <is>
          <t>CORTEZ LOCACAO DE EQUIPAMENTOS LTDA-ME</t>
        </is>
      </c>
      <c r="I1026" s="24" t="n">
        <v>46265</v>
      </c>
      <c r="J1026" s="6" t="n">
        <v>6364</v>
      </c>
    </row>
    <row r="1027">
      <c r="A1027" s="23" t="n">
        <v>46235</v>
      </c>
      <c r="B1027" s="6" t="inlineStr">
        <is>
          <t>Pago</t>
        </is>
      </c>
      <c r="C1027" s="6" t="inlineStr">
        <is>
          <t>PL530.001</t>
        </is>
      </c>
      <c r="D1027" s="6" t="str">
        <f>IFERROR(VLOOKUP(E1027,FORNECEDORES!$A$5:$F$999,6,FALSE),"L10")</f>
        <v>L10</v>
      </c>
      <c r="E1027" s="6" t="inlineStr">
        <is>
          <t>CORTEZ LOCACAO DE EQUIPAMENTOS LTDA-ME</t>
        </is>
      </c>
      <c r="F1027" s="7" t="n">
        <v>2888.88</v>
      </c>
      <c r="G1027" s="6" t="inlineStr">
        <is>
          <t>NÃO CLASSIFICADO</t>
        </is>
      </c>
      <c r="H1027" s="6" t="inlineStr">
        <is>
          <t>INSS RETIDO PJ - MINISTERIO DA PREVIDENCIA</t>
        </is>
      </c>
      <c r="I1027" s="24" t="n">
        <v>46254</v>
      </c>
      <c r="J1027" s="6" t="n">
        <v>6094</v>
      </c>
    </row>
    <row r="1028">
      <c r="A1028" s="23" t="n">
        <v>46235</v>
      </c>
      <c r="B1028" s="6" t="inlineStr">
        <is>
          <t>Pago</t>
        </is>
      </c>
      <c r="C1028" s="6" t="inlineStr">
        <is>
          <t>PL530.001</t>
        </is>
      </c>
      <c r="D1028" s="6" t="str">
        <f>IFERROR(VLOOKUP(E1028,FORNECEDORES!$A$5:$F$999,6,FALSE),"L10")</f>
        <v>L10</v>
      </c>
      <c r="E1028" s="6" t="inlineStr">
        <is>
          <t>CORTEZ LOCACAO DE EQUIPAMENTOS LTDA-ME</t>
        </is>
      </c>
      <c r="F1028" s="7" t="n">
        <v>969.09</v>
      </c>
      <c r="G1028" s="6" t="inlineStr">
        <is>
          <t>NÃO CLASSIFICADO</t>
        </is>
      </c>
      <c r="H1028" s="6" t="inlineStr">
        <is>
          <t>PREFEITURA DE BELO HORIZONTE - ISSQN RETIDO</t>
        </is>
      </c>
      <c r="I1028" s="24" t="n">
        <v>46244</v>
      </c>
      <c r="J1028" s="6" t="n">
        <v>6093</v>
      </c>
    </row>
    <row r="1029">
      <c r="A1029" s="23" t="n">
        <v>46235</v>
      </c>
      <c r="B1029" s="6" t="inlineStr">
        <is>
          <t>Pago</t>
        </is>
      </c>
      <c r="C1029" s="6" t="inlineStr">
        <is>
          <t>PL530.001</t>
        </is>
      </c>
      <c r="D1029" s="6" t="str">
        <f>IFERROR(VLOOKUP(E1029,FORNECEDORES!$A$5:$F$999,6,FALSE),"L10")</f>
        <v>L03</v>
      </c>
      <c r="E1029" s="6" t="inlineStr">
        <is>
          <t>DATRON TECNOLOGIA E LOCACAO LTDA</t>
        </is>
      </c>
      <c r="F1029" s="7" t="n">
        <v>1306.18</v>
      </c>
      <c r="G1029" s="6" t="inlineStr">
        <is>
          <t>LOCAÇÕES</t>
        </is>
      </c>
      <c r="H1029" s="6" t="inlineStr">
        <is>
          <t>DATRON TECNOLOGIA E LOCACAO LTDA</t>
        </is>
      </c>
      <c r="I1029" s="24" t="n">
        <v>46265</v>
      </c>
      <c r="J1029" s="6" t="n">
        <v>6592</v>
      </c>
    </row>
    <row r="1030">
      <c r="A1030" s="23" t="n">
        <v>46235</v>
      </c>
      <c r="B1030" s="6" t="inlineStr">
        <is>
          <t>Pago</t>
        </is>
      </c>
      <c r="C1030" s="6" t="inlineStr">
        <is>
          <t>PL530.001</t>
        </is>
      </c>
      <c r="D1030" s="6" t="str">
        <f>IFERROR(VLOOKUP(E1030,FORNECEDORES!$A$5:$F$999,6,FALSE),"L10")</f>
        <v>L10</v>
      </c>
      <c r="E1030" s="6" t="inlineStr">
        <is>
          <t>DKD COMERCIO DE ACRILICO LTDA</t>
        </is>
      </c>
      <c r="F1030" s="7" t="n">
        <v>4000</v>
      </c>
      <c r="G1030" s="6" t="inlineStr">
        <is>
          <t>SUB-EMPREITEIROS OBRAS</t>
        </is>
      </c>
      <c r="H1030" s="6" t="inlineStr">
        <is>
          <t>DKD COMERCIO DE ACRILICO LTDA</t>
        </is>
      </c>
      <c r="I1030" s="24" t="n">
        <v>46260</v>
      </c>
      <c r="J1030" s="6" t="n">
        <v>5701</v>
      </c>
    </row>
    <row r="1031">
      <c r="A1031" s="23" t="n">
        <v>46235</v>
      </c>
      <c r="B1031" s="6" t="inlineStr">
        <is>
          <t>Pago</t>
        </is>
      </c>
      <c r="C1031" s="6" t="inlineStr">
        <is>
          <t>PL530.001</t>
        </is>
      </c>
      <c r="D1031" s="6" t="str">
        <f>IFERROR(VLOOKUP(E1031,FORNECEDORES!$A$5:$F$999,6,FALSE),"L10")</f>
        <v>L01</v>
      </c>
      <c r="E1031" s="6" t="inlineStr">
        <is>
          <t>DM &amp; C COMERCIO E DISTRIBUIDORA LTDA</t>
        </is>
      </c>
      <c r="F1031" s="7" t="n">
        <v>30</v>
      </c>
      <c r="G1031" s="6" t="inlineStr">
        <is>
          <t>FRETE</t>
        </is>
      </c>
      <c r="H1031" s="6" t="inlineStr">
        <is>
          <t>DM &amp; C COMERCIO E DISTRIBUIDORA LTDA</t>
        </is>
      </c>
      <c r="I1031" s="24" t="n">
        <v>46253</v>
      </c>
      <c r="J1031" s="6" t="n">
        <v>6276</v>
      </c>
    </row>
    <row r="1032">
      <c r="A1032" s="23" t="n">
        <v>46235</v>
      </c>
      <c r="B1032" s="6" t="inlineStr">
        <is>
          <t>Pago</t>
        </is>
      </c>
      <c r="C1032" s="6" t="inlineStr">
        <is>
          <t>PL530.001</t>
        </is>
      </c>
      <c r="D1032" s="6" t="str">
        <f>IFERROR(VLOOKUP(E1032,FORNECEDORES!$A$5:$F$999,6,FALSE),"L10")</f>
        <v>L01</v>
      </c>
      <c r="E1032" s="6" t="inlineStr">
        <is>
          <t>DM &amp; C COMERCIO E DISTRIBUIDORA LTDA</t>
        </is>
      </c>
      <c r="F1032" s="7" t="n">
        <v>120</v>
      </c>
      <c r="G1032" s="6" t="inlineStr">
        <is>
          <t>EQUIPAMENTOS E FERRAMENTAS</t>
        </is>
      </c>
      <c r="H1032" s="6" t="inlineStr">
        <is>
          <t>DM &amp; C COMERCIO E DISTRIBUIDORA LTDA</t>
        </is>
      </c>
      <c r="I1032" s="24" t="n">
        <v>46253</v>
      </c>
      <c r="J1032" s="6" t="n">
        <v>6276</v>
      </c>
    </row>
    <row r="1033">
      <c r="A1033" s="23" t="n">
        <v>46235</v>
      </c>
      <c r="B1033" s="6" t="inlineStr">
        <is>
          <t>Pago</t>
        </is>
      </c>
      <c r="C1033" s="6" t="inlineStr">
        <is>
          <t>PL530.001</t>
        </is>
      </c>
      <c r="D1033" s="6" t="str">
        <f>IFERROR(VLOOKUP(E1033,FORNECEDORES!$A$5:$F$999,6,FALSE),"L10")</f>
        <v>L01</v>
      </c>
      <c r="E1033" s="6" t="inlineStr">
        <is>
          <t>ESMIG INDUSTRIA DE ESCADAS LTDA</t>
        </is>
      </c>
      <c r="F1033" s="7" t="n">
        <v>122.5</v>
      </c>
      <c r="G1033" s="6" t="inlineStr">
        <is>
          <t>FRETE</t>
        </is>
      </c>
      <c r="H1033" s="6" t="inlineStr">
        <is>
          <t>ESMIG INDUSTRIA DE ESCADAS LTDA</t>
        </is>
      </c>
      <c r="I1033" s="24" t="n">
        <v>46237</v>
      </c>
      <c r="J1033" s="6" t="n">
        <v>5767</v>
      </c>
    </row>
    <row r="1034">
      <c r="A1034" s="23" t="n">
        <v>46235</v>
      </c>
      <c r="B1034" s="6" t="inlineStr">
        <is>
          <t>Pago</t>
        </is>
      </c>
      <c r="C1034" s="6" t="inlineStr">
        <is>
          <t>PL530.001</t>
        </is>
      </c>
      <c r="D1034" s="6" t="str">
        <f>IFERROR(VLOOKUP(E1034,FORNECEDORES!$A$5:$F$999,6,FALSE),"L10")</f>
        <v>L10</v>
      </c>
      <c r="E1034" s="6" t="inlineStr">
        <is>
          <t>FIAO LOCACOES E TRANSPORTES LTDA</t>
        </is>
      </c>
      <c r="F1034" s="7" t="n">
        <v>2377.72</v>
      </c>
      <c r="G1034" s="6" t="inlineStr">
        <is>
          <t>NÃO CLASSIFICADO</t>
        </is>
      </c>
      <c r="H1034" s="6" t="inlineStr">
        <is>
          <t>FIAO LOCACOES E TRANSPORTES LTDA</t>
        </is>
      </c>
      <c r="I1034" s="24" t="n">
        <v>46265</v>
      </c>
      <c r="J1034" s="6" t="n">
        <v>6427</v>
      </c>
    </row>
    <row r="1035">
      <c r="A1035" s="23" t="n">
        <v>46235</v>
      </c>
      <c r="B1035" s="6" t="inlineStr">
        <is>
          <t>Pago</t>
        </is>
      </c>
      <c r="C1035" s="6" t="inlineStr">
        <is>
          <t>PL530.001</t>
        </is>
      </c>
      <c r="D1035" s="6" t="str">
        <f>IFERROR(VLOOKUP(E1035,FORNECEDORES!$A$5:$F$999,6,FALSE),"L10")</f>
        <v>L10</v>
      </c>
      <c r="E1035" s="6" t="inlineStr">
        <is>
          <t>FIAO LOCACOES E TRANSPORTES LTDA</t>
        </is>
      </c>
      <c r="F1035" s="7" t="n">
        <v>169.58</v>
      </c>
      <c r="G1035" s="6" t="inlineStr">
        <is>
          <t>NÃO CLASSIFICADO</t>
        </is>
      </c>
      <c r="H1035" s="6" t="inlineStr">
        <is>
          <t>INSS RETIDO PJ - MINISTERIO DA PREVIDENCIA</t>
        </is>
      </c>
      <c r="I1035" s="24" t="n">
        <v>46254</v>
      </c>
      <c r="J1035" s="6" t="n">
        <v>5978</v>
      </c>
    </row>
    <row r="1036">
      <c r="A1036" s="23" t="n">
        <v>46235</v>
      </c>
      <c r="B1036" s="6" t="inlineStr">
        <is>
          <t>Pago</t>
        </is>
      </c>
      <c r="C1036" s="6" t="inlineStr">
        <is>
          <t>PL530.001</t>
        </is>
      </c>
      <c r="D1036" s="6" t="str">
        <f>IFERROR(VLOOKUP(E1036,FORNECEDORES!$A$5:$F$999,6,FALSE),"L10")</f>
        <v>L10</v>
      </c>
      <c r="E1036" s="6" t="inlineStr">
        <is>
          <t>FIAO LOCACOES E TRANSPORTES LTDA</t>
        </is>
      </c>
      <c r="F1036" s="7" t="n">
        <v>119.02</v>
      </c>
      <c r="G1036" s="6" t="inlineStr">
        <is>
          <t>NÃO CLASSIFICADO</t>
        </is>
      </c>
      <c r="H1036" s="6" t="inlineStr">
        <is>
          <t>PREFEITURA DE BELO HORIZONTE - ISSQN RETIDO</t>
        </is>
      </c>
      <c r="I1036" s="24" t="n">
        <v>46244</v>
      </c>
      <c r="J1036" s="6" t="n">
        <v>5979</v>
      </c>
    </row>
    <row r="1037">
      <c r="A1037" s="23" t="n">
        <v>46235</v>
      </c>
      <c r="B1037" s="6" t="inlineStr">
        <is>
          <t>Pago</t>
        </is>
      </c>
      <c r="C1037" s="6" t="inlineStr">
        <is>
          <t>PL530.001</t>
        </is>
      </c>
      <c r="D1037" s="6" t="str">
        <f>IFERROR(VLOOKUP(E1037,FORNECEDORES!$A$5:$F$999,6,FALSE),"L10")</f>
        <v>L04</v>
      </c>
      <c r="E1037" s="6" t="inlineStr">
        <is>
          <t>JRE COMERCIO DE MADEIRAS LTDA</t>
        </is>
      </c>
      <c r="F1037" s="7" t="n">
        <v>12250.24</v>
      </c>
      <c r="G1037" s="6" t="inlineStr">
        <is>
          <t>FORMA DE MADEIRA</t>
        </is>
      </c>
      <c r="H1037" s="6" t="inlineStr">
        <is>
          <t>JRE COMERCIO DE MADEIRAS LTDA</t>
        </is>
      </c>
      <c r="I1037" s="24" t="n">
        <v>46245</v>
      </c>
      <c r="J1037" s="6" t="n">
        <v>5572</v>
      </c>
    </row>
    <row r="1038">
      <c r="A1038" s="23" t="n">
        <v>46235</v>
      </c>
      <c r="B1038" s="6" t="inlineStr">
        <is>
          <t>Pago</t>
        </is>
      </c>
      <c r="C1038" s="6" t="inlineStr">
        <is>
          <t>PL530.001</t>
        </is>
      </c>
      <c r="D1038" s="6" t="str">
        <f>IFERROR(VLOOKUP(E1038,FORNECEDORES!$A$5:$F$999,6,FALSE),"L10")</f>
        <v>L04</v>
      </c>
      <c r="E1038" s="6" t="inlineStr">
        <is>
          <t>JRE COMERCIO DE MADEIRAS LTDA</t>
        </is>
      </c>
      <c r="F1038" s="7" t="n">
        <v>65</v>
      </c>
      <c r="G1038" s="6" t="inlineStr">
        <is>
          <t>FRETE</t>
        </is>
      </c>
      <c r="H1038" s="6" t="inlineStr">
        <is>
          <t>JRE COMERCIO DE MADEIRAS LTDA</t>
        </is>
      </c>
      <c r="I1038" s="24" t="n">
        <v>46245</v>
      </c>
      <c r="J1038" s="6" t="n">
        <v>5572</v>
      </c>
    </row>
    <row r="1039">
      <c r="A1039" s="23" t="n">
        <v>46235</v>
      </c>
      <c r="B1039" s="6" t="inlineStr">
        <is>
          <t>Pago</t>
        </is>
      </c>
      <c r="C1039" s="6" t="inlineStr">
        <is>
          <t>PL530.001</t>
        </is>
      </c>
      <c r="D1039" s="6" t="str">
        <f>IFERROR(VLOOKUP(E1039,FORNECEDORES!$A$5:$F$999,6,FALSE),"L10")</f>
        <v>L10</v>
      </c>
      <c r="E1039" s="6" t="inlineStr">
        <is>
          <t>LN SERVICOS E MONTAGEM LTDA</t>
        </is>
      </c>
      <c r="F1039" s="7" t="n">
        <v>3708.86</v>
      </c>
      <c r="G1039" s="6" t="inlineStr">
        <is>
          <t>NÃO CLASSIFICADO</t>
        </is>
      </c>
      <c r="H1039" s="6" t="inlineStr">
        <is>
          <t>LN SERVICOS E MONTAGEM LTDA</t>
        </is>
      </c>
      <c r="I1039" s="24" t="n">
        <v>46255</v>
      </c>
      <c r="J1039" s="6" t="n">
        <v>6353</v>
      </c>
    </row>
    <row r="1040">
      <c r="A1040" s="23" t="n">
        <v>46235</v>
      </c>
      <c r="B1040" s="6" t="inlineStr">
        <is>
          <t>Pago</t>
        </is>
      </c>
      <c r="C1040" s="6" t="inlineStr">
        <is>
          <t>PL530.001</t>
        </is>
      </c>
      <c r="D1040" s="6" t="str">
        <f>IFERROR(VLOOKUP(E1040,FORNECEDORES!$A$5:$F$999,6,FALSE),"L10")</f>
        <v>L03</v>
      </c>
      <c r="E1040" s="6" t="inlineStr">
        <is>
          <t>LOC MASTER LOCADORA DE EQUIPAMENTOS LTDA</t>
        </is>
      </c>
      <c r="F1040" s="7" t="n">
        <v>1450</v>
      </c>
      <c r="G1040" s="6" t="inlineStr">
        <is>
          <t>LOCAÇÕES</t>
        </is>
      </c>
      <c r="H1040" s="6" t="inlineStr">
        <is>
          <t>LOC MASTER LOCADORA DE EQUIPAMENTOS LTDA</t>
        </is>
      </c>
      <c r="I1040" s="24" t="n">
        <v>46244</v>
      </c>
      <c r="J1040" s="6" t="n">
        <v>6184</v>
      </c>
    </row>
    <row r="1041">
      <c r="A1041" s="23" t="n">
        <v>46235</v>
      </c>
      <c r="B1041" s="6" t="inlineStr">
        <is>
          <t>Pago</t>
        </is>
      </c>
      <c r="C1041" s="6" t="inlineStr">
        <is>
          <t>PL530.001</t>
        </is>
      </c>
      <c r="D1041" s="6" t="str">
        <f>IFERROR(VLOOKUP(E1041,FORNECEDORES!$A$5:$F$999,6,FALSE),"L10")</f>
        <v>L03</v>
      </c>
      <c r="E1041" s="6" t="inlineStr">
        <is>
          <t>LOC MASTER LOCADORA DE EQUIPAMENTOS LTDA</t>
        </is>
      </c>
      <c r="F1041" s="7" t="n">
        <v>1009.8</v>
      </c>
      <c r="G1041" s="6" t="inlineStr">
        <is>
          <t>LOCAÇÕES</t>
        </is>
      </c>
      <c r="H1041" s="6" t="inlineStr">
        <is>
          <t>LOC MASTER LOCADORA DE EQUIPAMENTOS LTDA</t>
        </is>
      </c>
      <c r="I1041" s="24" t="n">
        <v>46240</v>
      </c>
      <c r="J1041" s="6" t="n">
        <v>6183</v>
      </c>
    </row>
    <row r="1042">
      <c r="A1042" s="23" t="n">
        <v>46235</v>
      </c>
      <c r="B1042" s="6" t="inlineStr">
        <is>
          <t>Pago</t>
        </is>
      </c>
      <c r="C1042" s="6" t="inlineStr">
        <is>
          <t>PL530.001</t>
        </is>
      </c>
      <c r="D1042" s="6" t="str">
        <f>IFERROR(VLOOKUP(E1042,FORNECEDORES!$A$5:$F$999,6,FALSE),"L10")</f>
        <v>L03</v>
      </c>
      <c r="E1042" s="6" t="inlineStr">
        <is>
          <t>LOC MASTER LOCADORA DE EQUIPAMENTOS LTDA</t>
        </is>
      </c>
      <c r="F1042" s="7" t="n">
        <v>2039.7</v>
      </c>
      <c r="G1042" s="6" t="inlineStr">
        <is>
          <t>LOCAÇÕES</t>
        </is>
      </c>
      <c r="H1042" s="6" t="inlineStr">
        <is>
          <t>LOC MASTER LOCADORA DE EQUIPAMENTOS LTDA</t>
        </is>
      </c>
      <c r="I1042" s="24" t="n">
        <v>46240</v>
      </c>
      <c r="J1042" s="6" t="n">
        <v>6185</v>
      </c>
    </row>
    <row r="1043">
      <c r="A1043" s="23" t="n">
        <v>46235</v>
      </c>
      <c r="B1043" s="6" t="inlineStr">
        <is>
          <t>Pago</t>
        </is>
      </c>
      <c r="C1043" s="6" t="inlineStr">
        <is>
          <t>PL530.001</t>
        </is>
      </c>
      <c r="D1043" s="6" t="str">
        <f>IFERROR(VLOOKUP(E1043,FORNECEDORES!$A$5:$F$999,6,FALSE),"L10")</f>
        <v>L01</v>
      </c>
      <c r="E1043" s="6" t="inlineStr">
        <is>
          <t>LOJA ELETRICA LIMITADA</t>
        </is>
      </c>
      <c r="F1043" s="7" t="n">
        <v>254.3</v>
      </c>
      <c r="G1043" s="6" t="inlineStr">
        <is>
          <t>MATERIAL ELÉTRICO</t>
        </is>
      </c>
      <c r="H1043" s="6" t="inlineStr">
        <is>
          <t>LOJA ELETRICA LIMITADA</t>
        </is>
      </c>
      <c r="I1043" s="24" t="n">
        <v>46244</v>
      </c>
      <c r="J1043" s="6" t="n">
        <v>5700</v>
      </c>
    </row>
    <row r="1044">
      <c r="A1044" s="23" t="n">
        <v>46235</v>
      </c>
      <c r="B1044" s="6" t="inlineStr">
        <is>
          <t>Pago</t>
        </is>
      </c>
      <c r="C1044" s="6" t="inlineStr">
        <is>
          <t>PL530.001</t>
        </is>
      </c>
      <c r="D1044" s="6" t="str">
        <f>IFERROR(VLOOKUP(E1044,FORNECEDORES!$A$5:$F$999,6,FALSE),"L10")</f>
        <v>L01</v>
      </c>
      <c r="E1044" s="6" t="inlineStr">
        <is>
          <t>MINAS FERRAMENTAS LTDA</t>
        </is>
      </c>
      <c r="F1044" s="7" t="n">
        <v>26.3</v>
      </c>
      <c r="G1044" s="6" t="inlineStr">
        <is>
          <t>MATERIAL DE PINTURA</t>
        </is>
      </c>
      <c r="H1044" s="6" t="inlineStr">
        <is>
          <t>MINAS FERRAMENTAS LTDA</t>
        </is>
      </c>
      <c r="I1044" s="24" t="n">
        <v>46237</v>
      </c>
      <c r="J1044" s="6" t="n">
        <v>5617</v>
      </c>
    </row>
    <row r="1045">
      <c r="A1045" s="23" t="n">
        <v>46235</v>
      </c>
      <c r="B1045" s="6" t="inlineStr">
        <is>
          <t>Pago</t>
        </is>
      </c>
      <c r="C1045" s="6" t="inlineStr">
        <is>
          <t>PL530.001</t>
        </is>
      </c>
      <c r="D1045" s="6" t="str">
        <f>IFERROR(VLOOKUP(E1045,FORNECEDORES!$A$5:$F$999,6,FALSE),"L10")</f>
        <v>L01</v>
      </c>
      <c r="E1045" s="6" t="inlineStr">
        <is>
          <t>MINAS FERRAMENTAS LTDA</t>
        </is>
      </c>
      <c r="F1045" s="7" t="n">
        <v>26.3</v>
      </c>
      <c r="G1045" s="6" t="inlineStr">
        <is>
          <t>MATERIAL DE PINTURA</t>
        </is>
      </c>
      <c r="H1045" s="6" t="inlineStr">
        <is>
          <t>MINAS FERRAMENTAS LTDA</t>
        </is>
      </c>
      <c r="I1045" s="24" t="n">
        <v>46237</v>
      </c>
      <c r="J1045" s="6" t="n">
        <v>5617</v>
      </c>
    </row>
    <row r="1046">
      <c r="A1046" s="23" t="n">
        <v>46235</v>
      </c>
      <c r="B1046" s="6" t="inlineStr">
        <is>
          <t>Pago</t>
        </is>
      </c>
      <c r="C1046" s="6" t="inlineStr">
        <is>
          <t>PL530.001</t>
        </is>
      </c>
      <c r="D1046" s="6" t="str">
        <f>IFERROR(VLOOKUP(E1046,FORNECEDORES!$A$5:$F$999,6,FALSE),"L10")</f>
        <v>L01</v>
      </c>
      <c r="E1046" s="6" t="inlineStr">
        <is>
          <t>MINAS FERRAMENTAS LTDA</t>
        </is>
      </c>
      <c r="F1046" s="7" t="n">
        <v>44.4</v>
      </c>
      <c r="G1046" s="6" t="inlineStr">
        <is>
          <t>EQUIPAMENTOS E FERRAMENTAS</t>
        </is>
      </c>
      <c r="H1046" s="6" t="inlineStr">
        <is>
          <t>MINAS FERRAMENTAS LTDA</t>
        </is>
      </c>
      <c r="I1046" s="24" t="n">
        <v>46244</v>
      </c>
      <c r="J1046" s="6" t="n">
        <v>5738</v>
      </c>
    </row>
    <row r="1047">
      <c r="A1047" s="23" t="n">
        <v>46235</v>
      </c>
      <c r="B1047" s="6" t="inlineStr">
        <is>
          <t>Pago</t>
        </is>
      </c>
      <c r="C1047" s="6" t="inlineStr">
        <is>
          <t>PL530.001</t>
        </is>
      </c>
      <c r="D1047" s="6" t="str">
        <f>IFERROR(VLOOKUP(E1047,FORNECEDORES!$A$5:$F$999,6,FALSE),"L10")</f>
        <v>L01</v>
      </c>
      <c r="E1047" s="6" t="inlineStr">
        <is>
          <t>MINAS FERRAMENTAS LTDA</t>
        </is>
      </c>
      <c r="F1047" s="7" t="n">
        <v>511.9</v>
      </c>
      <c r="G1047" s="6" t="inlineStr">
        <is>
          <t>EQUIPAMENTOS E FERRAMENTAS</t>
        </is>
      </c>
      <c r="H1047" s="6" t="inlineStr">
        <is>
          <t>MINAS FERRAMENTAS LTDA</t>
        </is>
      </c>
      <c r="I1047" s="24" t="n">
        <v>46244</v>
      </c>
      <c r="J1047" s="6" t="n">
        <v>5738</v>
      </c>
    </row>
    <row r="1048">
      <c r="A1048" s="23" t="n">
        <v>46235</v>
      </c>
      <c r="B1048" s="6" t="inlineStr">
        <is>
          <t>Pago</t>
        </is>
      </c>
      <c r="C1048" s="6" t="inlineStr">
        <is>
          <t>PL530.001</t>
        </is>
      </c>
      <c r="D1048" s="6" t="str">
        <f>IFERROR(VLOOKUP(E1048,FORNECEDORES!$A$5:$F$999,6,FALSE),"L10")</f>
        <v>L01</v>
      </c>
      <c r="E1048" s="6" t="inlineStr">
        <is>
          <t>MINAS FERRAMENTAS LTDA</t>
        </is>
      </c>
      <c r="F1048" s="7" t="n">
        <v>126.81</v>
      </c>
      <c r="G1048" s="6" t="inlineStr">
        <is>
          <t>EQUIPAMENTOS E FERRAMENTAS</t>
        </is>
      </c>
      <c r="H1048" s="6" t="inlineStr">
        <is>
          <t>MINAS FERRAMENTAS LTDA</t>
        </is>
      </c>
      <c r="I1048" s="24" t="n">
        <v>46244</v>
      </c>
      <c r="J1048" s="6" t="n">
        <v>5738</v>
      </c>
    </row>
    <row r="1049">
      <c r="A1049" s="23" t="n">
        <v>46235</v>
      </c>
      <c r="B1049" s="6" t="inlineStr">
        <is>
          <t>Pago</t>
        </is>
      </c>
      <c r="C1049" s="6" t="inlineStr">
        <is>
          <t>PL530.001</t>
        </is>
      </c>
      <c r="D1049" s="6" t="str">
        <f>IFERROR(VLOOKUP(E1049,FORNECEDORES!$A$5:$F$999,6,FALSE),"L10")</f>
        <v>L01</v>
      </c>
      <c r="E1049" s="6" t="inlineStr">
        <is>
          <t>MINAS FERRAMENTAS LTDA</t>
        </is>
      </c>
      <c r="F1049" s="7" t="n">
        <v>301.14</v>
      </c>
      <c r="G1049" s="6" t="inlineStr">
        <is>
          <t>EQUIPAMENTOS E FERRAMENTAS</t>
        </is>
      </c>
      <c r="H1049" s="6" t="inlineStr">
        <is>
          <t>MINAS FERRAMENTAS LTDA</t>
        </is>
      </c>
      <c r="I1049" s="24" t="n">
        <v>46244</v>
      </c>
      <c r="J1049" s="6" t="n">
        <v>5738</v>
      </c>
    </row>
    <row r="1050">
      <c r="A1050" s="23" t="n">
        <v>46235</v>
      </c>
      <c r="B1050" s="6" t="inlineStr">
        <is>
          <t>Pago</t>
        </is>
      </c>
      <c r="C1050" s="6" t="inlineStr">
        <is>
          <t>PL530.001</t>
        </is>
      </c>
      <c r="D1050" s="6" t="str">
        <f>IFERROR(VLOOKUP(E1050,FORNECEDORES!$A$5:$F$999,6,FALSE),"L10")</f>
        <v>L01</v>
      </c>
      <c r="E1050" s="6" t="inlineStr">
        <is>
          <t>MINAS FERRAMENTAS LTDA</t>
        </is>
      </c>
      <c r="F1050" s="7" t="n">
        <v>263.16</v>
      </c>
      <c r="G1050" s="6" t="inlineStr">
        <is>
          <t>EQUIPAMENTOS E FERRAMENTAS</t>
        </is>
      </c>
      <c r="H1050" s="6" t="inlineStr">
        <is>
          <t>MINAS FERRAMENTAS LTDA</t>
        </is>
      </c>
      <c r="I1050" s="24" t="n">
        <v>46248</v>
      </c>
      <c r="J1050" s="6" t="n">
        <v>5765</v>
      </c>
    </row>
    <row r="1051">
      <c r="A1051" s="23" t="n">
        <v>46235</v>
      </c>
      <c r="B1051" s="6" t="inlineStr">
        <is>
          <t>Pago</t>
        </is>
      </c>
      <c r="C1051" s="6" t="inlineStr">
        <is>
          <t>PL530.001</t>
        </is>
      </c>
      <c r="D1051" s="6" t="str">
        <f>IFERROR(VLOOKUP(E1051,FORNECEDORES!$A$5:$F$999,6,FALSE),"L10")</f>
        <v>L01</v>
      </c>
      <c r="E1051" s="6" t="inlineStr">
        <is>
          <t>MINAS FERRAMENTAS LTDA</t>
        </is>
      </c>
      <c r="F1051" s="7" t="n">
        <v>943.5</v>
      </c>
      <c r="G1051" s="6" t="inlineStr">
        <is>
          <t>EQUIPAMENTOS E FERRAMENTAS</t>
        </is>
      </c>
      <c r="H1051" s="6" t="inlineStr">
        <is>
          <t>MINAS FERRAMENTAS LTDA</t>
        </is>
      </c>
      <c r="I1051" s="24" t="n">
        <v>46248</v>
      </c>
      <c r="J1051" s="6" t="n">
        <v>5765</v>
      </c>
    </row>
    <row r="1052">
      <c r="A1052" s="23" t="n">
        <v>46235</v>
      </c>
      <c r="B1052" s="6" t="inlineStr">
        <is>
          <t>Pago</t>
        </is>
      </c>
      <c r="C1052" s="6" t="inlineStr">
        <is>
          <t>PL530.001</t>
        </is>
      </c>
      <c r="D1052" s="6" t="str">
        <f>IFERROR(VLOOKUP(E1052,FORNECEDORES!$A$5:$F$999,6,FALSE),"L10")</f>
        <v>L01</v>
      </c>
      <c r="E1052" s="6" t="inlineStr">
        <is>
          <t>MINAS FERRAMENTAS LTDA</t>
        </is>
      </c>
      <c r="F1052" s="7" t="n">
        <v>157.24</v>
      </c>
      <c r="G1052" s="6" t="inlineStr">
        <is>
          <t>EQUIPAMENTOS E FERRAMENTAS</t>
        </is>
      </c>
      <c r="H1052" s="6" t="inlineStr">
        <is>
          <t>MINAS FERRAMENTAS LTDA</t>
        </is>
      </c>
      <c r="I1052" s="24" t="n">
        <v>46248</v>
      </c>
      <c r="J1052" s="6" t="n">
        <v>5765</v>
      </c>
    </row>
    <row r="1053">
      <c r="A1053" s="23" t="n">
        <v>46235</v>
      </c>
      <c r="B1053" s="6" t="inlineStr">
        <is>
          <t>Pago</t>
        </is>
      </c>
      <c r="C1053" s="6" t="inlineStr">
        <is>
          <t>PL530.001</t>
        </is>
      </c>
      <c r="D1053" s="6" t="str">
        <f>IFERROR(VLOOKUP(E1053,FORNECEDORES!$A$5:$F$999,6,FALSE),"L10")</f>
        <v>L01</v>
      </c>
      <c r="E1053" s="6" t="inlineStr">
        <is>
          <t>MINAS FERRAMENTAS LTDA</t>
        </is>
      </c>
      <c r="F1053" s="7" t="n">
        <v>96</v>
      </c>
      <c r="G1053" s="6" t="inlineStr">
        <is>
          <t>EQUIPAMENTOS E FERRAMENTAS</t>
        </is>
      </c>
      <c r="H1053" s="6" t="inlineStr">
        <is>
          <t>MINAS FERRAMENTAS LTDA</t>
        </is>
      </c>
      <c r="I1053" s="24" t="n">
        <v>46258</v>
      </c>
      <c r="J1053" s="6" t="n">
        <v>6060</v>
      </c>
    </row>
    <row r="1054">
      <c r="A1054" s="23" t="n">
        <v>46235</v>
      </c>
      <c r="B1054" s="6" t="inlineStr">
        <is>
          <t>Pago</t>
        </is>
      </c>
      <c r="C1054" s="6" t="inlineStr">
        <is>
          <t>PL530.001</t>
        </is>
      </c>
      <c r="D1054" s="6" t="str">
        <f>IFERROR(VLOOKUP(E1054,FORNECEDORES!$A$5:$F$999,6,FALSE),"L10")</f>
        <v>L01</v>
      </c>
      <c r="E1054" s="6" t="inlineStr">
        <is>
          <t>MINAS FERRAMENTAS LTDA</t>
        </is>
      </c>
      <c r="F1054" s="7" t="n">
        <v>519.8</v>
      </c>
      <c r="G1054" s="6" t="inlineStr">
        <is>
          <t>EQUIPAMENTOS E FERRAMENTAS</t>
        </is>
      </c>
      <c r="H1054" s="6" t="inlineStr">
        <is>
          <t>MINAS FERRAMENTAS LTDA</t>
        </is>
      </c>
      <c r="I1054" s="24" t="n">
        <v>46258</v>
      </c>
      <c r="J1054" s="6" t="n">
        <v>6060</v>
      </c>
    </row>
    <row r="1055">
      <c r="A1055" s="23" t="n">
        <v>46235</v>
      </c>
      <c r="B1055" s="6" t="inlineStr">
        <is>
          <t>Pago</t>
        </is>
      </c>
      <c r="C1055" s="6" t="inlineStr">
        <is>
          <t>PL530.001</t>
        </is>
      </c>
      <c r="D1055" s="6" t="str">
        <f>IFERROR(VLOOKUP(E1055,FORNECEDORES!$A$5:$F$999,6,FALSE),"L10")</f>
        <v>L01</v>
      </c>
      <c r="E1055" s="6" t="inlineStr">
        <is>
          <t>MINAS FERRAMENTAS LTDA</t>
        </is>
      </c>
      <c r="F1055" s="7" t="n">
        <v>81</v>
      </c>
      <c r="G1055" s="6" t="inlineStr">
        <is>
          <t>EQUIPAMENTOS E FERRAMENTAS</t>
        </is>
      </c>
      <c r="H1055" s="6" t="inlineStr">
        <is>
          <t>MINAS FERRAMENTAS LTDA</t>
        </is>
      </c>
      <c r="I1055" s="24" t="n">
        <v>46258</v>
      </c>
      <c r="J1055" s="6" t="n">
        <v>6060</v>
      </c>
    </row>
    <row r="1056">
      <c r="A1056" s="23" t="n">
        <v>46235</v>
      </c>
      <c r="B1056" s="6" t="inlineStr">
        <is>
          <t>Pago</t>
        </is>
      </c>
      <c r="C1056" s="6" t="inlineStr">
        <is>
          <t>PL530.001</t>
        </is>
      </c>
      <c r="D1056" s="6" t="str">
        <f>IFERROR(VLOOKUP(E1056,FORNECEDORES!$A$5:$F$999,6,FALSE),"L10")</f>
        <v>L01</v>
      </c>
      <c r="E1056" s="6" t="inlineStr">
        <is>
          <t>MINAS FERRAMENTAS LTDA</t>
        </is>
      </c>
      <c r="F1056" s="7" t="n">
        <v>108</v>
      </c>
      <c r="G1056" s="6" t="inlineStr">
        <is>
          <t>EQUIPAMENTOS E FERRAMENTAS</t>
        </is>
      </c>
      <c r="H1056" s="6" t="inlineStr">
        <is>
          <t>MINAS FERRAMENTAS LTDA</t>
        </is>
      </c>
      <c r="I1056" s="24" t="n">
        <v>46258</v>
      </c>
      <c r="J1056" s="6" t="n">
        <v>6060</v>
      </c>
    </row>
    <row r="1057">
      <c r="A1057" s="23" t="n">
        <v>46235</v>
      </c>
      <c r="B1057" s="6" t="inlineStr">
        <is>
          <t>Pago</t>
        </is>
      </c>
      <c r="C1057" s="6" t="inlineStr">
        <is>
          <t>PL530.001</t>
        </is>
      </c>
      <c r="D1057" s="6" t="str">
        <f>IFERROR(VLOOKUP(E1057,FORNECEDORES!$A$5:$F$999,6,FALSE),"L10")</f>
        <v>L01</v>
      </c>
      <c r="E1057" s="6" t="inlineStr">
        <is>
          <t>MINAS FERRAMENTAS LTDA</t>
        </is>
      </c>
      <c r="F1057" s="7" t="n">
        <v>118.5</v>
      </c>
      <c r="G1057" s="6" t="inlineStr">
        <is>
          <t>EQUIPAMENTOS E FERRAMENTAS</t>
        </is>
      </c>
      <c r="H1057" s="6" t="inlineStr">
        <is>
          <t>MINAS FERRAMENTAS LTDA</t>
        </is>
      </c>
      <c r="I1057" s="24" t="n">
        <v>46258</v>
      </c>
      <c r="J1057" s="6" t="n">
        <v>6060</v>
      </c>
    </row>
    <row r="1058">
      <c r="A1058" s="23" t="n">
        <v>46235</v>
      </c>
      <c r="B1058" s="6" t="inlineStr">
        <is>
          <t>Pago</t>
        </is>
      </c>
      <c r="C1058" s="6" t="inlineStr">
        <is>
          <t>PL530.001</t>
        </is>
      </c>
      <c r="D1058" s="6" t="str">
        <f>IFERROR(VLOOKUP(E1058,FORNECEDORES!$A$5:$F$999,6,FALSE),"L10")</f>
        <v>L01</v>
      </c>
      <c r="E1058" s="6" t="inlineStr">
        <is>
          <t>MINAS FERRAMENTAS LTDA</t>
        </is>
      </c>
      <c r="F1058" s="7" t="n">
        <v>645.95</v>
      </c>
      <c r="G1058" s="6" t="inlineStr">
        <is>
          <t>EQUIPAMENTOS E FERRAMENTAS</t>
        </is>
      </c>
      <c r="H1058" s="6" t="inlineStr">
        <is>
          <t>MINAS FERRAMENTAS LTDA</t>
        </is>
      </c>
      <c r="I1058" s="24" t="n">
        <v>46258</v>
      </c>
      <c r="J1058" s="6" t="n">
        <v>6060</v>
      </c>
    </row>
    <row r="1059">
      <c r="A1059" s="23" t="n">
        <v>46235</v>
      </c>
      <c r="B1059" s="6" t="inlineStr">
        <is>
          <t>Pago</t>
        </is>
      </c>
      <c r="C1059" s="6" t="inlineStr">
        <is>
          <t>PL530.001</t>
        </is>
      </c>
      <c r="D1059" s="6" t="str">
        <f>IFERROR(VLOOKUP(E1059,FORNECEDORES!$A$5:$F$999,6,FALSE),"L10")</f>
        <v>L01</v>
      </c>
      <c r="E1059" s="6" t="inlineStr">
        <is>
          <t>MINAS FERRAMENTAS LTDA</t>
        </is>
      </c>
      <c r="F1059" s="7" t="n">
        <v>186.33</v>
      </c>
      <c r="G1059" s="6" t="inlineStr">
        <is>
          <t>EQUIPAMENTOS E FERRAMENTAS</t>
        </is>
      </c>
      <c r="H1059" s="6" t="inlineStr">
        <is>
          <t>MINAS FERRAMENTAS LTDA</t>
        </is>
      </c>
      <c r="I1059" s="24" t="n">
        <v>46237</v>
      </c>
      <c r="J1059" s="6" t="n">
        <v>5617</v>
      </c>
    </row>
    <row r="1060">
      <c r="A1060" s="23" t="n">
        <v>46235</v>
      </c>
      <c r="B1060" s="6" t="inlineStr">
        <is>
          <t>Pago</t>
        </is>
      </c>
      <c r="C1060" s="6" t="inlineStr">
        <is>
          <t>PL530.001</t>
        </is>
      </c>
      <c r="D1060" s="6" t="str">
        <f>IFERROR(VLOOKUP(E1060,FORNECEDORES!$A$5:$F$999,6,FALSE),"L10")</f>
        <v>L01</v>
      </c>
      <c r="E1060" s="6" t="inlineStr">
        <is>
          <t>MINAS FERRAMENTAS LTDA</t>
        </is>
      </c>
      <c r="F1060" s="7" t="n">
        <v>293.3</v>
      </c>
      <c r="G1060" s="6" t="inlineStr">
        <is>
          <t>EQUIPAMENTOS E FERRAMENTAS</t>
        </is>
      </c>
      <c r="H1060" s="6" t="inlineStr">
        <is>
          <t>MINAS FERRAMENTAS LTDA</t>
        </is>
      </c>
      <c r="I1060" s="24" t="n">
        <v>46237</v>
      </c>
      <c r="J1060" s="6" t="n">
        <v>5617</v>
      </c>
    </row>
    <row r="1061">
      <c r="A1061" s="23" t="n">
        <v>46235</v>
      </c>
      <c r="B1061" s="6" t="inlineStr">
        <is>
          <t>Pago</t>
        </is>
      </c>
      <c r="C1061" s="6" t="inlineStr">
        <is>
          <t>PL530.001</t>
        </is>
      </c>
      <c r="D1061" s="6" t="str">
        <f>IFERROR(VLOOKUP(E1061,FORNECEDORES!$A$5:$F$999,6,FALSE),"L10")</f>
        <v>L01</v>
      </c>
      <c r="E1061" s="6" t="inlineStr">
        <is>
          <t>MINAS FERRAMENTAS LTDA</t>
        </is>
      </c>
      <c r="F1061" s="7" t="n">
        <v>320.05</v>
      </c>
      <c r="G1061" s="6" t="inlineStr">
        <is>
          <t>EQUIPAMENTOS E FERRAMENTAS</t>
        </is>
      </c>
      <c r="H1061" s="6" t="inlineStr">
        <is>
          <t>MINAS FERRAMENTAS LTDA</t>
        </is>
      </c>
      <c r="I1061" s="24" t="n">
        <v>46237</v>
      </c>
      <c r="J1061" s="6" t="n">
        <v>5617</v>
      </c>
    </row>
    <row r="1062">
      <c r="A1062" s="23" t="n">
        <v>46235</v>
      </c>
      <c r="B1062" s="6" t="inlineStr">
        <is>
          <t>Pago</t>
        </is>
      </c>
      <c r="C1062" s="6" t="inlineStr">
        <is>
          <t>PL530.001</t>
        </is>
      </c>
      <c r="D1062" s="6" t="str">
        <f>IFERROR(VLOOKUP(E1062,FORNECEDORES!$A$5:$F$999,6,FALSE),"L10")</f>
        <v>L01</v>
      </c>
      <c r="E1062" s="6" t="inlineStr">
        <is>
          <t>MINAS FERRAMENTAS LTDA</t>
        </is>
      </c>
      <c r="F1062" s="7" t="n">
        <v>275.05</v>
      </c>
      <c r="G1062" s="6" t="inlineStr">
        <is>
          <t>EQUIPAMENTOS E FERRAMENTAS</t>
        </is>
      </c>
      <c r="H1062" s="6" t="inlineStr">
        <is>
          <t>MINAS FERRAMENTAS LTDA</t>
        </is>
      </c>
      <c r="I1062" s="24" t="n">
        <v>46237</v>
      </c>
      <c r="J1062" s="6" t="n">
        <v>5617</v>
      </c>
    </row>
    <row r="1063">
      <c r="A1063" s="23" t="n">
        <v>46235</v>
      </c>
      <c r="B1063" s="6" t="inlineStr">
        <is>
          <t>Pago</t>
        </is>
      </c>
      <c r="C1063" s="6" t="inlineStr">
        <is>
          <t>PL530.001</t>
        </is>
      </c>
      <c r="D1063" s="6" t="str">
        <f>IFERROR(VLOOKUP(E1063,FORNECEDORES!$A$5:$F$999,6,FALSE),"L10")</f>
        <v>L10</v>
      </c>
      <c r="E1063" s="6" t="inlineStr">
        <is>
          <t>ORGUEL INDUSTRIA E LOCACAO DE EQUIPAMENTOS S/A</t>
        </is>
      </c>
      <c r="F1063" s="7" t="n">
        <v>15000</v>
      </c>
      <c r="G1063" s="6" t="inlineStr">
        <is>
          <t>NÃO CLASSIFICADO</t>
        </is>
      </c>
      <c r="H1063" s="6" t="inlineStr">
        <is>
          <t>ORGUEL INDUSTRIA E LOCACAO DE EQUIPAMENTOS S/A</t>
        </is>
      </c>
      <c r="I1063" s="24" t="n">
        <v>46239</v>
      </c>
      <c r="J1063" s="6" t="n">
        <v>5890</v>
      </c>
    </row>
    <row r="1064">
      <c r="A1064" s="23" t="n">
        <v>46235</v>
      </c>
      <c r="B1064" s="6" t="inlineStr">
        <is>
          <t>Pago</t>
        </is>
      </c>
      <c r="C1064" s="6" t="inlineStr">
        <is>
          <t>PL530.001</t>
        </is>
      </c>
      <c r="D1064" s="6" t="str">
        <f>IFERROR(VLOOKUP(E1064,FORNECEDORES!$A$5:$F$999,6,FALSE),"L10")</f>
        <v>L10</v>
      </c>
      <c r="E1064" s="6" t="inlineStr">
        <is>
          <t>ORGUEL INDUSTRIA E LOCACAO DE EQUIPAMENTOS S/A</t>
        </is>
      </c>
      <c r="F1064" s="7" t="n">
        <v>1008</v>
      </c>
      <c r="G1064" s="6" t="inlineStr">
        <is>
          <t>NÃO CLASSIFICADO</t>
        </is>
      </c>
      <c r="H1064" s="6" t="inlineStr">
        <is>
          <t>ORGUEL INDUSTRIA E LOCACAO DE EQUIPAMENTOS S/A</t>
        </is>
      </c>
      <c r="I1064" s="24" t="n">
        <v>46237</v>
      </c>
      <c r="J1064" s="6" t="n">
        <v>5857</v>
      </c>
    </row>
    <row r="1065">
      <c r="A1065" s="23" t="n">
        <v>46235</v>
      </c>
      <c r="B1065" s="6" t="inlineStr">
        <is>
          <t>Pago</t>
        </is>
      </c>
      <c r="C1065" s="6" t="inlineStr">
        <is>
          <t>PL530.001</t>
        </is>
      </c>
      <c r="D1065" s="6" t="str">
        <f>IFERROR(VLOOKUP(E1065,FORNECEDORES!$A$5:$F$999,6,FALSE),"L10")</f>
        <v>L10</v>
      </c>
      <c r="E1065" s="6" t="inlineStr">
        <is>
          <t>ORGUEL INDUSTRIA E LOCACAO DE EQUIPAMENTOS S/A</t>
        </is>
      </c>
      <c r="F1065" s="7" t="n">
        <v>132</v>
      </c>
      <c r="G1065" s="6" t="inlineStr">
        <is>
          <t>NÃO CLASSIFICADO</t>
        </is>
      </c>
      <c r="H1065" s="6" t="inlineStr">
        <is>
          <t>INSS RETIDO PJ - MINISTERIO DA PREVIDENCIA</t>
        </is>
      </c>
      <c r="I1065" s="24" t="n">
        <v>46254</v>
      </c>
      <c r="J1065" s="6" t="n">
        <v>5875</v>
      </c>
    </row>
    <row r="1066">
      <c r="A1066" s="23" t="n">
        <v>46235</v>
      </c>
      <c r="B1066" s="6" t="inlineStr">
        <is>
          <t>Pago</t>
        </is>
      </c>
      <c r="C1066" s="6" t="inlineStr">
        <is>
          <t>PL530.001</t>
        </is>
      </c>
      <c r="D1066" s="6" t="str">
        <f>IFERROR(VLOOKUP(E1066,FORNECEDORES!$A$5:$F$999,6,FALSE),"L10")</f>
        <v>L10</v>
      </c>
      <c r="E1066" s="6" t="inlineStr">
        <is>
          <t>ORGUEL INDUSTRIA E LOCACAO DE EQUIPAMENTOS S/A</t>
        </is>
      </c>
      <c r="F1066" s="7" t="n">
        <v>60</v>
      </c>
      <c r="G1066" s="6" t="inlineStr">
        <is>
          <t>NÃO CLASSIFICADO</t>
        </is>
      </c>
      <c r="H1066" s="6" t="inlineStr">
        <is>
          <t>PREFEITURA DE BELO HORIZONTE - ISSQN RETIDO</t>
        </is>
      </c>
      <c r="I1066" s="24" t="n">
        <v>46244</v>
      </c>
      <c r="J1066" s="6" t="n">
        <v>5874</v>
      </c>
    </row>
    <row r="1067">
      <c r="A1067" s="23" t="n">
        <v>46235</v>
      </c>
      <c r="B1067" s="6" t="inlineStr">
        <is>
          <t>Pago</t>
        </is>
      </c>
      <c r="C1067" s="6" t="inlineStr">
        <is>
          <t>PL530.001</t>
        </is>
      </c>
      <c r="D1067" s="6" t="str">
        <f>IFERROR(VLOOKUP(E1067,FORNECEDORES!$A$5:$F$999,6,FALSE),"L10")</f>
        <v>L03</v>
      </c>
      <c r="E1067" s="6" t="inlineStr">
        <is>
          <t>ORIGINAL LOCACOES LTDA</t>
        </is>
      </c>
      <c r="F1067" s="7" t="n">
        <v>260.77</v>
      </c>
      <c r="G1067" s="6" t="inlineStr">
        <is>
          <t>LOCAÇÕES</t>
        </is>
      </c>
      <c r="H1067" s="6" t="inlineStr">
        <is>
          <t>ORIGINAL LOCACOES LTDA</t>
        </is>
      </c>
      <c r="I1067" s="24" t="n">
        <v>46240</v>
      </c>
      <c r="J1067" s="6" t="n">
        <v>6182</v>
      </c>
    </row>
    <row r="1068">
      <c r="A1068" s="23" t="n">
        <v>46235</v>
      </c>
      <c r="B1068" s="6" t="inlineStr">
        <is>
          <t>Pago</t>
        </is>
      </c>
      <c r="C1068" s="6" t="inlineStr">
        <is>
          <t>PL530.001</t>
        </is>
      </c>
      <c r="D1068" s="6" t="str">
        <f>IFERROR(VLOOKUP(E1068,FORNECEDORES!$A$5:$F$999,6,FALSE),"L10")</f>
        <v>L03</v>
      </c>
      <c r="E1068" s="6" t="inlineStr">
        <is>
          <t>ORIGINAL LOCACOES LTDA</t>
        </is>
      </c>
      <c r="F1068" s="7" t="n">
        <v>391.15</v>
      </c>
      <c r="G1068" s="6" t="inlineStr">
        <is>
          <t>LOCAÇÕES</t>
        </is>
      </c>
      <c r="H1068" s="6" t="inlineStr">
        <is>
          <t>ORIGINAL LOCACOES LTDA</t>
        </is>
      </c>
      <c r="I1068" s="24" t="n">
        <v>46240</v>
      </c>
      <c r="J1068" s="6" t="n">
        <v>6182</v>
      </c>
    </row>
    <row r="1069">
      <c r="A1069" s="23" t="n">
        <v>46235</v>
      </c>
      <c r="B1069" s="6" t="inlineStr">
        <is>
          <t>Pago</t>
        </is>
      </c>
      <c r="C1069" s="6" t="inlineStr">
        <is>
          <t>PL530.001</t>
        </is>
      </c>
      <c r="D1069" s="6" t="str">
        <f>IFERROR(VLOOKUP(E1069,FORNECEDORES!$A$5:$F$999,6,FALSE),"L10")</f>
        <v>L03</v>
      </c>
      <c r="E1069" s="6" t="inlineStr">
        <is>
          <t>ORIGINAL LOCACOES LTDA</t>
        </is>
      </c>
      <c r="F1069" s="7" t="n">
        <v>601.78</v>
      </c>
      <c r="G1069" s="6" t="inlineStr">
        <is>
          <t>LOCAÇÕES</t>
        </is>
      </c>
      <c r="H1069" s="6" t="inlineStr">
        <is>
          <t>ORIGINAL LOCACOES LTDA</t>
        </is>
      </c>
      <c r="I1069" s="24" t="n">
        <v>46240</v>
      </c>
      <c r="J1069" s="6" t="n">
        <v>6182</v>
      </c>
    </row>
    <row r="1070">
      <c r="A1070" s="23" t="n">
        <v>46235</v>
      </c>
      <c r="B1070" s="6" t="inlineStr">
        <is>
          <t>Pago</t>
        </is>
      </c>
      <c r="C1070" s="6" t="inlineStr">
        <is>
          <t>PL530.001</t>
        </is>
      </c>
      <c r="D1070" s="6" t="str">
        <f>IFERROR(VLOOKUP(E1070,FORNECEDORES!$A$5:$F$999,6,FALSE),"L10")</f>
        <v>L03</v>
      </c>
      <c r="E1070" s="6" t="inlineStr">
        <is>
          <t>ORIGINAL LOCACOES LTDA</t>
        </is>
      </c>
      <c r="F1070" s="7" t="n">
        <v>702.0700000000001</v>
      </c>
      <c r="G1070" s="6" t="inlineStr">
        <is>
          <t>LOCAÇÕES</t>
        </is>
      </c>
      <c r="H1070" s="6" t="inlineStr">
        <is>
          <t>ORIGINAL LOCACOES LTDA</t>
        </is>
      </c>
      <c r="I1070" s="24" t="n">
        <v>46240</v>
      </c>
      <c r="J1070" s="6" t="n">
        <v>6182</v>
      </c>
    </row>
    <row r="1071">
      <c r="A1071" s="23" t="n">
        <v>46235</v>
      </c>
      <c r="B1071" s="6" t="inlineStr">
        <is>
          <t>Pago</t>
        </is>
      </c>
      <c r="C1071" s="6" t="inlineStr">
        <is>
          <t>PL530.001</t>
        </is>
      </c>
      <c r="D1071" s="6" t="str">
        <f>IFERROR(VLOOKUP(E1071,FORNECEDORES!$A$5:$F$999,6,FALSE),"L10")</f>
        <v>L03</v>
      </c>
      <c r="E1071" s="6" t="inlineStr">
        <is>
          <t>ORIGINAL LOCACOES LTDA</t>
        </is>
      </c>
      <c r="F1071" s="7" t="n">
        <v>441.3</v>
      </c>
      <c r="G1071" s="6" t="inlineStr">
        <is>
          <t>LOCAÇÕES</t>
        </is>
      </c>
      <c r="H1071" s="6" t="inlineStr">
        <is>
          <t>ORIGINAL LOCACOES LTDA</t>
        </is>
      </c>
      <c r="I1071" s="24" t="n">
        <v>46240</v>
      </c>
      <c r="J1071" s="6" t="n">
        <v>6182</v>
      </c>
    </row>
    <row r="1072">
      <c r="A1072" s="23" t="n">
        <v>46235</v>
      </c>
      <c r="B1072" s="6" t="inlineStr">
        <is>
          <t>Pago</t>
        </is>
      </c>
      <c r="C1072" s="6" t="inlineStr">
        <is>
          <t>PL530.001</t>
        </is>
      </c>
      <c r="D1072" s="6" t="str">
        <f>IFERROR(VLOOKUP(E1072,FORNECEDORES!$A$5:$F$999,6,FALSE),"L10")</f>
        <v>L03</v>
      </c>
      <c r="E1072" s="6" t="inlineStr">
        <is>
          <t>ORIGINAL LOCACOES LTDA</t>
        </is>
      </c>
      <c r="F1072" s="7" t="n">
        <v>300.89</v>
      </c>
      <c r="G1072" s="6" t="inlineStr">
        <is>
          <t>LOCAÇÕES</t>
        </is>
      </c>
      <c r="H1072" s="6" t="inlineStr">
        <is>
          <t>ORIGINAL LOCACOES LTDA</t>
        </is>
      </c>
      <c r="I1072" s="24" t="n">
        <v>46240</v>
      </c>
      <c r="J1072" s="6" t="n">
        <v>6182</v>
      </c>
    </row>
    <row r="1073">
      <c r="A1073" s="23" t="n">
        <v>46235</v>
      </c>
      <c r="B1073" s="6" t="inlineStr">
        <is>
          <t>Pago</t>
        </is>
      </c>
      <c r="C1073" s="6" t="inlineStr">
        <is>
          <t>PL530.001</t>
        </is>
      </c>
      <c r="D1073" s="6" t="str">
        <f>IFERROR(VLOOKUP(E1073,FORNECEDORES!$A$5:$F$999,6,FALSE),"L10")</f>
        <v>L03</v>
      </c>
      <c r="E1073" s="6" t="inlineStr">
        <is>
          <t>ORIGINAL LOCACOES LTDA</t>
        </is>
      </c>
      <c r="F1073" s="7" t="n">
        <v>160.47</v>
      </c>
      <c r="G1073" s="6" t="inlineStr">
        <is>
          <t>LOCAÇÕES</t>
        </is>
      </c>
      <c r="H1073" s="6" t="inlineStr">
        <is>
          <t>ORIGINAL LOCACOES LTDA</t>
        </is>
      </c>
      <c r="I1073" s="24" t="n">
        <v>46240</v>
      </c>
      <c r="J1073" s="6" t="n">
        <v>6182</v>
      </c>
    </row>
    <row r="1074">
      <c r="A1074" s="23" t="n">
        <v>46235</v>
      </c>
      <c r="B1074" s="6" t="inlineStr">
        <is>
          <t>Pago</t>
        </is>
      </c>
      <c r="C1074" s="6" t="inlineStr">
        <is>
          <t>PL530.001</t>
        </is>
      </c>
      <c r="D1074" s="6" t="str">
        <f>IFERROR(VLOOKUP(E1074,FORNECEDORES!$A$5:$F$999,6,FALSE),"L10")</f>
        <v>L03</v>
      </c>
      <c r="E1074" s="6" t="inlineStr">
        <is>
          <t>ORIGINAL LOCACOES LTDA</t>
        </is>
      </c>
      <c r="F1074" s="7" t="n">
        <v>351.04</v>
      </c>
      <c r="G1074" s="6" t="inlineStr">
        <is>
          <t>LOCAÇÕES</t>
        </is>
      </c>
      <c r="H1074" s="6" t="inlineStr">
        <is>
          <t>ORIGINAL LOCACOES LTDA</t>
        </is>
      </c>
      <c r="I1074" s="24" t="n">
        <v>46240</v>
      </c>
      <c r="J1074" s="6" t="n">
        <v>6182</v>
      </c>
    </row>
    <row r="1075">
      <c r="A1075" s="23" t="n">
        <v>46235</v>
      </c>
      <c r="B1075" s="6" t="inlineStr">
        <is>
          <t>Pago</t>
        </is>
      </c>
      <c r="C1075" s="6" t="inlineStr">
        <is>
          <t>PL530.001</t>
        </is>
      </c>
      <c r="D1075" s="6" t="str">
        <f>IFERROR(VLOOKUP(E1075,FORNECEDORES!$A$5:$F$999,6,FALSE),"L10")</f>
        <v>L03</v>
      </c>
      <c r="E1075" s="6" t="inlineStr">
        <is>
          <t>ORIGINAL LOCACOES LTDA</t>
        </is>
      </c>
      <c r="F1075" s="7" t="n">
        <v>401.18</v>
      </c>
      <c r="G1075" s="6" t="inlineStr">
        <is>
          <t>LOCAÇÕES</t>
        </is>
      </c>
      <c r="H1075" s="6" t="inlineStr">
        <is>
          <t>ORIGINAL LOCACOES LTDA</t>
        </is>
      </c>
      <c r="I1075" s="24" t="n">
        <v>46240</v>
      </c>
      <c r="J1075" s="6" t="n">
        <v>6182</v>
      </c>
    </row>
    <row r="1076">
      <c r="A1076" s="23" t="n">
        <v>46235</v>
      </c>
      <c r="B1076" s="6" t="inlineStr">
        <is>
          <t>Pago</t>
        </is>
      </c>
      <c r="C1076" s="6" t="inlineStr">
        <is>
          <t>PL530.001</t>
        </is>
      </c>
      <c r="D1076" s="6" t="str">
        <f>IFERROR(VLOOKUP(E1076,FORNECEDORES!$A$5:$F$999,6,FALSE),"L10")</f>
        <v>L03</v>
      </c>
      <c r="E1076" s="6" t="inlineStr">
        <is>
          <t>ORIGINAL LOCACOES LTDA</t>
        </is>
      </c>
      <c r="F1076" s="7" t="n">
        <v>240.71</v>
      </c>
      <c r="G1076" s="6" t="inlineStr">
        <is>
          <t>LOCAÇÕES</t>
        </is>
      </c>
      <c r="H1076" s="6" t="inlineStr">
        <is>
          <t>ORIGINAL LOCACOES LTDA</t>
        </is>
      </c>
      <c r="I1076" s="24" t="n">
        <v>46240</v>
      </c>
      <c r="J1076" s="6" t="n">
        <v>6182</v>
      </c>
    </row>
    <row r="1077">
      <c r="A1077" s="23" t="n">
        <v>46235</v>
      </c>
      <c r="B1077" s="6" t="inlineStr">
        <is>
          <t>Pago</t>
        </is>
      </c>
      <c r="C1077" s="6" t="inlineStr">
        <is>
          <t>PL530.001</t>
        </is>
      </c>
      <c r="D1077" s="6" t="str">
        <f>IFERROR(VLOOKUP(E1077,FORNECEDORES!$A$5:$F$999,6,FALSE),"L10")</f>
        <v>L08</v>
      </c>
      <c r="E1077" s="6" t="inlineStr">
        <is>
          <t>PEREIRA TELAS E INSTALACOES LTDA</t>
        </is>
      </c>
      <c r="F1077" s="7" t="n">
        <v>23268.5</v>
      </c>
      <c r="G1077" s="6" t="inlineStr">
        <is>
          <t>NÃO CLASSIFICADO</t>
        </is>
      </c>
      <c r="H1077" s="6" t="inlineStr">
        <is>
          <t>PEREIRA TELAS E INSTALACOES LTDA</t>
        </is>
      </c>
      <c r="I1077" s="24" t="n">
        <v>46251</v>
      </c>
      <c r="J1077" s="6" t="n">
        <v>6249</v>
      </c>
    </row>
    <row r="1078">
      <c r="A1078" s="23" t="n">
        <v>46235</v>
      </c>
      <c r="B1078" s="6" t="inlineStr">
        <is>
          <t>Pago</t>
        </is>
      </c>
      <c r="C1078" s="6" t="inlineStr">
        <is>
          <t>PL530.001</t>
        </is>
      </c>
      <c r="D1078" s="6" t="str">
        <f>IFERROR(VLOOKUP(E1078,FORNECEDORES!$A$5:$F$999,6,FALSE),"L10")</f>
        <v>L10</v>
      </c>
      <c r="E1078" s="6" t="inlineStr">
        <is>
          <t>PGO PLANEJAMENTO GERENCIAMENTO E OBRAS LTDA. - ME</t>
        </is>
      </c>
      <c r="F1078" s="7" t="n">
        <v>18132.61</v>
      </c>
      <c r="G1078" s="6" t="inlineStr">
        <is>
          <t>NÃO CLASSIFICADO</t>
        </is>
      </c>
      <c r="H1078" s="6" t="inlineStr">
        <is>
          <t>PGO PLANEJAMENTO GERENCIAMENTO E OBRAS LTDA. - ME</t>
        </is>
      </c>
      <c r="I1078" s="24" t="n">
        <v>46241</v>
      </c>
      <c r="J1078" s="6" t="n">
        <v>6194</v>
      </c>
    </row>
    <row r="1079">
      <c r="A1079" s="23" t="n">
        <v>46235</v>
      </c>
      <c r="B1079" s="6" t="inlineStr">
        <is>
          <t>Pago</t>
        </is>
      </c>
      <c r="C1079" s="6" t="inlineStr">
        <is>
          <t>PL530.001</t>
        </is>
      </c>
      <c r="D1079" s="6" t="str">
        <f>IFERROR(VLOOKUP(E1079,FORNECEDORES!$A$5:$F$999,6,FALSE),"L10")</f>
        <v>L10</v>
      </c>
      <c r="E1079" s="6" t="inlineStr">
        <is>
          <t>REFORMULAR CONSTRUCOES E REFORMAS LTDA</t>
        </is>
      </c>
      <c r="F1079" s="7" t="n">
        <v>15451.27</v>
      </c>
      <c r="G1079" s="6" t="inlineStr">
        <is>
          <t>NÃO CLASSIFICADO</t>
        </is>
      </c>
      <c r="H1079" s="6" t="inlineStr">
        <is>
          <t>REFORMULAR CONTRUÇÕES E REFORMAS LTDA</t>
        </is>
      </c>
      <c r="I1079" s="24" t="n">
        <v>46254</v>
      </c>
      <c r="J1079" s="6" t="n">
        <v>6104</v>
      </c>
    </row>
    <row r="1080">
      <c r="A1080" s="23" t="n">
        <v>46235</v>
      </c>
      <c r="B1080" s="6" t="inlineStr">
        <is>
          <t>Pago</t>
        </is>
      </c>
      <c r="C1080" s="6" t="inlineStr">
        <is>
          <t>PL530.001</t>
        </is>
      </c>
      <c r="D1080" s="6" t="str">
        <f>IFERROR(VLOOKUP(E1080,FORNECEDORES!$A$5:$F$999,6,FALSE),"L10")</f>
        <v>L10</v>
      </c>
      <c r="E1080" s="6" t="inlineStr">
        <is>
          <t>REFORMULAR CONSTRUCOES E REFORMAS LTDA</t>
        </is>
      </c>
      <c r="F1080" s="7" t="n">
        <v>18027.37</v>
      </c>
      <c r="G1080" s="6" t="inlineStr">
        <is>
          <t>NÃO CLASSIFICADO</t>
        </is>
      </c>
      <c r="H1080" s="6" t="inlineStr">
        <is>
          <t>REFORMULAR CONTRUÇÕES E REFORMAS LTDA</t>
        </is>
      </c>
      <c r="I1080" s="24" t="n">
        <v>46239</v>
      </c>
      <c r="J1080" s="6" t="n">
        <v>6104</v>
      </c>
    </row>
    <row r="1081">
      <c r="A1081" s="23" t="n">
        <v>46235</v>
      </c>
      <c r="B1081" s="6" t="inlineStr">
        <is>
          <t>Pago</t>
        </is>
      </c>
      <c r="C1081" s="6" t="inlineStr">
        <is>
          <t>PL530.001</t>
        </is>
      </c>
      <c r="D1081" s="6" t="str">
        <f>IFERROR(VLOOKUP(E1081,FORNECEDORES!$A$5:$F$999,6,FALSE),"L10")</f>
        <v>L10</v>
      </c>
      <c r="E1081" s="6" t="inlineStr">
        <is>
          <t>REFORMULAR CONSTRUCOES E REFORMAS LTDA</t>
        </is>
      </c>
      <c r="F1081" s="7" t="n">
        <v>1339.15</v>
      </c>
      <c r="G1081" s="6" t="inlineStr">
        <is>
          <t>NÃO CLASSIFICADO</t>
        </is>
      </c>
      <c r="H1081" s="6" t="inlineStr">
        <is>
          <t>INSS RETIDO PJ - MINISTERIO DA PREVIDENCIA</t>
        </is>
      </c>
      <c r="I1081" s="24" t="n">
        <v>46254</v>
      </c>
      <c r="J1081" s="6" t="n">
        <v>6152</v>
      </c>
    </row>
    <row r="1082">
      <c r="A1082" s="23" t="n">
        <v>46235</v>
      </c>
      <c r="B1082" s="6" t="inlineStr">
        <is>
          <t>Pago</t>
        </is>
      </c>
      <c r="C1082" s="6" t="inlineStr">
        <is>
          <t>PL530.001</t>
        </is>
      </c>
      <c r="D1082" s="6" t="str">
        <f>IFERROR(VLOOKUP(E1082,FORNECEDORES!$A$5:$F$999,6,FALSE),"L10")</f>
        <v>L10</v>
      </c>
      <c r="E1082" s="6" t="inlineStr">
        <is>
          <t>REFORMULAR CONSTRUCOES E REFORMAS LTDA</t>
        </is>
      </c>
      <c r="F1082" s="7" t="n">
        <v>765.23</v>
      </c>
      <c r="G1082" s="6" t="inlineStr">
        <is>
          <t>NÃO CLASSIFICADO</t>
        </is>
      </c>
      <c r="H1082" s="6" t="inlineStr">
        <is>
          <t>PREFEITURA DE BELO HORIZONTE - ISSQN RETIDO</t>
        </is>
      </c>
      <c r="I1082" s="24" t="n">
        <v>46244</v>
      </c>
      <c r="J1082" s="6" t="n">
        <v>6151</v>
      </c>
    </row>
    <row r="1083">
      <c r="A1083" s="23" t="n">
        <v>46235</v>
      </c>
      <c r="B1083" s="6" t="inlineStr">
        <is>
          <t>Pago</t>
        </is>
      </c>
      <c r="C1083" s="6" t="inlineStr">
        <is>
          <t>PL530.001</t>
        </is>
      </c>
      <c r="D1083" s="6" t="str">
        <f>IFERROR(VLOOKUP(E1083,FORNECEDORES!$A$5:$F$999,6,FALSE),"L10")</f>
        <v>L01</v>
      </c>
      <c r="E1083" s="6" t="inlineStr">
        <is>
          <t>SCANMETAL - INDUSTRIA, COMERCIO, IMPORTACAO E EXPORTACAO DE FERRAMENTAS LTDA</t>
        </is>
      </c>
      <c r="F1083" s="7" t="n">
        <v>1796</v>
      </c>
      <c r="G1083" s="6" t="inlineStr">
        <is>
          <t>EQUIPAMENTOS E FERRAMENTAS</t>
        </is>
      </c>
      <c r="H1083" s="6" t="inlineStr">
        <is>
          <t>SCANMETAL - INDUSTRIA, COMERCIO, IMPORTACAO E EXPO</t>
        </is>
      </c>
      <c r="I1083" s="24" t="n">
        <v>46241</v>
      </c>
      <c r="J1083" s="6" t="n">
        <v>5762</v>
      </c>
    </row>
    <row r="1084">
      <c r="A1084" s="23" t="n">
        <v>46235</v>
      </c>
      <c r="B1084" s="6" t="inlineStr">
        <is>
          <t>Pago</t>
        </is>
      </c>
      <c r="C1084" s="6" t="inlineStr">
        <is>
          <t>PL530.001</t>
        </is>
      </c>
      <c r="D1084" s="6" t="str">
        <f>IFERROR(VLOOKUP(E1084,FORNECEDORES!$A$5:$F$999,6,FALSE),"L10")</f>
        <v>L10</v>
      </c>
      <c r="E1084" s="6" t="inlineStr">
        <is>
          <t>SOIMA BRASIL INDUSTRIA E COMERCIO LTDA</t>
        </is>
      </c>
      <c r="F1084" s="7" t="n">
        <v>20426.66</v>
      </c>
      <c r="G1084" s="6" t="inlineStr">
        <is>
          <t>INSUMOS PARA CONTRATO</t>
        </is>
      </c>
      <c r="H1084" s="6" t="inlineStr">
        <is>
          <t>SOIMA BRASIL INDUSTRIA E COMERCIO LTDA</t>
        </is>
      </c>
      <c r="I1084" s="24" t="n">
        <v>46254</v>
      </c>
      <c r="J1084" s="6" t="n">
        <v>6381</v>
      </c>
    </row>
    <row r="1085">
      <c r="A1085" s="23" t="n">
        <v>46235</v>
      </c>
      <c r="B1085" s="6" t="inlineStr">
        <is>
          <t>Pago</t>
        </is>
      </c>
      <c r="C1085" s="6" t="inlineStr">
        <is>
          <t>PL530.001</t>
        </is>
      </c>
      <c r="D1085" s="6" t="str">
        <f>IFERROR(VLOOKUP(E1085,FORNECEDORES!$A$5:$F$999,6,FALSE),"L10")</f>
        <v>L10</v>
      </c>
      <c r="E1085" s="6" t="inlineStr">
        <is>
          <t>TECSU ENGENHARIA LTDA</t>
        </is>
      </c>
      <c r="F1085" s="7" t="n">
        <v>14942.72</v>
      </c>
      <c r="G1085" s="6" t="inlineStr">
        <is>
          <t>NÃO CLASSIFICADO</t>
        </is>
      </c>
      <c r="H1085" s="6" t="inlineStr">
        <is>
          <t>TECSU ENGENHARIA LTDA</t>
        </is>
      </c>
      <c r="I1085" s="24" t="n">
        <v>46241</v>
      </c>
      <c r="J1085" s="6" t="n">
        <v>6034</v>
      </c>
    </row>
    <row r="1086">
      <c r="A1086" s="23" t="n">
        <v>46235</v>
      </c>
      <c r="B1086" s="6" t="inlineStr">
        <is>
          <t>Pago</t>
        </is>
      </c>
      <c r="C1086" s="6" t="inlineStr">
        <is>
          <t>PL530.001</t>
        </is>
      </c>
      <c r="D1086" s="6" t="str">
        <f>IFERROR(VLOOKUP(E1086,FORNECEDORES!$A$5:$F$999,6,FALSE),"L10")</f>
        <v>L10</v>
      </c>
      <c r="E1086" s="6" t="inlineStr">
        <is>
          <t>TECSU ENGENHARIA LTDA</t>
        </is>
      </c>
      <c r="F1086" s="7" t="n">
        <v>2054.62</v>
      </c>
      <c r="G1086" s="6" t="inlineStr">
        <is>
          <t>NÃO CLASSIFICADO</t>
        </is>
      </c>
      <c r="H1086" s="6" t="inlineStr">
        <is>
          <t>INSS RETIDO PJ - MINISTERIO DA PREVIDENCIA</t>
        </is>
      </c>
      <c r="I1086" s="24" t="n">
        <v>46254</v>
      </c>
      <c r="J1086" s="6" t="n">
        <v>6038</v>
      </c>
    </row>
    <row r="1087">
      <c r="A1087" s="23" t="n">
        <v>46235</v>
      </c>
      <c r="B1087" s="6" t="inlineStr">
        <is>
          <t>Pago</t>
        </is>
      </c>
      <c r="C1087" s="6" t="inlineStr">
        <is>
          <t>PL530.001</t>
        </is>
      </c>
      <c r="D1087" s="6" t="str">
        <f>IFERROR(VLOOKUP(E1087,FORNECEDORES!$A$5:$F$999,6,FALSE),"L10")</f>
        <v>L10</v>
      </c>
      <c r="E1087" s="6" t="inlineStr">
        <is>
          <t>TECSU ENGENHARIA LTDA</t>
        </is>
      </c>
      <c r="F1087" s="7" t="n">
        <v>373.57</v>
      </c>
      <c r="G1087" s="6" t="inlineStr">
        <is>
          <t>NÃO CLASSIFICADO</t>
        </is>
      </c>
      <c r="H1087" s="6" t="inlineStr">
        <is>
          <t>PREFEITURA DE BELO HORIZONTE - ISSQN RETIDO</t>
        </is>
      </c>
      <c r="I1087" s="24" t="n">
        <v>46244</v>
      </c>
      <c r="J1087" s="6" t="n">
        <v>6068</v>
      </c>
    </row>
    <row r="1088">
      <c r="A1088" s="23" t="n">
        <v>46235</v>
      </c>
      <c r="B1088" s="6" t="inlineStr">
        <is>
          <t>Pago</t>
        </is>
      </c>
      <c r="C1088" s="6" t="inlineStr">
        <is>
          <t>PL530.001</t>
        </is>
      </c>
      <c r="D1088" s="6" t="str">
        <f>IFERROR(VLOOKUP(E1088,FORNECEDORES!$A$5:$F$999,6,FALSE),"L10")</f>
        <v>L08</v>
      </c>
      <c r="E1088" s="6" t="inlineStr">
        <is>
          <t>TELAS UNIAO INDUSTRIA E COMERCIO LTDA</t>
        </is>
      </c>
      <c r="F1088" s="7" t="n">
        <v>2089.86</v>
      </c>
      <c r="G1088" s="6" t="inlineStr">
        <is>
          <t>ESQUADRIAS DE FERRO E CERCAMENTO</t>
        </is>
      </c>
      <c r="H1088" s="6" t="inlineStr">
        <is>
          <t>TELAS UNIAO INDUSTRIA E COMERCIO LTDA</t>
        </is>
      </c>
      <c r="I1088" s="24" t="n">
        <v>46258</v>
      </c>
      <c r="J1088" s="6" t="n">
        <v>5571</v>
      </c>
    </row>
    <row r="1089">
      <c r="A1089" s="23" t="n">
        <v>46235</v>
      </c>
      <c r="B1089" s="6" t="inlineStr">
        <is>
          <t>Pago</t>
        </is>
      </c>
      <c r="C1089" s="6" t="inlineStr">
        <is>
          <t>PL530.001</t>
        </is>
      </c>
      <c r="D1089" s="6" t="str">
        <f>IFERROR(VLOOKUP(E1089,FORNECEDORES!$A$5:$F$999,6,FALSE),"L10")</f>
        <v>L08</v>
      </c>
      <c r="E1089" s="6" t="inlineStr">
        <is>
          <t>TELAS UNIAO INDUSTRIA E COMERCIO LTDA</t>
        </is>
      </c>
      <c r="F1089" s="7" t="n">
        <v>100</v>
      </c>
      <c r="G1089" s="6" t="inlineStr">
        <is>
          <t>FRETE</t>
        </is>
      </c>
      <c r="H1089" s="6" t="inlineStr">
        <is>
          <t>TELAS UNIAO INDUSTRIA E COMERCIO LTDA</t>
        </is>
      </c>
      <c r="I1089" s="24" t="n">
        <v>46258</v>
      </c>
      <c r="J1089" s="6" t="n">
        <v>5571</v>
      </c>
    </row>
    <row r="1090">
      <c r="A1090" s="23" t="n">
        <v>46266</v>
      </c>
      <c r="B1090" s="6" t="inlineStr">
        <is>
          <t>Pago</t>
        </is>
      </c>
      <c r="C1090" s="6" t="inlineStr">
        <is>
          <t>PL530.001</t>
        </is>
      </c>
      <c r="D1090" s="6" t="str">
        <f>IFERROR(VLOOKUP(E1090,FORNECEDORES!$A$5:$F$999,6,FALSE),"L10")</f>
        <v>L10</v>
      </c>
      <c r="E1090" s="6" t="inlineStr">
        <is>
          <t>ADEMILSON ROSA DO CARMO 07607064680</t>
        </is>
      </c>
      <c r="F1090" s="7" t="n">
        <v>272.8</v>
      </c>
      <c r="G1090" s="6" t="inlineStr">
        <is>
          <t>NÃO CLASSIFICADO</t>
        </is>
      </c>
      <c r="H1090" s="6" t="inlineStr">
        <is>
          <t>INSS RETIDO PJ - MINISTERIO DA PREVIDENCIA</t>
        </is>
      </c>
      <c r="I1090" s="24" t="n">
        <v>46283</v>
      </c>
      <c r="J1090" s="6" t="n">
        <v>6521</v>
      </c>
    </row>
    <row r="1091">
      <c r="A1091" s="23" t="n">
        <v>46266</v>
      </c>
      <c r="B1091" s="6" t="inlineStr">
        <is>
          <t>Pago</t>
        </is>
      </c>
      <c r="C1091" s="6" t="inlineStr">
        <is>
          <t>PL530.001</t>
        </is>
      </c>
      <c r="D1091" s="6" t="str">
        <f>IFERROR(VLOOKUP(E1091,FORNECEDORES!$A$5:$F$999,6,FALSE),"L10")</f>
        <v>L10</v>
      </c>
      <c r="E1091" s="6" t="inlineStr">
        <is>
          <t>ADEMILSON ROSA DO CARMO 07607064680</t>
        </is>
      </c>
      <c r="F1091" s="7" t="n">
        <v>86.8</v>
      </c>
      <c r="G1091" s="6" t="inlineStr">
        <is>
          <t>NÃO CLASSIFICADO</t>
        </is>
      </c>
      <c r="H1091" s="6" t="inlineStr">
        <is>
          <t>PREFEITURA DE BELO HORIZONTE - ISSQN RETIDO</t>
        </is>
      </c>
      <c r="I1091" s="24" t="n">
        <v>46273</v>
      </c>
      <c r="J1091" s="6" t="n">
        <v>6522</v>
      </c>
    </row>
    <row r="1092">
      <c r="A1092" s="23" t="n">
        <v>46266</v>
      </c>
      <c r="B1092" s="6" t="inlineStr">
        <is>
          <t>Pago</t>
        </is>
      </c>
      <c r="C1092" s="6" t="inlineStr">
        <is>
          <t>PL530.001</t>
        </is>
      </c>
      <c r="D1092" s="6" t="str">
        <f>IFERROR(VLOOKUP(E1092,FORNECEDORES!$A$5:$F$999,6,FALSE),"L10")</f>
        <v>L01</v>
      </c>
      <c r="E1092" s="6" t="inlineStr">
        <is>
          <t>CARRINHO DE MAO ROMA LTDA</t>
        </is>
      </c>
      <c r="F1092" s="7" t="n">
        <v>112.5</v>
      </c>
      <c r="G1092" s="6" t="inlineStr">
        <is>
          <t>EQUIPAMENTOS E FERRAMENTAS</t>
        </is>
      </c>
      <c r="H1092" s="6" t="inlineStr">
        <is>
          <t>CARRINHO DE MAO ROMA LTDA</t>
        </is>
      </c>
      <c r="I1092" s="24" t="n">
        <v>46288</v>
      </c>
      <c r="J1092" s="6" t="n">
        <v>6157</v>
      </c>
    </row>
    <row r="1093">
      <c r="A1093" s="23" t="n">
        <v>46266</v>
      </c>
      <c r="B1093" s="6" t="inlineStr">
        <is>
          <t>Pago</t>
        </is>
      </c>
      <c r="C1093" s="6" t="inlineStr">
        <is>
          <t>PL530.001</t>
        </is>
      </c>
      <c r="D1093" s="6" t="str">
        <f>IFERROR(VLOOKUP(E1093,FORNECEDORES!$A$5:$F$999,6,FALSE),"L10")</f>
        <v>L01</v>
      </c>
      <c r="E1093" s="6" t="inlineStr">
        <is>
          <t>CARRINHO DE MAO ROMA LTDA</t>
        </is>
      </c>
      <c r="F1093" s="7" t="n">
        <v>1908</v>
      </c>
      <c r="G1093" s="6" t="inlineStr">
        <is>
          <t>EQUIPAMENTOS E FERRAMENTAS</t>
        </is>
      </c>
      <c r="H1093" s="6" t="inlineStr">
        <is>
          <t>CARRINHO DE MAO ROMA LTDA</t>
        </is>
      </c>
      <c r="I1093" s="24" t="n">
        <v>46288</v>
      </c>
      <c r="J1093" s="6" t="n">
        <v>6157</v>
      </c>
    </row>
    <row r="1094">
      <c r="A1094" s="23" t="n">
        <v>46266</v>
      </c>
      <c r="B1094" s="6" t="inlineStr">
        <is>
          <t>Pago</t>
        </is>
      </c>
      <c r="C1094" s="6" t="inlineStr">
        <is>
          <t>PL530.001</t>
        </is>
      </c>
      <c r="D1094" s="6" t="str">
        <f>IFERROR(VLOOKUP(E1094,FORNECEDORES!$A$5:$F$999,6,FALSE),"L10")</f>
        <v>L01</v>
      </c>
      <c r="E1094" s="6" t="inlineStr">
        <is>
          <t>CCL DISTRIBUIDORA LTDA</t>
        </is>
      </c>
      <c r="F1094" s="7" t="n">
        <v>49.2</v>
      </c>
      <c r="G1094" s="6" t="inlineStr">
        <is>
          <t>MATERIAL ESCRITÓRIO</t>
        </is>
      </c>
      <c r="H1094" s="6" t="inlineStr">
        <is>
          <t>CCL DISTRIBUIDORA LTDA</t>
        </is>
      </c>
      <c r="I1094" s="24" t="n">
        <v>46279</v>
      </c>
      <c r="J1094" s="6" t="n">
        <v>6263</v>
      </c>
    </row>
    <row r="1095">
      <c r="A1095" s="23" t="n">
        <v>46266</v>
      </c>
      <c r="B1095" s="6" t="inlineStr">
        <is>
          <t>Pago</t>
        </is>
      </c>
      <c r="C1095" s="6" t="inlineStr">
        <is>
          <t>PL530.001</t>
        </is>
      </c>
      <c r="D1095" s="6" t="str">
        <f>IFERROR(VLOOKUP(E1095,FORNECEDORES!$A$5:$F$999,6,FALSE),"L10")</f>
        <v>L01</v>
      </c>
      <c r="E1095" s="6" t="inlineStr">
        <is>
          <t>CCL DISTRIBUIDORA LTDA</t>
        </is>
      </c>
      <c r="F1095" s="7" t="n">
        <v>49.2</v>
      </c>
      <c r="G1095" s="6" t="inlineStr">
        <is>
          <t>MATERIAL ESCRITÓRIO</t>
        </is>
      </c>
      <c r="H1095" s="6" t="inlineStr">
        <is>
          <t>CCL DISTRIBUIDORA LTDA</t>
        </is>
      </c>
      <c r="I1095" s="24" t="n">
        <v>46279</v>
      </c>
      <c r="J1095" s="6" t="n">
        <v>6263</v>
      </c>
    </row>
    <row r="1096">
      <c r="A1096" s="23" t="n">
        <v>46266</v>
      </c>
      <c r="B1096" s="6" t="inlineStr">
        <is>
          <t>Pago</t>
        </is>
      </c>
      <c r="C1096" s="6" t="inlineStr">
        <is>
          <t>PL530.001</t>
        </is>
      </c>
      <c r="D1096" s="6" t="str">
        <f>IFERROR(VLOOKUP(E1096,FORNECEDORES!$A$5:$F$999,6,FALSE),"L10")</f>
        <v>L01</v>
      </c>
      <c r="E1096" s="6" t="inlineStr">
        <is>
          <t>CCL DISTRIBUIDORA LTDA</t>
        </is>
      </c>
      <c r="F1096" s="7" t="n">
        <v>49.2</v>
      </c>
      <c r="G1096" s="6" t="inlineStr">
        <is>
          <t>MATERIAL ESCRITÓRIO</t>
        </is>
      </c>
      <c r="H1096" s="6" t="inlineStr">
        <is>
          <t>CCL DISTRIBUIDORA LTDA</t>
        </is>
      </c>
      <c r="I1096" s="24" t="n">
        <v>46279</v>
      </c>
      <c r="J1096" s="6" t="n">
        <v>6263</v>
      </c>
    </row>
    <row r="1097">
      <c r="A1097" s="23" t="n">
        <v>46266</v>
      </c>
      <c r="B1097" s="6" t="inlineStr">
        <is>
          <t>Pago</t>
        </is>
      </c>
      <c r="C1097" s="6" t="inlineStr">
        <is>
          <t>PL530.001</t>
        </is>
      </c>
      <c r="D1097" s="6" t="str">
        <f>IFERROR(VLOOKUP(E1097,FORNECEDORES!$A$5:$F$999,6,FALSE),"L10")</f>
        <v>L10</v>
      </c>
      <c r="E1097" s="6" t="inlineStr">
        <is>
          <t>CORTEZ LOCACAO DE EQUIPAMENTOS LTDA-ME</t>
        </is>
      </c>
      <c r="F1097" s="7" t="n">
        <v>3562.63</v>
      </c>
      <c r="G1097" s="6" t="inlineStr">
        <is>
          <t>NÃO CLASSIFICADO</t>
        </is>
      </c>
      <c r="H1097" s="6" t="inlineStr">
        <is>
          <t>INSS RETIDO PJ - MINISTERIO DA PREVIDENCIA</t>
        </is>
      </c>
      <c r="I1097" s="24" t="n">
        <v>46283</v>
      </c>
      <c r="J1097" s="6" t="n">
        <v>6511</v>
      </c>
    </row>
    <row r="1098">
      <c r="A1098" s="23" t="n">
        <v>46266</v>
      </c>
      <c r="B1098" s="6" t="inlineStr">
        <is>
          <t>Pago</t>
        </is>
      </c>
      <c r="C1098" s="6" t="inlineStr">
        <is>
          <t>PL530.001</t>
        </is>
      </c>
      <c r="D1098" s="6" t="str">
        <f>IFERROR(VLOOKUP(E1098,FORNECEDORES!$A$5:$F$999,6,FALSE),"L10")</f>
        <v>L10</v>
      </c>
      <c r="E1098" s="6" t="inlineStr">
        <is>
          <t>CORTEZ LOCACAO DE EQUIPAMENTOS LTDA-ME</t>
        </is>
      </c>
      <c r="F1098" s="7" t="n">
        <v>1165.95</v>
      </c>
      <c r="G1098" s="6" t="inlineStr">
        <is>
          <t>NÃO CLASSIFICADO</t>
        </is>
      </c>
      <c r="H1098" s="6" t="inlineStr">
        <is>
          <t>PREFEITURA DE BELO HORIZONTE - ISSQN RETIDO</t>
        </is>
      </c>
      <c r="I1098" s="24" t="n">
        <v>46273</v>
      </c>
      <c r="J1098" s="6" t="n">
        <v>6510</v>
      </c>
    </row>
    <row r="1099">
      <c r="A1099" s="23" t="n">
        <v>46266</v>
      </c>
      <c r="B1099" s="6" t="inlineStr">
        <is>
          <t>Pago</t>
        </is>
      </c>
      <c r="C1099" s="6" t="inlineStr">
        <is>
          <t>PL530.001</t>
        </is>
      </c>
      <c r="D1099" s="6" t="str">
        <f>IFERROR(VLOOKUP(E1099,FORNECEDORES!$A$5:$F$999,6,FALSE),"L10")</f>
        <v>L03</v>
      </c>
      <c r="E1099" s="6" t="inlineStr">
        <is>
          <t>DATRON TECNOLOGIA E LOCACAO LTDA</t>
        </is>
      </c>
      <c r="F1099" s="7" t="n">
        <v>1100</v>
      </c>
      <c r="G1099" s="6" t="inlineStr">
        <is>
          <t>LOCAÇÕES</t>
        </is>
      </c>
      <c r="H1099" s="6" t="inlineStr">
        <is>
          <t>DATRON TECNOLOGIA E LOCACAO LTDA</t>
        </is>
      </c>
      <c r="I1099" s="24" t="n">
        <v>46279</v>
      </c>
      <c r="J1099" s="6" t="n">
        <v>6593</v>
      </c>
    </row>
    <row r="1100">
      <c r="A1100" s="23" t="n">
        <v>46266</v>
      </c>
      <c r="B1100" s="6" t="inlineStr">
        <is>
          <t>Pago</t>
        </is>
      </c>
      <c r="C1100" s="6" t="inlineStr">
        <is>
          <t>PL530.001</t>
        </is>
      </c>
      <c r="D1100" s="6" t="str">
        <f>IFERROR(VLOOKUP(E1100,FORNECEDORES!$A$5:$F$999,6,FALSE),"L10")</f>
        <v>L03</v>
      </c>
      <c r="E1100" s="6" t="inlineStr">
        <is>
          <t>EDIFICAR LOCACAO MANUTENCAO E SERVICOS LTDA</t>
        </is>
      </c>
      <c r="F1100" s="7" t="n">
        <v>130</v>
      </c>
      <c r="G1100" s="6" t="inlineStr">
        <is>
          <t>LOCAÇÕES</t>
        </is>
      </c>
      <c r="H1100" s="6" t="inlineStr">
        <is>
          <t>EDIFICAR LOCACAO MANUTENCAO E SERVICOS LTDA</t>
        </is>
      </c>
      <c r="I1100" s="24" t="n">
        <v>46286</v>
      </c>
      <c r="J1100" s="6" t="n">
        <v>6800</v>
      </c>
    </row>
    <row r="1101">
      <c r="A1101" s="23" t="n">
        <v>46266</v>
      </c>
      <c r="B1101" s="6" t="inlineStr">
        <is>
          <t>Pago</t>
        </is>
      </c>
      <c r="C1101" s="6" t="inlineStr">
        <is>
          <t>PL530.001</t>
        </is>
      </c>
      <c r="D1101" s="6" t="str">
        <f>IFERROR(VLOOKUP(E1101,FORNECEDORES!$A$5:$F$999,6,FALSE),"L10")</f>
        <v>L03</v>
      </c>
      <c r="E1101" s="6" t="inlineStr">
        <is>
          <t>EDIFICAR LOCACAO MANUTENCAO E SERVICOS LTDA</t>
        </is>
      </c>
      <c r="F1101" s="7" t="n">
        <v>340</v>
      </c>
      <c r="G1101" s="6" t="inlineStr">
        <is>
          <t>LOCAÇÕES</t>
        </is>
      </c>
      <c r="H1101" s="6" t="inlineStr">
        <is>
          <t>EDIFICAR LOCACAO MANUTENCAO E SERVICOS LTDA</t>
        </is>
      </c>
      <c r="I1101" s="24" t="n">
        <v>46286</v>
      </c>
      <c r="J1101" s="6" t="n">
        <v>6800</v>
      </c>
    </row>
    <row r="1102">
      <c r="A1102" s="23" t="n">
        <v>46266</v>
      </c>
      <c r="B1102" s="6" t="inlineStr">
        <is>
          <t>Pago</t>
        </is>
      </c>
      <c r="C1102" s="6" t="inlineStr">
        <is>
          <t>PL530.001</t>
        </is>
      </c>
      <c r="D1102" s="6" t="str">
        <f>IFERROR(VLOOKUP(E1102,FORNECEDORES!$A$5:$F$999,6,FALSE),"L10")</f>
        <v>L03</v>
      </c>
      <c r="E1102" s="6" t="inlineStr">
        <is>
          <t>EDIFICAR LOCACAO MANUTENCAO E SERVICOS LTDA</t>
        </is>
      </c>
      <c r="F1102" s="7" t="n">
        <v>130</v>
      </c>
      <c r="G1102" s="6" t="inlineStr">
        <is>
          <t>LOCAÇÕES</t>
        </is>
      </c>
      <c r="H1102" s="6" t="inlineStr">
        <is>
          <t>EDIFICAR LOCACAO MANUTENCAO E SERVICOS LTDA</t>
        </is>
      </c>
      <c r="I1102" s="24" t="n">
        <v>46286</v>
      </c>
      <c r="J1102" s="6" t="n">
        <v>6800</v>
      </c>
    </row>
    <row r="1103">
      <c r="A1103" s="23" t="n">
        <v>46266</v>
      </c>
      <c r="B1103" s="6" t="inlineStr">
        <is>
          <t>Pago</t>
        </is>
      </c>
      <c r="C1103" s="6" t="inlineStr">
        <is>
          <t>PL530.001</t>
        </is>
      </c>
      <c r="D1103" s="6" t="str">
        <f>IFERROR(VLOOKUP(E1103,FORNECEDORES!$A$5:$F$999,6,FALSE),"L10")</f>
        <v>L03</v>
      </c>
      <c r="E1103" s="6" t="inlineStr">
        <is>
          <t>EDIFICAR LOCACAO MANUTENCAO E SERVICOS LTDA</t>
        </is>
      </c>
      <c r="F1103" s="7" t="n">
        <v>450</v>
      </c>
      <c r="G1103" s="6" t="inlineStr">
        <is>
          <t>LOCAÇÕES</t>
        </is>
      </c>
      <c r="H1103" s="6" t="inlineStr">
        <is>
          <t>EDIFICAR LOCACAO MANUTENCAO E SERVICOS LTDA</t>
        </is>
      </c>
      <c r="I1103" s="24" t="n">
        <v>46286</v>
      </c>
      <c r="J1103" s="6" t="n">
        <v>6800</v>
      </c>
    </row>
    <row r="1104">
      <c r="A1104" s="23" t="n">
        <v>46266</v>
      </c>
      <c r="B1104" s="6" t="inlineStr">
        <is>
          <t>Pago</t>
        </is>
      </c>
      <c r="C1104" s="6" t="inlineStr">
        <is>
          <t>PL530.001</t>
        </is>
      </c>
      <c r="D1104" s="6" t="str">
        <f>IFERROR(VLOOKUP(E1104,FORNECEDORES!$A$5:$F$999,6,FALSE),"L10")</f>
        <v>L03</v>
      </c>
      <c r="E1104" s="6" t="inlineStr">
        <is>
          <t>EDIFICAR LOCACAO MANUTENCAO E SERVICOS LTDA</t>
        </is>
      </c>
      <c r="F1104" s="7" t="n">
        <v>267.9</v>
      </c>
      <c r="G1104" s="6" t="inlineStr">
        <is>
          <t>LOCAÇÕES</t>
        </is>
      </c>
      <c r="H1104" s="6" t="inlineStr">
        <is>
          <t>EDIFICAR LOCACAO MANUTENCAO E SERVICOS LTDA</t>
        </is>
      </c>
      <c r="I1104" s="24" t="n">
        <v>46286</v>
      </c>
      <c r="J1104" s="6" t="n">
        <v>6800</v>
      </c>
    </row>
    <row r="1105">
      <c r="A1105" s="23" t="n">
        <v>46266</v>
      </c>
      <c r="B1105" s="6" t="inlineStr">
        <is>
          <t>Pago</t>
        </is>
      </c>
      <c r="C1105" s="6" t="inlineStr">
        <is>
          <t>PL530.001</t>
        </is>
      </c>
      <c r="D1105" s="6" t="str">
        <f>IFERROR(VLOOKUP(E1105,FORNECEDORES!$A$5:$F$999,6,FALSE),"L10")</f>
        <v>L03</v>
      </c>
      <c r="E1105" s="6" t="inlineStr">
        <is>
          <t>EDIFICAR LOCACAO MANUTENCAO E SERVICOS LTDA</t>
        </is>
      </c>
      <c r="F1105" s="7" t="n">
        <v>340</v>
      </c>
      <c r="G1105" s="6" t="inlineStr">
        <is>
          <t>LOCAÇÕES</t>
        </is>
      </c>
      <c r="H1105" s="6" t="inlineStr">
        <is>
          <t>EDIFICAR LOCACAO MANUTENCAO E SERVICOS LTDA</t>
        </is>
      </c>
      <c r="I1105" s="24" t="n">
        <v>46286</v>
      </c>
      <c r="J1105" s="6" t="n">
        <v>6800</v>
      </c>
    </row>
    <row r="1106">
      <c r="A1106" s="23" t="n">
        <v>46266</v>
      </c>
      <c r="B1106" s="6" t="inlineStr">
        <is>
          <t>Pago</t>
        </is>
      </c>
      <c r="C1106" s="6" t="inlineStr">
        <is>
          <t>PL530.001</t>
        </is>
      </c>
      <c r="D1106" s="6" t="str">
        <f>IFERROR(VLOOKUP(E1106,FORNECEDORES!$A$5:$F$999,6,FALSE),"L10")</f>
        <v>L03</v>
      </c>
      <c r="E1106" s="6" t="inlineStr">
        <is>
          <t>EDIFICAR LOCACAO MANUTENCAO E SERVICOS LTDA</t>
        </is>
      </c>
      <c r="F1106" s="7" t="n">
        <v>12.9</v>
      </c>
      <c r="G1106" s="6" t="inlineStr">
        <is>
          <t>LOCAÇÕES</t>
        </is>
      </c>
      <c r="H1106" s="6" t="inlineStr">
        <is>
          <t>EDIFICAR LOCACAO MANUTENCAO E SERVICOS LTDA</t>
        </is>
      </c>
      <c r="I1106" s="24" t="n">
        <v>46286</v>
      </c>
      <c r="J1106" s="6" t="n">
        <v>6800</v>
      </c>
    </row>
    <row r="1107">
      <c r="A1107" s="23" t="n">
        <v>46266</v>
      </c>
      <c r="B1107" s="6" t="inlineStr">
        <is>
          <t>Pago</t>
        </is>
      </c>
      <c r="C1107" s="6" t="inlineStr">
        <is>
          <t>PL530.001</t>
        </is>
      </c>
      <c r="D1107" s="6" t="str">
        <f>IFERROR(VLOOKUP(E1107,FORNECEDORES!$A$5:$F$999,6,FALSE),"L10")</f>
        <v>L03</v>
      </c>
      <c r="E1107" s="6" t="inlineStr">
        <is>
          <t>EDIFICAR LOCACAO MANUTENCAO E SERVICOS LTDA</t>
        </is>
      </c>
      <c r="F1107" s="7" t="n">
        <v>450</v>
      </c>
      <c r="G1107" s="6" t="inlineStr">
        <is>
          <t>LOCAÇÕES</t>
        </is>
      </c>
      <c r="H1107" s="6" t="inlineStr">
        <is>
          <t>EDIFICAR LOCACAO MANUTENCAO E SERVICOS LTDA</t>
        </is>
      </c>
      <c r="I1107" s="24" t="n">
        <v>46286</v>
      </c>
      <c r="J1107" s="6" t="n">
        <v>6800</v>
      </c>
    </row>
    <row r="1108">
      <c r="A1108" s="23" t="n">
        <v>46266</v>
      </c>
      <c r="B1108" s="6" t="inlineStr">
        <is>
          <t>Pago</t>
        </is>
      </c>
      <c r="C1108" s="6" t="inlineStr">
        <is>
          <t>PL530.001</t>
        </is>
      </c>
      <c r="D1108" s="6" t="str">
        <f>IFERROR(VLOOKUP(E1108,FORNECEDORES!$A$5:$F$999,6,FALSE),"L10")</f>
        <v>L03</v>
      </c>
      <c r="E1108" s="6" t="inlineStr">
        <is>
          <t>EDIFICAR LOCACAO MANUTENCAO E SERVICOS LTDA</t>
        </is>
      </c>
      <c r="F1108" s="7" t="n">
        <v>110</v>
      </c>
      <c r="G1108" s="6" t="inlineStr">
        <is>
          <t>LOCAÇÕES</t>
        </is>
      </c>
      <c r="H1108" s="6" t="inlineStr">
        <is>
          <t>EDIFICAR LOCACAO MANUTENCAO E SERVICOS LTDA</t>
        </is>
      </c>
      <c r="I1108" s="24" t="n">
        <v>46286</v>
      </c>
      <c r="J1108" s="6" t="n">
        <v>6800</v>
      </c>
    </row>
    <row r="1109">
      <c r="A1109" s="23" t="n">
        <v>46266</v>
      </c>
      <c r="B1109" s="6" t="inlineStr">
        <is>
          <t>Pago</t>
        </is>
      </c>
      <c r="C1109" s="6" t="inlineStr">
        <is>
          <t>PL530.001</t>
        </is>
      </c>
      <c r="D1109" s="6" t="str">
        <f>IFERROR(VLOOKUP(E1109,FORNECEDORES!$A$5:$F$999,6,FALSE),"L10")</f>
        <v>L03</v>
      </c>
      <c r="E1109" s="6" t="inlineStr">
        <is>
          <t>EDIFICAR LOCACAO MANUTENCAO E SERVICOS LTDA</t>
        </is>
      </c>
      <c r="F1109" s="7" t="n">
        <v>380</v>
      </c>
      <c r="G1109" s="6" t="inlineStr">
        <is>
          <t>LOCAÇÕES</t>
        </is>
      </c>
      <c r="H1109" s="6" t="inlineStr">
        <is>
          <t>EDIFICAR LOCACAO MANUTENCAO E SERVICOS LTDA</t>
        </is>
      </c>
      <c r="I1109" s="24" t="n">
        <v>46286</v>
      </c>
      <c r="J1109" s="6" t="n">
        <v>6801</v>
      </c>
    </row>
    <row r="1110">
      <c r="A1110" s="23" t="n">
        <v>46266</v>
      </c>
      <c r="B1110" s="6" t="inlineStr">
        <is>
          <t>Pago</t>
        </is>
      </c>
      <c r="C1110" s="6" t="inlineStr">
        <is>
          <t>PL530.001</t>
        </is>
      </c>
      <c r="D1110" s="6" t="str">
        <f>IFERROR(VLOOKUP(E1110,FORNECEDORES!$A$5:$F$999,6,FALSE),"L10")</f>
        <v>L03</v>
      </c>
      <c r="E1110" s="6" t="inlineStr">
        <is>
          <t>EUROLINK IMPORTACAO E LOCACAO DE EQUIPAMENTOS LTDA</t>
        </is>
      </c>
      <c r="F1110" s="7" t="n">
        <v>11502.06</v>
      </c>
      <c r="G1110" s="6" t="inlineStr">
        <is>
          <t>LOCAÇÕES</t>
        </is>
      </c>
      <c r="H1110" s="6" t="inlineStr">
        <is>
          <t>EUROLINK IMPORTACAO E LOCACAO DE EQUIPAMENTOS LTDA</t>
        </is>
      </c>
      <c r="I1110" s="24" t="n">
        <v>46286</v>
      </c>
      <c r="J1110" s="6" t="n">
        <v>6705</v>
      </c>
    </row>
    <row r="1111">
      <c r="A1111" s="23" t="n">
        <v>46266</v>
      </c>
      <c r="B1111" s="6" t="inlineStr">
        <is>
          <t>Pago</t>
        </is>
      </c>
      <c r="C1111" s="6" t="inlineStr">
        <is>
          <t>PL530.001</t>
        </is>
      </c>
      <c r="D1111" s="6" t="str">
        <f>IFERROR(VLOOKUP(E1111,FORNECEDORES!$A$5:$F$999,6,FALSE),"L10")</f>
        <v>L03</v>
      </c>
      <c r="E1111" s="6" t="inlineStr">
        <is>
          <t>EUROLINK IMPORTACAO E LOCACAO DE EQUIPAMENTOS LTDA</t>
        </is>
      </c>
      <c r="F1111" s="7" t="n">
        <v>14273.64</v>
      </c>
      <c r="G1111" s="6" t="inlineStr">
        <is>
          <t>LOCAÇÕES</t>
        </is>
      </c>
      <c r="H1111" s="6" t="inlineStr">
        <is>
          <t>EUROLINK IMPORTACAO E LOCACAO DE EQUIPAMENTOS LTDA</t>
        </is>
      </c>
      <c r="I1111" s="24" t="n">
        <v>46276</v>
      </c>
      <c r="J1111" s="6" t="n">
        <v>6700</v>
      </c>
    </row>
    <row r="1112">
      <c r="A1112" s="23" t="n">
        <v>46266</v>
      </c>
      <c r="B1112" s="6" t="inlineStr">
        <is>
          <t>Pago</t>
        </is>
      </c>
      <c r="C1112" s="6" t="inlineStr">
        <is>
          <t>PL530.001</t>
        </is>
      </c>
      <c r="D1112" s="6" t="str">
        <f>IFERROR(VLOOKUP(E1112,FORNECEDORES!$A$5:$F$999,6,FALSE),"L10")</f>
        <v>L01</v>
      </c>
      <c r="E1112" s="6" t="inlineStr">
        <is>
          <t>EXPRESSO 2000 TRANSPORTES E LOGISTICA LTDA</t>
        </is>
      </c>
      <c r="F1112" s="7" t="n">
        <v>1554.82</v>
      </c>
      <c r="G1112" s="6" t="inlineStr">
        <is>
          <t>FRETE</t>
        </is>
      </c>
      <c r="H1112" s="6" t="inlineStr">
        <is>
          <t>EXPRESSO 2000 TRANSPORTES E LOGISTICA LTDA</t>
        </is>
      </c>
      <c r="I1112" s="24" t="n">
        <v>46293</v>
      </c>
      <c r="J1112" s="6" t="n">
        <v>6596</v>
      </c>
    </row>
    <row r="1113">
      <c r="A1113" s="23" t="n">
        <v>46266</v>
      </c>
      <c r="B1113" s="6" t="inlineStr">
        <is>
          <t>Pago</t>
        </is>
      </c>
      <c r="C1113" s="6" t="inlineStr">
        <is>
          <t>PL530.001</t>
        </is>
      </c>
      <c r="D1113" s="6" t="str">
        <f>IFERROR(VLOOKUP(E1113,FORNECEDORES!$A$5:$F$999,6,FALSE),"L10")</f>
        <v>L01</v>
      </c>
      <c r="E1113" s="6" t="inlineStr">
        <is>
          <t>FASSA DO BRASIL INDUSTRIA E COMERCIO LTDA</t>
        </is>
      </c>
      <c r="F1113" s="7" t="n">
        <v>2158.9</v>
      </c>
      <c r="G1113" s="6" t="inlineStr">
        <is>
          <t>EQUIPAMENTOS E FERRAMENTAS</t>
        </is>
      </c>
      <c r="H1113" s="6" t="inlineStr">
        <is>
          <t>FASSA DO BRASIL INDUSTRIA E COMERCIO LTDA</t>
        </is>
      </c>
      <c r="I1113" s="24" t="n">
        <v>46287</v>
      </c>
      <c r="J1113" s="6" t="n">
        <v>6685</v>
      </c>
    </row>
    <row r="1114">
      <c r="A1114" s="23" t="n">
        <v>46266</v>
      </c>
      <c r="B1114" s="6" t="inlineStr">
        <is>
          <t>Pago</t>
        </is>
      </c>
      <c r="C1114" s="6" t="inlineStr">
        <is>
          <t>PL530.001</t>
        </is>
      </c>
      <c r="D1114" s="6" t="str">
        <f>IFERROR(VLOOKUP(E1114,FORNECEDORES!$A$5:$F$999,6,FALSE),"L10")</f>
        <v>L10</v>
      </c>
      <c r="E1114" s="6" t="inlineStr">
        <is>
          <t>FIAO LOCACOES E TRANSPORTES LTDA</t>
        </is>
      </c>
      <c r="F1114" s="7" t="n">
        <v>1132.25</v>
      </c>
      <c r="G1114" s="6" t="inlineStr">
        <is>
          <t>NÃO CLASSIFICADO</t>
        </is>
      </c>
      <c r="H1114" s="6" t="inlineStr">
        <is>
          <t>FIAO LOCACOES E TRANSPORTES LTDA</t>
        </is>
      </c>
      <c r="I1114" s="24" t="n">
        <v>46279</v>
      </c>
      <c r="J1114" s="6" t="n">
        <v>6640</v>
      </c>
    </row>
    <row r="1115">
      <c r="A1115" s="23" t="n">
        <v>46266</v>
      </c>
      <c r="B1115" s="6" t="inlineStr">
        <is>
          <t>Pago</t>
        </is>
      </c>
      <c r="C1115" s="6" t="inlineStr">
        <is>
          <t>PL530.001</t>
        </is>
      </c>
      <c r="D1115" s="6" t="str">
        <f>IFERROR(VLOOKUP(E1115,FORNECEDORES!$A$5:$F$999,6,FALSE),"L10")</f>
        <v>L10</v>
      </c>
      <c r="E1115" s="6" t="inlineStr">
        <is>
          <t>FIAO LOCACOES E TRANSPORTES LTDA</t>
        </is>
      </c>
      <c r="F1115" s="7" t="n">
        <v>144.38</v>
      </c>
      <c r="G1115" s="6" t="inlineStr">
        <is>
          <t>NÃO CLASSIFICADO</t>
        </is>
      </c>
      <c r="H1115" s="6" t="inlineStr">
        <is>
          <t>INSS RETIDO PJ - MINISTERIO DA PREVIDENCIA</t>
        </is>
      </c>
      <c r="I1115" s="24" t="n">
        <v>46283</v>
      </c>
      <c r="J1115" s="6" t="n">
        <v>6574</v>
      </c>
    </row>
    <row r="1116">
      <c r="A1116" s="23" t="n">
        <v>46266</v>
      </c>
      <c r="B1116" s="6" t="inlineStr">
        <is>
          <t>Pago</t>
        </is>
      </c>
      <c r="C1116" s="6" t="inlineStr">
        <is>
          <t>PL530.001</t>
        </is>
      </c>
      <c r="D1116" s="6" t="str">
        <f>IFERROR(VLOOKUP(E1116,FORNECEDORES!$A$5:$F$999,6,FALSE),"L10")</f>
        <v>L10</v>
      </c>
      <c r="E1116" s="6" t="inlineStr">
        <is>
          <t>FIAO LOCACOES E TRANSPORTES LTDA</t>
        </is>
      </c>
      <c r="F1116" s="7" t="n">
        <v>102.9</v>
      </c>
      <c r="G1116" s="6" t="inlineStr">
        <is>
          <t>NÃO CLASSIFICADO</t>
        </is>
      </c>
      <c r="H1116" s="6" t="inlineStr">
        <is>
          <t>PREFEITURA DE BELO HORIZONTE - ISSQN RETIDO</t>
        </is>
      </c>
      <c r="I1116" s="24" t="n">
        <v>46273</v>
      </c>
      <c r="J1116" s="6" t="n">
        <v>6573</v>
      </c>
    </row>
    <row r="1117">
      <c r="A1117" s="23" t="n">
        <v>46266</v>
      </c>
      <c r="B1117" s="6" t="inlineStr">
        <is>
          <t>Pago</t>
        </is>
      </c>
      <c r="C1117" s="6" t="inlineStr">
        <is>
          <t>PL530.001</t>
        </is>
      </c>
      <c r="D1117" s="6" t="str">
        <f>IFERROR(VLOOKUP(E1117,FORNECEDORES!$A$5:$F$999,6,FALSE),"L10")</f>
        <v>L08</v>
      </c>
      <c r="E1117" s="6" t="inlineStr">
        <is>
          <t>IMA EQUIPAMENTOS DE PROTECAO INDIVIDUAL LTDA</t>
        </is>
      </c>
      <c r="F1117" s="7" t="n">
        <v>776.61</v>
      </c>
      <c r="G1117" s="6" t="inlineStr">
        <is>
          <t>SINALIZAÇÃO</t>
        </is>
      </c>
      <c r="H1117" s="6" t="inlineStr">
        <is>
          <t>IMA EQUIPAMENTOS DE PROTECAO INDIVIDUAL LTDA</t>
        </is>
      </c>
      <c r="I1117" s="24" t="n">
        <v>46276</v>
      </c>
      <c r="J1117" s="6" t="n">
        <v>6180</v>
      </c>
    </row>
    <row r="1118">
      <c r="A1118" s="23" t="n">
        <v>46266</v>
      </c>
      <c r="B1118" s="6" t="inlineStr">
        <is>
          <t>Pago</t>
        </is>
      </c>
      <c r="C1118" s="6" t="inlineStr">
        <is>
          <t>PL530.001</t>
        </is>
      </c>
      <c r="D1118" s="6" t="str">
        <f>IFERROR(VLOOKUP(E1118,FORNECEDORES!$A$5:$F$999,6,FALSE),"L10")</f>
        <v>L08</v>
      </c>
      <c r="E1118" s="6" t="inlineStr">
        <is>
          <t>IMA EQUIPAMENTOS DE PROTECAO INDIVIDUAL LTDA</t>
        </is>
      </c>
      <c r="F1118" s="7" t="n">
        <v>233.23</v>
      </c>
      <c r="G1118" s="6" t="inlineStr">
        <is>
          <t>SINALIZAÇÃO</t>
        </is>
      </c>
      <c r="H1118" s="6" t="inlineStr">
        <is>
          <t>IMA EQUIPAMENTOS DE PROTECAO INDIVIDUAL LTDA</t>
        </is>
      </c>
      <c r="I1118" s="24" t="n">
        <v>46276</v>
      </c>
      <c r="J1118" s="6" t="n">
        <v>6180</v>
      </c>
    </row>
    <row r="1119">
      <c r="A1119" s="23" t="n">
        <v>46266</v>
      </c>
      <c r="B1119" s="6" t="inlineStr">
        <is>
          <t>Pago</t>
        </is>
      </c>
      <c r="C1119" s="6" t="inlineStr">
        <is>
          <t>PL530.001</t>
        </is>
      </c>
      <c r="D1119" s="6" t="str">
        <f>IFERROR(VLOOKUP(E1119,FORNECEDORES!$A$5:$F$999,6,FALSE),"L10")</f>
        <v>L10</v>
      </c>
      <c r="E1119" s="6" t="inlineStr">
        <is>
          <t>LN SERVICOS E MONTAGEM LTDA</t>
        </is>
      </c>
      <c r="F1119" s="7" t="n">
        <v>5291.91</v>
      </c>
      <c r="G1119" s="6" t="inlineStr">
        <is>
          <t>NÃO CLASSIFICADO</t>
        </is>
      </c>
      <c r="H1119" s="6" t="inlineStr">
        <is>
          <t>LN SERVICOS E MONTAGEM LTDA</t>
        </is>
      </c>
      <c r="I1119" s="24" t="n">
        <v>46282</v>
      </c>
      <c r="J1119" s="6" t="n">
        <v>6782</v>
      </c>
    </row>
    <row r="1120">
      <c r="A1120" s="23" t="n">
        <v>46266</v>
      </c>
      <c r="B1120" s="6" t="inlineStr">
        <is>
          <t>Pago</t>
        </is>
      </c>
      <c r="C1120" s="6" t="inlineStr">
        <is>
          <t>PL530.001</t>
        </is>
      </c>
      <c r="D1120" s="6" t="str">
        <f>IFERROR(VLOOKUP(E1120,FORNECEDORES!$A$5:$F$999,6,FALSE),"L10")</f>
        <v>L10</v>
      </c>
      <c r="E1120" s="6" t="inlineStr">
        <is>
          <t>LN SERVICOS E MONTAGEM LTDA</t>
        </is>
      </c>
      <c r="F1120" s="7" t="n">
        <v>104.14</v>
      </c>
      <c r="G1120" s="6" t="inlineStr">
        <is>
          <t>NÃO CLASSIFICADO</t>
        </is>
      </c>
      <c r="H1120" s="6" t="inlineStr">
        <is>
          <t>PREFEITURA DE BELO HORIZONTE - ISSQN RETIDO</t>
        </is>
      </c>
      <c r="I1120" s="24" t="n">
        <v>46273</v>
      </c>
      <c r="J1120" s="6" t="n">
        <v>6406</v>
      </c>
    </row>
    <row r="1121">
      <c r="A1121" s="23" t="n">
        <v>46266</v>
      </c>
      <c r="B1121" s="6" t="inlineStr">
        <is>
          <t>Pago</t>
        </is>
      </c>
      <c r="C1121" s="6" t="inlineStr">
        <is>
          <t>PL530.001</t>
        </is>
      </c>
      <c r="D1121" s="6" t="str">
        <f>IFERROR(VLOOKUP(E1121,FORNECEDORES!$A$5:$F$999,6,FALSE),"L10")</f>
        <v>L03</v>
      </c>
      <c r="E1121" s="6" t="inlineStr">
        <is>
          <t>LOC MASTER LOCADORA DE EQUIPAMENTOS LTDA</t>
        </is>
      </c>
      <c r="F1121" s="7" t="n">
        <v>2485</v>
      </c>
      <c r="G1121" s="6" t="inlineStr">
        <is>
          <t>LOCAÇÕES</t>
        </is>
      </c>
      <c r="H1121" s="6" t="inlineStr">
        <is>
          <t>LOC MASTER LOCADORA DE EQUIPAMENTOS LTDA</t>
        </is>
      </c>
      <c r="I1121" s="24" t="n">
        <v>46281</v>
      </c>
      <c r="J1121" s="6" t="n">
        <v>6738</v>
      </c>
    </row>
    <row r="1122">
      <c r="A1122" s="23" t="n">
        <v>46266</v>
      </c>
      <c r="B1122" s="6" t="inlineStr">
        <is>
          <t>Pago</t>
        </is>
      </c>
      <c r="C1122" s="6" t="inlineStr">
        <is>
          <t>PL530.001</t>
        </is>
      </c>
      <c r="D1122" s="6" t="str">
        <f>IFERROR(VLOOKUP(E1122,FORNECEDORES!$A$5:$F$999,6,FALSE),"L10")</f>
        <v>L03</v>
      </c>
      <c r="E1122" s="6" t="inlineStr">
        <is>
          <t>LOC MASTER LOCADORA DE EQUIPAMENTOS LTDA</t>
        </is>
      </c>
      <c r="F1122" s="7" t="n">
        <v>127.8</v>
      </c>
      <c r="G1122" s="6" t="inlineStr">
        <is>
          <t>LOCAÇÕES</t>
        </is>
      </c>
      <c r="H1122" s="6" t="inlineStr">
        <is>
          <t>LOC MASTER LOCADORA DE EQUIPAMENTOS LTDA</t>
        </is>
      </c>
      <c r="I1122" s="24" t="n">
        <v>46281</v>
      </c>
      <c r="J1122" s="6" t="n">
        <v>6773</v>
      </c>
    </row>
    <row r="1123">
      <c r="A1123" s="23" t="n">
        <v>46266</v>
      </c>
      <c r="B1123" s="6" t="inlineStr">
        <is>
          <t>Pago</t>
        </is>
      </c>
      <c r="C1123" s="6" t="inlineStr">
        <is>
          <t>PL530.001</t>
        </is>
      </c>
      <c r="D1123" s="6" t="str">
        <f>IFERROR(VLOOKUP(E1123,FORNECEDORES!$A$5:$F$999,6,FALSE),"L10")</f>
        <v>L03</v>
      </c>
      <c r="E1123" s="6" t="inlineStr">
        <is>
          <t>LOC MASTER LOCADORA DE EQUIPAMENTOS LTDA</t>
        </is>
      </c>
      <c r="F1123" s="7" t="n">
        <v>111.32</v>
      </c>
      <c r="G1123" s="6" t="inlineStr">
        <is>
          <t>LOCAÇÕES</t>
        </is>
      </c>
      <c r="H1123" s="6" t="inlineStr">
        <is>
          <t>LOC MASTER LOCADORA DE EQUIPAMENTOS LTDA</t>
        </is>
      </c>
      <c r="I1123" s="24" t="n">
        <v>46266</v>
      </c>
      <c r="J1123" s="6" t="n">
        <v>6609</v>
      </c>
    </row>
    <row r="1124">
      <c r="A1124" s="23" t="n">
        <v>46266</v>
      </c>
      <c r="B1124" s="6" t="inlineStr">
        <is>
          <t>Pago</t>
        </is>
      </c>
      <c r="C1124" s="6" t="inlineStr">
        <is>
          <t>PL530.001</t>
        </is>
      </c>
      <c r="D1124" s="6" t="str">
        <f>IFERROR(VLOOKUP(E1124,FORNECEDORES!$A$5:$F$999,6,FALSE),"L10")</f>
        <v>L03</v>
      </c>
      <c r="E1124" s="6" t="inlineStr">
        <is>
          <t>LOC MASTER LOCADORA DE EQUIPAMENTOS LTDA</t>
        </is>
      </c>
      <c r="F1124" s="7" t="n">
        <v>110</v>
      </c>
      <c r="G1124" s="6" t="inlineStr">
        <is>
          <t>LOCAÇÕES</t>
        </is>
      </c>
      <c r="H1124" s="6" t="inlineStr">
        <is>
          <t>LOC MASTER LOCADORA DE EQUIPAMENTOS LTDA</t>
        </is>
      </c>
      <c r="I1124" s="24" t="n">
        <v>46290</v>
      </c>
      <c r="J1124" s="6" t="n">
        <v>6633</v>
      </c>
    </row>
    <row r="1125">
      <c r="A1125" s="23" t="n">
        <v>46266</v>
      </c>
      <c r="B1125" s="6" t="inlineStr">
        <is>
          <t>Pago</t>
        </is>
      </c>
      <c r="C1125" s="6" t="inlineStr">
        <is>
          <t>PL530.001</t>
        </is>
      </c>
      <c r="D1125" s="6" t="str">
        <f>IFERROR(VLOOKUP(E1125,FORNECEDORES!$A$5:$F$999,6,FALSE),"L10")</f>
        <v>L03</v>
      </c>
      <c r="E1125" s="6" t="inlineStr">
        <is>
          <t>LOCAFAZ LOCACAO DE EQUIPAMENTOS LTDA</t>
        </is>
      </c>
      <c r="F1125" s="7" t="n">
        <v>1466</v>
      </c>
      <c r="G1125" s="6" t="inlineStr">
        <is>
          <t>LOCAÇÕES</t>
        </is>
      </c>
      <c r="H1125" s="6" t="inlineStr">
        <is>
          <t>LOCAFAZ LOCACAO DE EQUIPAMENTOS LTDA</t>
        </is>
      </c>
      <c r="I1125" s="24" t="n">
        <v>46286</v>
      </c>
      <c r="J1125" s="6" t="n">
        <v>6728</v>
      </c>
    </row>
    <row r="1126">
      <c r="A1126" s="23" t="n">
        <v>46266</v>
      </c>
      <c r="B1126" s="6" t="inlineStr">
        <is>
          <t>Pago</t>
        </is>
      </c>
      <c r="C1126" s="6" t="inlineStr">
        <is>
          <t>PL530.001</t>
        </is>
      </c>
      <c r="D1126" s="6" t="str">
        <f>IFERROR(VLOOKUP(E1126,FORNECEDORES!$A$5:$F$999,6,FALSE),"L10")</f>
        <v>L03</v>
      </c>
      <c r="E1126" s="6" t="inlineStr">
        <is>
          <t>LOCAFAZ LOCACAO DE EQUIPAMENTOS LTDA</t>
        </is>
      </c>
      <c r="F1126" s="7" t="n">
        <v>109</v>
      </c>
      <c r="G1126" s="6" t="inlineStr">
        <is>
          <t>LOCAÇÕES</t>
        </is>
      </c>
      <c r="H1126" s="6" t="inlineStr">
        <is>
          <t>LOCAFAZ LOCACAO DE EQUIPAMENTOS LTDA</t>
        </is>
      </c>
      <c r="I1126" s="24" t="n">
        <v>46286</v>
      </c>
      <c r="J1126" s="6" t="n">
        <v>6728</v>
      </c>
    </row>
    <row r="1127">
      <c r="A1127" s="23" t="n">
        <v>46266</v>
      </c>
      <c r="B1127" s="6" t="inlineStr">
        <is>
          <t>Pago</t>
        </is>
      </c>
      <c r="C1127" s="6" t="inlineStr">
        <is>
          <t>PL530.001</t>
        </is>
      </c>
      <c r="D1127" s="6" t="str">
        <f>IFERROR(VLOOKUP(E1127,FORNECEDORES!$A$5:$F$999,6,FALSE),"L10")</f>
        <v>L03</v>
      </c>
      <c r="E1127" s="6" t="inlineStr">
        <is>
          <t>LOCAFAZ LOCACAO DE EQUIPAMENTOS LTDA</t>
        </is>
      </c>
      <c r="F1127" s="7" t="n">
        <v>3</v>
      </c>
      <c r="G1127" s="6" t="inlineStr">
        <is>
          <t>LOCAÇÕES</t>
        </is>
      </c>
      <c r="H1127" s="6" t="inlineStr">
        <is>
          <t>LOCAFAZ LOCACAO DE EQUIPAMENTOS LTDA</t>
        </is>
      </c>
      <c r="I1127" s="24" t="n">
        <v>46286</v>
      </c>
      <c r="J1127" s="6" t="n">
        <v>6728</v>
      </c>
    </row>
    <row r="1128">
      <c r="A1128" s="23" t="n">
        <v>46266</v>
      </c>
      <c r="B1128" s="6" t="inlineStr">
        <is>
          <t>Pago</t>
        </is>
      </c>
      <c r="C1128" s="6" t="inlineStr">
        <is>
          <t>PL530.001</t>
        </is>
      </c>
      <c r="D1128" s="6" t="str">
        <f>IFERROR(VLOOKUP(E1128,FORNECEDORES!$A$5:$F$999,6,FALSE),"L10")</f>
        <v>L03</v>
      </c>
      <c r="E1128" s="6" t="inlineStr">
        <is>
          <t>LOCAFAZ LOCACAO DE EQUIPAMENTOS LTDA</t>
        </is>
      </c>
      <c r="F1128" s="7" t="n">
        <v>350</v>
      </c>
      <c r="G1128" s="6" t="inlineStr">
        <is>
          <t>LOCAÇÕES</t>
        </is>
      </c>
      <c r="H1128" s="6" t="inlineStr">
        <is>
          <t>LOCAFAZ LOCACAO DE EQUIPAMENTOS LTDA</t>
        </is>
      </c>
      <c r="I1128" s="24" t="n">
        <v>46286</v>
      </c>
      <c r="J1128" s="6" t="n">
        <v>6728</v>
      </c>
    </row>
    <row r="1129">
      <c r="A1129" s="23" t="n">
        <v>46266</v>
      </c>
      <c r="B1129" s="6" t="inlineStr">
        <is>
          <t>Pago</t>
        </is>
      </c>
      <c r="C1129" s="6" t="inlineStr">
        <is>
          <t>PL530.001</t>
        </is>
      </c>
      <c r="D1129" s="6" t="str">
        <f>IFERROR(VLOOKUP(E1129,FORNECEDORES!$A$5:$F$999,6,FALSE),"L10")</f>
        <v>L03</v>
      </c>
      <c r="E1129" s="6" t="inlineStr">
        <is>
          <t>LOCAFAZ LOCACAO DE EQUIPAMENTOS LTDA</t>
        </is>
      </c>
      <c r="F1129" s="7" t="n">
        <v>545</v>
      </c>
      <c r="G1129" s="6" t="inlineStr">
        <is>
          <t>LOCAÇÕES</t>
        </is>
      </c>
      <c r="H1129" s="6" t="inlineStr">
        <is>
          <t>LOCAFAZ LOCACAO DE EQUIPAMENTOS LTDA</t>
        </is>
      </c>
      <c r="I1129" s="24" t="n">
        <v>46286</v>
      </c>
      <c r="J1129" s="6" t="n">
        <v>6728</v>
      </c>
    </row>
    <row r="1130">
      <c r="A1130" s="23" t="n">
        <v>46266</v>
      </c>
      <c r="B1130" s="6" t="inlineStr">
        <is>
          <t>Pago</t>
        </is>
      </c>
      <c r="C1130" s="6" t="inlineStr">
        <is>
          <t>PL530.001</t>
        </is>
      </c>
      <c r="D1130" s="6" t="str">
        <f>IFERROR(VLOOKUP(E1130,FORNECEDORES!$A$5:$F$999,6,FALSE),"L10")</f>
        <v>L03</v>
      </c>
      <c r="E1130" s="6" t="inlineStr">
        <is>
          <t>LOCAFAZ LOCACAO DE EQUIPAMENTOS LTDA</t>
        </is>
      </c>
      <c r="F1130" s="7" t="n">
        <v>655</v>
      </c>
      <c r="G1130" s="6" t="inlineStr">
        <is>
          <t>LOCAÇÕES</t>
        </is>
      </c>
      <c r="H1130" s="6" t="inlineStr">
        <is>
          <t>LOCAFAZ LOCACAO DE EQUIPAMENTOS LTDA</t>
        </is>
      </c>
      <c r="I1130" s="24" t="n">
        <v>46273</v>
      </c>
      <c r="J1130" s="6" t="n">
        <v>6638</v>
      </c>
    </row>
    <row r="1131">
      <c r="A1131" s="23" t="n">
        <v>46266</v>
      </c>
      <c r="B1131" s="6" t="inlineStr">
        <is>
          <t>Pago</t>
        </is>
      </c>
      <c r="C1131" s="6" t="inlineStr">
        <is>
          <t>PL530.001</t>
        </is>
      </c>
      <c r="D1131" s="6" t="str">
        <f>IFERROR(VLOOKUP(E1131,FORNECEDORES!$A$5:$F$999,6,FALSE),"L10")</f>
        <v>L03</v>
      </c>
      <c r="E1131" s="6" t="inlineStr">
        <is>
          <t>LOCAFAZ LOCACAO DE EQUIPAMENTOS LTDA</t>
        </is>
      </c>
      <c r="F1131" s="7" t="n">
        <v>1400</v>
      </c>
      <c r="G1131" s="6" t="inlineStr">
        <is>
          <t>LOCAÇÕES</t>
        </is>
      </c>
      <c r="H1131" s="6" t="inlineStr">
        <is>
          <t>LOCAFAZ LOCACAO DE EQUIPAMENTOS LTDA</t>
        </is>
      </c>
      <c r="I1131" s="24" t="n">
        <v>46273</v>
      </c>
      <c r="J1131" s="6" t="n">
        <v>6638</v>
      </c>
    </row>
    <row r="1132">
      <c r="A1132" s="23" t="n">
        <v>46266</v>
      </c>
      <c r="B1132" s="6" t="inlineStr">
        <is>
          <t>Pago</t>
        </is>
      </c>
      <c r="C1132" s="6" t="inlineStr">
        <is>
          <t>PL530.001</t>
        </is>
      </c>
      <c r="D1132" s="6" t="str">
        <f>IFERROR(VLOOKUP(E1132,FORNECEDORES!$A$5:$F$999,6,FALSE),"L10")</f>
        <v>L03</v>
      </c>
      <c r="E1132" s="6" t="inlineStr">
        <is>
          <t>LOCAFAZ LOCACAO DE EQUIPAMENTOS LTDA</t>
        </is>
      </c>
      <c r="F1132" s="7" t="n">
        <v>750</v>
      </c>
      <c r="G1132" s="6" t="inlineStr">
        <is>
          <t>LOCAÇÕES</t>
        </is>
      </c>
      <c r="H1132" s="6" t="inlineStr">
        <is>
          <t>LOCAFAZ LOCACAO DE EQUIPAMENTOS LTDA</t>
        </is>
      </c>
      <c r="I1132" s="24" t="n">
        <v>46273</v>
      </c>
      <c r="J1132" s="6" t="n">
        <v>6638</v>
      </c>
    </row>
    <row r="1133">
      <c r="A1133" s="23" t="n">
        <v>46266</v>
      </c>
      <c r="B1133" s="6" t="inlineStr">
        <is>
          <t>Pago</t>
        </is>
      </c>
      <c r="C1133" s="6" t="inlineStr">
        <is>
          <t>PL530.001</t>
        </is>
      </c>
      <c r="D1133" s="6" t="str">
        <f>IFERROR(VLOOKUP(E1133,FORNECEDORES!$A$5:$F$999,6,FALSE),"L10")</f>
        <v>L03</v>
      </c>
      <c r="E1133" s="6" t="inlineStr">
        <is>
          <t>LOCAFAZ LOCACAO DE EQUIPAMENTOS LTDA</t>
        </is>
      </c>
      <c r="F1133" s="7" t="n">
        <v>300</v>
      </c>
      <c r="G1133" s="6" t="inlineStr">
        <is>
          <t>LOCAÇÕES</t>
        </is>
      </c>
      <c r="H1133" s="6" t="inlineStr">
        <is>
          <t>LOCAFAZ LOCACAO DE EQUIPAMENTOS LTDA</t>
        </is>
      </c>
      <c r="I1133" s="24" t="n">
        <v>46286</v>
      </c>
      <c r="J1133" s="6" t="n">
        <v>6728</v>
      </c>
    </row>
    <row r="1134">
      <c r="A1134" s="23" t="n">
        <v>46266</v>
      </c>
      <c r="B1134" s="6" t="inlineStr">
        <is>
          <t>Pago</t>
        </is>
      </c>
      <c r="C1134" s="6" t="inlineStr">
        <is>
          <t>PL530.001</t>
        </is>
      </c>
      <c r="D1134" s="6" t="str">
        <f>IFERROR(VLOOKUP(E1134,FORNECEDORES!$A$5:$F$999,6,FALSE),"L10")</f>
        <v>L03</v>
      </c>
      <c r="E1134" s="6" t="inlineStr">
        <is>
          <t>LOCAFAZ LOCACAO DE EQUIPAMENTOS LTDA</t>
        </is>
      </c>
      <c r="F1134" s="7" t="n">
        <v>660</v>
      </c>
      <c r="G1134" s="6" t="inlineStr">
        <is>
          <t>LOCAÇÕES</t>
        </is>
      </c>
      <c r="H1134" s="6" t="inlineStr">
        <is>
          <t>LOCAFAZ LOCACAO DE EQUIPAMENTOS LTDA</t>
        </is>
      </c>
      <c r="I1134" s="24" t="n">
        <v>46273</v>
      </c>
      <c r="J1134" s="6" t="n">
        <v>6638</v>
      </c>
    </row>
    <row r="1135">
      <c r="A1135" s="23" t="n">
        <v>46266</v>
      </c>
      <c r="B1135" s="6" t="inlineStr">
        <is>
          <t>Pago</t>
        </is>
      </c>
      <c r="C1135" s="6" t="inlineStr">
        <is>
          <t>PL530.001</t>
        </is>
      </c>
      <c r="D1135" s="6" t="str">
        <f>IFERROR(VLOOKUP(E1135,FORNECEDORES!$A$5:$F$999,6,FALSE),"L10")</f>
        <v>L03</v>
      </c>
      <c r="E1135" s="6" t="inlineStr">
        <is>
          <t>LOCAFAZ LOCACAO DE EQUIPAMENTOS LTDA</t>
        </is>
      </c>
      <c r="F1135" s="7" t="n">
        <v>1112.81</v>
      </c>
      <c r="G1135" s="6" t="inlineStr">
        <is>
          <t>LOCAÇÕES</t>
        </is>
      </c>
      <c r="H1135" s="6" t="inlineStr">
        <is>
          <t>LOCAFAZ LOCACAO DE EQUIPAMENTOS LTDA</t>
        </is>
      </c>
      <c r="I1135" s="24" t="n">
        <v>46273</v>
      </c>
      <c r="J1135" s="6" t="n">
        <v>6637</v>
      </c>
    </row>
    <row r="1136">
      <c r="A1136" s="23" t="n">
        <v>46266</v>
      </c>
      <c r="B1136" s="6" t="inlineStr">
        <is>
          <t>Pago</t>
        </is>
      </c>
      <c r="C1136" s="6" t="inlineStr">
        <is>
          <t>PL530.001</t>
        </is>
      </c>
      <c r="D1136" s="6" t="str">
        <f>IFERROR(VLOOKUP(E1136,FORNECEDORES!$A$5:$F$999,6,FALSE),"L10")</f>
        <v>L03</v>
      </c>
      <c r="E1136" s="6" t="inlineStr">
        <is>
          <t>LOCAFAZ LOCACAO DE EQUIPAMENTOS LTDA</t>
        </is>
      </c>
      <c r="F1136" s="7" t="n">
        <v>688</v>
      </c>
      <c r="G1136" s="6" t="inlineStr">
        <is>
          <t>LOCAÇÕES</t>
        </is>
      </c>
      <c r="H1136" s="6" t="inlineStr">
        <is>
          <t>LOCAFAZ LOCACAO DE EQUIPAMENTOS LTDA</t>
        </is>
      </c>
      <c r="I1136" s="24" t="n">
        <v>46273</v>
      </c>
      <c r="J1136" s="6" t="n">
        <v>6636</v>
      </c>
    </row>
    <row r="1137">
      <c r="A1137" s="23" t="n">
        <v>46266</v>
      </c>
      <c r="B1137" s="6" t="inlineStr">
        <is>
          <t>Pago</t>
        </is>
      </c>
      <c r="C1137" s="6" t="inlineStr">
        <is>
          <t>PL530.001</t>
        </is>
      </c>
      <c r="D1137" s="6" t="str">
        <f>IFERROR(VLOOKUP(E1137,FORNECEDORES!$A$5:$F$999,6,FALSE),"L10")</f>
        <v>L03</v>
      </c>
      <c r="E1137" s="6" t="inlineStr">
        <is>
          <t>LOCAFAZ LOCACAO DE EQUIPAMENTOS LTDA</t>
        </is>
      </c>
      <c r="F1137" s="7" t="n">
        <v>1433.52</v>
      </c>
      <c r="G1137" s="6" t="inlineStr">
        <is>
          <t>LOCAÇÕES</t>
        </is>
      </c>
      <c r="H1137" s="6" t="inlineStr">
        <is>
          <t>LOCAFAZ LOCACAO DE EQUIPAMENTOS LTDA</t>
        </is>
      </c>
      <c r="I1137" s="24" t="n">
        <v>46266</v>
      </c>
      <c r="J1137" s="6" t="n">
        <v>6611</v>
      </c>
    </row>
    <row r="1138">
      <c r="A1138" s="23" t="n">
        <v>46266</v>
      </c>
      <c r="B1138" s="6" t="inlineStr">
        <is>
          <t>Pago</t>
        </is>
      </c>
      <c r="C1138" s="6" t="inlineStr">
        <is>
          <t>PL530.001</t>
        </is>
      </c>
      <c r="D1138" s="6" t="str">
        <f>IFERROR(VLOOKUP(E1138,FORNECEDORES!$A$5:$F$999,6,FALSE),"L10")</f>
        <v>L03</v>
      </c>
      <c r="E1138" s="6" t="inlineStr">
        <is>
          <t>LOCAFAZ LOCACAO DE EQUIPAMENTOS LTDA</t>
        </is>
      </c>
      <c r="F1138" s="7" t="n">
        <v>3480</v>
      </c>
      <c r="G1138" s="6" t="inlineStr">
        <is>
          <t>LOCAÇÕES</t>
        </is>
      </c>
      <c r="H1138" s="6" t="inlineStr">
        <is>
          <t>LOCAFAZ LOCACAO DE EQUIPAMENTOS LTDA</t>
        </is>
      </c>
      <c r="I1138" s="24" t="n">
        <v>46273</v>
      </c>
      <c r="J1138" s="6" t="n">
        <v>6636</v>
      </c>
    </row>
    <row r="1139">
      <c r="A1139" s="23" t="n">
        <v>46266</v>
      </c>
      <c r="B1139" s="6" t="inlineStr">
        <is>
          <t>Pago</t>
        </is>
      </c>
      <c r="C1139" s="6" t="inlineStr">
        <is>
          <t>PL530.001</t>
        </is>
      </c>
      <c r="D1139" s="6" t="str">
        <f>IFERROR(VLOOKUP(E1139,FORNECEDORES!$A$5:$F$999,6,FALSE),"L10")</f>
        <v>L03</v>
      </c>
      <c r="E1139" s="6" t="inlineStr">
        <is>
          <t>LOCAFAZ LOCACAO DE EQUIPAMENTOS LTDA</t>
        </is>
      </c>
      <c r="F1139" s="7" t="n">
        <v>518</v>
      </c>
      <c r="G1139" s="6" t="inlineStr">
        <is>
          <t>LOCAÇÕES</t>
        </is>
      </c>
      <c r="H1139" s="6" t="inlineStr">
        <is>
          <t>LOCAFAZ LOCACAO DE EQUIPAMENTOS LTDA</t>
        </is>
      </c>
      <c r="I1139" s="24" t="n">
        <v>46273</v>
      </c>
      <c r="J1139" s="6" t="n">
        <v>6636</v>
      </c>
    </row>
    <row r="1140">
      <c r="A1140" s="23" t="n">
        <v>46266</v>
      </c>
      <c r="B1140" s="6" t="inlineStr">
        <is>
          <t>Pago</t>
        </is>
      </c>
      <c r="C1140" s="6" t="inlineStr">
        <is>
          <t>PL530.001</t>
        </is>
      </c>
      <c r="D1140" s="6" t="str">
        <f>IFERROR(VLOOKUP(E1140,FORNECEDORES!$A$5:$F$999,6,FALSE),"L10")</f>
        <v>L03</v>
      </c>
      <c r="E1140" s="6" t="inlineStr">
        <is>
          <t>LOCAFAZ LOCACAO DE EQUIPAMENTOS LTDA</t>
        </is>
      </c>
      <c r="F1140" s="7" t="n">
        <v>400</v>
      </c>
      <c r="G1140" s="6" t="inlineStr">
        <is>
          <t>LOCAÇÕES</t>
        </is>
      </c>
      <c r="H1140" s="6" t="inlineStr">
        <is>
          <t>LOCAFAZ LOCACAO DE EQUIPAMENTOS LTDA</t>
        </is>
      </c>
      <c r="I1140" s="24" t="n">
        <v>46273</v>
      </c>
      <c r="J1140" s="6" t="n">
        <v>6636</v>
      </c>
    </row>
    <row r="1141">
      <c r="A1141" s="23" t="n">
        <v>46266</v>
      </c>
      <c r="B1141" s="6" t="inlineStr">
        <is>
          <t>Pago</t>
        </is>
      </c>
      <c r="C1141" s="6" t="inlineStr">
        <is>
          <t>PL530.001</t>
        </is>
      </c>
      <c r="D1141" s="6" t="str">
        <f>IFERROR(VLOOKUP(E1141,FORNECEDORES!$A$5:$F$999,6,FALSE),"L10")</f>
        <v>L03</v>
      </c>
      <c r="E1141" s="6" t="inlineStr">
        <is>
          <t>LOCAFAZ LOCACAO DE EQUIPAMENTOS LTDA</t>
        </is>
      </c>
      <c r="F1141" s="7" t="n">
        <v>350</v>
      </c>
      <c r="G1141" s="6" t="inlineStr">
        <is>
          <t>LOCAÇÕES</t>
        </is>
      </c>
      <c r="H1141" s="6" t="inlineStr">
        <is>
          <t>LOCAFAZ LOCACAO DE EQUIPAMENTOS LTDA</t>
        </is>
      </c>
      <c r="I1141" s="24" t="n">
        <v>46273</v>
      </c>
      <c r="J1141" s="6" t="n">
        <v>6636</v>
      </c>
    </row>
    <row r="1142">
      <c r="A1142" s="23" t="n">
        <v>46266</v>
      </c>
      <c r="B1142" s="6" t="inlineStr">
        <is>
          <t>Pago</t>
        </is>
      </c>
      <c r="C1142" s="6" t="inlineStr">
        <is>
          <t>PL530.001</t>
        </is>
      </c>
      <c r="D1142" s="6" t="str">
        <f>IFERROR(VLOOKUP(E1142,FORNECEDORES!$A$5:$F$999,6,FALSE),"L10")</f>
        <v>L03</v>
      </c>
      <c r="E1142" s="6" t="inlineStr">
        <is>
          <t>LOCAFAZ LOCACAO DE EQUIPAMENTOS LTDA</t>
        </is>
      </c>
      <c r="F1142" s="7" t="n">
        <v>189</v>
      </c>
      <c r="G1142" s="6" t="inlineStr">
        <is>
          <t>LOCAÇÕES</t>
        </is>
      </c>
      <c r="H1142" s="6" t="inlineStr">
        <is>
          <t>LOCAFAZ LOCACAO DE EQUIPAMENTOS LTDA</t>
        </is>
      </c>
      <c r="I1142" s="24" t="n">
        <v>46273</v>
      </c>
      <c r="J1142" s="6" t="n">
        <v>6636</v>
      </c>
    </row>
    <row r="1143">
      <c r="A1143" s="23" t="n">
        <v>46266</v>
      </c>
      <c r="B1143" s="6" t="inlineStr">
        <is>
          <t>Pago</t>
        </is>
      </c>
      <c r="C1143" s="6" t="inlineStr">
        <is>
          <t>PL530.001</t>
        </is>
      </c>
      <c r="D1143" s="6" t="str">
        <f>IFERROR(VLOOKUP(E1143,FORNECEDORES!$A$5:$F$999,6,FALSE),"L10")</f>
        <v>L03</v>
      </c>
      <c r="E1143" s="6" t="inlineStr">
        <is>
          <t>LOCSAFE LOCADORA DE EQUIPAMENTOS LTDA</t>
        </is>
      </c>
      <c r="F1143" s="7" t="n">
        <v>3554.24</v>
      </c>
      <c r="G1143" s="6" t="inlineStr">
        <is>
          <t>LOCAÇÕES</t>
        </is>
      </c>
      <c r="H1143" s="6" t="inlineStr">
        <is>
          <t>LOCSAFE LOCADORA DE EQUIPAMENTOS LTDA</t>
        </is>
      </c>
      <c r="I1143" s="24" t="n">
        <v>46266</v>
      </c>
      <c r="J1143" s="6" t="n">
        <v>6610</v>
      </c>
    </row>
    <row r="1144">
      <c r="A1144" s="23" t="n">
        <v>46266</v>
      </c>
      <c r="B1144" s="6" t="inlineStr">
        <is>
          <t>Pago</t>
        </is>
      </c>
      <c r="C1144" s="6" t="inlineStr">
        <is>
          <t>PL530.001</t>
        </is>
      </c>
      <c r="D1144" s="6" t="str">
        <f>IFERROR(VLOOKUP(E1144,FORNECEDORES!$A$5:$F$999,6,FALSE),"L10")</f>
        <v>L01</v>
      </c>
      <c r="E1144" s="6" t="inlineStr">
        <is>
          <t>MINAS FERRAMENTAS LTDA</t>
        </is>
      </c>
      <c r="F1144" s="7" t="n">
        <v>96</v>
      </c>
      <c r="G1144" s="6" t="inlineStr">
        <is>
          <t>EQUIPAMENTOS E FERRAMENTAS</t>
        </is>
      </c>
      <c r="H1144" s="6" t="inlineStr">
        <is>
          <t>MINAS FERRAMENTAS LTDA</t>
        </is>
      </c>
      <c r="I1144" s="24" t="n">
        <v>46286</v>
      </c>
      <c r="J1144" s="6" t="n">
        <v>6060</v>
      </c>
    </row>
    <row r="1145">
      <c r="A1145" s="23" t="n">
        <v>46266</v>
      </c>
      <c r="B1145" s="6" t="inlineStr">
        <is>
          <t>Pago</t>
        </is>
      </c>
      <c r="C1145" s="6" t="inlineStr">
        <is>
          <t>PL530.001</t>
        </is>
      </c>
      <c r="D1145" s="6" t="str">
        <f>IFERROR(VLOOKUP(E1145,FORNECEDORES!$A$5:$F$999,6,FALSE),"L10")</f>
        <v>L01</v>
      </c>
      <c r="E1145" s="6" t="inlineStr">
        <is>
          <t>MINAS FERRAMENTAS LTDA</t>
        </is>
      </c>
      <c r="F1145" s="7" t="n">
        <v>118.5</v>
      </c>
      <c r="G1145" s="6" t="inlineStr">
        <is>
          <t>EQUIPAMENTOS E FERRAMENTAS</t>
        </is>
      </c>
      <c r="H1145" s="6" t="inlineStr">
        <is>
          <t>MINAS FERRAMENTAS LTDA</t>
        </is>
      </c>
      <c r="I1145" s="24" t="n">
        <v>46286</v>
      </c>
      <c r="J1145" s="6" t="n">
        <v>6060</v>
      </c>
    </row>
    <row r="1146">
      <c r="A1146" s="23" t="n">
        <v>46266</v>
      </c>
      <c r="B1146" s="6" t="inlineStr">
        <is>
          <t>Pago</t>
        </is>
      </c>
      <c r="C1146" s="6" t="inlineStr">
        <is>
          <t>PL530.001</t>
        </is>
      </c>
      <c r="D1146" s="6" t="str">
        <f>IFERROR(VLOOKUP(E1146,FORNECEDORES!$A$5:$F$999,6,FALSE),"L10")</f>
        <v>L01</v>
      </c>
      <c r="E1146" s="6" t="inlineStr">
        <is>
          <t>MINAS FERRAMENTAS LTDA</t>
        </is>
      </c>
      <c r="F1146" s="7" t="n">
        <v>46.07</v>
      </c>
      <c r="G1146" s="6" t="inlineStr">
        <is>
          <t>EQUIPAMENTOS E FERRAMENTAS</t>
        </is>
      </c>
      <c r="H1146" s="6" t="inlineStr">
        <is>
          <t>MINAS FERRAMENTAS LTDA</t>
        </is>
      </c>
      <c r="I1146" s="24" t="n">
        <v>46289</v>
      </c>
      <c r="J1146" s="6" t="n">
        <v>6190</v>
      </c>
    </row>
    <row r="1147">
      <c r="A1147" s="23" t="n">
        <v>46266</v>
      </c>
      <c r="B1147" s="6" t="inlineStr">
        <is>
          <t>Pago</t>
        </is>
      </c>
      <c r="C1147" s="6" t="inlineStr">
        <is>
          <t>PL530.001</t>
        </is>
      </c>
      <c r="D1147" s="6" t="str">
        <f>IFERROR(VLOOKUP(E1147,FORNECEDORES!$A$5:$F$999,6,FALSE),"L10")</f>
        <v>L01</v>
      </c>
      <c r="E1147" s="6" t="inlineStr">
        <is>
          <t>MINAS FERRAMENTAS LTDA</t>
        </is>
      </c>
      <c r="F1147" s="7" t="n">
        <v>519.8</v>
      </c>
      <c r="G1147" s="6" t="inlineStr">
        <is>
          <t>EQUIPAMENTOS E FERRAMENTAS</t>
        </is>
      </c>
      <c r="H1147" s="6" t="inlineStr">
        <is>
          <t>MINAS FERRAMENTAS LTDA</t>
        </is>
      </c>
      <c r="I1147" s="24" t="n">
        <v>46286</v>
      </c>
      <c r="J1147" s="6" t="n">
        <v>6060</v>
      </c>
    </row>
    <row r="1148">
      <c r="A1148" s="23" t="n">
        <v>46266</v>
      </c>
      <c r="B1148" s="6" t="inlineStr">
        <is>
          <t>Pago</t>
        </is>
      </c>
      <c r="C1148" s="6" t="inlineStr">
        <is>
          <t>PL530.001</t>
        </is>
      </c>
      <c r="D1148" s="6" t="str">
        <f>IFERROR(VLOOKUP(E1148,FORNECEDORES!$A$5:$F$999,6,FALSE),"L10")</f>
        <v>L01</v>
      </c>
      <c r="E1148" s="6" t="inlineStr">
        <is>
          <t>MINAS FERRAMENTAS LTDA</t>
        </is>
      </c>
      <c r="F1148" s="7" t="n">
        <v>293.3</v>
      </c>
      <c r="G1148" s="6" t="inlineStr">
        <is>
          <t>EQUIPAMENTOS E FERRAMENTAS</t>
        </is>
      </c>
      <c r="H1148" s="6" t="inlineStr">
        <is>
          <t>MINAS FERRAMENTAS LTDA</t>
        </is>
      </c>
      <c r="I1148" s="24" t="n">
        <v>46289</v>
      </c>
      <c r="J1148" s="6" t="n">
        <v>6190</v>
      </c>
    </row>
    <row r="1149">
      <c r="A1149" s="23" t="n">
        <v>46266</v>
      </c>
      <c r="B1149" s="6" t="inlineStr">
        <is>
          <t>Pago</t>
        </is>
      </c>
      <c r="C1149" s="6" t="inlineStr">
        <is>
          <t>PL530.001</t>
        </is>
      </c>
      <c r="D1149" s="6" t="str">
        <f>IFERROR(VLOOKUP(E1149,FORNECEDORES!$A$5:$F$999,6,FALSE),"L10")</f>
        <v>L01</v>
      </c>
      <c r="E1149" s="6" t="inlineStr">
        <is>
          <t>MINAS FERRAMENTAS LTDA</t>
        </is>
      </c>
      <c r="F1149" s="7" t="n">
        <v>81</v>
      </c>
      <c r="G1149" s="6" t="inlineStr">
        <is>
          <t>EQUIPAMENTOS E FERRAMENTAS</t>
        </is>
      </c>
      <c r="H1149" s="6" t="inlineStr">
        <is>
          <t>MINAS FERRAMENTAS LTDA</t>
        </is>
      </c>
      <c r="I1149" s="24" t="n">
        <v>46286</v>
      </c>
      <c r="J1149" s="6" t="n">
        <v>6060</v>
      </c>
    </row>
    <row r="1150">
      <c r="A1150" s="23" t="n">
        <v>46266</v>
      </c>
      <c r="B1150" s="6" t="inlineStr">
        <is>
          <t>Pago</t>
        </is>
      </c>
      <c r="C1150" s="6" t="inlineStr">
        <is>
          <t>PL530.001</t>
        </is>
      </c>
      <c r="D1150" s="6" t="str">
        <f>IFERROR(VLOOKUP(E1150,FORNECEDORES!$A$5:$F$999,6,FALSE),"L10")</f>
        <v>L01</v>
      </c>
      <c r="E1150" s="6" t="inlineStr">
        <is>
          <t>MINAS FERRAMENTAS LTDA</t>
        </is>
      </c>
      <c r="F1150" s="7" t="n">
        <v>468.4</v>
      </c>
      <c r="G1150" s="6" t="inlineStr">
        <is>
          <t>EQUIPAMENTOS E FERRAMENTAS</t>
        </is>
      </c>
      <c r="H1150" s="6" t="inlineStr">
        <is>
          <t>MINAS FERRAMENTAS LTDA</t>
        </is>
      </c>
      <c r="I1150" s="24" t="n">
        <v>46289</v>
      </c>
      <c r="J1150" s="6" t="n">
        <v>6190</v>
      </c>
    </row>
    <row r="1151">
      <c r="A1151" s="23" t="n">
        <v>46266</v>
      </c>
      <c r="B1151" s="6" t="inlineStr">
        <is>
          <t>Pago</t>
        </is>
      </c>
      <c r="C1151" s="6" t="inlineStr">
        <is>
          <t>PL530.001</t>
        </is>
      </c>
      <c r="D1151" s="6" t="str">
        <f>IFERROR(VLOOKUP(E1151,FORNECEDORES!$A$5:$F$999,6,FALSE),"L10")</f>
        <v>L01</v>
      </c>
      <c r="E1151" s="6" t="inlineStr">
        <is>
          <t>MINAS FERRAMENTAS LTDA</t>
        </is>
      </c>
      <c r="F1151" s="7" t="n">
        <v>108</v>
      </c>
      <c r="G1151" s="6" t="inlineStr">
        <is>
          <t>EQUIPAMENTOS E FERRAMENTAS</t>
        </is>
      </c>
      <c r="H1151" s="6" t="inlineStr">
        <is>
          <t>MINAS FERRAMENTAS LTDA</t>
        </is>
      </c>
      <c r="I1151" s="24" t="n">
        <v>46286</v>
      </c>
      <c r="J1151" s="6" t="n">
        <v>6060</v>
      </c>
    </row>
    <row r="1152">
      <c r="A1152" s="23" t="n">
        <v>46266</v>
      </c>
      <c r="B1152" s="6" t="inlineStr">
        <is>
          <t>Pago</t>
        </is>
      </c>
      <c r="C1152" s="6" t="inlineStr">
        <is>
          <t>PL530.001</t>
        </is>
      </c>
      <c r="D1152" s="6" t="str">
        <f>IFERROR(VLOOKUP(E1152,FORNECEDORES!$A$5:$F$999,6,FALSE),"L10")</f>
        <v>L01</v>
      </c>
      <c r="E1152" s="6" t="inlineStr">
        <is>
          <t>MINAS FERRAMENTAS LTDA</t>
        </is>
      </c>
      <c r="F1152" s="7" t="n">
        <v>645.95</v>
      </c>
      <c r="G1152" s="6" t="inlineStr">
        <is>
          <t>EQUIPAMENTOS E FERRAMENTAS</t>
        </is>
      </c>
      <c r="H1152" s="6" t="inlineStr">
        <is>
          <t>MINAS FERRAMENTAS LTDA</t>
        </is>
      </c>
      <c r="I1152" s="24" t="n">
        <v>46286</v>
      </c>
      <c r="J1152" s="6" t="n">
        <v>6060</v>
      </c>
    </row>
    <row r="1153">
      <c r="A1153" s="23" t="n">
        <v>46266</v>
      </c>
      <c r="B1153" s="6" t="inlineStr">
        <is>
          <t>Pago</t>
        </is>
      </c>
      <c r="C1153" s="6" t="inlineStr">
        <is>
          <t>PL530.001</t>
        </is>
      </c>
      <c r="D1153" s="6" t="str">
        <f>IFERROR(VLOOKUP(E1153,FORNECEDORES!$A$5:$F$999,6,FALSE),"L10")</f>
        <v>L01</v>
      </c>
      <c r="E1153" s="6" t="inlineStr">
        <is>
          <t>MINAS FERRAMENTAS LTDA</t>
        </is>
      </c>
      <c r="F1153" s="7" t="n">
        <v>712.8</v>
      </c>
      <c r="G1153" s="6" t="inlineStr">
        <is>
          <t>EQUIPAMENTOS E FERRAMENTAS</t>
        </is>
      </c>
      <c r="H1153" s="6" t="inlineStr">
        <is>
          <t>MINAS FERRAMENTAS LTDA</t>
        </is>
      </c>
      <c r="I1153" s="24" t="n">
        <v>46289</v>
      </c>
      <c r="J1153" s="6" t="n">
        <v>6190</v>
      </c>
    </row>
    <row r="1154">
      <c r="A1154" s="23" t="n">
        <v>46266</v>
      </c>
      <c r="B1154" s="6" t="inlineStr">
        <is>
          <t>Pago</t>
        </is>
      </c>
      <c r="C1154" s="6" t="inlineStr">
        <is>
          <t>PL530.001</t>
        </is>
      </c>
      <c r="D1154" s="6" t="str">
        <f>IFERROR(VLOOKUP(E1154,FORNECEDORES!$A$5:$F$999,6,FALSE),"L10")</f>
        <v>L01</v>
      </c>
      <c r="E1154" s="6" t="inlineStr">
        <is>
          <t>MINAS FERRAMENTAS LTDA</t>
        </is>
      </c>
      <c r="F1154" s="7" t="n">
        <v>1449.12</v>
      </c>
      <c r="G1154" s="6" t="inlineStr">
        <is>
          <t>EQUIPAMENTOS E FERRAMENTAS</t>
        </is>
      </c>
      <c r="H1154" s="6" t="inlineStr">
        <is>
          <t>MINAS FERRAMENTAS LTDA</t>
        </is>
      </c>
      <c r="I1154" s="24" t="n">
        <v>46289</v>
      </c>
      <c r="J1154" s="6" t="n">
        <v>6190</v>
      </c>
    </row>
    <row r="1155">
      <c r="A1155" s="23" t="n">
        <v>46266</v>
      </c>
      <c r="B1155" s="6" t="inlineStr">
        <is>
          <t>Pago</t>
        </is>
      </c>
      <c r="C1155" s="6" t="inlineStr">
        <is>
          <t>PL530.001</t>
        </is>
      </c>
      <c r="D1155" s="6" t="str">
        <f>IFERROR(VLOOKUP(E1155,FORNECEDORES!$A$5:$F$999,6,FALSE),"L10")</f>
        <v>L01</v>
      </c>
      <c r="E1155" s="6" t="inlineStr">
        <is>
          <t>MINAS FERRAMENTAS LTDA</t>
        </is>
      </c>
      <c r="F1155" s="7" t="n">
        <v>447.3</v>
      </c>
      <c r="G1155" s="6" t="inlineStr">
        <is>
          <t>EQUIPAMENTOS E FERRAMENTAS</t>
        </is>
      </c>
      <c r="H1155" s="6" t="inlineStr">
        <is>
          <t>MINAS FERRAMENTAS LTDA</t>
        </is>
      </c>
      <c r="I1155" s="24" t="n">
        <v>46289</v>
      </c>
      <c r="J1155" s="6" t="n">
        <v>6190</v>
      </c>
    </row>
    <row r="1156">
      <c r="A1156" s="23" t="n">
        <v>46266</v>
      </c>
      <c r="B1156" s="6" t="inlineStr">
        <is>
          <t>Pago</t>
        </is>
      </c>
      <c r="C1156" s="6" t="inlineStr">
        <is>
          <t>PL530.001</t>
        </is>
      </c>
      <c r="D1156" s="6" t="str">
        <f>IFERROR(VLOOKUP(E1156,FORNECEDORES!$A$5:$F$999,6,FALSE),"L10")</f>
        <v>L01</v>
      </c>
      <c r="E1156" s="6" t="inlineStr">
        <is>
          <t>MINAS FERRAMENTAS LTDA</t>
        </is>
      </c>
      <c r="F1156" s="7" t="n">
        <v>656.9</v>
      </c>
      <c r="G1156" s="6" t="inlineStr">
        <is>
          <t>EQUIPAMENTOS E FERRAMENTAS</t>
        </is>
      </c>
      <c r="H1156" s="6" t="inlineStr">
        <is>
          <t>MINAS FERRAMENTAS LTDA</t>
        </is>
      </c>
      <c r="I1156" s="24" t="n">
        <v>46289</v>
      </c>
      <c r="J1156" s="6" t="n">
        <v>6190</v>
      </c>
    </row>
    <row r="1157">
      <c r="A1157" s="23" t="n">
        <v>46266</v>
      </c>
      <c r="B1157" s="6" t="inlineStr">
        <is>
          <t>Pago</t>
        </is>
      </c>
      <c r="C1157" s="6" t="inlineStr">
        <is>
          <t>PL530.001</t>
        </is>
      </c>
      <c r="D1157" s="6" t="str">
        <f>IFERROR(VLOOKUP(E1157,FORNECEDORES!$A$5:$F$999,6,FALSE),"L10")</f>
        <v>L01</v>
      </c>
      <c r="E1157" s="6" t="inlineStr">
        <is>
          <t>MINAS FERRAMENTAS LTDA</t>
        </is>
      </c>
      <c r="F1157" s="7" t="n">
        <v>15.4</v>
      </c>
      <c r="G1157" s="6" t="inlineStr">
        <is>
          <t>EQUIPAMENTOS E FERRAMENTAS</t>
        </is>
      </c>
      <c r="H1157" s="6" t="inlineStr">
        <is>
          <t>MINAS FERRAMENTAS LTDA</t>
        </is>
      </c>
      <c r="I1157" s="24" t="n">
        <v>46289</v>
      </c>
      <c r="J1157" s="6" t="n">
        <v>6190</v>
      </c>
    </row>
    <row r="1158">
      <c r="A1158" s="23" t="n">
        <v>46266</v>
      </c>
      <c r="B1158" s="6" t="inlineStr">
        <is>
          <t>Pago</t>
        </is>
      </c>
      <c r="C1158" s="6" t="inlineStr">
        <is>
          <t>PL530.001</t>
        </is>
      </c>
      <c r="D1158" s="6" t="str">
        <f>IFERROR(VLOOKUP(E1158,FORNECEDORES!$A$5:$F$999,6,FALSE),"L10")</f>
        <v>L01</v>
      </c>
      <c r="E1158" s="6" t="inlineStr">
        <is>
          <t>MINAS FERRAMENTAS LTDA</t>
        </is>
      </c>
      <c r="F1158" s="7" t="n">
        <v>43.7</v>
      </c>
      <c r="G1158" s="6" t="inlineStr">
        <is>
          <t>EQUIPAMENTOS E FERRAMENTAS</t>
        </is>
      </c>
      <c r="H1158" s="6" t="inlineStr">
        <is>
          <t>MINAS FERRAMENTAS LTDA</t>
        </is>
      </c>
      <c r="I1158" s="24" t="n">
        <v>46289</v>
      </c>
      <c r="J1158" s="6" t="n">
        <v>6190</v>
      </c>
    </row>
    <row r="1159">
      <c r="A1159" s="23" t="n">
        <v>46266</v>
      </c>
      <c r="B1159" s="6" t="inlineStr">
        <is>
          <t>Pago</t>
        </is>
      </c>
      <c r="C1159" s="6" t="inlineStr">
        <is>
          <t>PL530.001</t>
        </is>
      </c>
      <c r="D1159" s="6" t="str">
        <f>IFERROR(VLOOKUP(E1159,FORNECEDORES!$A$5:$F$999,6,FALSE),"L10")</f>
        <v>L10</v>
      </c>
      <c r="E1159" s="6" t="inlineStr">
        <is>
          <t>ORGUEL INDUSTRIA E LOCACAO DE EQUIPAMENTOS S/A</t>
        </is>
      </c>
      <c r="F1159" s="7" t="n">
        <v>1242.75</v>
      </c>
      <c r="G1159" s="6" t="inlineStr">
        <is>
          <t>NÃO CLASSIFICADO</t>
        </is>
      </c>
      <c r="H1159" s="6" t="inlineStr">
        <is>
          <t>ORGUEL INDUSTRIA E LOCACAO DE EQUIPAMENTOS S/A</t>
        </is>
      </c>
      <c r="I1159" s="24" t="n">
        <v>46294</v>
      </c>
      <c r="J1159" s="6" t="n">
        <v>6774</v>
      </c>
    </row>
    <row r="1160">
      <c r="A1160" s="23" t="n">
        <v>46266</v>
      </c>
      <c r="B1160" s="6" t="inlineStr">
        <is>
          <t>Pago</t>
        </is>
      </c>
      <c r="C1160" s="6" t="inlineStr">
        <is>
          <t>PL530.001</t>
        </is>
      </c>
      <c r="D1160" s="6" t="str">
        <f>IFERROR(VLOOKUP(E1160,FORNECEDORES!$A$5:$F$999,6,FALSE),"L10")</f>
        <v>L10</v>
      </c>
      <c r="E1160" s="6" t="inlineStr">
        <is>
          <t>ORGUEL INDUSTRIA E LOCACAO DE EQUIPAMENTOS S/A</t>
        </is>
      </c>
      <c r="F1160" s="7" t="n">
        <v>1008</v>
      </c>
      <c r="G1160" s="6" t="inlineStr">
        <is>
          <t>NÃO CLASSIFICADO</t>
        </is>
      </c>
      <c r="H1160" s="6" t="inlineStr">
        <is>
          <t>ORGUEL INDUSTRIA E LOCACAO DE EQUIPAMENTOS S/A</t>
        </is>
      </c>
      <c r="I1160" s="24" t="n">
        <v>46294</v>
      </c>
      <c r="J1160" s="6" t="n">
        <v>6671</v>
      </c>
    </row>
    <row r="1161">
      <c r="A1161" s="23" t="n">
        <v>46266</v>
      </c>
      <c r="B1161" s="6" t="inlineStr">
        <is>
          <t>Pago</t>
        </is>
      </c>
      <c r="C1161" s="6" t="inlineStr">
        <is>
          <t>PL530.001</t>
        </is>
      </c>
      <c r="D1161" s="6" t="str">
        <f>IFERROR(VLOOKUP(E1161,FORNECEDORES!$A$5:$F$999,6,FALSE),"L10")</f>
        <v>L10</v>
      </c>
      <c r="E1161" s="6" t="inlineStr">
        <is>
          <t>ORGUEL INDUSTRIA E LOCACAO DE EQUIPAMENTOS S/A</t>
        </is>
      </c>
      <c r="F1161" s="7" t="n">
        <v>1012.2</v>
      </c>
      <c r="G1161" s="6" t="inlineStr">
        <is>
          <t>NÃO CLASSIFICADO</t>
        </is>
      </c>
      <c r="H1161" s="6" t="inlineStr">
        <is>
          <t>ORGUEL INDUSTRIA E LOCACAO DE EQUIPAMENTOS S/A</t>
        </is>
      </c>
      <c r="I1161" s="24" t="n">
        <v>46273</v>
      </c>
      <c r="J1161" s="6" t="n">
        <v>6349</v>
      </c>
    </row>
    <row r="1162">
      <c r="A1162" s="23" t="n">
        <v>46266</v>
      </c>
      <c r="B1162" s="6" t="inlineStr">
        <is>
          <t>Pago</t>
        </is>
      </c>
      <c r="C1162" s="6" t="inlineStr">
        <is>
          <t>PL530.001</t>
        </is>
      </c>
      <c r="D1162" s="6" t="str">
        <f>IFERROR(VLOOKUP(E1162,FORNECEDORES!$A$5:$F$999,6,FALSE),"L10")</f>
        <v>L10</v>
      </c>
      <c r="E1162" s="6" t="inlineStr">
        <is>
          <t>ORGUEL INDUSTRIA E LOCACAO DE EQUIPAMENTOS S/A</t>
        </is>
      </c>
      <c r="F1162" s="7" t="n">
        <v>15000</v>
      </c>
      <c r="G1162" s="6" t="inlineStr">
        <is>
          <t>NÃO CLASSIFICADO</t>
        </is>
      </c>
      <c r="H1162" s="6" t="inlineStr">
        <is>
          <t>ORGUEL INDUSTRIA E LOCACAO DE EQUIPAMENTOS S/A</t>
        </is>
      </c>
      <c r="I1162" s="24" t="n">
        <v>46268</v>
      </c>
      <c r="J1162" s="6" t="n">
        <v>6350</v>
      </c>
    </row>
    <row r="1163">
      <c r="A1163" s="23" t="n">
        <v>46266</v>
      </c>
      <c r="B1163" s="6" t="inlineStr">
        <is>
          <t>Pago</t>
        </is>
      </c>
      <c r="C1163" s="6" t="inlineStr">
        <is>
          <t>PL530.001</t>
        </is>
      </c>
      <c r="D1163" s="6" t="str">
        <f>IFERROR(VLOOKUP(E1163,FORNECEDORES!$A$5:$F$999,6,FALSE),"L10")</f>
        <v>L10</v>
      </c>
      <c r="E1163" s="6" t="inlineStr">
        <is>
          <t>ORGUEL INDUSTRIA E LOCACAO DE EQUIPAMENTOS S/A</t>
        </is>
      </c>
      <c r="F1163" s="7" t="n">
        <v>1008</v>
      </c>
      <c r="G1163" s="6" t="inlineStr">
        <is>
          <t>NÃO CLASSIFICADO</t>
        </is>
      </c>
      <c r="H1163" s="6" t="inlineStr">
        <is>
          <t>ORGUEL INDUSTRIA E LOCACAO DE EQUIPAMENTOS S/A</t>
        </is>
      </c>
      <c r="I1163" s="24" t="n">
        <v>46281</v>
      </c>
      <c r="J1163" s="6" t="n">
        <v>6447</v>
      </c>
    </row>
    <row r="1164">
      <c r="A1164" s="23" t="n">
        <v>46266</v>
      </c>
      <c r="B1164" s="6" t="inlineStr">
        <is>
          <t>Pago</t>
        </is>
      </c>
      <c r="C1164" s="6" t="inlineStr">
        <is>
          <t>PL530.001</t>
        </is>
      </c>
      <c r="D1164" s="6" t="str">
        <f>IFERROR(VLOOKUP(E1164,FORNECEDORES!$A$5:$F$999,6,FALSE),"L10")</f>
        <v>L10</v>
      </c>
      <c r="E1164" s="6" t="inlineStr">
        <is>
          <t>ORGUEL INDUSTRIA E LOCACAO DE EQUIPAMENTOS S/A</t>
        </is>
      </c>
      <c r="F1164" s="7" t="n">
        <v>1012.2</v>
      </c>
      <c r="G1164" s="6" t="inlineStr">
        <is>
          <t>NÃO CLASSIFICADO</t>
        </is>
      </c>
      <c r="H1164" s="6" t="inlineStr">
        <is>
          <t>ORGUEL INDUSTRIA E LOCACAO DE EQUIPAMENTOS S/A</t>
        </is>
      </c>
      <c r="I1164" s="24" t="n">
        <v>46294</v>
      </c>
      <c r="J1164" s="6" t="n">
        <v>6648</v>
      </c>
    </row>
    <row r="1165">
      <c r="A1165" s="23" t="n">
        <v>46266</v>
      </c>
      <c r="B1165" s="6" t="inlineStr">
        <is>
          <t>Pago</t>
        </is>
      </c>
      <c r="C1165" s="6" t="inlineStr">
        <is>
          <t>PL530.001</t>
        </is>
      </c>
      <c r="D1165" s="6" t="str">
        <f>IFERROR(VLOOKUP(E1165,FORNECEDORES!$A$5:$F$999,6,FALSE),"L10")</f>
        <v>L10</v>
      </c>
      <c r="E1165" s="6" t="inlineStr">
        <is>
          <t>ORGUEL INDUSTRIA E LOCACAO DE EQUIPAMENTOS S/A</t>
        </is>
      </c>
      <c r="F1165" s="7" t="n">
        <v>55.8</v>
      </c>
      <c r="G1165" s="6" t="inlineStr">
        <is>
          <t>NÃO CLASSIFICADO</t>
        </is>
      </c>
      <c r="H1165" s="6" t="inlineStr">
        <is>
          <t>CSRF - MINISTERIO DA FAZENDA - SRF</t>
        </is>
      </c>
      <c r="I1165" s="24" t="n">
        <v>46283</v>
      </c>
      <c r="J1165" s="6" t="n">
        <v>6578</v>
      </c>
    </row>
    <row r="1166">
      <c r="A1166" s="23" t="n">
        <v>46266</v>
      </c>
      <c r="B1166" s="6" t="inlineStr">
        <is>
          <t>Pago</t>
        </is>
      </c>
      <c r="C1166" s="6" t="inlineStr">
        <is>
          <t>PL530.001</t>
        </is>
      </c>
      <c r="D1166" s="6" t="str">
        <f>IFERROR(VLOOKUP(E1166,FORNECEDORES!$A$5:$F$999,6,FALSE),"L10")</f>
        <v>L10</v>
      </c>
      <c r="E1166" s="6" t="inlineStr">
        <is>
          <t>ORGUEL INDUSTRIA E LOCACAO DE EQUIPAMENTOS S/A</t>
        </is>
      </c>
      <c r="F1166" s="7" t="n">
        <v>132</v>
      </c>
      <c r="G1166" s="6" t="inlineStr">
        <is>
          <t>NÃO CLASSIFICADO</t>
        </is>
      </c>
      <c r="H1166" s="6" t="inlineStr">
        <is>
          <t>INSS RETIDO PJ - MINISTERIO DA PREVIDENCIA</t>
        </is>
      </c>
      <c r="I1166" s="24" t="n">
        <v>46283</v>
      </c>
      <c r="J1166" s="6" t="n">
        <v>6519</v>
      </c>
    </row>
    <row r="1167">
      <c r="A1167" s="23" t="n">
        <v>46266</v>
      </c>
      <c r="B1167" s="6" t="inlineStr">
        <is>
          <t>Pago</t>
        </is>
      </c>
      <c r="C1167" s="6" t="inlineStr">
        <is>
          <t>PL530.001</t>
        </is>
      </c>
      <c r="D1167" s="6" t="str">
        <f>IFERROR(VLOOKUP(E1167,FORNECEDORES!$A$5:$F$999,6,FALSE),"L10")</f>
        <v>L10</v>
      </c>
      <c r="E1167" s="6" t="inlineStr">
        <is>
          <t>ORGUEL INDUSTRIA E LOCACAO DE EQUIPAMENTOS S/A</t>
        </is>
      </c>
      <c r="F1167" s="7" t="n">
        <v>132</v>
      </c>
      <c r="G1167" s="6" t="inlineStr">
        <is>
          <t>NÃO CLASSIFICADO</t>
        </is>
      </c>
      <c r="H1167" s="6" t="inlineStr">
        <is>
          <t>INSS RETIDO PJ - MINISTERIO DA PREVIDENCIA</t>
        </is>
      </c>
      <c r="I1167" s="24" t="n">
        <v>46283</v>
      </c>
      <c r="J1167" s="6" t="n">
        <v>6577</v>
      </c>
    </row>
    <row r="1168">
      <c r="A1168" s="23" t="n">
        <v>46266</v>
      </c>
      <c r="B1168" s="6" t="inlineStr">
        <is>
          <t>Pago</t>
        </is>
      </c>
      <c r="C1168" s="6" t="inlineStr">
        <is>
          <t>PL530.001</t>
        </is>
      </c>
      <c r="D1168" s="6" t="str">
        <f>IFERROR(VLOOKUP(E1168,FORNECEDORES!$A$5:$F$999,6,FALSE),"L10")</f>
        <v>L10</v>
      </c>
      <c r="E1168" s="6" t="inlineStr">
        <is>
          <t>ORGUEL INDUSTRIA E LOCACAO DE EQUIPAMENTOS S/A</t>
        </is>
      </c>
      <c r="F1168" s="7" t="n">
        <v>60</v>
      </c>
      <c r="G1168" s="6" t="inlineStr">
        <is>
          <t>NÃO CLASSIFICADO</t>
        </is>
      </c>
      <c r="H1168" s="6" t="inlineStr">
        <is>
          <t>PREFEITURA DE BELO HORIZONTE - ISSQN RETIDO</t>
        </is>
      </c>
      <c r="I1168" s="24" t="n">
        <v>46273</v>
      </c>
      <c r="J1168" s="6" t="n">
        <v>6520</v>
      </c>
    </row>
    <row r="1169">
      <c r="A1169" s="23" t="n">
        <v>46266</v>
      </c>
      <c r="B1169" s="6" t="inlineStr">
        <is>
          <t>Pago</t>
        </is>
      </c>
      <c r="C1169" s="6" t="inlineStr">
        <is>
          <t>PL530.001</t>
        </is>
      </c>
      <c r="D1169" s="6" t="str">
        <f>IFERROR(VLOOKUP(E1169,FORNECEDORES!$A$5:$F$999,6,FALSE),"L10")</f>
        <v>L03</v>
      </c>
      <c r="E1169" s="6" t="inlineStr">
        <is>
          <t>ORIGINAL LOCACOES LTDA</t>
        </is>
      </c>
      <c r="F1169" s="7" t="n">
        <v>309.5</v>
      </c>
      <c r="G1169" s="6" t="inlineStr">
        <is>
          <t>LOCAÇÕES</t>
        </is>
      </c>
      <c r="H1169" s="6" t="inlineStr">
        <is>
          <t>ORIGINAL LOCACOES LTDA</t>
        </is>
      </c>
      <c r="I1169" s="24" t="n">
        <v>46286</v>
      </c>
      <c r="J1169" s="6" t="n">
        <v>6771</v>
      </c>
    </row>
    <row r="1170">
      <c r="A1170" s="23" t="n">
        <v>46266</v>
      </c>
      <c r="B1170" s="6" t="inlineStr">
        <is>
          <t>Pago</t>
        </is>
      </c>
      <c r="C1170" s="6" t="inlineStr">
        <is>
          <t>PL530.001</t>
        </is>
      </c>
      <c r="D1170" s="6" t="str">
        <f>IFERROR(VLOOKUP(E1170,FORNECEDORES!$A$5:$F$999,6,FALSE),"L10")</f>
        <v>L03</v>
      </c>
      <c r="E1170" s="6" t="inlineStr">
        <is>
          <t>ORIGINAL LOCACOES LTDA</t>
        </is>
      </c>
      <c r="F1170" s="7" t="n">
        <v>361.08</v>
      </c>
      <c r="G1170" s="6" t="inlineStr">
        <is>
          <t>LOCAÇÕES</t>
        </is>
      </c>
      <c r="H1170" s="6" t="inlineStr">
        <is>
          <t>ORIGINAL LOCACOES LTDA</t>
        </is>
      </c>
      <c r="I1170" s="24" t="n">
        <v>46286</v>
      </c>
      <c r="J1170" s="6" t="n">
        <v>6771</v>
      </c>
    </row>
    <row r="1171">
      <c r="A1171" s="23" t="n">
        <v>46266</v>
      </c>
      <c r="B1171" s="6" t="inlineStr">
        <is>
          <t>Pago</t>
        </is>
      </c>
      <c r="C1171" s="6" t="inlineStr">
        <is>
          <t>PL530.001</t>
        </is>
      </c>
      <c r="D1171" s="6" t="str">
        <f>IFERROR(VLOOKUP(E1171,FORNECEDORES!$A$5:$F$999,6,FALSE),"L10")</f>
        <v>L03</v>
      </c>
      <c r="E1171" s="6" t="inlineStr">
        <is>
          <t>ORIGINAL LOCACOES LTDA</t>
        </is>
      </c>
      <c r="F1171" s="7" t="n">
        <v>453.93</v>
      </c>
      <c r="G1171" s="6" t="inlineStr">
        <is>
          <t>LOCAÇÕES</t>
        </is>
      </c>
      <c r="H1171" s="6" t="inlineStr">
        <is>
          <t>ORIGINAL LOCACOES LTDA</t>
        </is>
      </c>
      <c r="I1171" s="24" t="n">
        <v>46286</v>
      </c>
      <c r="J1171" s="6" t="n">
        <v>6771</v>
      </c>
    </row>
    <row r="1172">
      <c r="A1172" s="23" t="n">
        <v>46266</v>
      </c>
      <c r="B1172" s="6" t="inlineStr">
        <is>
          <t>Pago</t>
        </is>
      </c>
      <c r="C1172" s="6" t="inlineStr">
        <is>
          <t>PL530.001</t>
        </is>
      </c>
      <c r="D1172" s="6" t="str">
        <f>IFERROR(VLOOKUP(E1172,FORNECEDORES!$A$5:$F$999,6,FALSE),"L10")</f>
        <v>L03</v>
      </c>
      <c r="E1172" s="6" t="inlineStr">
        <is>
          <t>ORIGINAL LOCACOES LTDA</t>
        </is>
      </c>
      <c r="F1172" s="7" t="n">
        <v>268.23</v>
      </c>
      <c r="G1172" s="6" t="inlineStr">
        <is>
          <t>LOCAÇÕES</t>
        </is>
      </c>
      <c r="H1172" s="6" t="inlineStr">
        <is>
          <t>ORIGINAL LOCACOES LTDA</t>
        </is>
      </c>
      <c r="I1172" s="24" t="n">
        <v>46286</v>
      </c>
      <c r="J1172" s="6" t="n">
        <v>6771</v>
      </c>
    </row>
    <row r="1173">
      <c r="A1173" s="23" t="n">
        <v>46266</v>
      </c>
      <c r="B1173" s="6" t="inlineStr">
        <is>
          <t>Pago</t>
        </is>
      </c>
      <c r="C1173" s="6" t="inlineStr">
        <is>
          <t>PL530.001</t>
        </is>
      </c>
      <c r="D1173" s="6" t="str">
        <f>IFERROR(VLOOKUP(E1173,FORNECEDORES!$A$5:$F$999,6,FALSE),"L10")</f>
        <v>L03</v>
      </c>
      <c r="E1173" s="6" t="inlineStr">
        <is>
          <t>ORIGINAL LOCACOES LTDA</t>
        </is>
      </c>
      <c r="F1173" s="7" t="n">
        <v>361.08</v>
      </c>
      <c r="G1173" s="6" t="inlineStr">
        <is>
          <t>LOCAÇÕES</t>
        </is>
      </c>
      <c r="H1173" s="6" t="inlineStr">
        <is>
          <t>ORIGINAL LOCACOES LTDA</t>
        </is>
      </c>
      <c r="I1173" s="24" t="n">
        <v>46286</v>
      </c>
      <c r="J1173" s="6" t="n">
        <v>6771</v>
      </c>
    </row>
    <row r="1174">
      <c r="A1174" s="23" t="n">
        <v>46266</v>
      </c>
      <c r="B1174" s="6" t="inlineStr">
        <is>
          <t>Pago</t>
        </is>
      </c>
      <c r="C1174" s="6" t="inlineStr">
        <is>
          <t>PL530.001</t>
        </is>
      </c>
      <c r="D1174" s="6" t="str">
        <f>IFERROR(VLOOKUP(E1174,FORNECEDORES!$A$5:$F$999,6,FALSE),"L10")</f>
        <v>L03</v>
      </c>
      <c r="E1174" s="6" t="inlineStr">
        <is>
          <t>ORIGINAL LOCACOES LTDA</t>
        </is>
      </c>
      <c r="F1174" s="7" t="n">
        <v>268.23</v>
      </c>
      <c r="G1174" s="6" t="inlineStr">
        <is>
          <t>LOCAÇÕES</t>
        </is>
      </c>
      <c r="H1174" s="6" t="inlineStr">
        <is>
          <t>ORIGINAL LOCACOES LTDA</t>
        </is>
      </c>
      <c r="I1174" s="24" t="n">
        <v>46286</v>
      </c>
      <c r="J1174" s="6" t="n">
        <v>6771</v>
      </c>
    </row>
    <row r="1175">
      <c r="A1175" s="23" t="n">
        <v>46266</v>
      </c>
      <c r="B1175" s="6" t="inlineStr">
        <is>
          <t>Pago</t>
        </is>
      </c>
      <c r="C1175" s="6" t="inlineStr">
        <is>
          <t>PL530.001</t>
        </is>
      </c>
      <c r="D1175" s="6" t="str">
        <f>IFERROR(VLOOKUP(E1175,FORNECEDORES!$A$5:$F$999,6,FALSE),"L10")</f>
        <v>L03</v>
      </c>
      <c r="E1175" s="6" t="inlineStr">
        <is>
          <t>ORIGINAL LOCACOES LTDA</t>
        </is>
      </c>
      <c r="F1175" s="7" t="n">
        <v>429.18</v>
      </c>
      <c r="G1175" s="6" t="inlineStr">
        <is>
          <t>LOCAÇÕES</t>
        </is>
      </c>
      <c r="H1175" s="6" t="inlineStr">
        <is>
          <t>ORIGINAL LOCACOES LTDA</t>
        </is>
      </c>
      <c r="I1175" s="24" t="n">
        <v>46286</v>
      </c>
      <c r="J1175" s="6" t="n">
        <v>6771</v>
      </c>
    </row>
    <row r="1176">
      <c r="A1176" s="23" t="n">
        <v>46266</v>
      </c>
      <c r="B1176" s="6" t="inlineStr">
        <is>
          <t>Pago</t>
        </is>
      </c>
      <c r="C1176" s="6" t="inlineStr">
        <is>
          <t>PL530.001</t>
        </is>
      </c>
      <c r="D1176" s="6" t="str">
        <f>IFERROR(VLOOKUP(E1176,FORNECEDORES!$A$5:$F$999,6,FALSE),"L10")</f>
        <v>L03</v>
      </c>
      <c r="E1176" s="6" t="inlineStr">
        <is>
          <t>ORIGINAL LOCACOES LTDA</t>
        </is>
      </c>
      <c r="F1176" s="7" t="n">
        <v>309.5</v>
      </c>
      <c r="G1176" s="6" t="inlineStr">
        <is>
          <t>LOCAÇÕES</t>
        </is>
      </c>
      <c r="H1176" s="6" t="inlineStr">
        <is>
          <t>ORIGINAL LOCACOES LTDA</t>
        </is>
      </c>
      <c r="I1176" s="24" t="n">
        <v>46286</v>
      </c>
      <c r="J1176" s="6" t="n">
        <v>6771</v>
      </c>
    </row>
    <row r="1177">
      <c r="A1177" s="23" t="n">
        <v>46266</v>
      </c>
      <c r="B1177" s="6" t="inlineStr">
        <is>
          <t>Pago</t>
        </is>
      </c>
      <c r="C1177" s="6" t="inlineStr">
        <is>
          <t>PL530.001</t>
        </is>
      </c>
      <c r="D1177" s="6" t="str">
        <f>IFERROR(VLOOKUP(E1177,FORNECEDORES!$A$5:$F$999,6,FALSE),"L10")</f>
        <v>L03</v>
      </c>
      <c r="E1177" s="6" t="inlineStr">
        <is>
          <t>ORIGINAL LOCACOES LTDA</t>
        </is>
      </c>
      <c r="F1177" s="7" t="n">
        <v>123.8</v>
      </c>
      <c r="G1177" s="6" t="inlineStr">
        <is>
          <t>LOCAÇÕES</t>
        </is>
      </c>
      <c r="H1177" s="6" t="inlineStr">
        <is>
          <t>ORIGINAL LOCACOES LTDA</t>
        </is>
      </c>
      <c r="I1177" s="24" t="n">
        <v>46286</v>
      </c>
      <c r="J1177" s="6" t="n">
        <v>6771</v>
      </c>
    </row>
    <row r="1178">
      <c r="A1178" s="23" t="n">
        <v>46266</v>
      </c>
      <c r="B1178" s="6" t="inlineStr">
        <is>
          <t>Pago</t>
        </is>
      </c>
      <c r="C1178" s="6" t="inlineStr">
        <is>
          <t>PL530.001</t>
        </is>
      </c>
      <c r="D1178" s="6" t="str">
        <f>IFERROR(VLOOKUP(E1178,FORNECEDORES!$A$5:$F$999,6,FALSE),"L10")</f>
        <v>L03</v>
      </c>
      <c r="E1178" s="6" t="inlineStr">
        <is>
          <t>ORIGINAL LOCACOES LTDA</t>
        </is>
      </c>
      <c r="F1178" s="7" t="n">
        <v>165.06</v>
      </c>
      <c r="G1178" s="6" t="inlineStr">
        <is>
          <t>LOCAÇÕES</t>
        </is>
      </c>
      <c r="H1178" s="6" t="inlineStr">
        <is>
          <t>ORIGINAL LOCACOES LTDA</t>
        </is>
      </c>
      <c r="I1178" s="24" t="n">
        <v>46286</v>
      </c>
      <c r="J1178" s="6" t="n">
        <v>6771</v>
      </c>
    </row>
    <row r="1179">
      <c r="A1179" s="23" t="n">
        <v>46266</v>
      </c>
      <c r="B1179" s="6" t="inlineStr">
        <is>
          <t>Pago</t>
        </is>
      </c>
      <c r="C1179" s="6" t="inlineStr">
        <is>
          <t>PL530.001</t>
        </is>
      </c>
      <c r="D1179" s="6" t="str">
        <f>IFERROR(VLOOKUP(E1179,FORNECEDORES!$A$5:$F$999,6,FALSE),"L10")</f>
        <v>L03</v>
      </c>
      <c r="E1179" s="6" t="inlineStr">
        <is>
          <t>ORIGINAL LOCACOES LTDA</t>
        </is>
      </c>
      <c r="F1179" s="7" t="n">
        <v>288.86</v>
      </c>
      <c r="G1179" s="6" t="inlineStr">
        <is>
          <t>LOCAÇÕES</t>
        </is>
      </c>
      <c r="H1179" s="6" t="inlineStr">
        <is>
          <t>ORIGINAL LOCACOES LTDA</t>
        </is>
      </c>
      <c r="I1179" s="24" t="n">
        <v>46286</v>
      </c>
      <c r="J1179" s="6" t="n">
        <v>6771</v>
      </c>
    </row>
    <row r="1180">
      <c r="A1180" s="23" t="n">
        <v>46266</v>
      </c>
      <c r="B1180" s="6" t="inlineStr">
        <is>
          <t>Pago</t>
        </is>
      </c>
      <c r="C1180" s="6" t="inlineStr">
        <is>
          <t>PL530.001</t>
        </is>
      </c>
      <c r="D1180" s="6" t="str">
        <f>IFERROR(VLOOKUP(E1180,FORNECEDORES!$A$5:$F$999,6,FALSE),"L10")</f>
        <v>L03</v>
      </c>
      <c r="E1180" s="6" t="inlineStr">
        <is>
          <t>ORIGINAL LOCACOES LTDA</t>
        </is>
      </c>
      <c r="F1180" s="7" t="n">
        <v>557.09</v>
      </c>
      <c r="G1180" s="6" t="inlineStr">
        <is>
          <t>LOCAÇÕES</t>
        </is>
      </c>
      <c r="H1180" s="6" t="inlineStr">
        <is>
          <t>ORIGINAL LOCACOES LTDA</t>
        </is>
      </c>
      <c r="I1180" s="24" t="n">
        <v>46286</v>
      </c>
      <c r="J1180" s="6" t="n">
        <v>6771</v>
      </c>
    </row>
    <row r="1181">
      <c r="A1181" s="23" t="n">
        <v>46266</v>
      </c>
      <c r="B1181" s="6" t="inlineStr">
        <is>
          <t>Pago</t>
        </is>
      </c>
      <c r="C1181" s="6" t="inlineStr">
        <is>
          <t>PL530.001</t>
        </is>
      </c>
      <c r="D1181" s="6" t="str">
        <f>IFERROR(VLOOKUP(E1181,FORNECEDORES!$A$5:$F$999,6,FALSE),"L10")</f>
        <v>L03</v>
      </c>
      <c r="E1181" s="6" t="inlineStr">
        <is>
          <t>ORIGINAL LOCACOES LTDA</t>
        </is>
      </c>
      <c r="F1181" s="7" t="n">
        <v>618.99</v>
      </c>
      <c r="G1181" s="6" t="inlineStr">
        <is>
          <t>LOCAÇÕES</t>
        </is>
      </c>
      <c r="H1181" s="6" t="inlineStr">
        <is>
          <t>ORIGINAL LOCACOES LTDA</t>
        </is>
      </c>
      <c r="I1181" s="24" t="n">
        <v>46286</v>
      </c>
      <c r="J1181" s="6" t="n">
        <v>6771</v>
      </c>
    </row>
    <row r="1182">
      <c r="A1182" s="23" t="n">
        <v>46266</v>
      </c>
      <c r="B1182" s="6" t="inlineStr">
        <is>
          <t>Pago</t>
        </is>
      </c>
      <c r="C1182" s="6" t="inlineStr">
        <is>
          <t>PL530.001</t>
        </is>
      </c>
      <c r="D1182" s="6" t="str">
        <f>IFERROR(VLOOKUP(E1182,FORNECEDORES!$A$5:$F$999,6,FALSE),"L10")</f>
        <v>L03</v>
      </c>
      <c r="E1182" s="6" t="inlineStr">
        <is>
          <t>ORIGINAL LOCACOES LTDA</t>
        </is>
      </c>
      <c r="F1182" s="7" t="n">
        <v>226.96</v>
      </c>
      <c r="G1182" s="6" t="inlineStr">
        <is>
          <t>LOCAÇÕES</t>
        </is>
      </c>
      <c r="H1182" s="6" t="inlineStr">
        <is>
          <t>ORIGINAL LOCACOES LTDA</t>
        </is>
      </c>
      <c r="I1182" s="24" t="n">
        <v>46286</v>
      </c>
      <c r="J1182" s="6" t="n">
        <v>6771</v>
      </c>
    </row>
    <row r="1183">
      <c r="A1183" s="23" t="n">
        <v>46266</v>
      </c>
      <c r="B1183" s="6" t="inlineStr">
        <is>
          <t>Pago</t>
        </is>
      </c>
      <c r="C1183" s="6" t="inlineStr">
        <is>
          <t>PL530.001</t>
        </is>
      </c>
      <c r="D1183" s="6" t="str">
        <f>IFERROR(VLOOKUP(E1183,FORNECEDORES!$A$5:$F$999,6,FALSE),"L10")</f>
        <v>L03</v>
      </c>
      <c r="E1183" s="6" t="inlineStr">
        <is>
          <t>ORIGINAL LOCACOES LTDA</t>
        </is>
      </c>
      <c r="F1183" s="7" t="n">
        <v>82.05</v>
      </c>
      <c r="G1183" s="6" t="inlineStr">
        <is>
          <t>LOCAÇÕES</t>
        </is>
      </c>
      <c r="H1183" s="6" t="inlineStr">
        <is>
          <t>ORIGINAL LOCACOES LTDA</t>
        </is>
      </c>
      <c r="I1183" s="24" t="n">
        <v>46281</v>
      </c>
      <c r="J1183" s="6" t="n">
        <v>6775</v>
      </c>
    </row>
    <row r="1184">
      <c r="A1184" s="23" t="n">
        <v>46266</v>
      </c>
      <c r="B1184" s="6" t="inlineStr">
        <is>
          <t>Pago</t>
        </is>
      </c>
      <c r="C1184" s="6" t="inlineStr">
        <is>
          <t>PL530.001</t>
        </is>
      </c>
      <c r="D1184" s="6" t="str">
        <f>IFERROR(VLOOKUP(E1184,FORNECEDORES!$A$5:$F$999,6,FALSE),"L10")</f>
        <v>L08</v>
      </c>
      <c r="E1184" s="6" t="inlineStr">
        <is>
          <t>PEREIRA TELAS E INSTALACOES LTDA</t>
        </is>
      </c>
      <c r="F1184" s="7" t="n">
        <v>941.5</v>
      </c>
      <c r="G1184" s="6" t="inlineStr">
        <is>
          <t>NÃO CLASSIFICADO</t>
        </is>
      </c>
      <c r="H1184" s="6" t="inlineStr">
        <is>
          <t>INSS RETIDO PJ - MINISTERIO DA PREVIDENCIA</t>
        </is>
      </c>
      <c r="I1184" s="24" t="n">
        <v>46283</v>
      </c>
      <c r="J1184" s="6" t="n">
        <v>6277</v>
      </c>
    </row>
    <row r="1185">
      <c r="A1185" s="23" t="n">
        <v>46266</v>
      </c>
      <c r="B1185" s="6" t="inlineStr">
        <is>
          <t>Pago</t>
        </is>
      </c>
      <c r="C1185" s="6" t="inlineStr">
        <is>
          <t>PL530.001</t>
        </is>
      </c>
      <c r="D1185" s="6" t="str">
        <f>IFERROR(VLOOKUP(E1185,FORNECEDORES!$A$5:$F$999,6,FALSE),"L10")</f>
        <v>L08</v>
      </c>
      <c r="E1185" s="6" t="inlineStr">
        <is>
          <t>PEREIRA TELAS E INSTALACOES LTDA</t>
        </is>
      </c>
      <c r="F1185" s="7" t="n">
        <v>1345</v>
      </c>
      <c r="G1185" s="6" t="inlineStr">
        <is>
          <t>NÃO CLASSIFICADO</t>
        </is>
      </c>
      <c r="H1185" s="6" t="inlineStr">
        <is>
          <t>PREFEITURA DE BELO HORIZONTE - ISSQN RETIDO</t>
        </is>
      </c>
      <c r="I1185" s="24" t="n">
        <v>46273</v>
      </c>
      <c r="J1185" s="6" t="n">
        <v>6250</v>
      </c>
    </row>
    <row r="1186">
      <c r="A1186" s="23" t="n">
        <v>46266</v>
      </c>
      <c r="B1186" s="6" t="inlineStr">
        <is>
          <t>Pago</t>
        </is>
      </c>
      <c r="C1186" s="6" t="inlineStr">
        <is>
          <t>PL530.001</t>
        </is>
      </c>
      <c r="D1186" s="6" t="str">
        <f>IFERROR(VLOOKUP(E1186,FORNECEDORES!$A$5:$F$999,6,FALSE),"L10")</f>
        <v>L10</v>
      </c>
      <c r="E1186" s="6" t="inlineStr">
        <is>
          <t>PGO PLANEJAMENTO GERENCIAMENTO E OBRAS LTDA. - ME</t>
        </is>
      </c>
      <c r="F1186" s="7" t="n">
        <v>751.05</v>
      </c>
      <c r="G1186" s="6" t="inlineStr">
        <is>
          <t>NÃO CLASSIFICADO</t>
        </is>
      </c>
      <c r="H1186" s="6" t="inlineStr">
        <is>
          <t>INSS RETIDO PJ - MINISTERIO DA PREVIDENCIA</t>
        </is>
      </c>
      <c r="I1186" s="24" t="n">
        <v>46283</v>
      </c>
      <c r="J1186" s="6" t="n">
        <v>6212</v>
      </c>
    </row>
    <row r="1187">
      <c r="A1187" s="23" t="n">
        <v>46266</v>
      </c>
      <c r="B1187" s="6" t="inlineStr">
        <is>
          <t>Pago</t>
        </is>
      </c>
      <c r="C1187" s="6" t="inlineStr">
        <is>
          <t>PL530.001</t>
        </is>
      </c>
      <c r="D1187" s="6" t="str">
        <f>IFERROR(VLOOKUP(E1187,FORNECEDORES!$A$5:$F$999,6,FALSE),"L10")</f>
        <v>L10</v>
      </c>
      <c r="E1187" s="6" t="inlineStr">
        <is>
          <t>PGO PLANEJAMENTO GERENCIAMENTO E OBRAS LTDA. - ME</t>
        </is>
      </c>
      <c r="F1187" s="7" t="n">
        <v>129.68</v>
      </c>
      <c r="G1187" s="6" t="inlineStr">
        <is>
          <t>NÃO CLASSIFICADO</t>
        </is>
      </c>
      <c r="H1187" s="6" t="inlineStr">
        <is>
          <t>RETENÇÃO TECNICA AO FORNECEDOR</t>
        </is>
      </c>
      <c r="I1187" s="24" t="n">
        <v>46290</v>
      </c>
      <c r="J1187" s="6" t="n">
        <v>3310</v>
      </c>
    </row>
    <row r="1188">
      <c r="A1188" s="23" t="n">
        <v>46266</v>
      </c>
      <c r="B1188" s="6" t="inlineStr">
        <is>
          <t>Pago</t>
        </is>
      </c>
      <c r="C1188" s="6" t="inlineStr">
        <is>
          <t>PL530.001</t>
        </is>
      </c>
      <c r="D1188" s="6" t="str">
        <f>IFERROR(VLOOKUP(E1188,FORNECEDORES!$A$5:$F$999,6,FALSE),"L10")</f>
        <v>L10</v>
      </c>
      <c r="E1188" s="6" t="inlineStr">
        <is>
          <t>PGO PLANEJAMENTO GERENCIAMENTO E OBRAS LTDA. - ME</t>
        </is>
      </c>
      <c r="F1188" s="7" t="n">
        <v>129.67</v>
      </c>
      <c r="G1188" s="6" t="inlineStr">
        <is>
          <t>NÃO CLASSIFICADO</t>
        </is>
      </c>
      <c r="H1188" s="6" t="inlineStr">
        <is>
          <t>RETENÇÃO TECNICA AO FORNECEDOR</t>
        </is>
      </c>
      <c r="I1188" s="24" t="n">
        <v>46290</v>
      </c>
      <c r="J1188" s="6" t="n">
        <v>3311</v>
      </c>
    </row>
    <row r="1189">
      <c r="A1189" s="23" t="n">
        <v>46266</v>
      </c>
      <c r="B1189" s="6" t="inlineStr">
        <is>
          <t>Pago</t>
        </is>
      </c>
      <c r="C1189" s="6" t="inlineStr">
        <is>
          <t>PL530.001</t>
        </is>
      </c>
      <c r="D1189" s="6" t="str">
        <f>IFERROR(VLOOKUP(E1189,FORNECEDORES!$A$5:$F$999,6,FALSE),"L10")</f>
        <v>L10</v>
      </c>
      <c r="E1189" s="6" t="inlineStr">
        <is>
          <t>PGO PLANEJAMENTO GERENCIAMENTO E OBRAS LTDA. - ME</t>
        </is>
      </c>
      <c r="F1189" s="7" t="n">
        <v>1072.94</v>
      </c>
      <c r="G1189" s="6" t="inlineStr">
        <is>
          <t>NÃO CLASSIFICADO</t>
        </is>
      </c>
      <c r="H1189" s="6" t="inlineStr">
        <is>
          <t>PREFEITURA DE BELO HORIZONTE - ISSQN RETIDO</t>
        </is>
      </c>
      <c r="I1189" s="24" t="n">
        <v>46273</v>
      </c>
      <c r="J1189" s="6" t="n">
        <v>6195</v>
      </c>
    </row>
    <row r="1190">
      <c r="A1190" s="23" t="n">
        <v>46266</v>
      </c>
      <c r="B1190" s="6" t="inlineStr">
        <is>
          <t>Pago</t>
        </is>
      </c>
      <c r="C1190" s="6" t="inlineStr">
        <is>
          <t>PL530.001</t>
        </is>
      </c>
      <c r="D1190" s="6" t="str">
        <f>IFERROR(VLOOKUP(E1190,FORNECEDORES!$A$5:$F$999,6,FALSE),"L10")</f>
        <v>L02</v>
      </c>
      <c r="E1190" s="6" t="inlineStr">
        <is>
          <t>POSTO J A LTDA</t>
        </is>
      </c>
      <c r="F1190" s="7" t="n">
        <v>413.4</v>
      </c>
      <c r="G1190" s="6" t="inlineStr">
        <is>
          <t>DESPESAS</t>
        </is>
      </c>
      <c r="H1190" s="6" t="inlineStr">
        <is>
          <t>POSTO J A LTDA</t>
        </is>
      </c>
      <c r="I1190" s="24" t="n">
        <v>46286</v>
      </c>
      <c r="J1190" s="6" t="n">
        <v>6729</v>
      </c>
    </row>
    <row r="1191">
      <c r="A1191" s="23" t="n">
        <v>46266</v>
      </c>
      <c r="B1191" s="6" t="inlineStr">
        <is>
          <t>Pago</t>
        </is>
      </c>
      <c r="C1191" s="6" t="inlineStr">
        <is>
          <t>PL530.001</t>
        </is>
      </c>
      <c r="D1191" s="6" t="str">
        <f>IFERROR(VLOOKUP(E1191,FORNECEDORES!$A$5:$F$999,6,FALSE),"L10")</f>
        <v>L10</v>
      </c>
      <c r="E1191" s="6" t="inlineStr">
        <is>
          <t>SOIMA BRASIL INDUSTRIA E COMERCIO LTDA</t>
        </is>
      </c>
      <c r="F1191" s="7" t="n">
        <v>20000</v>
      </c>
      <c r="G1191" s="6" t="inlineStr">
        <is>
          <t>INSUMOS PARA CONTRATO</t>
        </is>
      </c>
      <c r="H1191" s="6" t="inlineStr">
        <is>
          <t>SOIMA BRASIL INDUSTRIA E COMERCIO LTDA</t>
        </is>
      </c>
      <c r="I1191" s="24" t="n">
        <v>46281</v>
      </c>
      <c r="J1191" s="6" t="n">
        <v>6594</v>
      </c>
    </row>
    <row r="1192">
      <c r="A1192" s="23" t="n">
        <v>46266</v>
      </c>
      <c r="B1192" s="6" t="inlineStr">
        <is>
          <t>Pago</t>
        </is>
      </c>
      <c r="C1192" s="6" t="inlineStr">
        <is>
          <t>PL530.001</t>
        </is>
      </c>
      <c r="D1192" s="6" t="str">
        <f>IFERROR(VLOOKUP(E1192,FORNECEDORES!$A$5:$F$999,6,FALSE),"L10")</f>
        <v>L10</v>
      </c>
      <c r="E1192" s="6" t="inlineStr">
        <is>
          <t>SOMA BH DISTRIBUIDORA DE MATERIAIS LTDA</t>
        </is>
      </c>
      <c r="F1192" s="7" t="n">
        <v>33.2</v>
      </c>
      <c r="G1192" s="6" t="inlineStr">
        <is>
          <t>LIMPEZA E HIGIÊNE</t>
        </is>
      </c>
      <c r="H1192" s="6" t="inlineStr">
        <is>
          <t>SOMA BH DISTRIBUIDORA DE MATERIAIS LTDA</t>
        </is>
      </c>
      <c r="I1192" s="24" t="n">
        <v>46267</v>
      </c>
      <c r="J1192" s="6" t="n">
        <v>6147</v>
      </c>
    </row>
    <row r="1193">
      <c r="A1193" s="23" t="n">
        <v>46266</v>
      </c>
      <c r="B1193" s="6" t="inlineStr">
        <is>
          <t>Pago</t>
        </is>
      </c>
      <c r="C1193" s="6" t="inlineStr">
        <is>
          <t>PL530.001</t>
        </is>
      </c>
      <c r="D1193" s="6" t="str">
        <f>IFERROR(VLOOKUP(E1193,FORNECEDORES!$A$5:$F$999,6,FALSE),"L10")</f>
        <v>L08</v>
      </c>
      <c r="E1193" s="6" t="inlineStr">
        <is>
          <t>TECNYL INDUSTRIA E COMERCIO DE TELAS LTDA</t>
        </is>
      </c>
      <c r="F1193" s="7" t="n">
        <v>11656.45</v>
      </c>
      <c r="G1193" s="6" t="inlineStr">
        <is>
          <t>SINALIZAÇÃO</t>
        </is>
      </c>
      <c r="H1193" s="6" t="inlineStr">
        <is>
          <t>TECNYL INDUSTRIA E COMERCIO DE TELAS LTDA</t>
        </is>
      </c>
      <c r="I1193" s="24" t="n">
        <v>46294</v>
      </c>
      <c r="J1193" s="6" t="n">
        <v>6595</v>
      </c>
    </row>
    <row r="1194">
      <c r="A1194" s="23" t="n">
        <v>46266</v>
      </c>
      <c r="B1194" s="6" t="inlineStr">
        <is>
          <t>Pago</t>
        </is>
      </c>
      <c r="C1194" s="6" t="inlineStr">
        <is>
          <t>PL530.001</t>
        </is>
      </c>
      <c r="D1194" s="6" t="str">
        <f>IFERROR(VLOOKUP(E1194,FORNECEDORES!$A$5:$F$999,6,FALSE),"L10")</f>
        <v>L10</v>
      </c>
      <c r="E1194" s="6" t="inlineStr">
        <is>
          <t>TECSU ENGENHARIA LTDA</t>
        </is>
      </c>
      <c r="F1194" s="7" t="n">
        <v>17291.75</v>
      </c>
      <c r="G1194" s="6" t="inlineStr">
        <is>
          <t>NÃO CLASSIFICADO</t>
        </is>
      </c>
      <c r="H1194" s="6" t="inlineStr">
        <is>
          <t>TECSU ENGENHARIA LTDA</t>
        </is>
      </c>
      <c r="I1194" s="24" t="n">
        <v>46273</v>
      </c>
      <c r="J1194" s="6" t="n">
        <v>6496</v>
      </c>
    </row>
    <row r="1195">
      <c r="A1195" s="23" t="n">
        <v>46266</v>
      </c>
      <c r="B1195" s="6" t="inlineStr">
        <is>
          <t>Pago</t>
        </is>
      </c>
      <c r="C1195" s="6" t="inlineStr">
        <is>
          <t>PL530.001</t>
        </is>
      </c>
      <c r="D1195" s="6" t="str">
        <f>IFERROR(VLOOKUP(E1195,FORNECEDORES!$A$5:$F$999,6,FALSE),"L10")</f>
        <v>L10</v>
      </c>
      <c r="E1195" s="6" t="inlineStr">
        <is>
          <t>TECSU ENGENHARIA LTDA</t>
        </is>
      </c>
      <c r="F1195" s="7" t="n">
        <v>2377.62</v>
      </c>
      <c r="G1195" s="6" t="inlineStr">
        <is>
          <t>NÃO CLASSIFICADO</t>
        </is>
      </c>
      <c r="H1195" s="6" t="inlineStr">
        <is>
          <t>INSS RETIDO PJ - MINISTERIO DA PREVIDENCIA</t>
        </is>
      </c>
      <c r="I1195" s="24" t="n">
        <v>46283</v>
      </c>
      <c r="J1195" s="6" t="n">
        <v>6500</v>
      </c>
    </row>
    <row r="1196">
      <c r="A1196" s="23" t="n">
        <v>46266</v>
      </c>
      <c r="B1196" s="6" t="inlineStr">
        <is>
          <t>Pago</t>
        </is>
      </c>
      <c r="C1196" s="6" t="inlineStr">
        <is>
          <t>PL530.001</t>
        </is>
      </c>
      <c r="D1196" s="6" t="str">
        <f>IFERROR(VLOOKUP(E1196,FORNECEDORES!$A$5:$F$999,6,FALSE),"L10")</f>
        <v>L10</v>
      </c>
      <c r="E1196" s="6" t="inlineStr">
        <is>
          <t>TECSU ENGENHARIA LTDA</t>
        </is>
      </c>
      <c r="F1196" s="7" t="n">
        <v>432.29</v>
      </c>
      <c r="G1196" s="6" t="inlineStr">
        <is>
          <t>NÃO CLASSIFICADO</t>
        </is>
      </c>
      <c r="H1196" s="6" t="inlineStr">
        <is>
          <t>PREFEITURA DE BELO HORIZONTE - ISSQN RETIDO</t>
        </is>
      </c>
      <c r="I1196" s="24" t="n">
        <v>46273</v>
      </c>
      <c r="J1196" s="6" t="n">
        <v>6542</v>
      </c>
    </row>
    <row r="1197">
      <c r="A1197" s="23" t="n">
        <v>46296</v>
      </c>
      <c r="B1197" s="6" t="inlineStr">
        <is>
          <t>A pagar</t>
        </is>
      </c>
      <c r="C1197" s="6" t="inlineStr">
        <is>
          <t>PL530.001</t>
        </is>
      </c>
      <c r="D1197" s="6" t="str">
        <f>IFERROR(VLOOKUP(E1197,FORNECEDORES!$A$5:$F$999,6,FALSE),"L10")</f>
        <v>L01</v>
      </c>
      <c r="E1197" s="6" t="inlineStr">
        <is>
          <t>CARRINHO DE MAO ROMA LTDA</t>
        </is>
      </c>
      <c r="F1197" s="7" t="n">
        <v>1908</v>
      </c>
      <c r="G1197" s="6" t="inlineStr">
        <is>
          <t>EQUIPAMENTOS E FERRAMENTAS</t>
        </is>
      </c>
      <c r="H1197" s="6" t="inlineStr">
        <is>
          <t>CARRINHO DE MAO ROMA LTDA</t>
        </is>
      </c>
      <c r="I1197" s="24" t="n">
        <v>46318</v>
      </c>
      <c r="J1197" s="6" t="n">
        <v>6157</v>
      </c>
    </row>
    <row r="1198">
      <c r="A1198" s="23" t="n">
        <v>46296</v>
      </c>
      <c r="B1198" s="6" t="inlineStr">
        <is>
          <t>A pagar</t>
        </is>
      </c>
      <c r="C1198" s="6" t="inlineStr">
        <is>
          <t>PL530.001</t>
        </is>
      </c>
      <c r="D1198" s="6" t="str">
        <f>IFERROR(VLOOKUP(E1198,FORNECEDORES!$A$5:$F$999,6,FALSE),"L10")</f>
        <v>L01</v>
      </c>
      <c r="E1198" s="6" t="inlineStr">
        <is>
          <t>CARRINHO DE MAO ROMA LTDA</t>
        </is>
      </c>
      <c r="F1198" s="7" t="n">
        <v>112.5</v>
      </c>
      <c r="G1198" s="6" t="inlineStr">
        <is>
          <t>EQUIPAMENTOS E FERRAMENTAS</t>
        </is>
      </c>
      <c r="H1198" s="6" t="inlineStr">
        <is>
          <t>CARRINHO DE MAO ROMA LTDA</t>
        </is>
      </c>
      <c r="I1198" s="24" t="n">
        <v>46318</v>
      </c>
      <c r="J1198" s="6" t="n">
        <v>6157</v>
      </c>
    </row>
    <row r="1199">
      <c r="A1199" s="23" t="n">
        <v>46296</v>
      </c>
      <c r="B1199" s="6" t="inlineStr">
        <is>
          <t>A pagar</t>
        </is>
      </c>
      <c r="C1199" s="6" t="inlineStr">
        <is>
          <t>PL530.001</t>
        </is>
      </c>
      <c r="D1199" s="6" t="str">
        <f>IFERROR(VLOOKUP(E1199,FORNECEDORES!$A$5:$F$999,6,FALSE),"L10")</f>
        <v>L07</v>
      </c>
      <c r="E1199" s="6" t="inlineStr">
        <is>
          <t>CORDAL BH COMERCIO DE CABOS E ACESSORIOS LTDA</t>
        </is>
      </c>
      <c r="F1199" s="7" t="n">
        <v>2375</v>
      </c>
      <c r="G1199" s="6" t="inlineStr">
        <is>
          <t>EQUIPAMENTOS E FERRAMENTAS</t>
        </is>
      </c>
      <c r="H1199" s="6" t="inlineStr">
        <is>
          <t>CORDAL BH COMERCIO DE CABOS E ACESSORIOS LTDA</t>
        </is>
      </c>
      <c r="I1199" s="24" t="n">
        <v>46316</v>
      </c>
      <c r="J1199" s="6" t="n">
        <v>6943</v>
      </c>
    </row>
    <row r="1200">
      <c r="A1200" s="23" t="n">
        <v>46296</v>
      </c>
      <c r="B1200" s="6" t="inlineStr">
        <is>
          <t>A pagar</t>
        </is>
      </c>
      <c r="C1200" s="6" t="inlineStr">
        <is>
          <t>PL530.001</t>
        </is>
      </c>
      <c r="D1200" s="6" t="str">
        <f>IFERROR(VLOOKUP(E1200,FORNECEDORES!$A$5:$F$999,6,FALSE),"L10")</f>
        <v>L10</v>
      </c>
      <c r="E1200" s="6" t="inlineStr">
        <is>
          <t>FIAO LOCACOES E TRANSPORTES LTDA</t>
        </is>
      </c>
      <c r="F1200" s="7" t="n">
        <v>68.75</v>
      </c>
      <c r="G1200" s="6" t="inlineStr">
        <is>
          <t>NÃO CLASSIFICADO</t>
        </is>
      </c>
      <c r="H1200" s="6" t="inlineStr">
        <is>
          <t>INSS RETIDO PJ - MINISTERIO DA PREVIDENCIA</t>
        </is>
      </c>
      <c r="I1200" s="24" t="n">
        <v>46315</v>
      </c>
      <c r="J1200" s="6" t="n">
        <v>6745</v>
      </c>
    </row>
    <row r="1201">
      <c r="A1201" s="23" t="n">
        <v>46296</v>
      </c>
      <c r="B1201" s="6" t="inlineStr">
        <is>
          <t>A pagar</t>
        </is>
      </c>
      <c r="C1201" s="6" t="inlineStr">
        <is>
          <t>PL530.001</t>
        </is>
      </c>
      <c r="D1201" s="6" t="str">
        <f>IFERROR(VLOOKUP(E1201,FORNECEDORES!$A$5:$F$999,6,FALSE),"L10")</f>
        <v>L10</v>
      </c>
      <c r="E1201" s="6" t="inlineStr">
        <is>
          <t>FIAO LOCACOES E TRANSPORTES LTDA</t>
        </is>
      </c>
      <c r="F1201" s="7" t="n">
        <v>49</v>
      </c>
      <c r="G1201" s="6" t="inlineStr">
        <is>
          <t>NÃO CLASSIFICADO</t>
        </is>
      </c>
      <c r="H1201" s="6" t="inlineStr">
        <is>
          <t>PREFEITURA DE BELO HORIZONTE - ISSQN RETIDO</t>
        </is>
      </c>
      <c r="I1201" s="24" t="n">
        <v>46303</v>
      </c>
      <c r="J1201" s="6" t="n">
        <v>6744</v>
      </c>
    </row>
    <row r="1202">
      <c r="A1202" s="23" t="n">
        <v>46296</v>
      </c>
      <c r="B1202" s="6" t="inlineStr">
        <is>
          <t>A pagar</t>
        </is>
      </c>
      <c r="C1202" s="6" t="inlineStr">
        <is>
          <t>PL530.001</t>
        </is>
      </c>
      <c r="D1202" s="6" t="str">
        <f>IFERROR(VLOOKUP(E1202,FORNECEDORES!$A$5:$F$999,6,FALSE),"L10")</f>
        <v>L10</v>
      </c>
      <c r="E1202" s="6" t="inlineStr">
        <is>
          <t>LN SERVICOS E MONTAGEM LTDA</t>
        </is>
      </c>
      <c r="F1202" s="7" t="n">
        <v>4158</v>
      </c>
      <c r="G1202" s="6" t="inlineStr">
        <is>
          <t>NÃO CLASSIFICADO</t>
        </is>
      </c>
      <c r="H1202" s="6" t="inlineStr">
        <is>
          <t>LN SERVICOS E MONTAGEM LTDA</t>
        </is>
      </c>
      <c r="I1202" s="24" t="n">
        <v>46310</v>
      </c>
      <c r="J1202" s="6" t="n">
        <v>7033</v>
      </c>
    </row>
    <row r="1203">
      <c r="A1203" s="23" t="n">
        <v>46296</v>
      </c>
      <c r="B1203" s="6" t="inlineStr">
        <is>
          <t>A pagar</t>
        </is>
      </c>
      <c r="C1203" s="6" t="inlineStr">
        <is>
          <t>PL530.001</t>
        </is>
      </c>
      <c r="D1203" s="6" t="str">
        <f>IFERROR(VLOOKUP(E1203,FORNECEDORES!$A$5:$F$999,6,FALSE),"L10")</f>
        <v>L10</v>
      </c>
      <c r="E1203" s="6" t="inlineStr">
        <is>
          <t>LN SERVICOS E MONTAGEM LTDA</t>
        </is>
      </c>
      <c r="F1203" s="7" t="n">
        <v>148.59</v>
      </c>
      <c r="G1203" s="6" t="inlineStr">
        <is>
          <t>NÃO CLASSIFICADO</t>
        </is>
      </c>
      <c r="H1203" s="6" t="inlineStr">
        <is>
          <t>PREFEITURA DE BELO HORIZONTE - ISSQN RETIDO</t>
        </is>
      </c>
      <c r="I1203" s="24" t="n">
        <v>46303</v>
      </c>
      <c r="J1203" s="6" t="n">
        <v>6793</v>
      </c>
    </row>
    <row r="1204">
      <c r="A1204" s="23" t="n">
        <v>46296</v>
      </c>
      <c r="B1204" s="6" t="inlineStr">
        <is>
          <t>A pagar</t>
        </is>
      </c>
      <c r="C1204" s="6" t="inlineStr">
        <is>
          <t>PL530.001</t>
        </is>
      </c>
      <c r="D1204" s="6" t="str">
        <f>IFERROR(VLOOKUP(E1204,FORNECEDORES!$A$5:$F$999,6,FALSE),"L10")</f>
        <v>L10</v>
      </c>
      <c r="E1204" s="6" t="inlineStr">
        <is>
          <t>MG CONSTRUCOES E ENGENHARIA LTDA</t>
        </is>
      </c>
      <c r="F1204" s="7" t="n">
        <v>79.8</v>
      </c>
      <c r="G1204" s="6" t="inlineStr">
        <is>
          <t>NÃO CLASSIFICADO</t>
        </is>
      </c>
      <c r="H1204" s="6" t="inlineStr">
        <is>
          <t>RETENÇAO TECNICA</t>
        </is>
      </c>
      <c r="I1204" s="24" t="n">
        <v>46322</v>
      </c>
      <c r="J1204" s="6" t="n">
        <v>5090</v>
      </c>
    </row>
    <row r="1205">
      <c r="A1205" s="23" t="n">
        <v>46296</v>
      </c>
      <c r="B1205" s="6" t="inlineStr">
        <is>
          <t>A pagar</t>
        </is>
      </c>
      <c r="C1205" s="6" t="inlineStr">
        <is>
          <t>PL530.001</t>
        </is>
      </c>
      <c r="D1205" s="6" t="str">
        <f>IFERROR(VLOOKUP(E1205,FORNECEDORES!$A$5:$F$999,6,FALSE),"L10")</f>
        <v>L01</v>
      </c>
      <c r="E1205" s="6" t="inlineStr">
        <is>
          <t>MINAS FERRAMENTAS LTDA</t>
        </is>
      </c>
      <c r="F1205" s="7" t="n">
        <v>153.6</v>
      </c>
      <c r="G1205" s="6" t="inlineStr">
        <is>
          <t>EQUIPAMENTOS E FERRAMENTAS</t>
        </is>
      </c>
      <c r="H1205" s="6" t="inlineStr">
        <is>
          <t>MINAS FERRAMENTAS LTDA</t>
        </is>
      </c>
      <c r="I1205" s="24" t="n">
        <v>46308</v>
      </c>
      <c r="J1205" s="6" t="n">
        <v>6553</v>
      </c>
    </row>
    <row r="1206">
      <c r="A1206" s="23" t="n">
        <v>46296</v>
      </c>
      <c r="B1206" s="6" t="inlineStr">
        <is>
          <t>A pagar</t>
        </is>
      </c>
      <c r="C1206" s="6" t="inlineStr">
        <is>
          <t>PL530.001</t>
        </is>
      </c>
      <c r="D1206" s="6" t="str">
        <f>IFERROR(VLOOKUP(E1206,FORNECEDORES!$A$5:$F$999,6,FALSE),"L10")</f>
        <v>L01</v>
      </c>
      <c r="E1206" s="6" t="inlineStr">
        <is>
          <t>MINAS FERRAMENTAS LTDA</t>
        </is>
      </c>
      <c r="F1206" s="7" t="n">
        <v>255.1</v>
      </c>
      <c r="G1206" s="6" t="inlineStr">
        <is>
          <t>EQUIPAMENTOS E FERRAMENTAS</t>
        </is>
      </c>
      <c r="H1206" s="6" t="inlineStr">
        <is>
          <t>MINAS FERRAMENTAS LTDA</t>
        </is>
      </c>
      <c r="I1206" s="24" t="n">
        <v>46308</v>
      </c>
      <c r="J1206" s="6" t="n">
        <v>6553</v>
      </c>
    </row>
    <row r="1207">
      <c r="A1207" s="23" t="n">
        <v>46296</v>
      </c>
      <c r="B1207" s="6" t="inlineStr">
        <is>
          <t>A pagar</t>
        </is>
      </c>
      <c r="C1207" s="6" t="inlineStr">
        <is>
          <t>PL530.001</t>
        </is>
      </c>
      <c r="D1207" s="6" t="str">
        <f>IFERROR(VLOOKUP(E1207,FORNECEDORES!$A$5:$F$999,6,FALSE),"L10")</f>
        <v>L01</v>
      </c>
      <c r="E1207" s="6" t="inlineStr">
        <is>
          <t>MINAS FERRAMENTAS LTDA</t>
        </is>
      </c>
      <c r="F1207" s="7" t="n">
        <v>38.71</v>
      </c>
      <c r="G1207" s="6" t="inlineStr">
        <is>
          <t>EQUIPAMENTOS E FERRAMENTAS</t>
        </is>
      </c>
      <c r="H1207" s="6" t="inlineStr">
        <is>
          <t>MINAS FERRAMENTAS LTDA</t>
        </is>
      </c>
      <c r="I1207" s="24" t="n">
        <v>46311</v>
      </c>
      <c r="J1207" s="6" t="n">
        <v>6711</v>
      </c>
    </row>
    <row r="1208">
      <c r="A1208" s="23" t="n">
        <v>46296</v>
      </c>
      <c r="B1208" s="6" t="inlineStr">
        <is>
          <t>A pagar</t>
        </is>
      </c>
      <c r="C1208" s="6" t="inlineStr">
        <is>
          <t>PL530.001</t>
        </is>
      </c>
      <c r="D1208" s="6" t="str">
        <f>IFERROR(VLOOKUP(E1208,FORNECEDORES!$A$5:$F$999,6,FALSE),"L10")</f>
        <v>L01</v>
      </c>
      <c r="E1208" s="6" t="inlineStr">
        <is>
          <t>MINAS FERRAMENTAS LTDA</t>
        </is>
      </c>
      <c r="F1208" s="7" t="n">
        <v>121</v>
      </c>
      <c r="G1208" s="6" t="inlineStr">
        <is>
          <t>EQUIPAMENTOS E FERRAMENTAS</t>
        </is>
      </c>
      <c r="H1208" s="6" t="inlineStr">
        <is>
          <t>MINAS FERRAMENTAS LTDA</t>
        </is>
      </c>
      <c r="I1208" s="24" t="n">
        <v>46308</v>
      </c>
      <c r="J1208" s="6" t="n">
        <v>6553</v>
      </c>
    </row>
    <row r="1209">
      <c r="A1209" s="23" t="n">
        <v>46296</v>
      </c>
      <c r="B1209" s="6" t="inlineStr">
        <is>
          <t>A pagar</t>
        </is>
      </c>
      <c r="C1209" s="6" t="inlineStr">
        <is>
          <t>PL530.001</t>
        </is>
      </c>
      <c r="D1209" s="6" t="str">
        <f>IFERROR(VLOOKUP(E1209,FORNECEDORES!$A$5:$F$999,6,FALSE),"L10")</f>
        <v>L01</v>
      </c>
      <c r="E1209" s="6" t="inlineStr">
        <is>
          <t>MINAS FERRAMENTAS LTDA</t>
        </is>
      </c>
      <c r="F1209" s="7" t="n">
        <v>1522.25</v>
      </c>
      <c r="G1209" s="6" t="inlineStr">
        <is>
          <t>EQUIPAMENTOS E FERRAMENTAS</t>
        </is>
      </c>
      <c r="H1209" s="6" t="inlineStr">
        <is>
          <t>MINAS FERRAMENTAS LTDA</t>
        </is>
      </c>
      <c r="I1209" s="24" t="n">
        <v>46314</v>
      </c>
      <c r="J1209" s="6" t="n">
        <v>6795</v>
      </c>
    </row>
    <row r="1210">
      <c r="A1210" s="23" t="n">
        <v>46296</v>
      </c>
      <c r="B1210" s="6" t="inlineStr">
        <is>
          <t>A pagar</t>
        </is>
      </c>
      <c r="C1210" s="6" t="inlineStr">
        <is>
          <t>PL530.001</t>
        </is>
      </c>
      <c r="D1210" s="6" t="str">
        <f>IFERROR(VLOOKUP(E1210,FORNECEDORES!$A$5:$F$999,6,FALSE),"L10")</f>
        <v>L10</v>
      </c>
      <c r="E1210" s="6" t="inlineStr">
        <is>
          <t>ORGUEL INDUSTRIA E LOCACAO DE EQUIPAMENTOS S/A</t>
        </is>
      </c>
      <c r="F1210" s="7" t="n">
        <v>6468</v>
      </c>
      <c r="G1210" s="6" t="inlineStr">
        <is>
          <t>NÃO CLASSIFICADO</t>
        </is>
      </c>
      <c r="H1210" s="6" t="inlineStr">
        <is>
          <t>ORGUEL INDUSTRIA E LOCACAO DE EQUIPAMENTOS S/A</t>
        </is>
      </c>
      <c r="I1210" s="24" t="n">
        <v>46309</v>
      </c>
      <c r="J1210" s="6" t="n">
        <v>6830</v>
      </c>
    </row>
    <row r="1211">
      <c r="A1211" s="23" t="n">
        <v>46296</v>
      </c>
      <c r="B1211" s="6" t="inlineStr">
        <is>
          <t>A pagar</t>
        </is>
      </c>
      <c r="C1211" s="6" t="inlineStr">
        <is>
          <t>PL530.001</t>
        </is>
      </c>
      <c r="D1211" s="6" t="str">
        <f>IFERROR(VLOOKUP(E1211,FORNECEDORES!$A$5:$F$999,6,FALSE),"L10")</f>
        <v>L10</v>
      </c>
      <c r="E1211" s="6" t="inlineStr">
        <is>
          <t>ORGUEL INDUSTRIA E LOCACAO DE EQUIPAMENTOS S/A</t>
        </is>
      </c>
      <c r="F1211" s="7" t="n">
        <v>385</v>
      </c>
      <c r="G1211" s="6" t="inlineStr">
        <is>
          <t>NÃO CLASSIFICADO</t>
        </is>
      </c>
      <c r="H1211" s="6" t="inlineStr">
        <is>
          <t>PREFEITURA DE BELO HORIZONTE - ISSQN RETIDO</t>
        </is>
      </c>
      <c r="I1211" s="24" t="n">
        <v>46303</v>
      </c>
      <c r="J1211" s="6" t="n">
        <v>6920</v>
      </c>
    </row>
    <row r="1212">
      <c r="A1212" s="23" t="n">
        <v>46296</v>
      </c>
      <c r="B1212" s="6" t="inlineStr">
        <is>
          <t>A pagar</t>
        </is>
      </c>
      <c r="C1212" s="6" t="inlineStr">
        <is>
          <t>PL530.001</t>
        </is>
      </c>
      <c r="D1212" s="6" t="str">
        <f>IFERROR(VLOOKUP(E1212,FORNECEDORES!$A$5:$F$999,6,FALSE),"L10")</f>
        <v>L10</v>
      </c>
      <c r="E1212" s="6" t="inlineStr">
        <is>
          <t>ORGUEL INDUSTRIA E LOCACAO DE EQUIPAMENTOS S/A</t>
        </is>
      </c>
      <c r="F1212" s="7" t="n">
        <v>22.5</v>
      </c>
      <c r="G1212" s="6" t="inlineStr">
        <is>
          <t>NÃO CLASSIFICADO</t>
        </is>
      </c>
      <c r="H1212" s="6" t="inlineStr">
        <is>
          <t>IRRF - MINISTERIO DA FAZENDA - SRF</t>
        </is>
      </c>
      <c r="I1212" s="24" t="n">
        <v>46315</v>
      </c>
      <c r="J1212" s="6" t="n">
        <v>6913</v>
      </c>
    </row>
    <row r="1213">
      <c r="A1213" s="23" t="n">
        <v>46296</v>
      </c>
      <c r="B1213" s="6" t="inlineStr">
        <is>
          <t>A pagar</t>
        </is>
      </c>
      <c r="C1213" s="6" t="inlineStr">
        <is>
          <t>PL530.001</t>
        </is>
      </c>
      <c r="D1213" s="6" t="str">
        <f>IFERROR(VLOOKUP(E1213,FORNECEDORES!$A$5:$F$999,6,FALSE),"L10")</f>
        <v>L10</v>
      </c>
      <c r="E1213" s="6" t="inlineStr">
        <is>
          <t>ORGUEL INDUSTRIA E LOCACAO DE EQUIPAMENTOS S/A</t>
        </is>
      </c>
      <c r="F1213" s="7" t="n">
        <v>69.75</v>
      </c>
      <c r="G1213" s="6" t="inlineStr">
        <is>
          <t>NÃO CLASSIFICADO</t>
        </is>
      </c>
      <c r="H1213" s="6" t="inlineStr">
        <is>
          <t>CSRF - MINISTERIO DA FAZENDA - SRF</t>
        </is>
      </c>
      <c r="I1213" s="24" t="n">
        <v>46315</v>
      </c>
      <c r="J1213" s="6" t="n">
        <v>6914</v>
      </c>
    </row>
    <row r="1214">
      <c r="A1214" s="23" t="n">
        <v>46296</v>
      </c>
      <c r="B1214" s="6" t="inlineStr">
        <is>
          <t>A pagar</t>
        </is>
      </c>
      <c r="C1214" s="6" t="inlineStr">
        <is>
          <t>PL530.001</t>
        </is>
      </c>
      <c r="D1214" s="6" t="str">
        <f>IFERROR(VLOOKUP(E1214,FORNECEDORES!$A$5:$F$999,6,FALSE),"L10")</f>
        <v>L10</v>
      </c>
      <c r="E1214" s="6" t="inlineStr">
        <is>
          <t>ORGUEL INDUSTRIA E LOCACAO DE EQUIPAMENTOS S/A</t>
        </is>
      </c>
      <c r="F1214" s="7" t="n">
        <v>165</v>
      </c>
      <c r="G1214" s="6" t="inlineStr">
        <is>
          <t>NÃO CLASSIFICADO</t>
        </is>
      </c>
      <c r="H1214" s="6" t="inlineStr">
        <is>
          <t>INSS RETIDO PJ - MINISTERIO DA PREVIDENCIA</t>
        </is>
      </c>
      <c r="I1214" s="24" t="n">
        <v>46315</v>
      </c>
      <c r="J1214" s="6" t="n">
        <v>6912</v>
      </c>
    </row>
    <row r="1215">
      <c r="A1215" s="23" t="n">
        <v>46296</v>
      </c>
      <c r="B1215" s="6" t="inlineStr">
        <is>
          <t>A pagar</t>
        </is>
      </c>
      <c r="C1215" s="6" t="inlineStr">
        <is>
          <t>PL530.001</t>
        </is>
      </c>
      <c r="D1215" s="6" t="str">
        <f>IFERROR(VLOOKUP(E1215,FORNECEDORES!$A$5:$F$999,6,FALSE),"L10")</f>
        <v>L10</v>
      </c>
      <c r="E1215" s="6" t="inlineStr">
        <is>
          <t>ORGUEL INDUSTRIA E LOCACAO DE EQUIPAMENTOS S/A</t>
        </is>
      </c>
      <c r="F1215" s="7" t="n">
        <v>847</v>
      </c>
      <c r="G1215" s="6" t="inlineStr">
        <is>
          <t>NÃO CLASSIFICADO</t>
        </is>
      </c>
      <c r="H1215" s="6" t="inlineStr">
        <is>
          <t>INSS RETIDO PJ - MINISTERIO DA PREVIDENCIA</t>
        </is>
      </c>
      <c r="I1215" s="24" t="n">
        <v>46315</v>
      </c>
      <c r="J1215" s="6" t="n">
        <v>6921</v>
      </c>
    </row>
    <row r="1216">
      <c r="A1216" s="23" t="n">
        <v>46296</v>
      </c>
      <c r="B1216" s="6" t="inlineStr">
        <is>
          <t>A pagar</t>
        </is>
      </c>
      <c r="C1216" s="6" t="inlineStr">
        <is>
          <t>PL530.001</t>
        </is>
      </c>
      <c r="D1216" s="6" t="str">
        <f>IFERROR(VLOOKUP(E1216,FORNECEDORES!$A$5:$F$999,6,FALSE),"L10")</f>
        <v>L10</v>
      </c>
      <c r="E1216" s="6" t="inlineStr">
        <is>
          <t>ORGUEL INDUSTRIA E LOCACAO DE EQUIPAMENTOS S/A</t>
        </is>
      </c>
      <c r="F1216" s="7" t="n">
        <v>26720</v>
      </c>
      <c r="G1216" s="6" t="inlineStr">
        <is>
          <t>NÃO CLASSIFICADO</t>
        </is>
      </c>
      <c r="H1216" s="6" t="inlineStr">
        <is>
          <t>ORGUEL INDUSTRIA E LOCACAO DE EQUIPAMENTOS S/A</t>
        </is>
      </c>
      <c r="I1216" s="24" t="n">
        <v>46308</v>
      </c>
      <c r="J1216" s="6" t="n">
        <v>6831</v>
      </c>
    </row>
    <row r="1217">
      <c r="A1217" s="23" t="n">
        <v>46296</v>
      </c>
      <c r="B1217" s="6" t="inlineStr">
        <is>
          <t>A pagar</t>
        </is>
      </c>
      <c r="C1217" s="6" t="inlineStr">
        <is>
          <t>PL530.001</t>
        </is>
      </c>
      <c r="D1217" s="6" t="str">
        <f>IFERROR(VLOOKUP(E1217,FORNECEDORES!$A$5:$F$999,6,FALSE),"L10")</f>
        <v>L10</v>
      </c>
      <c r="E1217" s="6" t="inlineStr">
        <is>
          <t>ORGUEL INDUSTRIA E LOCACAO DE EQUIPAMENTOS S/A</t>
        </is>
      </c>
      <c r="F1217" s="7" t="n">
        <v>55.8</v>
      </c>
      <c r="G1217" s="6" t="inlineStr">
        <is>
          <t>NÃO CLASSIFICADO</t>
        </is>
      </c>
      <c r="H1217" s="6" t="inlineStr">
        <is>
          <t>CSRF - MINISTERIO DA FAZENDA - SRF</t>
        </is>
      </c>
      <c r="I1217" s="24" t="n">
        <v>46315</v>
      </c>
      <c r="J1217" s="6" t="n">
        <v>6900</v>
      </c>
    </row>
    <row r="1218">
      <c r="A1218" s="23" t="n">
        <v>46296</v>
      </c>
      <c r="B1218" s="6" t="inlineStr">
        <is>
          <t>A pagar</t>
        </is>
      </c>
      <c r="C1218" s="6" t="inlineStr">
        <is>
          <t>PL530.001</t>
        </is>
      </c>
      <c r="D1218" s="6" t="str">
        <f>IFERROR(VLOOKUP(E1218,FORNECEDORES!$A$5:$F$999,6,FALSE),"L10")</f>
        <v>L10</v>
      </c>
      <c r="E1218" s="6" t="inlineStr">
        <is>
          <t>ORGUEL INDUSTRIA E LOCACAO DE EQUIPAMENTOS S/A</t>
        </is>
      </c>
      <c r="F1218" s="7" t="n">
        <v>132</v>
      </c>
      <c r="G1218" s="6" t="inlineStr">
        <is>
          <t>NÃO CLASSIFICADO</t>
        </is>
      </c>
      <c r="H1218" s="6" t="inlineStr">
        <is>
          <t>INSS RETIDO PJ - MINISTERIO DA PREVIDENCIA</t>
        </is>
      </c>
      <c r="I1218" s="24" t="n">
        <v>46315</v>
      </c>
      <c r="J1218" s="6" t="n">
        <v>6901</v>
      </c>
    </row>
    <row r="1219">
      <c r="A1219" s="23" t="n">
        <v>46296</v>
      </c>
      <c r="B1219" s="6" t="inlineStr">
        <is>
          <t>A pagar</t>
        </is>
      </c>
      <c r="C1219" s="6" t="inlineStr">
        <is>
          <t>PL530.001</t>
        </is>
      </c>
      <c r="D1219" s="6" t="str">
        <f>IFERROR(VLOOKUP(E1219,FORNECEDORES!$A$5:$F$999,6,FALSE),"L10")</f>
        <v>L10</v>
      </c>
      <c r="E1219" s="6" t="inlineStr">
        <is>
          <t>ORGUEL INDUSTRIA E LOCACAO DE EQUIPAMENTOS S/A</t>
        </is>
      </c>
      <c r="F1219" s="7" t="n">
        <v>132</v>
      </c>
      <c r="G1219" s="6" t="inlineStr">
        <is>
          <t>NÃO CLASSIFICADO</t>
        </is>
      </c>
      <c r="H1219" s="6" t="inlineStr">
        <is>
          <t>INSS RETIDO PJ - MINISTERIO DA PREVIDENCIA</t>
        </is>
      </c>
      <c r="I1219" s="24" t="n">
        <v>46315</v>
      </c>
      <c r="J1219" s="6" t="n">
        <v>6906</v>
      </c>
    </row>
    <row r="1220">
      <c r="A1220" s="23" t="n">
        <v>46296</v>
      </c>
      <c r="B1220" s="6" t="inlineStr">
        <is>
          <t>A pagar</t>
        </is>
      </c>
      <c r="C1220" s="6" t="inlineStr">
        <is>
          <t>PL530.001</t>
        </is>
      </c>
      <c r="D1220" s="6" t="str">
        <f>IFERROR(VLOOKUP(E1220,FORNECEDORES!$A$5:$F$999,6,FALSE),"L10")</f>
        <v>L10</v>
      </c>
      <c r="E1220" s="6" t="inlineStr">
        <is>
          <t>ORGUEL INDUSTRIA E LOCACAO DE EQUIPAMENTOS S/A</t>
        </is>
      </c>
      <c r="F1220" s="7" t="n">
        <v>60</v>
      </c>
      <c r="G1220" s="6" t="inlineStr">
        <is>
          <t>NÃO CLASSIFICADO</t>
        </is>
      </c>
      <c r="H1220" s="6" t="inlineStr">
        <is>
          <t>PREFEITURA DE BELO HORIZONTE - ISSQN RETIDO</t>
        </is>
      </c>
      <c r="I1220" s="24" t="n">
        <v>46303</v>
      </c>
      <c r="J1220" s="6" t="n">
        <v>6907</v>
      </c>
    </row>
    <row r="1221">
      <c r="A1221" s="23" t="n">
        <v>46296</v>
      </c>
      <c r="B1221" s="6" t="inlineStr">
        <is>
          <t>A pagar</t>
        </is>
      </c>
      <c r="C1221" s="6" t="inlineStr">
        <is>
          <t>PL530.001</t>
        </is>
      </c>
      <c r="D1221" s="6" t="str">
        <f>IFERROR(VLOOKUP(E1221,FORNECEDORES!$A$5:$F$999,6,FALSE),"L10")</f>
        <v>L08</v>
      </c>
      <c r="E1221" s="6" t="inlineStr">
        <is>
          <t>PEREIRA TELAS E INSTALACOES LTDA</t>
        </is>
      </c>
      <c r="F1221" s="7" t="n">
        <v>3602.4</v>
      </c>
      <c r="G1221" s="6" t="inlineStr">
        <is>
          <t>NÃO CLASSIFICADO</t>
        </is>
      </c>
      <c r="H1221" s="6" t="inlineStr">
        <is>
          <t>PEREIRA TELAS E INSTALACOES LTDA</t>
        </is>
      </c>
      <c r="I1221" s="24" t="n">
        <v>46317</v>
      </c>
      <c r="J1221" s="6" t="n">
        <v>7002</v>
      </c>
    </row>
    <row r="1222">
      <c r="A1222" s="23" t="n">
        <v>46296</v>
      </c>
      <c r="B1222" s="6" t="inlineStr">
        <is>
          <t>A pagar</t>
        </is>
      </c>
      <c r="C1222" s="6" t="inlineStr">
        <is>
          <t>PL530.001</t>
        </is>
      </c>
      <c r="D1222" s="6" t="str">
        <f>IFERROR(VLOOKUP(E1222,FORNECEDORES!$A$5:$F$999,6,FALSE),"L10")</f>
        <v>L08</v>
      </c>
      <c r="E1222" s="6" t="inlineStr">
        <is>
          <t>PEREIRA TELAS E INSTALACOES LTDA</t>
        </is>
      </c>
      <c r="F1222" s="7" t="n">
        <v>684</v>
      </c>
      <c r="G1222" s="6" t="inlineStr">
        <is>
          <t>NÃO CLASSIFICADO</t>
        </is>
      </c>
      <c r="H1222" s="6" t="inlineStr">
        <is>
          <t>PREFEITURA DE BELO HORIZONTE - ISSQN RETIDO</t>
        </is>
      </c>
      <c r="I1222" s="24" t="n">
        <v>46303</v>
      </c>
      <c r="J1222" s="6" t="n">
        <v>6719</v>
      </c>
    </row>
    <row r="1223">
      <c r="A1223" s="23" t="n">
        <v>46296</v>
      </c>
      <c r="B1223" s="6" t="inlineStr">
        <is>
          <t>A pagar</t>
        </is>
      </c>
      <c r="C1223" s="6" t="inlineStr">
        <is>
          <t>PL530.001</t>
        </is>
      </c>
      <c r="D1223" s="6" t="str">
        <f>IFERROR(VLOOKUP(E1223,FORNECEDORES!$A$5:$F$999,6,FALSE),"L10")</f>
        <v>L08</v>
      </c>
      <c r="E1223" s="6" t="inlineStr">
        <is>
          <t>PEREIRA TELAS E INSTALACOES LTDA</t>
        </is>
      </c>
      <c r="F1223" s="7" t="n">
        <v>478.8</v>
      </c>
      <c r="G1223" s="6" t="inlineStr">
        <is>
          <t>NÃO CLASSIFICADO</t>
        </is>
      </c>
      <c r="H1223" s="6" t="inlineStr">
        <is>
          <t>INSS RETIDO PJ - MINISTERIO DA PREVIDENCIA</t>
        </is>
      </c>
      <c r="I1223" s="24" t="n">
        <v>46315</v>
      </c>
      <c r="J1223" s="6" t="n">
        <v>6910</v>
      </c>
    </row>
    <row r="1224">
      <c r="A1224" s="23" t="n">
        <v>46296</v>
      </c>
      <c r="B1224" s="6" t="inlineStr">
        <is>
          <t>A pagar</t>
        </is>
      </c>
      <c r="C1224" s="6" t="inlineStr">
        <is>
          <t>PL530.001</t>
        </is>
      </c>
      <c r="D1224" s="6" t="str">
        <f>IFERROR(VLOOKUP(E1224,FORNECEDORES!$A$5:$F$999,6,FALSE),"L10")</f>
        <v>L10</v>
      </c>
      <c r="E1224" s="6" t="inlineStr">
        <is>
          <t>PGO PLANEJAMENTO GERENCIAMENTO E OBRAS LTDA. - ME</t>
        </is>
      </c>
      <c r="F1224" s="7" t="n">
        <v>636.35</v>
      </c>
      <c r="G1224" s="6" t="inlineStr">
        <is>
          <t>NÃO CLASSIFICADO</t>
        </is>
      </c>
      <c r="H1224" s="6" t="inlineStr">
        <is>
          <t>PERMUTA MOTO // RETENÇÃO TECNICA AO FORNECEDOR</t>
        </is>
      </c>
      <c r="I1224" s="24" t="n">
        <v>46321</v>
      </c>
      <c r="J1224" s="6" t="n">
        <v>5032</v>
      </c>
    </row>
    <row r="1225">
      <c r="A1225" s="23" t="n">
        <v>46296</v>
      </c>
      <c r="B1225" s="6" t="inlineStr">
        <is>
          <t>A pagar</t>
        </is>
      </c>
      <c r="C1225" s="6" t="inlineStr">
        <is>
          <t>PL530.001</t>
        </is>
      </c>
      <c r="D1225" s="6" t="str">
        <f>IFERROR(VLOOKUP(E1225,FORNECEDORES!$A$5:$F$999,6,FALSE),"L10")</f>
        <v>L10</v>
      </c>
      <c r="E1225" s="6" t="inlineStr">
        <is>
          <t>PGO PLANEJAMENTO GERENCIAMENTO E OBRAS LTDA. - ME</t>
        </is>
      </c>
      <c r="F1225" s="7" t="n">
        <v>636.36</v>
      </c>
      <c r="G1225" s="6" t="inlineStr">
        <is>
          <t>NÃO CLASSIFICADO</t>
        </is>
      </c>
      <c r="H1225" s="6" t="inlineStr">
        <is>
          <t>PERMUTA MOTO // RETENÇÃO TECNICA AO FORNECEDOR</t>
        </is>
      </c>
      <c r="I1225" s="24" t="n">
        <v>46321</v>
      </c>
      <c r="J1225" s="6" t="n">
        <v>5033</v>
      </c>
    </row>
    <row r="1226">
      <c r="A1226" s="23" t="n">
        <v>46296</v>
      </c>
      <c r="B1226" s="6" t="inlineStr">
        <is>
          <t>A pagar</t>
        </is>
      </c>
      <c r="C1226" s="6" t="inlineStr">
        <is>
          <t>PL530.001</t>
        </is>
      </c>
      <c r="D1226" s="6" t="str">
        <f>IFERROR(VLOOKUP(E1226,FORNECEDORES!$A$5:$F$999,6,FALSE),"L10")</f>
        <v>L10</v>
      </c>
      <c r="E1226" s="6" t="inlineStr">
        <is>
          <t>PGO PLANEJAMENTO GERENCIAMENTO E OBRAS LTDA. - ME</t>
        </is>
      </c>
      <c r="F1226" s="7" t="n">
        <v>89.8</v>
      </c>
      <c r="G1226" s="6" t="inlineStr">
        <is>
          <t>NÃO CLASSIFICADO</t>
        </is>
      </c>
      <c r="H1226" s="6" t="inlineStr">
        <is>
          <t>PERMUTA MOTO // RETENÇÃO TECNICA AO FORNECEDOR</t>
        </is>
      </c>
      <c r="I1226" s="24" t="n">
        <v>46321</v>
      </c>
      <c r="J1226" s="6" t="n">
        <v>4000</v>
      </c>
    </row>
    <row r="1227">
      <c r="A1227" s="23" t="n">
        <v>46296</v>
      </c>
      <c r="B1227" s="6" t="inlineStr">
        <is>
          <t>A pagar</t>
        </is>
      </c>
      <c r="C1227" s="6" t="inlineStr">
        <is>
          <t>PL530.001</t>
        </is>
      </c>
      <c r="D1227" s="6" t="str">
        <f>IFERROR(VLOOKUP(E1227,FORNECEDORES!$A$5:$F$999,6,FALSE),"L10")</f>
        <v>L10</v>
      </c>
      <c r="E1227" s="6" t="inlineStr">
        <is>
          <t>PGO PLANEJAMENTO GERENCIAMENTO E OBRAS LTDA. - ME</t>
        </is>
      </c>
      <c r="F1227" s="7" t="n">
        <v>131.25</v>
      </c>
      <c r="G1227" s="6" t="inlineStr">
        <is>
          <t>NÃO CLASSIFICADO</t>
        </is>
      </c>
      <c r="H1227" s="6" t="inlineStr">
        <is>
          <t>RETENÇÃO TECNICA AO FORNECEDOR</t>
        </is>
      </c>
      <c r="I1227" s="24" t="n">
        <v>46321</v>
      </c>
      <c r="J1227" s="6" t="n">
        <v>4223</v>
      </c>
    </row>
    <row r="1228">
      <c r="A1228" s="23" t="n">
        <v>46296</v>
      </c>
      <c r="B1228" s="6" t="inlineStr">
        <is>
          <t>A pagar</t>
        </is>
      </c>
      <c r="C1228" s="6" t="inlineStr">
        <is>
          <t>PL530.001</t>
        </is>
      </c>
      <c r="D1228" s="6" t="str">
        <f>IFERROR(VLOOKUP(E1228,FORNECEDORES!$A$5:$F$999,6,FALSE),"L10")</f>
        <v>L10</v>
      </c>
      <c r="E1228" s="6" t="inlineStr">
        <is>
          <t>PGO PLANEJAMENTO GERENCIAMENTO E OBRAS LTDA. - ME</t>
        </is>
      </c>
      <c r="F1228" s="7" t="n">
        <v>260.13</v>
      </c>
      <c r="G1228" s="6" t="inlineStr">
        <is>
          <t>NÃO CLASSIFICADO</t>
        </is>
      </c>
      <c r="H1228" s="6" t="inlineStr">
        <is>
          <t>RETENÇÃO TECNICA AO FORNECEDOR</t>
        </is>
      </c>
      <c r="I1228" s="24" t="n">
        <v>46321</v>
      </c>
      <c r="J1228" s="6" t="n">
        <v>3795</v>
      </c>
    </row>
    <row r="1229">
      <c r="A1229" s="23" t="n">
        <v>46296</v>
      </c>
      <c r="B1229" s="6" t="inlineStr">
        <is>
          <t>A pagar</t>
        </is>
      </c>
      <c r="C1229" s="6" t="inlineStr">
        <is>
          <t>PL530.001</t>
        </is>
      </c>
      <c r="D1229" s="6" t="str">
        <f>IFERROR(VLOOKUP(E1229,FORNECEDORES!$A$5:$F$999,6,FALSE),"L10")</f>
        <v>L10</v>
      </c>
      <c r="E1229" s="6" t="inlineStr">
        <is>
          <t>PGO PLANEJAMENTO GERENCIAMENTO E OBRAS LTDA. - ME</t>
        </is>
      </c>
      <c r="F1229" s="7" t="n">
        <v>227.69</v>
      </c>
      <c r="G1229" s="6" t="inlineStr">
        <is>
          <t>NÃO CLASSIFICADO</t>
        </is>
      </c>
      <c r="H1229" s="6" t="inlineStr">
        <is>
          <t>RETENÇÃO TECNICA AO FORNECEDOR</t>
        </is>
      </c>
      <c r="I1229" s="24" t="n">
        <v>46321</v>
      </c>
      <c r="J1229" s="6" t="n">
        <v>3626</v>
      </c>
    </row>
    <row r="1230">
      <c r="A1230" s="23" t="n">
        <v>46296</v>
      </c>
      <c r="B1230" s="6" t="inlineStr">
        <is>
          <t>A pagar</t>
        </is>
      </c>
      <c r="C1230" s="6" t="inlineStr">
        <is>
          <t>PL530.001</t>
        </is>
      </c>
      <c r="D1230" s="6" t="str">
        <f>IFERROR(VLOOKUP(E1230,FORNECEDORES!$A$5:$F$999,6,FALSE),"L10")</f>
        <v>L10</v>
      </c>
      <c r="E1230" s="6" t="inlineStr">
        <is>
          <t>PGO PLANEJAMENTO GERENCIAMENTO E OBRAS LTDA. - ME</t>
        </is>
      </c>
      <c r="F1230" s="7" t="n">
        <v>22.02</v>
      </c>
      <c r="G1230" s="6" t="inlineStr">
        <is>
          <t>NÃO CLASSIFICADO</t>
        </is>
      </c>
      <c r="H1230" s="6" t="inlineStr">
        <is>
          <t>RETENÇÃO TECNICA AO FORNECEDOR</t>
        </is>
      </c>
      <c r="I1230" s="24" t="n">
        <v>46321</v>
      </c>
      <c r="J1230" s="6" t="n">
        <v>4000</v>
      </c>
    </row>
    <row r="1231">
      <c r="A1231" s="23" t="n">
        <v>46296</v>
      </c>
      <c r="B1231" s="6" t="inlineStr">
        <is>
          <t>A pagar</t>
        </is>
      </c>
      <c r="C1231" s="6" t="inlineStr">
        <is>
          <t>PL530.001</t>
        </is>
      </c>
      <c r="D1231" s="6" t="str">
        <f>IFERROR(VLOOKUP(E1231,FORNECEDORES!$A$5:$F$999,6,FALSE),"L10")</f>
        <v>L10</v>
      </c>
      <c r="E1231" s="6" t="inlineStr">
        <is>
          <t>PGO PLANEJAMENTO GERENCIAMENTO E OBRAS LTDA. - ME</t>
        </is>
      </c>
      <c r="F1231" s="7" t="n">
        <v>227.7</v>
      </c>
      <c r="G1231" s="6" t="inlineStr">
        <is>
          <t>NÃO CLASSIFICADO</t>
        </is>
      </c>
      <c r="H1231" s="6" t="inlineStr">
        <is>
          <t>RETENÇÃO TECNICA AO FORNECEDOR</t>
        </is>
      </c>
      <c r="I1231" s="24" t="n">
        <v>46321</v>
      </c>
      <c r="J1231" s="6" t="n">
        <v>3627</v>
      </c>
    </row>
    <row r="1232">
      <c r="A1232" s="23" t="n">
        <v>46296</v>
      </c>
      <c r="B1232" s="6" t="inlineStr">
        <is>
          <t>A pagar</t>
        </is>
      </c>
      <c r="C1232" s="6" t="inlineStr">
        <is>
          <t>PL530.001</t>
        </is>
      </c>
      <c r="D1232" s="6" t="str">
        <f>IFERROR(VLOOKUP(E1232,FORNECEDORES!$A$5:$F$999,6,FALSE),"L10")</f>
        <v>L10</v>
      </c>
      <c r="E1232" s="6" t="inlineStr">
        <is>
          <t>PGO PLANEJAMENTO GERENCIAMENTO E OBRAS LTDA. - ME</t>
        </is>
      </c>
      <c r="F1232" s="7" t="n">
        <v>260.14</v>
      </c>
      <c r="G1232" s="6" t="inlineStr">
        <is>
          <t>NÃO CLASSIFICADO</t>
        </is>
      </c>
      <c r="H1232" s="6" t="inlineStr">
        <is>
          <t>RETENÇÃO TECNICA AO FORNECEDOR</t>
        </is>
      </c>
      <c r="I1232" s="24" t="n">
        <v>46321</v>
      </c>
      <c r="J1232" s="6" t="n">
        <v>3794</v>
      </c>
    </row>
    <row r="1233">
      <c r="A1233" s="23" t="n">
        <v>46296</v>
      </c>
      <c r="B1233" s="6" t="inlineStr">
        <is>
          <t>A pagar</t>
        </is>
      </c>
      <c r="C1233" s="6" t="inlineStr">
        <is>
          <t>PL530.001</t>
        </is>
      </c>
      <c r="D1233" s="6" t="str">
        <f>IFERROR(VLOOKUP(E1233,FORNECEDORES!$A$5:$F$999,6,FALSE),"L10")</f>
        <v>L10</v>
      </c>
      <c r="E1233" s="6" t="inlineStr">
        <is>
          <t>PGO PLANEJAMENTO GERENCIAMENTO E OBRAS LTDA. - ME</t>
        </is>
      </c>
      <c r="F1233" s="7" t="n">
        <v>111.83</v>
      </c>
      <c r="G1233" s="6" t="inlineStr">
        <is>
          <t>NÃO CLASSIFICADO</t>
        </is>
      </c>
      <c r="H1233" s="6" t="inlineStr">
        <is>
          <t>RETENÇÃO TECNICA AO FORNECEDOR</t>
        </is>
      </c>
      <c r="I1233" s="24" t="n">
        <v>46321</v>
      </c>
      <c r="J1233" s="6" t="n">
        <v>3999</v>
      </c>
    </row>
    <row r="1234">
      <c r="A1234" s="23" t="n">
        <v>46296</v>
      </c>
      <c r="B1234" s="6" t="inlineStr">
        <is>
          <t>A pagar</t>
        </is>
      </c>
      <c r="C1234" s="6" t="inlineStr">
        <is>
          <t>PL530.001</t>
        </is>
      </c>
      <c r="D1234" s="6" t="str">
        <f>IFERROR(VLOOKUP(E1234,FORNECEDORES!$A$5:$F$999,6,FALSE),"L10")</f>
        <v>L10</v>
      </c>
      <c r="E1234" s="6" t="inlineStr">
        <is>
          <t>PGO PLANEJAMENTO GERENCIAMENTO E OBRAS LTDA. - ME</t>
        </is>
      </c>
      <c r="F1234" s="7" t="n">
        <v>131.25</v>
      </c>
      <c r="G1234" s="6" t="inlineStr">
        <is>
          <t>NÃO CLASSIFICADO</t>
        </is>
      </c>
      <c r="H1234" s="6" t="inlineStr">
        <is>
          <t>RETENÇÃO TECNICA AO FORNECEDOR</t>
        </is>
      </c>
      <c r="I1234" s="24" t="n">
        <v>46321</v>
      </c>
      <c r="J1234" s="6" t="n">
        <v>4224</v>
      </c>
    </row>
    <row r="1235">
      <c r="A1235" s="23" t="n">
        <v>46296</v>
      </c>
      <c r="B1235" s="6" t="inlineStr">
        <is>
          <t>A pagar</t>
        </is>
      </c>
      <c r="C1235" s="6" t="inlineStr">
        <is>
          <t>PL530.001</t>
        </is>
      </c>
      <c r="D1235" s="6" t="str">
        <f>IFERROR(VLOOKUP(E1235,FORNECEDORES!$A$5:$F$999,6,FALSE),"L10")</f>
        <v>L10</v>
      </c>
      <c r="E1235" s="6" t="inlineStr">
        <is>
          <t>REFORMULAR CONSTRUCOES E REFORMAS LTDA</t>
        </is>
      </c>
      <c r="F1235" s="7" t="n">
        <v>14646.36</v>
      </c>
      <c r="G1235" s="6" t="inlineStr">
        <is>
          <t>NÃO CLASSIFICADO</t>
        </is>
      </c>
      <c r="H1235" s="6" t="inlineStr">
        <is>
          <t>REFORMULAR CONSTRUÇÕES E REFORMAS LTDA</t>
        </is>
      </c>
      <c r="I1235" s="24" t="n">
        <v>46303</v>
      </c>
      <c r="J1235" s="6" t="n">
        <v>6959</v>
      </c>
    </row>
    <row r="1236">
      <c r="A1236" s="23" t="n">
        <v>46296</v>
      </c>
      <c r="B1236" s="6" t="inlineStr">
        <is>
          <t>A pagar</t>
        </is>
      </c>
      <c r="C1236" s="6" t="inlineStr">
        <is>
          <t>PL530.001</t>
        </is>
      </c>
      <c r="D1236" s="6" t="str">
        <f>IFERROR(VLOOKUP(E1236,FORNECEDORES!$A$5:$F$999,6,FALSE),"L10")</f>
        <v>L10</v>
      </c>
      <c r="E1236" s="6" t="inlineStr">
        <is>
          <t>REFORMULAR CONSTRUCOES E REFORMAS LTDA</t>
        </is>
      </c>
      <c r="F1236" s="7" t="n">
        <v>334.77</v>
      </c>
      <c r="G1236" s="6" t="inlineStr">
        <is>
          <t>NÃO CLASSIFICADO</t>
        </is>
      </c>
      <c r="H1236" s="6" t="inlineStr">
        <is>
          <t>PREFEITURA DE BELO HORIZONTE - ISSQN RETIDO</t>
        </is>
      </c>
      <c r="I1236" s="24" t="n">
        <v>46303</v>
      </c>
      <c r="J1236" s="6" t="n">
        <v>6984</v>
      </c>
    </row>
    <row r="1237">
      <c r="A1237" s="23" t="n">
        <v>46296</v>
      </c>
      <c r="B1237" s="6" t="inlineStr">
        <is>
          <t>A pagar</t>
        </is>
      </c>
      <c r="C1237" s="6" t="inlineStr">
        <is>
          <t>PL530.001</t>
        </is>
      </c>
      <c r="D1237" s="6" t="str">
        <f>IFERROR(VLOOKUP(E1237,FORNECEDORES!$A$5:$F$999,6,FALSE),"L10")</f>
        <v>L10</v>
      </c>
      <c r="E1237" s="6" t="inlineStr">
        <is>
          <t>REFORMULAR CONSTRUCOES E REFORMAS LTDA</t>
        </is>
      </c>
      <c r="F1237" s="7" t="n">
        <v>585.85</v>
      </c>
      <c r="G1237" s="6" t="inlineStr">
        <is>
          <t>NÃO CLASSIFICADO</t>
        </is>
      </c>
      <c r="H1237" s="6" t="inlineStr">
        <is>
          <t>INSS RETIDO PJ - MINISTERIO DA PREVIDENCIA</t>
        </is>
      </c>
      <c r="I1237" s="24" t="n">
        <v>46315</v>
      </c>
      <c r="J1237" s="6" t="n">
        <v>6986</v>
      </c>
    </row>
    <row r="1238">
      <c r="A1238" s="23" t="n">
        <v>46296</v>
      </c>
      <c r="B1238" s="6" t="inlineStr">
        <is>
          <t>A pagar</t>
        </is>
      </c>
      <c r="C1238" s="6" t="inlineStr">
        <is>
          <t>PL530.001</t>
        </is>
      </c>
      <c r="D1238" s="6" t="str">
        <f>IFERROR(VLOOKUP(E1238,FORNECEDORES!$A$5:$F$999,6,FALSE),"L10")</f>
        <v>L01</v>
      </c>
      <c r="E1238" s="6" t="inlineStr">
        <is>
          <t>RJ FORNOS E FOGOES INDUSTRIAIS LTDA</t>
        </is>
      </c>
      <c r="F1238" s="7" t="n">
        <v>3537.94</v>
      </c>
      <c r="G1238" s="6" t="inlineStr">
        <is>
          <t>MÓVEIS E ELETRODOMÉSTICOS</t>
        </is>
      </c>
      <c r="H1238" s="6" t="inlineStr">
        <is>
          <t>RJ FORNOS E FOGOES INDUSTRIAIS LTDA</t>
        </is>
      </c>
      <c r="I1238" s="24" t="n">
        <v>46325</v>
      </c>
      <c r="J1238" s="6" t="n">
        <v>6626</v>
      </c>
    </row>
    <row r="1239">
      <c r="A1239" s="23" t="n">
        <v>46296</v>
      </c>
      <c r="B1239" s="6" t="inlineStr">
        <is>
          <t>A pagar</t>
        </is>
      </c>
      <c r="C1239" s="6" t="inlineStr">
        <is>
          <t>PL530.001</t>
        </is>
      </c>
      <c r="D1239" s="6" t="str">
        <f>IFERROR(VLOOKUP(E1239,FORNECEDORES!$A$5:$F$999,6,FALSE),"L10")</f>
        <v>L10</v>
      </c>
      <c r="E1239" s="6" t="inlineStr">
        <is>
          <t>SOIMA BRASIL INDUSTRIA E COMERCIO LTDA</t>
        </is>
      </c>
      <c r="F1239" s="7" t="n">
        <v>20000</v>
      </c>
      <c r="G1239" s="6" t="inlineStr">
        <is>
          <t>INSUMOS PARA CONTRATO</t>
        </is>
      </c>
      <c r="H1239" s="6" t="inlineStr">
        <is>
          <t>SOIMA BRASIL INDUSTRIA E COMERCIO LTDA</t>
        </is>
      </c>
      <c r="I1239" s="24" t="n">
        <v>46311</v>
      </c>
      <c r="J1239" s="6" t="n">
        <v>6825</v>
      </c>
    </row>
    <row r="1240">
      <c r="A1240" s="23" t="n">
        <v>46296</v>
      </c>
      <c r="B1240" s="6" t="inlineStr">
        <is>
          <t>A pagar</t>
        </is>
      </c>
      <c r="C1240" s="6" t="inlineStr">
        <is>
          <t>PL530.001</t>
        </is>
      </c>
      <c r="D1240" s="6" t="str">
        <f>IFERROR(VLOOKUP(E1240,FORNECEDORES!$A$5:$F$999,6,FALSE),"L10")</f>
        <v>L10</v>
      </c>
      <c r="E1240" s="6" t="inlineStr">
        <is>
          <t>TECSU ENGENHARIA LTDA</t>
        </is>
      </c>
      <c r="F1240" s="7" t="n">
        <v>2167.82</v>
      </c>
      <c r="G1240" s="6" t="inlineStr">
        <is>
          <t>NÃO CLASSIFICADO</t>
        </is>
      </c>
      <c r="H1240" s="6" t="inlineStr">
        <is>
          <t>INSS RETIDO PJ - MINISTERIO DA PREVIDENCIA</t>
        </is>
      </c>
      <c r="I1240" s="24" t="n">
        <v>46315</v>
      </c>
      <c r="J1240" s="6" t="n">
        <v>6857</v>
      </c>
    </row>
    <row r="1241">
      <c r="A1241" s="23" t="n">
        <v>46296</v>
      </c>
      <c r="B1241" s="6" t="inlineStr">
        <is>
          <t>A pagar</t>
        </is>
      </c>
      <c r="C1241" s="6" t="inlineStr">
        <is>
          <t>PL530.001</t>
        </is>
      </c>
      <c r="D1241" s="6" t="str">
        <f>IFERROR(VLOOKUP(E1241,FORNECEDORES!$A$5:$F$999,6,FALSE),"L10")</f>
        <v>L10</v>
      </c>
      <c r="E1241" s="6" t="inlineStr">
        <is>
          <t>TECSU ENGENHARIA LTDA</t>
        </is>
      </c>
      <c r="F1241" s="7" t="n">
        <v>15174.71</v>
      </c>
      <c r="G1241" s="6" t="inlineStr">
        <is>
          <t>NÃO CLASSIFICADO</t>
        </is>
      </c>
      <c r="H1241" s="6" t="inlineStr">
        <is>
          <t>TECSU ENGENHARIA LTDA</t>
        </is>
      </c>
      <c r="I1241" s="24" t="n">
        <v>46300</v>
      </c>
      <c r="J1241" s="6" t="n">
        <v>6853</v>
      </c>
    </row>
    <row r="1242">
      <c r="A1242" s="23" t="n">
        <v>46296</v>
      </c>
      <c r="B1242" s="6" t="inlineStr">
        <is>
          <t>A pagar</t>
        </is>
      </c>
      <c r="C1242" s="6" t="inlineStr">
        <is>
          <t>PL530.001</t>
        </is>
      </c>
      <c r="D1242" s="6" t="str">
        <f>IFERROR(VLOOKUP(E1242,FORNECEDORES!$A$5:$F$999,6,FALSE),"L10")</f>
        <v>L10</v>
      </c>
      <c r="E1242" s="6" t="inlineStr">
        <is>
          <t>TECSU ENGENHARIA LTDA</t>
        </is>
      </c>
      <c r="F1242" s="7" t="n">
        <v>985.37</v>
      </c>
      <c r="G1242" s="6" t="inlineStr">
        <is>
          <t>NÃO CLASSIFICADO</t>
        </is>
      </c>
      <c r="H1242" s="6" t="inlineStr">
        <is>
          <t>PREFEITURA DE BELO HORIZONTE - ISSQN RETIDO</t>
        </is>
      </c>
      <c r="I1242" s="24" t="n">
        <v>46303</v>
      </c>
      <c r="J1242" s="6" t="n">
        <v>6854</v>
      </c>
    </row>
    <row r="1243">
      <c r="A1243" s="23" t="n">
        <v>46296</v>
      </c>
      <c r="B1243" s="6" t="inlineStr">
        <is>
          <t>Pago</t>
        </is>
      </c>
      <c r="C1243" s="6" t="inlineStr">
        <is>
          <t>PL530.001</t>
        </is>
      </c>
      <c r="D1243" s="6" t="str">
        <f>IFERROR(VLOOKUP(E1243,FORNECEDORES!$A$5:$F$999,6,FALSE),"L10")</f>
        <v>L01</v>
      </c>
      <c r="E1243" s="6" t="inlineStr">
        <is>
          <t>CONSTRUMAQ INDUSTRIA DE MAQUINAS E EQUIPAMENTOS LTDA</t>
        </is>
      </c>
      <c r="F1243" s="7" t="n">
        <v>1050</v>
      </c>
      <c r="G1243" s="6" t="inlineStr">
        <is>
          <t>FRETE</t>
        </is>
      </c>
      <c r="H1243" s="6" t="inlineStr">
        <is>
          <t>CONSTRUMAQ INDUSTRIA DE MAQUINAS E EQUIPAMENTOS LT</t>
        </is>
      </c>
      <c r="I1243" s="24" t="n">
        <v>46296</v>
      </c>
      <c r="J1243" s="6" t="n">
        <v>6155</v>
      </c>
    </row>
    <row r="1244">
      <c r="A1244" s="23" t="n">
        <v>46296</v>
      </c>
      <c r="B1244" s="6" t="inlineStr">
        <is>
          <t>Pago</t>
        </is>
      </c>
      <c r="C1244" s="6" t="inlineStr">
        <is>
          <t>PL530.001</t>
        </is>
      </c>
      <c r="D1244" s="6" t="str">
        <f>IFERROR(VLOOKUP(E1244,FORNECEDORES!$A$5:$F$999,6,FALSE),"L10")</f>
        <v>L01</v>
      </c>
      <c r="E1244" s="6" t="inlineStr">
        <is>
          <t>CONSTRUMAQ INDUSTRIA DE MAQUINAS E EQUIPAMENTOS LTDA</t>
        </is>
      </c>
      <c r="F1244" s="7" t="n">
        <v>1975</v>
      </c>
      <c r="G1244" s="6" t="inlineStr">
        <is>
          <t>EQUIPAMENTOS E FERRAMENTAS</t>
        </is>
      </c>
      <c r="H1244" s="6" t="inlineStr">
        <is>
          <t>CONSTRUMAQ INDUSTRIA DE MAQUINAS E EQUIPAMENTOS LT</t>
        </is>
      </c>
      <c r="I1244" s="24" t="n">
        <v>46296</v>
      </c>
      <c r="J1244" s="6" t="n">
        <v>6155</v>
      </c>
    </row>
    <row r="1245">
      <c r="A1245" s="23" t="n">
        <v>46296</v>
      </c>
      <c r="B1245" s="6" t="inlineStr">
        <is>
          <t>Pago</t>
        </is>
      </c>
      <c r="C1245" s="6" t="inlineStr">
        <is>
          <t>PL530.001</t>
        </is>
      </c>
      <c r="D1245" s="6" t="str">
        <f>IFERROR(VLOOKUP(E1245,FORNECEDORES!$A$5:$F$999,6,FALSE),"L10")</f>
        <v>L01</v>
      </c>
      <c r="E1245" s="6" t="inlineStr">
        <is>
          <t>CONSTRUMAQ INDUSTRIA DE MAQUINAS E EQUIPAMENTOS LTDA</t>
        </is>
      </c>
      <c r="F1245" s="7" t="n">
        <v>2650</v>
      </c>
      <c r="G1245" s="6" t="inlineStr">
        <is>
          <t>EQUIPAMENTOS E FERRAMENTAS</t>
        </is>
      </c>
      <c r="H1245" s="6" t="inlineStr">
        <is>
          <t>CONSTRUMAQ INDUSTRIA DE MAQUINAS E EQUIPAMENTOS LT</t>
        </is>
      </c>
      <c r="I1245" s="24" t="n">
        <v>46296</v>
      </c>
      <c r="J1245" s="6" t="n">
        <v>6155</v>
      </c>
    </row>
    <row r="1246">
      <c r="A1246" s="23" t="n">
        <v>46296</v>
      </c>
      <c r="B1246" s="6" t="inlineStr">
        <is>
          <t>Pago</t>
        </is>
      </c>
      <c r="C1246" s="6" t="inlineStr">
        <is>
          <t>PL530.001</t>
        </is>
      </c>
      <c r="D1246" s="6" t="str">
        <f>IFERROR(VLOOKUP(E1246,FORNECEDORES!$A$5:$F$999,6,FALSE),"L10")</f>
        <v>L03</v>
      </c>
      <c r="E1246" s="6" t="inlineStr">
        <is>
          <t>EDIFICAR LOCACAO MANUTENCAO E SERVICOS LTDA</t>
        </is>
      </c>
      <c r="F1246" s="7" t="n">
        <v>394.51</v>
      </c>
      <c r="G1246" s="6" t="inlineStr">
        <is>
          <t>LOCAÇÕES</t>
        </is>
      </c>
      <c r="H1246" s="6" t="inlineStr">
        <is>
          <t>EDIFICAR LOCACAO MANUTENCAO E SERVICOS LTDA</t>
        </is>
      </c>
      <c r="I1246" s="24" t="n">
        <v>46296</v>
      </c>
      <c r="J1246" s="6" t="n">
        <v>6991</v>
      </c>
    </row>
    <row r="1247">
      <c r="A1247" s="23" t="n">
        <v>46296</v>
      </c>
      <c r="B1247" s="6" t="inlineStr">
        <is>
          <t>Pago</t>
        </is>
      </c>
      <c r="C1247" s="6" t="inlineStr">
        <is>
          <t>PL530.001</t>
        </is>
      </c>
      <c r="D1247" s="6" t="str">
        <f>IFERROR(VLOOKUP(E1247,FORNECEDORES!$A$5:$F$999,6,FALSE),"L10")</f>
        <v>L03</v>
      </c>
      <c r="E1247" s="6" t="inlineStr">
        <is>
          <t>EDIFICAR LOCACAO MANUTENCAO E SERVICOS LTDA</t>
        </is>
      </c>
      <c r="F1247" s="7" t="n">
        <v>1307.05</v>
      </c>
      <c r="G1247" s="6" t="inlineStr">
        <is>
          <t>LOCAÇÕES</t>
        </is>
      </c>
      <c r="H1247" s="6" t="inlineStr">
        <is>
          <t>EDIFICAR LOCACAO MANUTENCAO E SERVICOS LTDA</t>
        </is>
      </c>
      <c r="I1247" s="24" t="n">
        <v>46296</v>
      </c>
      <c r="J1247" s="6" t="n">
        <v>6988</v>
      </c>
    </row>
    <row r="1248">
      <c r="A1248" s="23" t="n">
        <v>46296</v>
      </c>
      <c r="B1248" s="6" t="inlineStr">
        <is>
          <t>Pago</t>
        </is>
      </c>
      <c r="C1248" s="6" t="inlineStr">
        <is>
          <t>PL530.001</t>
        </is>
      </c>
      <c r="D1248" s="6" t="str">
        <f>IFERROR(VLOOKUP(E1248,FORNECEDORES!$A$5:$F$999,6,FALSE),"L10")</f>
        <v>L03</v>
      </c>
      <c r="E1248" s="6" t="inlineStr">
        <is>
          <t>EDIFICAR LOCACAO MANUTENCAO E SERVICOS LTDA</t>
        </is>
      </c>
      <c r="F1248" s="7" t="n">
        <v>12.9</v>
      </c>
      <c r="G1248" s="6" t="inlineStr">
        <is>
          <t>LOCAÇÕES</t>
        </is>
      </c>
      <c r="H1248" s="6" t="inlineStr">
        <is>
          <t>EDIFICAR LOCACAO MANUTENCAO E SERVICOS LTDA</t>
        </is>
      </c>
      <c r="I1248" s="24" t="n">
        <v>46296</v>
      </c>
      <c r="J1248" s="6" t="n">
        <v>6989</v>
      </c>
    </row>
    <row r="1249">
      <c r="A1249" s="23" t="n">
        <v>46296</v>
      </c>
      <c r="B1249" s="6" t="inlineStr">
        <is>
          <t>Pago</t>
        </is>
      </c>
      <c r="C1249" s="6" t="inlineStr">
        <is>
          <t>PL530.001</t>
        </is>
      </c>
      <c r="D1249" s="6" t="str">
        <f>IFERROR(VLOOKUP(E1249,FORNECEDORES!$A$5:$F$999,6,FALSE),"L10")</f>
        <v>L03</v>
      </c>
      <c r="E1249" s="6" t="inlineStr">
        <is>
          <t>EDIFICAR LOCACAO MANUTENCAO E SERVICOS LTDA</t>
        </is>
      </c>
      <c r="F1249" s="7" t="n">
        <v>843.75</v>
      </c>
      <c r="G1249" s="6" t="inlineStr">
        <is>
          <t>LOCAÇÕES</t>
        </is>
      </c>
      <c r="H1249" s="6" t="inlineStr">
        <is>
          <t>EDIFICAR LOCACAO MANUTENCAO E SERVICOS LTDA</t>
        </is>
      </c>
      <c r="I1249" s="24" t="n">
        <v>46296</v>
      </c>
      <c r="J1249" s="6" t="n">
        <v>6989</v>
      </c>
    </row>
    <row r="1250">
      <c r="A1250" s="23" t="n">
        <v>46296</v>
      </c>
      <c r="B1250" s="6" t="inlineStr">
        <is>
          <t>Pago</t>
        </is>
      </c>
      <c r="C1250" s="6" t="inlineStr">
        <is>
          <t>PL530.001</t>
        </is>
      </c>
      <c r="D1250" s="6" t="str">
        <f>IFERROR(VLOOKUP(E1250,FORNECEDORES!$A$5:$F$999,6,FALSE),"L10")</f>
        <v>L03</v>
      </c>
      <c r="E1250" s="6" t="inlineStr">
        <is>
          <t>EDIFICAR LOCACAO MANUTENCAO E SERVICOS LTDA</t>
        </is>
      </c>
      <c r="F1250" s="7" t="n">
        <v>340</v>
      </c>
      <c r="G1250" s="6" t="inlineStr">
        <is>
          <t>LOCAÇÕES</t>
        </is>
      </c>
      <c r="H1250" s="6" t="inlineStr">
        <is>
          <t>EDIFICAR LOCACAO MANUTENCAO E SERVICOS LTDA</t>
        </is>
      </c>
      <c r="I1250" s="24" t="n">
        <v>46296</v>
      </c>
      <c r="J1250" s="6" t="n">
        <v>6989</v>
      </c>
    </row>
    <row r="1251">
      <c r="A1251" s="23" t="n">
        <v>46296</v>
      </c>
      <c r="B1251" s="6" t="inlineStr">
        <is>
          <t>Pago</t>
        </is>
      </c>
      <c r="C1251" s="6" t="inlineStr">
        <is>
          <t>PL530.001</t>
        </is>
      </c>
      <c r="D1251" s="6" t="str">
        <f>IFERROR(VLOOKUP(E1251,FORNECEDORES!$A$5:$F$999,6,FALSE),"L10")</f>
        <v>L03</v>
      </c>
      <c r="E1251" s="6" t="inlineStr">
        <is>
          <t>EDIFICAR LOCACAO MANUTENCAO E SERVICOS LTDA</t>
        </is>
      </c>
      <c r="F1251" s="7" t="n">
        <v>212.95</v>
      </c>
      <c r="G1251" s="6" t="inlineStr">
        <is>
          <t>LOCAÇÕES</t>
        </is>
      </c>
      <c r="H1251" s="6" t="inlineStr">
        <is>
          <t>EDIFICAR LOCACAO MANUTENCAO E SERVICOS LTDA</t>
        </is>
      </c>
      <c r="I1251" s="24" t="n">
        <v>46296</v>
      </c>
      <c r="J1251" s="6" t="n">
        <v>6989</v>
      </c>
    </row>
    <row r="1252">
      <c r="A1252" s="23" t="n">
        <v>46296</v>
      </c>
      <c r="B1252" s="6" t="inlineStr">
        <is>
          <t>Pago</t>
        </is>
      </c>
      <c r="C1252" s="6" t="inlineStr">
        <is>
          <t>PL530.001</t>
        </is>
      </c>
      <c r="D1252" s="6" t="str">
        <f>IFERROR(VLOOKUP(E1252,FORNECEDORES!$A$5:$F$999,6,FALSE),"L10")</f>
        <v>L03</v>
      </c>
      <c r="E1252" s="6" t="inlineStr">
        <is>
          <t>EDIFICAR LOCACAO MANUTENCAO E SERVICOS LTDA</t>
        </is>
      </c>
      <c r="F1252" s="7" t="n">
        <v>75</v>
      </c>
      <c r="G1252" s="6" t="inlineStr">
        <is>
          <t>LOCAÇÕES</t>
        </is>
      </c>
      <c r="H1252" s="6" t="inlineStr">
        <is>
          <t>EDIFICAR LOCACAO MANUTENCAO E SERVICOS LTDA</t>
        </is>
      </c>
      <c r="I1252" s="24" t="n">
        <v>46296</v>
      </c>
      <c r="J1252" s="6" t="n">
        <v>6989</v>
      </c>
    </row>
    <row r="1253">
      <c r="A1253" s="23" t="n">
        <v>46296</v>
      </c>
      <c r="B1253" s="6" t="inlineStr">
        <is>
          <t>Pago</t>
        </is>
      </c>
      <c r="C1253" s="6" t="inlineStr">
        <is>
          <t>PL530.001</t>
        </is>
      </c>
      <c r="D1253" s="6" t="str">
        <f>IFERROR(VLOOKUP(E1253,FORNECEDORES!$A$5:$F$999,6,FALSE),"L10")</f>
        <v>L03</v>
      </c>
      <c r="E1253" s="6" t="inlineStr">
        <is>
          <t>EDIFICAR LOCACAO MANUTENCAO E SERVICOS LTDA</t>
        </is>
      </c>
      <c r="F1253" s="7" t="n">
        <v>370</v>
      </c>
      <c r="G1253" s="6" t="inlineStr">
        <is>
          <t>LOCAÇÕES</t>
        </is>
      </c>
      <c r="H1253" s="6" t="inlineStr">
        <is>
          <t>EDIFICAR LOCACAO MANUTENCAO E SERVICOS LTDA</t>
        </is>
      </c>
      <c r="I1253" s="24" t="n">
        <v>46296</v>
      </c>
      <c r="J1253" s="6" t="n">
        <v>6989</v>
      </c>
    </row>
    <row r="1254">
      <c r="A1254" s="23" t="n">
        <v>46296</v>
      </c>
      <c r="B1254" s="6" t="inlineStr">
        <is>
          <t>Pago</t>
        </is>
      </c>
      <c r="C1254" s="6" t="inlineStr">
        <is>
          <t>PL530.001</t>
        </is>
      </c>
      <c r="D1254" s="6" t="str">
        <f>IFERROR(VLOOKUP(E1254,FORNECEDORES!$A$5:$F$999,6,FALSE),"L10")</f>
        <v>L03</v>
      </c>
      <c r="E1254" s="6" t="inlineStr">
        <is>
          <t>EDIFICAR LOCACAO MANUTENCAO E SERVICOS LTDA</t>
        </is>
      </c>
      <c r="F1254" s="7" t="n">
        <v>1830.42</v>
      </c>
      <c r="G1254" s="6" t="inlineStr">
        <is>
          <t>LOCAÇÕES</t>
        </is>
      </c>
      <c r="H1254" s="6" t="inlineStr">
        <is>
          <t>EDIFICAR LOCACAO MANUTENCAO E SERVICOS LTDA</t>
        </is>
      </c>
      <c r="I1254" s="24" t="n">
        <v>46296</v>
      </c>
      <c r="J1254" s="6" t="n">
        <v>6992</v>
      </c>
    </row>
    <row r="1255">
      <c r="A1255" s="23" t="n">
        <v>46296</v>
      </c>
      <c r="B1255" s="6" t="inlineStr">
        <is>
          <t>Pago</t>
        </is>
      </c>
      <c r="C1255" s="6" t="inlineStr">
        <is>
          <t>PL530.001</t>
        </is>
      </c>
      <c r="D1255" s="6" t="str">
        <f>IFERROR(VLOOKUP(E1255,FORNECEDORES!$A$5:$F$999,6,FALSE),"L10")</f>
        <v>L03</v>
      </c>
      <c r="E1255" s="6" t="inlineStr">
        <is>
          <t>EDIFICAR LOCACAO MANUTENCAO E SERVICOS LTDA</t>
        </is>
      </c>
      <c r="F1255" s="7" t="n">
        <v>1830.42</v>
      </c>
      <c r="G1255" s="6" t="inlineStr">
        <is>
          <t>LOCAÇÕES</t>
        </is>
      </c>
      <c r="H1255" s="6" t="inlineStr">
        <is>
          <t>EDIFICAR LOCACAO MANUTENCAO E SERVICOS LTDA</t>
        </is>
      </c>
      <c r="I1255" s="24" t="n">
        <v>46296</v>
      </c>
      <c r="J1255" s="6" t="n">
        <v>6992</v>
      </c>
    </row>
    <row r="1256">
      <c r="A1256" s="23" t="n">
        <v>46296</v>
      </c>
      <c r="B1256" s="6" t="inlineStr">
        <is>
          <t>Pago</t>
        </is>
      </c>
      <c r="C1256" s="6" t="inlineStr">
        <is>
          <t>PL530.001</t>
        </is>
      </c>
      <c r="D1256" s="6" t="str">
        <f>IFERROR(VLOOKUP(E1256,FORNECEDORES!$A$5:$F$999,6,FALSE),"L10")</f>
        <v>L03</v>
      </c>
      <c r="E1256" s="6" t="inlineStr">
        <is>
          <t>EDIFICAR LOCACAO MANUTENCAO E SERVICOS LTDA</t>
        </is>
      </c>
      <c r="F1256" s="7" t="n">
        <v>155.25</v>
      </c>
      <c r="G1256" s="6" t="inlineStr">
        <is>
          <t>LOCAÇÕES</t>
        </is>
      </c>
      <c r="H1256" s="6" t="inlineStr">
        <is>
          <t>EDIFICAR LOCACAO MANUTENCAO E SERVICOS LTDA</t>
        </is>
      </c>
      <c r="I1256" s="24" t="n">
        <v>46296</v>
      </c>
      <c r="J1256" s="6" t="n">
        <v>6987</v>
      </c>
    </row>
    <row r="1257">
      <c r="A1257" s="23" t="n">
        <v>46296</v>
      </c>
      <c r="B1257" s="6" t="inlineStr">
        <is>
          <t>Pago</t>
        </is>
      </c>
      <c r="C1257" s="6" t="inlineStr">
        <is>
          <t>PL530.001</t>
        </is>
      </c>
      <c r="D1257" s="6" t="str">
        <f>IFERROR(VLOOKUP(E1257,FORNECEDORES!$A$5:$F$999,6,FALSE),"L10")</f>
        <v>L03</v>
      </c>
      <c r="E1257" s="6" t="inlineStr">
        <is>
          <t>EDIFICAR LOCACAO MANUTENCAO E SERVICOS LTDA</t>
        </is>
      </c>
      <c r="F1257" s="7" t="n">
        <v>11.21</v>
      </c>
      <c r="G1257" s="6" t="inlineStr">
        <is>
          <t>LOCAÇÕES</t>
        </is>
      </c>
      <c r="H1257" s="6" t="inlineStr">
        <is>
          <t>EDIFICAR LOCACAO MANUTENCAO E SERVICOS LTDA</t>
        </is>
      </c>
      <c r="I1257" s="24" t="n">
        <v>46296</v>
      </c>
      <c r="J1257" s="6" t="n">
        <v>6990</v>
      </c>
    </row>
    <row r="1258">
      <c r="A1258" s="23" t="n">
        <v>46296</v>
      </c>
      <c r="B1258" s="6" t="inlineStr">
        <is>
          <t>Pago</t>
        </is>
      </c>
      <c r="C1258" s="6" t="inlineStr">
        <is>
          <t>PL530.001</t>
        </is>
      </c>
      <c r="D1258" s="6" t="str">
        <f>IFERROR(VLOOKUP(E1258,FORNECEDORES!$A$5:$F$999,6,FALSE),"L10")</f>
        <v>L03</v>
      </c>
      <c r="E1258" s="6" t="inlineStr">
        <is>
          <t>EDIFICAR LOCACAO MANUTENCAO E SERVICOS LTDA</t>
        </is>
      </c>
      <c r="F1258" s="7" t="n">
        <v>214.31</v>
      </c>
      <c r="G1258" s="6" t="inlineStr">
        <is>
          <t>LOCAÇÕES</t>
        </is>
      </c>
      <c r="H1258" s="6" t="inlineStr">
        <is>
          <t>EDIFICAR LOCACAO MANUTENCAO E SERVICOS LTDA</t>
        </is>
      </c>
      <c r="I1258" s="24" t="n">
        <v>46296</v>
      </c>
      <c r="J1258" s="6" t="n">
        <v>6987</v>
      </c>
    </row>
    <row r="1259">
      <c r="A1259" s="23" t="n">
        <v>46296</v>
      </c>
      <c r="B1259" s="6" t="inlineStr">
        <is>
          <t>Pago</t>
        </is>
      </c>
      <c r="C1259" s="6" t="inlineStr">
        <is>
          <t>PL530.001</t>
        </is>
      </c>
      <c r="D1259" s="6" t="str">
        <f>IFERROR(VLOOKUP(E1259,FORNECEDORES!$A$5:$F$999,6,FALSE),"L10")</f>
        <v>L03</v>
      </c>
      <c r="E1259" s="6" t="inlineStr">
        <is>
          <t>EDIFICAR LOCACAO MANUTENCAO E SERVICOS LTDA</t>
        </is>
      </c>
      <c r="F1259" s="7" t="n">
        <v>400</v>
      </c>
      <c r="G1259" s="6" t="inlineStr">
        <is>
          <t>LOCAÇÕES</t>
        </is>
      </c>
      <c r="H1259" s="6" t="inlineStr">
        <is>
          <t>EDIFICAR LOCACAO MANUTENCAO E SERVICOS LTDA</t>
        </is>
      </c>
      <c r="I1259" s="24" t="n">
        <v>46296</v>
      </c>
      <c r="J1259" s="6" t="n">
        <v>6990</v>
      </c>
    </row>
    <row r="1260">
      <c r="A1260" s="23" t="n">
        <v>46296</v>
      </c>
      <c r="B1260" s="6" t="inlineStr">
        <is>
          <t>Pago</t>
        </is>
      </c>
      <c r="C1260" s="6" t="inlineStr">
        <is>
          <t>PL530.001</t>
        </is>
      </c>
      <c r="D1260" s="6" t="str">
        <f>IFERROR(VLOOKUP(E1260,FORNECEDORES!$A$5:$F$999,6,FALSE),"L10")</f>
        <v>L03</v>
      </c>
      <c r="E1260" s="6" t="inlineStr">
        <is>
          <t>EDIFICAR LOCACAO MANUTENCAO E SERVICOS LTDA</t>
        </is>
      </c>
      <c r="F1260" s="7" t="n">
        <v>642.1</v>
      </c>
      <c r="G1260" s="6" t="inlineStr">
        <is>
          <t>LOCAÇÕES</t>
        </is>
      </c>
      <c r="H1260" s="6" t="inlineStr">
        <is>
          <t>EDIFICAR LOCACAO MANUTENCAO E SERVICOS LTDA</t>
        </is>
      </c>
      <c r="I1260" s="24" t="n">
        <v>46296</v>
      </c>
      <c r="J1260" s="6" t="n">
        <v>6987</v>
      </c>
    </row>
    <row r="1261">
      <c r="A1261" s="23" t="n">
        <v>46296</v>
      </c>
      <c r="B1261" s="6" t="inlineStr">
        <is>
          <t>Pago</t>
        </is>
      </c>
      <c r="C1261" s="6" t="inlineStr">
        <is>
          <t>PL530.001</t>
        </is>
      </c>
      <c r="D1261" s="6" t="str">
        <f>IFERROR(VLOOKUP(E1261,FORNECEDORES!$A$5:$F$999,6,FALSE),"L10")</f>
        <v>L03</v>
      </c>
      <c r="E1261" s="6" t="inlineStr">
        <is>
          <t>EDIFICAR LOCACAO MANUTENCAO E SERVICOS LTDA</t>
        </is>
      </c>
      <c r="F1261" s="7" t="n">
        <v>582.09</v>
      </c>
      <c r="G1261" s="6" t="inlineStr">
        <is>
          <t>LOCAÇÕES</t>
        </is>
      </c>
      <c r="H1261" s="6" t="inlineStr">
        <is>
          <t>EDIFICAR LOCACAO MANUTENCAO E SERVICOS LTDA</t>
        </is>
      </c>
      <c r="I1261" s="24" t="n">
        <v>46296</v>
      </c>
      <c r="J1261" s="6" t="n">
        <v>6987</v>
      </c>
    </row>
    <row r="1262">
      <c r="A1262" s="23" t="n">
        <v>46296</v>
      </c>
      <c r="B1262" s="6" t="inlineStr">
        <is>
          <t>Pago</t>
        </is>
      </c>
      <c r="C1262" s="6" t="inlineStr">
        <is>
          <t>PL530.001</t>
        </is>
      </c>
      <c r="D1262" s="6" t="str">
        <f>IFERROR(VLOOKUP(E1262,FORNECEDORES!$A$5:$F$999,6,FALSE),"L10")</f>
        <v>L08</v>
      </c>
      <c r="E1262" s="6" t="inlineStr">
        <is>
          <t>PEREIRA TELAS E INSTALACOES LTDA</t>
        </is>
      </c>
      <c r="F1262" s="7" t="n">
        <v>11833.2</v>
      </c>
      <c r="G1262" s="6" t="inlineStr">
        <is>
          <t>NÃO CLASSIFICADO</t>
        </is>
      </c>
      <c r="H1262" s="6" t="inlineStr">
        <is>
          <t>PEREIRA TELAS E INSTALACOES LTDA</t>
        </is>
      </c>
      <c r="I1262" s="24" t="n">
        <v>46296</v>
      </c>
      <c r="J1262" s="6" t="n">
        <v>6718</v>
      </c>
    </row>
    <row r="1263">
      <c r="A1263" s="23" t="n">
        <v>46327</v>
      </c>
      <c r="B1263" s="6" t="inlineStr">
        <is>
          <t>A pagar</t>
        </is>
      </c>
      <c r="C1263" s="6" t="inlineStr">
        <is>
          <t>PL530.001</t>
        </is>
      </c>
      <c r="D1263" s="6" t="str">
        <f>IFERROR(VLOOKUP(E1263,FORNECEDORES!$A$5:$F$999,6,FALSE),"L10")</f>
        <v>L01</v>
      </c>
      <c r="E1263" s="6" t="inlineStr">
        <is>
          <t>COFERMETA SA</t>
        </is>
      </c>
      <c r="F1263" s="7" t="n">
        <v>646.25</v>
      </c>
      <c r="G1263" s="6" t="inlineStr">
        <is>
          <t>EQUIPAMENTOS E FERRAMENTAS</t>
        </is>
      </c>
      <c r="H1263" s="6" t="inlineStr">
        <is>
          <t>COFERMETA SA</t>
        </is>
      </c>
      <c r="I1263" s="24" t="n">
        <v>46339</v>
      </c>
      <c r="J1263" s="6" t="n">
        <v>6186</v>
      </c>
    </row>
    <row r="1264">
      <c r="A1264" s="23" t="n">
        <v>46327</v>
      </c>
      <c r="B1264" s="6" t="inlineStr">
        <is>
          <t>A pagar</t>
        </is>
      </c>
      <c r="C1264" s="6" t="inlineStr">
        <is>
          <t>PL530.001</t>
        </is>
      </c>
      <c r="D1264" s="6" t="str">
        <f>IFERROR(VLOOKUP(E1264,FORNECEDORES!$A$5:$F$999,6,FALSE),"L10")</f>
        <v>L01</v>
      </c>
      <c r="E1264" s="6" t="inlineStr">
        <is>
          <t>COFERMETA SA</t>
        </is>
      </c>
      <c r="F1264" s="7" t="n">
        <v>317.1</v>
      </c>
      <c r="G1264" s="6" t="inlineStr">
        <is>
          <t>EQUIPAMENTOS E FERRAMENTAS</t>
        </is>
      </c>
      <c r="H1264" s="6" t="inlineStr">
        <is>
          <t>COFERMETA SA</t>
        </is>
      </c>
      <c r="I1264" s="24" t="n">
        <v>46339</v>
      </c>
      <c r="J1264" s="6" t="n">
        <v>6186</v>
      </c>
    </row>
    <row r="1265">
      <c r="A1265" s="23" t="n">
        <v>46327</v>
      </c>
      <c r="B1265" s="6" t="inlineStr">
        <is>
          <t>A pagar</t>
        </is>
      </c>
      <c r="C1265" s="6" t="inlineStr">
        <is>
          <t>PL530.001</t>
        </is>
      </c>
      <c r="D1265" s="6" t="str">
        <f>IFERROR(VLOOKUP(E1265,FORNECEDORES!$A$5:$F$999,6,FALSE),"L10")</f>
        <v>L01</v>
      </c>
      <c r="E1265" s="6" t="inlineStr">
        <is>
          <t>COFERMETA SA</t>
        </is>
      </c>
      <c r="F1265" s="7" t="n">
        <v>378.92</v>
      </c>
      <c r="G1265" s="6" t="inlineStr">
        <is>
          <t>EQUIPAMENTOS E FERRAMENTAS</t>
        </is>
      </c>
      <c r="H1265" s="6" t="inlineStr">
        <is>
          <t>COFERMETA SA</t>
        </is>
      </c>
      <c r="I1265" s="24" t="n">
        <v>46343</v>
      </c>
      <c r="J1265" s="6" t="n">
        <v>7020</v>
      </c>
    </row>
    <row r="1266">
      <c r="A1266" s="23" t="n">
        <v>46327</v>
      </c>
      <c r="B1266" s="6" t="inlineStr">
        <is>
          <t>A pagar</t>
        </is>
      </c>
      <c r="C1266" s="6" t="inlineStr">
        <is>
          <t>PL530.001</t>
        </is>
      </c>
      <c r="D1266" s="6" t="str">
        <f>IFERROR(VLOOKUP(E1266,FORNECEDORES!$A$5:$F$999,6,FALSE),"L10")</f>
        <v>L01</v>
      </c>
      <c r="E1266" s="6" t="inlineStr">
        <is>
          <t>COFERMETA SA</t>
        </is>
      </c>
      <c r="F1266" s="7" t="n">
        <v>203.88</v>
      </c>
      <c r="G1266" s="6" t="inlineStr">
        <is>
          <t>EQUIPAMENTOS E FERRAMENTAS</t>
        </is>
      </c>
      <c r="H1266" s="6" t="inlineStr">
        <is>
          <t>COFERMETA SA</t>
        </is>
      </c>
      <c r="I1266" s="24" t="n">
        <v>46339</v>
      </c>
      <c r="J1266" s="6" t="n">
        <v>6186</v>
      </c>
    </row>
    <row r="1267">
      <c r="A1267" s="23" t="n">
        <v>46327</v>
      </c>
      <c r="B1267" s="6" t="inlineStr">
        <is>
          <t>A pagar</t>
        </is>
      </c>
      <c r="C1267" s="6" t="inlineStr">
        <is>
          <t>PL530.001</t>
        </is>
      </c>
      <c r="D1267" s="6" t="str">
        <f>IFERROR(VLOOKUP(E1267,FORNECEDORES!$A$5:$F$999,6,FALSE),"L10")</f>
        <v>L01</v>
      </c>
      <c r="E1267" s="6" t="inlineStr">
        <is>
          <t>COFERMETA SA</t>
        </is>
      </c>
      <c r="F1267" s="7" t="n">
        <v>1386.7</v>
      </c>
      <c r="G1267" s="6" t="inlineStr">
        <is>
          <t>EQUIPAMENTOS E FERRAMENTAS</t>
        </is>
      </c>
      <c r="H1267" s="6" t="inlineStr">
        <is>
          <t>COFERMETA SA</t>
        </is>
      </c>
      <c r="I1267" s="24" t="n">
        <v>46339</v>
      </c>
      <c r="J1267" s="6" t="n">
        <v>6186</v>
      </c>
    </row>
    <row r="1268">
      <c r="A1268" s="23" t="n">
        <v>46327</v>
      </c>
      <c r="B1268" s="6" t="inlineStr">
        <is>
          <t>A pagar</t>
        </is>
      </c>
      <c r="C1268" s="6" t="inlineStr">
        <is>
          <t>PL530.001</t>
        </is>
      </c>
      <c r="D1268" s="6" t="str">
        <f>IFERROR(VLOOKUP(E1268,FORNECEDORES!$A$5:$F$999,6,FALSE),"L10")</f>
        <v>L07</v>
      </c>
      <c r="E1268" s="6" t="inlineStr">
        <is>
          <t>CORDAL BH COMERCIO DE CABOS E ACESSORIOS LTDA</t>
        </is>
      </c>
      <c r="F1268" s="7" t="n">
        <v>2375</v>
      </c>
      <c r="G1268" s="6" t="inlineStr">
        <is>
          <t>EQUIPAMENTOS E FERRAMENTAS</t>
        </is>
      </c>
      <c r="H1268" s="6" t="inlineStr">
        <is>
          <t>CORDAL BH COMERCIO DE CABOS E ACESSORIOS LTDA</t>
        </is>
      </c>
      <c r="I1268" s="24" t="n">
        <v>46344</v>
      </c>
      <c r="J1268" s="6" t="n">
        <v>6943</v>
      </c>
    </row>
    <row r="1269">
      <c r="A1269" s="23" t="n">
        <v>46327</v>
      </c>
      <c r="B1269" s="6" t="inlineStr">
        <is>
          <t>A pagar</t>
        </is>
      </c>
      <c r="C1269" s="6" t="inlineStr">
        <is>
          <t>PL530.001</t>
        </is>
      </c>
      <c r="D1269" s="6" t="str">
        <f>IFERROR(VLOOKUP(E1269,FORNECEDORES!$A$5:$F$999,6,FALSE),"L10")</f>
        <v>L10</v>
      </c>
      <c r="E1269" s="6" t="inlineStr">
        <is>
          <t>CORTEZ LOCACAO DE EQUIPAMENTOS LTDA-ME</t>
        </is>
      </c>
      <c r="F1269" s="7" t="n">
        <v>1564.5</v>
      </c>
      <c r="G1269" s="6" t="inlineStr">
        <is>
          <t>NÃO CLASSIFICADO</t>
        </is>
      </c>
      <c r="H1269" s="6" t="inlineStr">
        <is>
          <t>RETENÇAO TECNICA</t>
        </is>
      </c>
      <c r="I1269" s="24" t="n">
        <v>46350</v>
      </c>
      <c r="J1269" s="6" t="n">
        <v>4911</v>
      </c>
    </row>
    <row r="1270">
      <c r="A1270" s="23" t="n">
        <v>46327</v>
      </c>
      <c r="B1270" s="6" t="inlineStr">
        <is>
          <t>A pagar</t>
        </is>
      </c>
      <c r="C1270" s="6" t="inlineStr">
        <is>
          <t>PL530.001</t>
        </is>
      </c>
      <c r="D1270" s="6" t="str">
        <f>IFERROR(VLOOKUP(E1270,FORNECEDORES!$A$5:$F$999,6,FALSE),"L10")</f>
        <v>L03</v>
      </c>
      <c r="E1270" s="6" t="inlineStr">
        <is>
          <t>EDIFICAR LOCACAO MANUTENCAO E SERVICOS LTDA</t>
        </is>
      </c>
      <c r="F1270" s="7" t="n">
        <v>25.8</v>
      </c>
      <c r="G1270" s="6" t="inlineStr">
        <is>
          <t>LOCAÇÕES</t>
        </is>
      </c>
      <c r="H1270" s="6" t="inlineStr">
        <is>
          <t>EDIFICAR LOCACAO MANUTENCAO E SERVICOS LTDA</t>
        </is>
      </c>
      <c r="I1270" s="24" t="n">
        <v>46339</v>
      </c>
      <c r="J1270" s="6" t="n">
        <v>6287</v>
      </c>
    </row>
    <row r="1271">
      <c r="A1271" s="23" t="n">
        <v>46327</v>
      </c>
      <c r="B1271" s="6" t="inlineStr">
        <is>
          <t>A pagar</t>
        </is>
      </c>
      <c r="C1271" s="6" t="inlineStr">
        <is>
          <t>PL530.001</t>
        </is>
      </c>
      <c r="D1271" s="6" t="str">
        <f>IFERROR(VLOOKUP(E1271,FORNECEDORES!$A$5:$F$999,6,FALSE),"L10")</f>
        <v>L03</v>
      </c>
      <c r="E1271" s="6" t="inlineStr">
        <is>
          <t>EDIFICAR LOCACAO MANUTENCAO E SERVICOS LTDA</t>
        </is>
      </c>
      <c r="F1271" s="7" t="n">
        <v>720</v>
      </c>
      <c r="G1271" s="6" t="inlineStr">
        <is>
          <t>LOCAÇÕES</t>
        </is>
      </c>
      <c r="H1271" s="6" t="inlineStr">
        <is>
          <t>EDIFICAR LOCACAO MANUTENCAO E SERVICOS LTDA</t>
        </is>
      </c>
      <c r="I1271" s="24" t="n">
        <v>46339</v>
      </c>
      <c r="J1271" s="6" t="n">
        <v>6287</v>
      </c>
    </row>
    <row r="1272">
      <c r="A1272" s="23" t="n">
        <v>46327</v>
      </c>
      <c r="B1272" s="6" t="inlineStr">
        <is>
          <t>A pagar</t>
        </is>
      </c>
      <c r="C1272" s="6" t="inlineStr">
        <is>
          <t>PL530.001</t>
        </is>
      </c>
      <c r="D1272" s="6" t="str">
        <f>IFERROR(VLOOKUP(E1272,FORNECEDORES!$A$5:$F$999,6,FALSE),"L10")</f>
        <v>L03</v>
      </c>
      <c r="E1272" s="6" t="inlineStr">
        <is>
          <t>EDIFICAR LOCACAO MANUTENCAO E SERVICOS LTDA</t>
        </is>
      </c>
      <c r="F1272" s="7" t="n">
        <v>400</v>
      </c>
      <c r="G1272" s="6" t="inlineStr">
        <is>
          <t>LOCAÇÕES</t>
        </is>
      </c>
      <c r="H1272" s="6" t="inlineStr">
        <is>
          <t>EDIFICAR LOCACAO MANUTENCAO E SERVICOS LTDA</t>
        </is>
      </c>
      <c r="I1272" s="24" t="n">
        <v>46339</v>
      </c>
      <c r="J1272" s="6" t="n">
        <v>6287</v>
      </c>
    </row>
    <row r="1273">
      <c r="A1273" s="23" t="n">
        <v>46327</v>
      </c>
      <c r="B1273" s="6" t="inlineStr">
        <is>
          <t>A pagar</t>
        </is>
      </c>
      <c r="C1273" s="6" t="inlineStr">
        <is>
          <t>PL530.001</t>
        </is>
      </c>
      <c r="D1273" s="6" t="str">
        <f>IFERROR(VLOOKUP(E1273,FORNECEDORES!$A$5:$F$999,6,FALSE),"L10")</f>
        <v>L03</v>
      </c>
      <c r="E1273" s="6" t="inlineStr">
        <is>
          <t>EDIFICAR LOCACAO MANUTENCAO E SERVICOS LTDA</t>
        </is>
      </c>
      <c r="F1273" s="7" t="n">
        <v>380</v>
      </c>
      <c r="G1273" s="6" t="inlineStr">
        <is>
          <t>LOCAÇÕES</t>
        </is>
      </c>
      <c r="H1273" s="6" t="inlineStr">
        <is>
          <t>EDIFICAR LOCACAO MANUTENCAO E SERVICOS LTDA</t>
        </is>
      </c>
      <c r="I1273" s="24" t="n">
        <v>46339</v>
      </c>
      <c r="J1273" s="6" t="n">
        <v>6287</v>
      </c>
    </row>
    <row r="1274">
      <c r="A1274" s="23" t="n">
        <v>46327</v>
      </c>
      <c r="B1274" s="6" t="inlineStr">
        <is>
          <t>A pagar</t>
        </is>
      </c>
      <c r="C1274" s="6" t="inlineStr">
        <is>
          <t>PL530.001</t>
        </is>
      </c>
      <c r="D1274" s="6" t="str">
        <f>IFERROR(VLOOKUP(E1274,FORNECEDORES!$A$5:$F$999,6,FALSE),"L10")</f>
        <v>L03</v>
      </c>
      <c r="E1274" s="6" t="inlineStr">
        <is>
          <t>EDIFICAR LOCACAO MANUTENCAO E SERVICOS LTDA</t>
        </is>
      </c>
      <c r="F1274" s="7" t="n">
        <v>150</v>
      </c>
      <c r="G1274" s="6" t="inlineStr">
        <is>
          <t>LOCAÇÕES</t>
        </is>
      </c>
      <c r="H1274" s="6" t="inlineStr">
        <is>
          <t>EDIFICAR LOCACAO MANUTENCAO E SERVICOS LTDA</t>
        </is>
      </c>
      <c r="I1274" s="24" t="n">
        <v>46339</v>
      </c>
      <c r="J1274" s="6" t="n">
        <v>6287</v>
      </c>
    </row>
    <row r="1275">
      <c r="A1275" s="23" t="n">
        <v>46327</v>
      </c>
      <c r="B1275" s="6" t="inlineStr">
        <is>
          <t>A pagar</t>
        </is>
      </c>
      <c r="C1275" s="6" t="inlineStr">
        <is>
          <t>PL530.001</t>
        </is>
      </c>
      <c r="D1275" s="6" t="str">
        <f>IFERROR(VLOOKUP(E1275,FORNECEDORES!$A$5:$F$999,6,FALSE),"L10")</f>
        <v>L03</v>
      </c>
      <c r="E1275" s="6" t="inlineStr">
        <is>
          <t>EDIFICAR LOCACAO MANUTENCAO E SERVICOS LTDA</t>
        </is>
      </c>
      <c r="F1275" s="7" t="n">
        <v>110</v>
      </c>
      <c r="G1275" s="6" t="inlineStr">
        <is>
          <t>LOCAÇÕES</t>
        </is>
      </c>
      <c r="H1275" s="6" t="inlineStr">
        <is>
          <t>EDIFICAR LOCACAO MANUTENCAO E SERVICOS LTDA</t>
        </is>
      </c>
      <c r="I1275" s="24" t="n">
        <v>46339</v>
      </c>
      <c r="J1275" s="6" t="n">
        <v>6287</v>
      </c>
    </row>
    <row r="1276">
      <c r="A1276" s="23" t="n">
        <v>46327</v>
      </c>
      <c r="B1276" s="6" t="inlineStr">
        <is>
          <t>A pagar</t>
        </is>
      </c>
      <c r="C1276" s="6" t="inlineStr">
        <is>
          <t>PL530.001</t>
        </is>
      </c>
      <c r="D1276" s="6" t="str">
        <f>IFERROR(VLOOKUP(E1276,FORNECEDORES!$A$5:$F$999,6,FALSE),"L10")</f>
        <v>L03</v>
      </c>
      <c r="E1276" s="6" t="inlineStr">
        <is>
          <t>EDIFICAR LOCACAO MANUTENCAO E SERVICOS LTDA</t>
        </is>
      </c>
      <c r="F1276" s="7" t="n">
        <v>370</v>
      </c>
      <c r="G1276" s="6" t="inlineStr">
        <is>
          <t>LOCAÇÕES</t>
        </is>
      </c>
      <c r="H1276" s="6" t="inlineStr">
        <is>
          <t>EDIFICAR LOCACAO MANUTENCAO E SERVICOS LTDA</t>
        </is>
      </c>
      <c r="I1276" s="24" t="n">
        <v>46339</v>
      </c>
      <c r="J1276" s="6" t="n">
        <v>6287</v>
      </c>
    </row>
    <row r="1277">
      <c r="A1277" s="23" t="n">
        <v>46327</v>
      </c>
      <c r="B1277" s="6" t="inlineStr">
        <is>
          <t>A pagar</t>
        </is>
      </c>
      <c r="C1277" s="6" t="inlineStr">
        <is>
          <t>PL530.001</t>
        </is>
      </c>
      <c r="D1277" s="6" t="str">
        <f>IFERROR(VLOOKUP(E1277,FORNECEDORES!$A$5:$F$999,6,FALSE),"L10")</f>
        <v>L03</v>
      </c>
      <c r="E1277" s="6" t="inlineStr">
        <is>
          <t>EDIFICAR LOCACAO MANUTENCAO E SERVICOS LTDA</t>
        </is>
      </c>
      <c r="F1277" s="7" t="n">
        <v>130</v>
      </c>
      <c r="G1277" s="6" t="inlineStr">
        <is>
          <t>LOCAÇÕES</t>
        </is>
      </c>
      <c r="H1277" s="6" t="inlineStr">
        <is>
          <t>EDIFICAR LOCACAO MANUTENCAO E SERVICOS LTDA</t>
        </is>
      </c>
      <c r="I1277" s="24" t="n">
        <v>46339</v>
      </c>
      <c r="J1277" s="6" t="n">
        <v>6287</v>
      </c>
    </row>
    <row r="1278">
      <c r="A1278" s="23" t="n">
        <v>46327</v>
      </c>
      <c r="B1278" s="6" t="inlineStr">
        <is>
          <t>A pagar</t>
        </is>
      </c>
      <c r="C1278" s="6" t="inlineStr">
        <is>
          <t>PL530.001</t>
        </is>
      </c>
      <c r="D1278" s="6" t="str">
        <f>IFERROR(VLOOKUP(E1278,FORNECEDORES!$A$5:$F$999,6,FALSE),"L10")</f>
        <v>L01</v>
      </c>
      <c r="E1278" s="6" t="inlineStr">
        <is>
          <t>EXPRESSO 2000 TRANSPORTES E LOGISTICA LTDA</t>
        </is>
      </c>
      <c r="F1278" s="7" t="n">
        <v>400</v>
      </c>
      <c r="G1278" s="6" t="inlineStr">
        <is>
          <t>FRETE</t>
        </is>
      </c>
      <c r="H1278" s="6" t="inlineStr">
        <is>
          <t>EXPRESSO 2000 TRANSPORTES E LOGISTICA LTDA</t>
        </is>
      </c>
      <c r="I1278" s="24" t="n">
        <v>46339</v>
      </c>
      <c r="J1278" s="6" t="n">
        <v>6273</v>
      </c>
    </row>
    <row r="1279">
      <c r="A1279" s="23" t="n">
        <v>46327</v>
      </c>
      <c r="B1279" s="6" t="inlineStr">
        <is>
          <t>A pagar</t>
        </is>
      </c>
      <c r="C1279" s="6" t="inlineStr">
        <is>
          <t>PL530.001</t>
        </is>
      </c>
      <c r="D1279" s="6" t="str">
        <f>IFERROR(VLOOKUP(E1279,FORNECEDORES!$A$5:$F$999,6,FALSE),"L10")</f>
        <v>L01</v>
      </c>
      <c r="E1279" s="6" t="inlineStr">
        <is>
          <t>EXPRESSO 2000 TRANSPORTES E LOGISTICA LTDA</t>
        </is>
      </c>
      <c r="F1279" s="7" t="n">
        <v>4807.35</v>
      </c>
      <c r="G1279" s="6" t="inlineStr">
        <is>
          <t>FRETE</t>
        </is>
      </c>
      <c r="H1279" s="6" t="inlineStr">
        <is>
          <t>EXPRESSO 2000 TRANSPORTES E LOGISTICA LTDA</t>
        </is>
      </c>
      <c r="I1279" s="24" t="n">
        <v>46339</v>
      </c>
      <c r="J1279" s="6" t="n">
        <v>5429</v>
      </c>
    </row>
    <row r="1280">
      <c r="A1280" s="23" t="n">
        <v>46327</v>
      </c>
      <c r="B1280" s="6" t="inlineStr">
        <is>
          <t>A pagar</t>
        </is>
      </c>
      <c r="C1280" s="6" t="inlineStr">
        <is>
          <t>PL530.001</t>
        </is>
      </c>
      <c r="D1280" s="6" t="str">
        <f>IFERROR(VLOOKUP(E1280,FORNECEDORES!$A$5:$F$999,6,FALSE),"L10")</f>
        <v>L01</v>
      </c>
      <c r="E1280" s="6" t="inlineStr">
        <is>
          <t>EXPRESSO 2000 TRANSPORTES E LOGISTICA LTDA</t>
        </is>
      </c>
      <c r="F1280" s="7" t="n">
        <v>300</v>
      </c>
      <c r="G1280" s="6" t="inlineStr">
        <is>
          <t>FRETE</t>
        </is>
      </c>
      <c r="H1280" s="6" t="inlineStr">
        <is>
          <t>EXPRESSO 2000 TRANSPORTES E LOGISTICA LTDA</t>
        </is>
      </c>
      <c r="I1280" s="24" t="n">
        <v>46339</v>
      </c>
      <c r="J1280" s="6" t="n">
        <v>5763</v>
      </c>
    </row>
    <row r="1281">
      <c r="A1281" s="23" t="n">
        <v>46327</v>
      </c>
      <c r="B1281" s="6" t="inlineStr">
        <is>
          <t>A pagar</t>
        </is>
      </c>
      <c r="C1281" s="6" t="inlineStr">
        <is>
          <t>PL530.001</t>
        </is>
      </c>
      <c r="D1281" s="6" t="str">
        <f>IFERROR(VLOOKUP(E1281,FORNECEDORES!$A$5:$F$999,6,FALSE),"L10")</f>
        <v>L10</v>
      </c>
      <c r="E1281" s="6" t="inlineStr">
        <is>
          <t>LN SERVICOS E MONTAGEM LTDA</t>
        </is>
      </c>
      <c r="F1281" s="7" t="n">
        <v>270</v>
      </c>
      <c r="G1281" s="6" t="inlineStr">
        <is>
          <t>NÃO CLASSIFICADO</t>
        </is>
      </c>
      <c r="H1281" s="6" t="inlineStr">
        <is>
          <t>PREFEITURA DE BELO HORIZONTE - ISSQN RETIDO</t>
        </is>
      </c>
      <c r="I1281" s="24" t="n">
        <v>46335</v>
      </c>
      <c r="J1281" s="6" t="n">
        <v>7034</v>
      </c>
    </row>
    <row r="1282">
      <c r="A1282" s="23" t="n">
        <v>46327</v>
      </c>
      <c r="B1282" s="6" t="inlineStr">
        <is>
          <t>A pagar</t>
        </is>
      </c>
      <c r="C1282" s="6" t="inlineStr">
        <is>
          <t>PL530.001</t>
        </is>
      </c>
      <c r="D1282" s="6" t="str">
        <f>IFERROR(VLOOKUP(E1282,FORNECEDORES!$A$5:$F$999,6,FALSE),"L10")</f>
        <v>L10</v>
      </c>
      <c r="E1282" s="6" t="inlineStr">
        <is>
          <t>LN SERVICOS E MONTAGEM LTDA</t>
        </is>
      </c>
      <c r="F1282" s="7" t="n">
        <v>594</v>
      </c>
      <c r="G1282" s="6" t="inlineStr">
        <is>
          <t>NÃO CLASSIFICADO</t>
        </is>
      </c>
      <c r="H1282" s="6" t="inlineStr">
        <is>
          <t>INSS RETIDO PJ - MINISTERIO DA PREVIDENCIA</t>
        </is>
      </c>
      <c r="I1282" s="24" t="n">
        <v>46345</v>
      </c>
      <c r="J1282" s="6" t="n">
        <v>7036</v>
      </c>
    </row>
    <row r="1283">
      <c r="A1283" s="23" t="n">
        <v>46327</v>
      </c>
      <c r="B1283" s="6" t="inlineStr">
        <is>
          <t>A pagar</t>
        </is>
      </c>
      <c r="C1283" s="6" t="inlineStr">
        <is>
          <t>PL530.001</t>
        </is>
      </c>
      <c r="D1283" s="6" t="str">
        <f>IFERROR(VLOOKUP(E1283,FORNECEDORES!$A$5:$F$999,6,FALSE),"L10")</f>
        <v>L03</v>
      </c>
      <c r="E1283" s="6" t="inlineStr">
        <is>
          <t>LOCAFAZ LOCACAO DE EQUIPAMENTOS LTDA</t>
        </is>
      </c>
      <c r="F1283" s="7" t="n">
        <v>150.01</v>
      </c>
      <c r="G1283" s="6" t="inlineStr">
        <is>
          <t>DESPESAS</t>
        </is>
      </c>
      <c r="H1283" s="6" t="inlineStr">
        <is>
          <t>LOCAFAZ LOCACAO DE EQUIPAMENTOS LTDA</t>
        </is>
      </c>
      <c r="I1283" s="24" t="n">
        <v>46339</v>
      </c>
      <c r="J1283" s="6" t="n">
        <v>6286</v>
      </c>
    </row>
    <row r="1284">
      <c r="A1284" s="23" t="n">
        <v>46327</v>
      </c>
      <c r="B1284" s="6" t="inlineStr">
        <is>
          <t>A pagar</t>
        </is>
      </c>
      <c r="C1284" s="6" t="inlineStr">
        <is>
          <t>PL530.001</t>
        </is>
      </c>
      <c r="D1284" s="6" t="str">
        <f>IFERROR(VLOOKUP(E1284,FORNECEDORES!$A$5:$F$999,6,FALSE),"L10")</f>
        <v>L03</v>
      </c>
      <c r="E1284" s="6" t="inlineStr">
        <is>
          <t>LOCAFAZ LOCACAO DE EQUIPAMENTOS LTDA</t>
        </is>
      </c>
      <c r="F1284" s="7" t="n">
        <v>60</v>
      </c>
      <c r="G1284" s="6" t="inlineStr">
        <is>
          <t>LOCAÇÕES</t>
        </is>
      </c>
      <c r="H1284" s="6" t="inlineStr">
        <is>
          <t>LOCAFAZ LOCACAO DE EQUIPAMENTOS LTDA</t>
        </is>
      </c>
      <c r="I1284" s="24" t="n">
        <v>46339</v>
      </c>
      <c r="J1284" s="6" t="n">
        <v>5820</v>
      </c>
    </row>
    <row r="1285">
      <c r="A1285" s="23" t="n">
        <v>46327</v>
      </c>
      <c r="B1285" s="6" t="inlineStr">
        <is>
          <t>A pagar</t>
        </is>
      </c>
      <c r="C1285" s="6" t="inlineStr">
        <is>
          <t>PL530.001</t>
        </is>
      </c>
      <c r="D1285" s="6" t="str">
        <f>IFERROR(VLOOKUP(E1285,FORNECEDORES!$A$5:$F$999,6,FALSE),"L10")</f>
        <v>L03</v>
      </c>
      <c r="E1285" s="6" t="inlineStr">
        <is>
          <t>LOCAFAZ LOCACAO DE EQUIPAMENTOS LTDA</t>
        </is>
      </c>
      <c r="F1285" s="7" t="n">
        <v>190</v>
      </c>
      <c r="G1285" s="6" t="inlineStr">
        <is>
          <t>LOCAÇÕES</t>
        </is>
      </c>
      <c r="H1285" s="6" t="inlineStr">
        <is>
          <t>LOCAFAZ LOCACAO DE EQUIPAMENTOS LTDA</t>
        </is>
      </c>
      <c r="I1285" s="24" t="n">
        <v>46339</v>
      </c>
      <c r="J1285" s="6" t="n">
        <v>5817</v>
      </c>
    </row>
    <row r="1286">
      <c r="A1286" s="23" t="n">
        <v>46327</v>
      </c>
      <c r="B1286" s="6" t="inlineStr">
        <is>
          <t>A pagar</t>
        </is>
      </c>
      <c r="C1286" s="6" t="inlineStr">
        <is>
          <t>PL530.001</t>
        </is>
      </c>
      <c r="D1286" s="6" t="str">
        <f>IFERROR(VLOOKUP(E1286,FORNECEDORES!$A$5:$F$999,6,FALSE),"L10")</f>
        <v>L03</v>
      </c>
      <c r="E1286" s="6" t="inlineStr">
        <is>
          <t>LOCAFAZ LOCACAO DE EQUIPAMENTOS LTDA</t>
        </is>
      </c>
      <c r="F1286" s="7" t="n">
        <v>962.8</v>
      </c>
      <c r="G1286" s="6" t="inlineStr">
        <is>
          <t>DESPESAS</t>
        </is>
      </c>
      <c r="H1286" s="6" t="inlineStr">
        <is>
          <t>LOCAFAZ LOCACAO DE EQUIPAMENTOS LTDA</t>
        </is>
      </c>
      <c r="I1286" s="24" t="n">
        <v>46339</v>
      </c>
      <c r="J1286" s="6" t="n">
        <v>6974</v>
      </c>
    </row>
    <row r="1287">
      <c r="A1287" s="23" t="n">
        <v>46327</v>
      </c>
      <c r="B1287" s="6" t="inlineStr">
        <is>
          <t>A pagar</t>
        </is>
      </c>
      <c r="C1287" s="6" t="inlineStr">
        <is>
          <t>PL530.001</t>
        </is>
      </c>
      <c r="D1287" s="6" t="str">
        <f>IFERROR(VLOOKUP(E1287,FORNECEDORES!$A$5:$F$999,6,FALSE),"L10")</f>
        <v>L01</v>
      </c>
      <c r="E1287" s="6" t="inlineStr">
        <is>
          <t>LOJA ELETRICA LIMITADA</t>
        </is>
      </c>
      <c r="F1287" s="7" t="n">
        <v>1706</v>
      </c>
      <c r="G1287" s="6" t="inlineStr">
        <is>
          <t>ACESSÓRIOS DE FIXAÇÃO</t>
        </is>
      </c>
      <c r="H1287" s="6" t="inlineStr">
        <is>
          <t>LOJA ELETRICA LIMITADA</t>
        </is>
      </c>
      <c r="I1287" s="24" t="n">
        <v>46349</v>
      </c>
      <c r="J1287" s="6" t="n">
        <v>7045</v>
      </c>
    </row>
    <row r="1288">
      <c r="A1288" s="23" t="n">
        <v>46327</v>
      </c>
      <c r="B1288" s="6" t="inlineStr">
        <is>
          <t>A pagar</t>
        </is>
      </c>
      <c r="C1288" s="6" t="inlineStr">
        <is>
          <t>PL530.001</t>
        </is>
      </c>
      <c r="D1288" s="6" t="str">
        <f>IFERROR(VLOOKUP(E1288,FORNECEDORES!$A$5:$F$999,6,FALSE),"L10")</f>
        <v>L10</v>
      </c>
      <c r="E1288" s="6" t="inlineStr">
        <is>
          <t>MG CONSTRUCOES E ENGENHARIA LTDA</t>
        </is>
      </c>
      <c r="F1288" s="7" t="n">
        <v>530.5</v>
      </c>
      <c r="G1288" s="6" t="inlineStr">
        <is>
          <t>NÃO CLASSIFICADO</t>
        </is>
      </c>
      <c r="H1288" s="6" t="inlineStr">
        <is>
          <t>RETENÇAO TECNICA</t>
        </is>
      </c>
      <c r="I1288" s="24" t="n">
        <v>46351</v>
      </c>
      <c r="J1288" s="6" t="n">
        <v>4458</v>
      </c>
    </row>
    <row r="1289">
      <c r="A1289" s="23" t="n">
        <v>46327</v>
      </c>
      <c r="B1289" s="6" t="inlineStr">
        <is>
          <t>A pagar</t>
        </is>
      </c>
      <c r="C1289" s="6" t="inlineStr">
        <is>
          <t>PL530.001</t>
        </is>
      </c>
      <c r="D1289" s="6" t="str">
        <f>IFERROR(VLOOKUP(E1289,FORNECEDORES!$A$5:$F$999,6,FALSE),"L10")</f>
        <v>L01</v>
      </c>
      <c r="E1289" s="6" t="inlineStr">
        <is>
          <t>MINAS FERRAMENTAS LTDA</t>
        </is>
      </c>
      <c r="F1289" s="7" t="n">
        <v>38.71</v>
      </c>
      <c r="G1289" s="6" t="inlineStr">
        <is>
          <t>EQUIPAMENTOS E FERRAMENTAS</t>
        </is>
      </c>
      <c r="H1289" s="6" t="inlineStr">
        <is>
          <t>MINAS FERRAMENTAS LTDA</t>
        </is>
      </c>
      <c r="I1289" s="24" t="n">
        <v>46342</v>
      </c>
      <c r="J1289" s="6" t="n">
        <v>6711</v>
      </c>
    </row>
    <row r="1290">
      <c r="A1290" s="23" t="n">
        <v>46327</v>
      </c>
      <c r="B1290" s="6" t="inlineStr">
        <is>
          <t>A pagar</t>
        </is>
      </c>
      <c r="C1290" s="6" t="inlineStr">
        <is>
          <t>PL530.001</t>
        </is>
      </c>
      <c r="D1290" s="6" t="str">
        <f>IFERROR(VLOOKUP(E1290,FORNECEDORES!$A$5:$F$999,6,FALSE),"L10")</f>
        <v>L01</v>
      </c>
      <c r="E1290" s="6" t="inlineStr">
        <is>
          <t>MINAS FERRAMENTAS LTDA</t>
        </is>
      </c>
      <c r="F1290" s="7" t="n">
        <v>154.84</v>
      </c>
      <c r="G1290" s="6" t="inlineStr">
        <is>
          <t>EQUIPAMENTOS E FERRAMENTAS</t>
        </is>
      </c>
      <c r="H1290" s="6" t="inlineStr">
        <is>
          <t>MINAS FERRAMENTAS LTDA</t>
        </is>
      </c>
      <c r="I1290" s="24" t="n">
        <v>46349</v>
      </c>
      <c r="J1290" s="6" t="n">
        <v>7001</v>
      </c>
    </row>
    <row r="1291">
      <c r="A1291" s="23" t="n">
        <v>46327</v>
      </c>
      <c r="B1291" s="6" t="inlineStr">
        <is>
          <t>A pagar</t>
        </is>
      </c>
      <c r="C1291" s="6" t="inlineStr">
        <is>
          <t>PL530.001</t>
        </is>
      </c>
      <c r="D1291" s="6" t="str">
        <f>IFERROR(VLOOKUP(E1291,FORNECEDORES!$A$5:$F$999,6,FALSE),"L10")</f>
        <v>L01</v>
      </c>
      <c r="E1291" s="6" t="inlineStr">
        <is>
          <t>MINAS FERRAMENTAS LTDA</t>
        </is>
      </c>
      <c r="F1291" s="7" t="n">
        <v>1522.25</v>
      </c>
      <c r="G1291" s="6" t="inlineStr">
        <is>
          <t>EQUIPAMENTOS E FERRAMENTAS</t>
        </is>
      </c>
      <c r="H1291" s="6" t="inlineStr">
        <is>
          <t>MINAS FERRAMENTAS LTDA</t>
        </is>
      </c>
      <c r="I1291" s="24" t="n">
        <v>46343</v>
      </c>
      <c r="J1291" s="6" t="n">
        <v>6795</v>
      </c>
    </row>
    <row r="1292">
      <c r="A1292" s="23" t="n">
        <v>46327</v>
      </c>
      <c r="B1292" s="6" t="inlineStr">
        <is>
          <t>A pagar</t>
        </is>
      </c>
      <c r="C1292" s="6" t="inlineStr">
        <is>
          <t>PL530.001</t>
        </is>
      </c>
      <c r="D1292" s="6" t="str">
        <f>IFERROR(VLOOKUP(E1292,FORNECEDORES!$A$5:$F$999,6,FALSE),"L10")</f>
        <v>L08</v>
      </c>
      <c r="E1292" s="6" t="inlineStr">
        <is>
          <t>PEREIRA TELAS E INSTALACOES LTDA</t>
        </is>
      </c>
      <c r="F1292" s="7" t="n">
        <v>228</v>
      </c>
      <c r="G1292" s="6" t="inlineStr">
        <is>
          <t>NÃO CLASSIFICADO</t>
        </is>
      </c>
      <c r="H1292" s="6" t="inlineStr">
        <is>
          <t>PREFEITURA DE BELO HORIZONTE - ISSQN RETIDO</t>
        </is>
      </c>
      <c r="I1292" s="24" t="n">
        <v>46335</v>
      </c>
      <c r="J1292" s="6" t="n">
        <v>7003</v>
      </c>
    </row>
    <row r="1293">
      <c r="A1293" s="23" t="n">
        <v>46327</v>
      </c>
      <c r="B1293" s="6" t="inlineStr">
        <is>
          <t>A pagar</t>
        </is>
      </c>
      <c r="C1293" s="6" t="inlineStr">
        <is>
          <t>PL530.001</t>
        </is>
      </c>
      <c r="D1293" s="6" t="str">
        <f>IFERROR(VLOOKUP(E1293,FORNECEDORES!$A$5:$F$999,6,FALSE),"L10")</f>
        <v>L08</v>
      </c>
      <c r="E1293" s="6" t="inlineStr">
        <is>
          <t>PEREIRA TELAS E INSTALACOES LTDA</t>
        </is>
      </c>
      <c r="F1293" s="7" t="n">
        <v>501.6</v>
      </c>
      <c r="G1293" s="6" t="inlineStr">
        <is>
          <t>NÃO CLASSIFICADO</t>
        </is>
      </c>
      <c r="H1293" s="6" t="inlineStr">
        <is>
          <t>INSS RETIDO PJ - MINISTERIO DA PREVIDENCIA</t>
        </is>
      </c>
      <c r="I1293" s="24" t="n">
        <v>46345</v>
      </c>
      <c r="J1293" s="6" t="n">
        <v>7005</v>
      </c>
    </row>
    <row r="1294">
      <c r="A1294" s="23" t="n">
        <v>46327</v>
      </c>
      <c r="B1294" s="6" t="inlineStr">
        <is>
          <t>A pagar</t>
        </is>
      </c>
      <c r="C1294" s="6" t="inlineStr">
        <is>
          <t>PL530.001</t>
        </is>
      </c>
      <c r="D1294" s="6" t="str">
        <f>IFERROR(VLOOKUP(E1294,FORNECEDORES!$A$5:$F$999,6,FALSE),"L10")</f>
        <v>L10</v>
      </c>
      <c r="E1294" s="6" t="inlineStr">
        <is>
          <t>TECSU ENGENHARIA LTDA</t>
        </is>
      </c>
      <c r="F1294" s="7" t="n">
        <v>1086.54</v>
      </c>
      <c r="G1294" s="6" t="inlineStr">
        <is>
          <t>NÃO CLASSIFICADO</t>
        </is>
      </c>
      <c r="H1294" s="6" t="inlineStr">
        <is>
          <t>RETENÇAO TECNICA</t>
        </is>
      </c>
      <c r="I1294" s="24" t="n">
        <v>46356</v>
      </c>
      <c r="J1294" s="6" t="n">
        <v>5428</v>
      </c>
    </row>
    <row r="1295">
      <c r="A1295" s="23" t="n">
        <v>46327</v>
      </c>
      <c r="B1295" s="6" t="inlineStr">
        <is>
          <t>A pagar</t>
        </is>
      </c>
      <c r="C1295" s="6" t="inlineStr">
        <is>
          <t>PL530.001</t>
        </is>
      </c>
      <c r="D1295" s="6" t="str">
        <f>IFERROR(VLOOKUP(E1295,FORNECEDORES!$A$5:$F$999,6,FALSE),"L10")</f>
        <v>L08</v>
      </c>
      <c r="E1295" s="6" t="inlineStr">
        <is>
          <t>TELAS PERAM COMERCIO IMPORTACAO E REPRESENTACOES LTDA.</t>
        </is>
      </c>
      <c r="F1295" s="7" t="n">
        <v>16.5</v>
      </c>
      <c r="G1295" s="6" t="inlineStr">
        <is>
          <t>EQUIPAMENTOS E FERRAMENTAS</t>
        </is>
      </c>
      <c r="H1295" s="6" t="inlineStr">
        <is>
          <t>TELAS PERAM COMERCIO IMPORTACAO E REPRESENTACOES L</t>
        </is>
      </c>
      <c r="I1295" s="24" t="n">
        <v>46339</v>
      </c>
      <c r="J1295" s="6" t="n">
        <v>5117</v>
      </c>
    </row>
    <row r="1296">
      <c r="A1296" s="23" t="n">
        <v>46327</v>
      </c>
      <c r="B1296" s="6" t="inlineStr">
        <is>
          <t>A pagar</t>
        </is>
      </c>
      <c r="C1296" s="6" t="inlineStr">
        <is>
          <t>PL530.001</t>
        </is>
      </c>
      <c r="D1296" s="6" t="str">
        <f>IFERROR(VLOOKUP(E1296,FORNECEDORES!$A$5:$F$999,6,FALSE),"L10")</f>
        <v>L08</v>
      </c>
      <c r="E1296" s="6" t="inlineStr">
        <is>
          <t>TELAS PERAM COMERCIO IMPORTACAO E REPRESENTACOES LTDA.</t>
        </is>
      </c>
      <c r="F1296" s="7" t="n">
        <v>673.33</v>
      </c>
      <c r="G1296" s="6" t="inlineStr">
        <is>
          <t>SINALIZAÇÃO</t>
        </is>
      </c>
      <c r="H1296" s="6" t="inlineStr">
        <is>
          <t>TELAS PERAM COMERCIO IMPORTACAO E REPRESENTACOES L</t>
        </is>
      </c>
      <c r="I1296" s="24" t="n">
        <v>46339</v>
      </c>
      <c r="J1296" s="6" t="n">
        <v>5117</v>
      </c>
    </row>
    <row r="1297">
      <c r="A1297" s="23" t="n">
        <v>46327</v>
      </c>
      <c r="B1297" s="6" t="inlineStr">
        <is>
          <t>A pagar</t>
        </is>
      </c>
      <c r="C1297" s="6" t="inlineStr">
        <is>
          <t>PL530.001</t>
        </is>
      </c>
      <c r="D1297" s="6" t="str">
        <f>IFERROR(VLOOKUP(E1297,FORNECEDORES!$A$5:$F$999,6,FALSE),"L10")</f>
        <v>L08</v>
      </c>
      <c r="E1297" s="6" t="inlineStr">
        <is>
          <t>TELAS PERAM COMERCIO IMPORTACAO E REPRESENTACOES LTDA.</t>
        </is>
      </c>
      <c r="F1297" s="7" t="n">
        <v>906.66</v>
      </c>
      <c r="G1297" s="6" t="inlineStr">
        <is>
          <t>SERRALHERIA</t>
        </is>
      </c>
      <c r="H1297" s="6" t="inlineStr">
        <is>
          <t>TELAS PERAM COMERCIO IMPORTACAO E REPRESENTACOES L</t>
        </is>
      </c>
      <c r="I1297" s="24" t="n">
        <v>46339</v>
      </c>
      <c r="J1297" s="6" t="n">
        <v>5117</v>
      </c>
    </row>
    <row r="1298">
      <c r="A1298" s="23" t="n">
        <v>46388</v>
      </c>
      <c r="B1298" s="6" t="inlineStr">
        <is>
          <t>A pagar</t>
        </is>
      </c>
      <c r="C1298" s="6" t="inlineStr">
        <is>
          <t>PL530.001</t>
        </is>
      </c>
      <c r="D1298" s="6" t="str">
        <f>IFERROR(VLOOKUP(E1298,FORNECEDORES!$A$5:$F$999,6,FALSE),"L10")</f>
        <v>L10</v>
      </c>
      <c r="E1298" s="6" t="inlineStr">
        <is>
          <t>REFORMULAR CONSTRUCOES E REFORMAS LTDA</t>
        </is>
      </c>
      <c r="F1298" s="7" t="n">
        <v>2678.29</v>
      </c>
      <c r="G1298" s="6" t="inlineStr">
        <is>
          <t>NÃO CLASSIFICADO</t>
        </is>
      </c>
      <c r="H1298" s="6" t="inlineStr">
        <is>
          <t>RETENÇAO TECNICA</t>
        </is>
      </c>
      <c r="I1298" s="24" t="n">
        <v>46415</v>
      </c>
      <c r="J1298" s="6" t="n">
        <v>6153</v>
      </c>
    </row>
    <row r="1299">
      <c r="A1299" s="23" t="n">
        <v>46447</v>
      </c>
      <c r="B1299" s="6" t="inlineStr">
        <is>
          <t>A pagar</t>
        </is>
      </c>
      <c r="C1299" s="6" t="inlineStr">
        <is>
          <t>PL530.001</t>
        </is>
      </c>
      <c r="D1299" s="6" t="str">
        <f>IFERROR(VLOOKUP(E1299,FORNECEDORES!$A$5:$F$999,6,FALSE),"L10")</f>
        <v>L10</v>
      </c>
      <c r="E1299" s="6" t="inlineStr">
        <is>
          <t>CORTEZ LOCACAO DE EQUIPAMENTOS LTDA-ME</t>
        </is>
      </c>
      <c r="F1299" s="7" t="n">
        <v>794.5</v>
      </c>
      <c r="G1299" s="6" t="inlineStr">
        <is>
          <t>NÃO CLASSIFICADO</t>
        </is>
      </c>
      <c r="H1299" s="6" t="inlineStr">
        <is>
          <t>RETENÇAO TECNICA</t>
        </is>
      </c>
      <c r="I1299" s="24" t="n">
        <v>46472</v>
      </c>
      <c r="J1299" s="6" t="n">
        <v>3511</v>
      </c>
    </row>
    <row r="1300">
      <c r="A1300" s="23" t="n">
        <v>46447</v>
      </c>
      <c r="B1300" s="6" t="inlineStr">
        <is>
          <t>A pagar</t>
        </is>
      </c>
      <c r="C1300" s="6" t="inlineStr">
        <is>
          <t>PL530.001</t>
        </is>
      </c>
      <c r="D1300" s="6" t="str">
        <f>IFERROR(VLOOKUP(E1300,FORNECEDORES!$A$5:$F$999,6,FALSE),"L10")</f>
        <v>L10</v>
      </c>
      <c r="E1300" s="6" t="inlineStr">
        <is>
          <t>CORTEZ LOCACAO DE EQUIPAMENTOS LTDA-ME</t>
        </is>
      </c>
      <c r="F1300" s="7" t="n">
        <v>112</v>
      </c>
      <c r="G1300" s="6" t="inlineStr">
        <is>
          <t>NÃO CLASSIFICADO</t>
        </is>
      </c>
      <c r="H1300" s="6" t="inlineStr">
        <is>
          <t>RETENÇAO TECNICA</t>
        </is>
      </c>
      <c r="I1300" s="24" t="n">
        <v>46472</v>
      </c>
      <c r="J1300" s="6" t="n">
        <v>3680</v>
      </c>
    </row>
    <row r="1301">
      <c r="A1301" s="23" t="n">
        <v>46447</v>
      </c>
      <c r="B1301" s="6" t="inlineStr">
        <is>
          <t>A pagar</t>
        </is>
      </c>
      <c r="C1301" s="6" t="inlineStr">
        <is>
          <t>PL530.001</t>
        </is>
      </c>
      <c r="D1301" s="6" t="str">
        <f>IFERROR(VLOOKUP(E1301,FORNECEDORES!$A$5:$F$999,6,FALSE),"L10")</f>
        <v>L10</v>
      </c>
      <c r="E1301" s="6" t="inlineStr">
        <is>
          <t>CORTEZ LOCACAO DE EQUIPAMENTOS LTDA-ME</t>
        </is>
      </c>
      <c r="F1301" s="7" t="n">
        <v>112</v>
      </c>
      <c r="G1301" s="6" t="inlineStr">
        <is>
          <t>NÃO CLASSIFICADO</t>
        </is>
      </c>
      <c r="H1301" s="6" t="inlineStr">
        <is>
          <t>RETENÇAO TECNICA</t>
        </is>
      </c>
      <c r="I1301" s="24" t="n">
        <v>46472</v>
      </c>
      <c r="J1301" s="6" t="n">
        <v>3679</v>
      </c>
    </row>
    <row r="1302">
      <c r="A1302" s="23" t="n">
        <v>46447</v>
      </c>
      <c r="B1302" s="6" t="inlineStr">
        <is>
          <t>A pagar</t>
        </is>
      </c>
      <c r="C1302" s="6" t="inlineStr">
        <is>
          <t>PL530.001</t>
        </is>
      </c>
      <c r="D1302" s="6" t="str">
        <f>IFERROR(VLOOKUP(E1302,FORNECEDORES!$A$5:$F$999,6,FALSE),"L10")</f>
        <v>L10</v>
      </c>
      <c r="E1302" s="6" t="inlineStr">
        <is>
          <t>CORTEZ LOCACAO DE EQUIPAMENTOS LTDA-ME</t>
        </is>
      </c>
      <c r="F1302" s="7" t="n">
        <v>794.5</v>
      </c>
      <c r="G1302" s="6" t="inlineStr">
        <is>
          <t>NÃO CLASSIFICADO</t>
        </is>
      </c>
      <c r="H1302" s="6" t="inlineStr">
        <is>
          <t>RETENÇAO TECNICA</t>
        </is>
      </c>
      <c r="I1302" s="24" t="n">
        <v>46472</v>
      </c>
      <c r="J1302" s="6" t="n">
        <v>3510</v>
      </c>
    </row>
    <row r="1303">
      <c r="A1303" s="23" t="n">
        <v>46447</v>
      </c>
      <c r="B1303" s="6" t="inlineStr">
        <is>
          <t>A pagar</t>
        </is>
      </c>
      <c r="C1303" s="6" t="inlineStr">
        <is>
          <t>PL530.001</t>
        </is>
      </c>
      <c r="D1303" s="6" t="str">
        <f>IFERROR(VLOOKUP(E1303,FORNECEDORES!$A$5:$F$999,6,FALSE),"L10")</f>
        <v>L10</v>
      </c>
      <c r="E1303" s="6" t="inlineStr">
        <is>
          <t>LN SERVICOS E MONTAGEM LTDA</t>
        </is>
      </c>
      <c r="F1303" s="7" t="n">
        <v>409.5</v>
      </c>
      <c r="G1303" s="6" t="inlineStr">
        <is>
          <t>NÃO CLASSIFICADO</t>
        </is>
      </c>
      <c r="H1303" s="6" t="inlineStr">
        <is>
          <t>RETENÇAO TECNICA</t>
        </is>
      </c>
      <c r="I1303" s="24" t="n">
        <v>46463</v>
      </c>
      <c r="J1303" s="6" t="n">
        <v>6794</v>
      </c>
    </row>
    <row r="1304">
      <c r="A1304" s="23" t="n">
        <v>46447</v>
      </c>
      <c r="B1304" s="6" t="inlineStr">
        <is>
          <t>A pagar</t>
        </is>
      </c>
      <c r="C1304" s="6" t="inlineStr">
        <is>
          <t>PL530.001</t>
        </is>
      </c>
      <c r="D1304" s="6" t="str">
        <f>IFERROR(VLOOKUP(E1304,FORNECEDORES!$A$5:$F$999,6,FALSE),"L10")</f>
        <v>L10</v>
      </c>
      <c r="E1304" s="6" t="inlineStr">
        <is>
          <t>REFORMULAR CONSTRUCOES E REFORMAS LTDA</t>
        </is>
      </c>
      <c r="F1304" s="7" t="n">
        <v>1171.71</v>
      </c>
      <c r="G1304" s="6" t="inlineStr">
        <is>
          <t>NÃO CLASSIFICADO</t>
        </is>
      </c>
      <c r="H1304" s="6" t="inlineStr">
        <is>
          <t>RETENÇAO TECNICA</t>
        </is>
      </c>
      <c r="I1304" s="24" t="n">
        <v>46475</v>
      </c>
      <c r="J1304" s="6" t="n">
        <v>6985</v>
      </c>
    </row>
    <row r="1305">
      <c r="A1305" s="23" t="n">
        <v>46661</v>
      </c>
      <c r="B1305" s="6" t="inlineStr">
        <is>
          <t>A pagar</t>
        </is>
      </c>
      <c r="C1305" s="6" t="inlineStr">
        <is>
          <t>PL530.001</t>
        </is>
      </c>
      <c r="D1305" s="6" t="str">
        <f>IFERROR(VLOOKUP(E1305,FORNECEDORES!$A$5:$F$999,6,FALSE),"L10")</f>
        <v>L10</v>
      </c>
      <c r="E1305" s="6" t="inlineStr">
        <is>
          <t>PGO PLANEJAMENTO GERENCIAMENTO E OBRAS LTDA. - ME</t>
        </is>
      </c>
      <c r="F1305" s="7" t="n">
        <v>751.05</v>
      </c>
      <c r="G1305" s="6" t="inlineStr">
        <is>
          <t>NÃO CLASSIFICADO</t>
        </is>
      </c>
      <c r="H1305" s="6" t="inlineStr">
        <is>
          <t>RETENÇÃO TECNICA AO FORNECEDOR</t>
        </is>
      </c>
      <c r="I1305" s="24" t="n">
        <v>46664</v>
      </c>
      <c r="J1305" s="6" t="n">
        <v>6196</v>
      </c>
    </row>
    <row r="1306">
      <c r="A1306" s="23" t="n">
        <v>46661</v>
      </c>
      <c r="B1306" s="6" t="inlineStr">
        <is>
          <t>A pagar</t>
        </is>
      </c>
      <c r="C1306" s="6" t="inlineStr">
        <is>
          <t>PL530.001</t>
        </is>
      </c>
      <c r="D1306" s="6" t="str">
        <f>IFERROR(VLOOKUP(E1306,FORNECEDORES!$A$5:$F$999,6,FALSE),"L10")</f>
        <v>L10</v>
      </c>
      <c r="E1306" s="6" t="inlineStr">
        <is>
          <t>PGO PLANEJAMENTO GERENCIAMENTO E OBRAS LTDA. - ME</t>
        </is>
      </c>
      <c r="F1306" s="7" t="n">
        <v>751.05</v>
      </c>
      <c r="G1306" s="6" t="inlineStr">
        <is>
          <t>NÃO CLASSIFICADO</t>
        </is>
      </c>
      <c r="H1306" s="6" t="inlineStr">
        <is>
          <t>RETENÇÃO TECNICA AO FORNECEDOR</t>
        </is>
      </c>
      <c r="I1306" s="24" t="n">
        <v>46664</v>
      </c>
      <c r="J1306" s="6" t="n">
        <v>6197</v>
      </c>
    </row>
    <row r="1307">
      <c r="A1307" s="23" t="n">
        <v>46722</v>
      </c>
      <c r="B1307" s="6" t="inlineStr">
        <is>
          <t>A pagar</t>
        </is>
      </c>
      <c r="C1307" s="6" t="inlineStr">
        <is>
          <t>PL530.001</t>
        </is>
      </c>
      <c r="D1307" s="6" t="str">
        <f>IFERROR(VLOOKUP(E1307,FORNECEDORES!$A$5:$F$999,6,FALSE),"L10")</f>
        <v>L10</v>
      </c>
      <c r="E1307" s="6" t="inlineStr">
        <is>
          <t>ELITE FUNDACOES EIRELI</t>
        </is>
      </c>
      <c r="F1307" s="7" t="n">
        <v>602</v>
      </c>
      <c r="G1307" s="6" t="inlineStr">
        <is>
          <t>NÃO CLASSIFICADO</t>
        </is>
      </c>
      <c r="H1307" s="6" t="inlineStr">
        <is>
          <t>RETENÇAO TECNICA</t>
        </is>
      </c>
      <c r="I1307" s="24" t="n">
        <v>46751</v>
      </c>
      <c r="J1307" s="6" t="n">
        <v>5254</v>
      </c>
    </row>
    <row r="1308">
      <c r="A1308" s="23" t="n">
        <v>46722</v>
      </c>
      <c r="B1308" s="6" t="inlineStr">
        <is>
          <t>A pagar</t>
        </is>
      </c>
      <c r="C1308" s="6" t="inlineStr">
        <is>
          <t>PL530.001</t>
        </is>
      </c>
      <c r="D1308" s="6" t="str">
        <f>IFERROR(VLOOKUP(E1308,FORNECEDORES!$A$5:$F$999,6,FALSE),"L10")</f>
        <v>L08</v>
      </c>
      <c r="E1308" s="6" t="inlineStr">
        <is>
          <t>PEREIRA TELAS E INSTALACOES LTDA</t>
        </is>
      </c>
      <c r="F1308" s="7" t="n">
        <v>565</v>
      </c>
      <c r="G1308" s="6" t="inlineStr">
        <is>
          <t>NÃO CLASSIFICADO</t>
        </is>
      </c>
      <c r="H1308" s="6" t="inlineStr">
        <is>
          <t>RETENÇAO TECNICA</t>
        </is>
      </c>
      <c r="I1308" s="24" t="n">
        <v>46751</v>
      </c>
      <c r="J1308" s="6" t="n">
        <v>5383</v>
      </c>
    </row>
    <row r="1309">
      <c r="A1309" s="23" t="n">
        <v>46722</v>
      </c>
      <c r="B1309" s="6" t="inlineStr">
        <is>
          <t>A pagar</t>
        </is>
      </c>
      <c r="C1309" s="6" t="inlineStr">
        <is>
          <t>PL530.001</t>
        </is>
      </c>
      <c r="D1309" s="6" t="str">
        <f>IFERROR(VLOOKUP(E1309,FORNECEDORES!$A$5:$F$999,6,FALSE),"L10")</f>
        <v>L08</v>
      </c>
      <c r="E1309" s="6" t="inlineStr">
        <is>
          <t>PEREIRA TELAS E INSTALACOES LTDA</t>
        </is>
      </c>
      <c r="F1309" s="7" t="n">
        <v>1345</v>
      </c>
      <c r="G1309" s="6" t="inlineStr">
        <is>
          <t>NÃO CLASSIFICADO</t>
        </is>
      </c>
      <c r="H1309" s="6" t="inlineStr">
        <is>
          <t>RETENÇAO TECNICA</t>
        </is>
      </c>
      <c r="I1309" s="24" t="n">
        <v>46751</v>
      </c>
      <c r="J1309" s="6" t="n">
        <v>6251</v>
      </c>
    </row>
    <row r="1310">
      <c r="A1310" s="23" t="n">
        <v>46722</v>
      </c>
      <c r="B1310" s="6" t="inlineStr">
        <is>
          <t>A pagar</t>
        </is>
      </c>
      <c r="C1310" s="6" t="inlineStr">
        <is>
          <t>PL530.001</t>
        </is>
      </c>
      <c r="D1310" s="6" t="str">
        <f>IFERROR(VLOOKUP(E1310,FORNECEDORES!$A$5:$F$999,6,FALSE),"L10")</f>
        <v>L08</v>
      </c>
      <c r="E1310" s="6" t="inlineStr">
        <is>
          <t>PEREIRA TELAS E INSTALACOES LTDA</t>
        </is>
      </c>
      <c r="F1310" s="7" t="n">
        <v>228</v>
      </c>
      <c r="G1310" s="6" t="inlineStr">
        <is>
          <t>NÃO CLASSIFICADO</t>
        </is>
      </c>
      <c r="H1310" s="6" t="inlineStr">
        <is>
          <t>RETENÇAO TECNICA</t>
        </is>
      </c>
      <c r="I1310" s="24" t="n">
        <v>46751</v>
      </c>
      <c r="J1310" s="6" t="n">
        <v>7004</v>
      </c>
    </row>
    <row r="1311">
      <c r="A1311" s="23" t="n">
        <v>46722</v>
      </c>
      <c r="B1311" s="6" t="inlineStr">
        <is>
          <t>A pagar</t>
        </is>
      </c>
      <c r="C1311" s="6" t="inlineStr">
        <is>
          <t>PL530.001</t>
        </is>
      </c>
      <c r="D1311" s="6" t="str">
        <f>IFERROR(VLOOKUP(E1311,FORNECEDORES!$A$5:$F$999,6,FALSE),"L10")</f>
        <v>L08</v>
      </c>
      <c r="E1311" s="6" t="inlineStr">
        <is>
          <t>PEREIRA TELAS E INSTALACOES LTDA</t>
        </is>
      </c>
      <c r="F1311" s="7" t="n">
        <v>684</v>
      </c>
      <c r="G1311" s="6" t="inlineStr">
        <is>
          <t>NÃO CLASSIFICADO</t>
        </is>
      </c>
      <c r="H1311" s="6" t="inlineStr">
        <is>
          <t>RETENÇAO TECNICA</t>
        </is>
      </c>
      <c r="I1311" s="24" t="n">
        <v>46751</v>
      </c>
      <c r="J1311" s="6" t="n">
        <v>6720</v>
      </c>
    </row>
    <row r="1312">
      <c r="A1312" s="23" t="n">
        <v>46874</v>
      </c>
      <c r="B1312" s="6" t="inlineStr">
        <is>
          <t>A pagar</t>
        </is>
      </c>
      <c r="C1312" s="6" t="inlineStr">
        <is>
          <t>PL530.001</t>
        </is>
      </c>
      <c r="D1312" s="6" t="str">
        <f>IFERROR(VLOOKUP(E1312,FORNECEDORES!$A$5:$F$999,6,FALSE),"L10")</f>
        <v>L10</v>
      </c>
      <c r="E1312" s="6" t="inlineStr">
        <is>
          <t>TECSU ENGENHARIA LTDA</t>
        </is>
      </c>
      <c r="F1312" s="7" t="n">
        <v>1106</v>
      </c>
      <c r="G1312" s="6" t="inlineStr">
        <is>
          <t>NÃO CLASSIFICADO</t>
        </is>
      </c>
      <c r="H1312" s="6" t="inlineStr">
        <is>
          <t>RETENÇÃO TECNICA AO FORNECEDOR</t>
        </is>
      </c>
      <c r="I1312" s="24" t="n">
        <v>46875</v>
      </c>
      <c r="J1312" s="6" t="n">
        <v>4813</v>
      </c>
    </row>
    <row r="1313">
      <c r="A1313" s="23" t="n">
        <v>46874</v>
      </c>
      <c r="B1313" s="6" t="inlineStr">
        <is>
          <t>A pagar</t>
        </is>
      </c>
      <c r="C1313" s="6" t="inlineStr">
        <is>
          <t>PL530.001</t>
        </is>
      </c>
      <c r="D1313" s="6" t="str">
        <f>IFERROR(VLOOKUP(E1313,FORNECEDORES!$A$5:$F$999,6,FALSE),"L10")</f>
        <v>L10</v>
      </c>
      <c r="E1313" s="6" t="inlineStr">
        <is>
          <t>TECSU ENGENHARIA LTDA</t>
        </is>
      </c>
      <c r="F1313" s="7" t="n">
        <v>1106</v>
      </c>
      <c r="G1313" s="6" t="inlineStr">
        <is>
          <t>NÃO CLASSIFICADO</t>
        </is>
      </c>
      <c r="H1313" s="6" t="inlineStr">
        <is>
          <t>RETENÇÃO TECNICA AO FORNECEDOR</t>
        </is>
      </c>
      <c r="I1313" s="24" t="n">
        <v>46875</v>
      </c>
      <c r="J1313" s="6" t="n">
        <v>4814</v>
      </c>
    </row>
    <row r="1314">
      <c r="A1314" s="23" t="n">
        <v>46874</v>
      </c>
      <c r="B1314" s="6" t="inlineStr">
        <is>
          <t>A pagar</t>
        </is>
      </c>
      <c r="C1314" s="6" t="inlineStr">
        <is>
          <t>PL530.001</t>
        </is>
      </c>
      <c r="D1314" s="6" t="str">
        <f>IFERROR(VLOOKUP(E1314,FORNECEDORES!$A$5:$F$999,6,FALSE),"L10")</f>
        <v>L10</v>
      </c>
      <c r="E1314" s="6" t="inlineStr">
        <is>
          <t>TECSU ENGENHARIA LTDA</t>
        </is>
      </c>
      <c r="F1314" s="7" t="n">
        <v>756.52</v>
      </c>
      <c r="G1314" s="6" t="inlineStr">
        <is>
          <t>NÃO CLASSIFICADO</t>
        </is>
      </c>
      <c r="H1314" s="6" t="inlineStr">
        <is>
          <t>RETENÇÃO TECNICA AO FORNECEDOR</t>
        </is>
      </c>
      <c r="I1314" s="24" t="n">
        <v>46875</v>
      </c>
      <c r="J1314" s="6" t="n">
        <v>6499</v>
      </c>
    </row>
    <row r="1315">
      <c r="A1315" s="23" t="n">
        <v>46874</v>
      </c>
      <c r="B1315" s="6" t="inlineStr">
        <is>
          <t>A pagar</t>
        </is>
      </c>
      <c r="C1315" s="6" t="inlineStr">
        <is>
          <t>PL530.001</t>
        </is>
      </c>
      <c r="D1315" s="6" t="str">
        <f>IFERROR(VLOOKUP(E1315,FORNECEDORES!$A$5:$F$999,6,FALSE),"L10")</f>
        <v>L10</v>
      </c>
      <c r="E1315" s="6" t="inlineStr">
        <is>
          <t>TECSU ENGENHARIA LTDA</t>
        </is>
      </c>
      <c r="F1315" s="7" t="n">
        <v>653.75</v>
      </c>
      <c r="G1315" s="6" t="inlineStr">
        <is>
          <t>NÃO CLASSIFICADO</t>
        </is>
      </c>
      <c r="H1315" s="6" t="inlineStr">
        <is>
          <t>RETENÇÃO TECNICA AO FORNECEDOR</t>
        </is>
      </c>
      <c r="I1315" s="24" t="n">
        <v>46875</v>
      </c>
      <c r="J1315" s="6" t="n">
        <v>6037</v>
      </c>
    </row>
    <row r="1316">
      <c r="A1316" s="23" t="n">
        <v>46874</v>
      </c>
      <c r="B1316" s="6" t="inlineStr">
        <is>
          <t>A pagar</t>
        </is>
      </c>
      <c r="C1316" s="6" t="inlineStr">
        <is>
          <t>PL530.001</t>
        </is>
      </c>
      <c r="D1316" s="6" t="str">
        <f>IFERROR(VLOOKUP(E1316,FORNECEDORES!$A$5:$F$999,6,FALSE),"L10")</f>
        <v>L10</v>
      </c>
      <c r="E1316" s="6" t="inlineStr">
        <is>
          <t>TECSU ENGENHARIA LTDA</t>
        </is>
      </c>
      <c r="F1316" s="7" t="n">
        <v>653.74</v>
      </c>
      <c r="G1316" s="6" t="inlineStr">
        <is>
          <t>NÃO CLASSIFICADO</t>
        </is>
      </c>
      <c r="H1316" s="6" t="inlineStr">
        <is>
          <t>RETENÇÃO TECNICA AO FORNECEDOR</t>
        </is>
      </c>
      <c r="I1316" s="24" t="n">
        <v>46875</v>
      </c>
      <c r="J1316" s="6" t="n">
        <v>6036</v>
      </c>
    </row>
    <row r="1317">
      <c r="A1317" s="23" t="n">
        <v>46874</v>
      </c>
      <c r="B1317" s="6" t="inlineStr">
        <is>
          <t>A pagar</t>
        </is>
      </c>
      <c r="C1317" s="6" t="inlineStr">
        <is>
          <t>PL530.001</t>
        </is>
      </c>
      <c r="D1317" s="6" t="str">
        <f>IFERROR(VLOOKUP(E1317,FORNECEDORES!$A$5:$F$999,6,FALSE),"L10")</f>
        <v>L10</v>
      </c>
      <c r="E1317" s="6" t="inlineStr">
        <is>
          <t>TECSU ENGENHARIA LTDA</t>
        </is>
      </c>
      <c r="F1317" s="7" t="n">
        <v>689.76</v>
      </c>
      <c r="G1317" s="6" t="inlineStr">
        <is>
          <t>NÃO CLASSIFICADO</t>
        </is>
      </c>
      <c r="H1317" s="6" t="inlineStr">
        <is>
          <t>RETENÇÃO TECNICA AO FORNECEDOR</t>
        </is>
      </c>
      <c r="I1317" s="24" t="n">
        <v>46875</v>
      </c>
      <c r="J1317" s="6" t="n">
        <v>6856</v>
      </c>
    </row>
    <row r="1318">
      <c r="A1318" s="23" t="n">
        <v>46874</v>
      </c>
      <c r="B1318" s="6" t="inlineStr">
        <is>
          <t>A pagar</t>
        </is>
      </c>
      <c r="C1318" s="6" t="inlineStr">
        <is>
          <t>PL530.001</t>
        </is>
      </c>
      <c r="D1318" s="6" t="str">
        <f>IFERROR(VLOOKUP(E1318,FORNECEDORES!$A$5:$F$999,6,FALSE),"L10")</f>
        <v>L10</v>
      </c>
      <c r="E1318" s="6" t="inlineStr">
        <is>
          <t>TECSU ENGENHARIA LTDA</t>
        </is>
      </c>
      <c r="F1318" s="7" t="n">
        <v>624.85</v>
      </c>
      <c r="G1318" s="6" t="inlineStr">
        <is>
          <t>NÃO CLASSIFICADO</t>
        </is>
      </c>
      <c r="H1318" s="6" t="inlineStr">
        <is>
          <t>RETENÇÃO TECNICA AO FORNECEDOR</t>
        </is>
      </c>
      <c r="I1318" s="24" t="n">
        <v>46875</v>
      </c>
      <c r="J1318" s="6" t="n">
        <v>5663</v>
      </c>
    </row>
    <row r="1319">
      <c r="A1319" s="23" t="n">
        <v>46874</v>
      </c>
      <c r="B1319" s="6" t="inlineStr">
        <is>
          <t>A pagar</t>
        </is>
      </c>
      <c r="C1319" s="6" t="inlineStr">
        <is>
          <t>PL530.001</t>
        </is>
      </c>
      <c r="D1319" s="6" t="str">
        <f>IFERROR(VLOOKUP(E1319,FORNECEDORES!$A$5:$F$999,6,FALSE),"L10")</f>
        <v>L10</v>
      </c>
      <c r="E1319" s="6" t="inlineStr">
        <is>
          <t>TECSU ENGENHARIA LTDA</t>
        </is>
      </c>
      <c r="F1319" s="7" t="n">
        <v>624.85</v>
      </c>
      <c r="G1319" s="6" t="inlineStr">
        <is>
          <t>NÃO CLASSIFICADO</t>
        </is>
      </c>
      <c r="H1319" s="6" t="inlineStr">
        <is>
          <t>RETENÇÃO TECNICA AO FORNECEDOR</t>
        </is>
      </c>
      <c r="I1319" s="24" t="n">
        <v>46875</v>
      </c>
      <c r="J1319" s="6" t="n">
        <v>5664</v>
      </c>
    </row>
    <row r="1320">
      <c r="A1320" s="23" t="n">
        <v>46874</v>
      </c>
      <c r="B1320" s="6" t="inlineStr">
        <is>
          <t>A pagar</t>
        </is>
      </c>
      <c r="C1320" s="6" t="inlineStr">
        <is>
          <t>PL530.001</t>
        </is>
      </c>
      <c r="D1320" s="6" t="str">
        <f>IFERROR(VLOOKUP(E1320,FORNECEDORES!$A$5:$F$999,6,FALSE),"L10")</f>
        <v>L10</v>
      </c>
      <c r="E1320" s="6" t="inlineStr">
        <is>
          <t>TECSU ENGENHARIA LTDA</t>
        </is>
      </c>
      <c r="F1320" s="7" t="n">
        <v>756.51</v>
      </c>
      <c r="G1320" s="6" t="inlineStr">
        <is>
          <t>NÃO CLASSIFICADO</t>
        </is>
      </c>
      <c r="H1320" s="6" t="inlineStr">
        <is>
          <t>RETENÇÃO TECNICA AO FORNECEDOR</t>
        </is>
      </c>
      <c r="I1320" s="24" t="n">
        <v>46875</v>
      </c>
      <c r="J1320" s="6" t="n">
        <v>6498</v>
      </c>
    </row>
    <row r="1321">
      <c r="A1321" s="23" t="n">
        <v>46874</v>
      </c>
      <c r="B1321" s="6" t="inlineStr">
        <is>
          <t>A pagar</t>
        </is>
      </c>
      <c r="C1321" s="6" t="inlineStr">
        <is>
          <t>PL530.001</t>
        </is>
      </c>
      <c r="D1321" s="6" t="str">
        <f>IFERROR(VLOOKUP(E1321,FORNECEDORES!$A$5:$F$999,6,FALSE),"L10")</f>
        <v>L10</v>
      </c>
      <c r="E1321" s="6" t="inlineStr">
        <is>
          <t>TECSU ENGENHARIA LTDA</t>
        </is>
      </c>
      <c r="F1321" s="7" t="n">
        <v>689.76</v>
      </c>
      <c r="G1321" s="6" t="inlineStr">
        <is>
          <t>NÃO CLASSIFICADO</t>
        </is>
      </c>
      <c r="H1321" s="6" t="inlineStr">
        <is>
          <t>RETENÇÃO TECNICA AO FORNECEDOR</t>
        </is>
      </c>
      <c r="I1321" s="24" t="n">
        <v>46875</v>
      </c>
      <c r="J1321" s="6" t="n">
        <v>6855</v>
      </c>
    </row>
    <row r="1322">
      <c r="A1322" s="23" t="n">
        <v>47270</v>
      </c>
      <c r="B1322" s="6" t="inlineStr">
        <is>
          <t>A pagar</t>
        </is>
      </c>
      <c r="C1322" s="6" t="inlineStr">
        <is>
          <t>PL530.001</t>
        </is>
      </c>
      <c r="D1322" s="6" t="str">
        <f>IFERROR(VLOOKUP(E1322,FORNECEDORES!$A$5:$F$999,6,FALSE),"L10")</f>
        <v>L10</v>
      </c>
      <c r="E1322" s="6" t="inlineStr">
        <is>
          <t>LN SERVICOS E MONTAGEM LTDA</t>
        </is>
      </c>
      <c r="F1322" s="7" t="n">
        <v>287</v>
      </c>
      <c r="G1322" s="6" t="inlineStr">
        <is>
          <t>NÃO CLASSIFICADO</t>
        </is>
      </c>
      <c r="H1322" s="6" t="inlineStr">
        <is>
          <t>RETENÇAO TECNICA</t>
        </is>
      </c>
      <c r="I1322" s="24" t="n">
        <v>47277</v>
      </c>
      <c r="J1322" s="6" t="n">
        <v>6355</v>
      </c>
    </row>
    <row r="1323">
      <c r="A1323" s="23" t="n">
        <v>47270</v>
      </c>
      <c r="B1323" s="6" t="inlineStr">
        <is>
          <t>A pagar</t>
        </is>
      </c>
      <c r="C1323" s="6" t="inlineStr">
        <is>
          <t>PL530.001</t>
        </is>
      </c>
      <c r="D1323" s="6" t="str">
        <f>IFERROR(VLOOKUP(E1323,FORNECEDORES!$A$5:$F$999,6,FALSE),"L10")</f>
        <v>L10</v>
      </c>
      <c r="E1323" s="6" t="inlineStr">
        <is>
          <t>LN SERVICOS E MONTAGEM LTDA</t>
        </is>
      </c>
      <c r="F1323" s="7" t="n">
        <v>378</v>
      </c>
      <c r="G1323" s="6" t="inlineStr">
        <is>
          <t>NÃO CLASSIFICADO</t>
        </is>
      </c>
      <c r="H1323" s="6" t="inlineStr">
        <is>
          <t>RETENÇAO TECNICA</t>
        </is>
      </c>
      <c r="I1323" s="24" t="n">
        <v>47277</v>
      </c>
      <c r="J1323" s="6" t="n">
        <v>7035</v>
      </c>
    </row>
  </sheetData>
  <autoFilter ref="A4:J13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6756"/>
    <outlinePr summaryBelow="1" summaryRight="1"/>
    <pageSetUpPr/>
  </sheetPr>
  <dimension ref="A1:H9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30" customWidth="1" min="2" max="2"/>
    <col width="15" customWidth="1" min="3" max="3"/>
    <col width="14" customWidth="1" min="4" max="4"/>
    <col width="15" customWidth="1" min="5" max="5"/>
    <col width="7" customWidth="1" min="6" max="6"/>
    <col width="44" customWidth="1" min="7" max="7"/>
    <col width="60" customWidth="1" min="8" max="8"/>
  </cols>
  <sheetData>
    <row r="1" ht="39.6" customHeight="1">
      <c r="A1" s="1" t="inlineStr">
        <is>
          <t>Ed. Jardim · Fornecedores do grupo 11 e linha do histograma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Linha (coluna F, cinza) = sugestão automática pelo nome e pela categoria do financeiro. Ajuste conforme a medição: os lançamentos e o histograma se recalculam.</t>
        </is>
      </c>
    </row>
    <row r="4">
      <c r="A4" s="5" t="inlineStr">
        <is>
          <t>Fornecedor</t>
        </is>
      </c>
      <c r="B4" s="5" t="inlineStr">
        <is>
          <t>Categoria predominante</t>
        </is>
      </c>
      <c r="C4" s="5" t="inlineStr">
        <is>
          <t>Pago (R$)</t>
        </is>
      </c>
      <c r="D4" s="5" t="inlineStr">
        <is>
          <t>A pagar (R$)</t>
        </is>
      </c>
      <c r="E4" s="5" t="inlineStr">
        <is>
          <t>Total (R$)</t>
        </is>
      </c>
      <c r="F4" s="5" t="inlineStr">
        <is>
          <t>Linha</t>
        </is>
      </c>
      <c r="G4" s="5" t="inlineStr">
        <is>
          <t>Descrição da linha</t>
        </is>
      </c>
      <c r="H4" s="5" t="inlineStr">
        <is>
          <t>Critério da sugestão</t>
        </is>
      </c>
    </row>
    <row r="5">
      <c r="A5" s="6" t="inlineStr">
        <is>
          <t>TELAS PERAM COMERCIO IMPORTACAO E REPRESENTACOES LTDA.</t>
        </is>
      </c>
      <c r="B5" s="6" t="inlineStr">
        <is>
          <t>SINALIZAÇÃO</t>
        </is>
      </c>
      <c r="C5" s="7">
        <f>SUMIFS(LANÇAMENTOS!$F$5:$F$1323,LANÇAMENTOS!$E$5:$E$1323,A5,LANÇAMENTOS!$B$5:$B$1323,"Pago")</f>
        <v>206640.91000300003</v>
      </c>
      <c r="D5" s="7">
        <f>SUMIFS(LANÇAMENTOS!$F$5:$F$1323,LANÇAMENTOS!$E$5:$E$1323,A5,LANÇAMENTOS!$B$5:$B$1323,"A pagar")</f>
        <v>1596.49</v>
      </c>
      <c r="E5" s="7">
        <f>C5+D5</f>
        <v>208237.40000300002</v>
      </c>
      <c r="F5" s="25" t="inlineStr">
        <is>
          <t>L08</t>
        </is>
      </c>
      <c r="G5" s="6" t="str">
        <f>IFERROR(VLOOKUP(F5,PARÂMETROS!$A$11:$C$19,3,FALSE),"linha inválida")</f>
        <v>Equipamentos de proteção coletiva (telas, sinalização)</v>
      </c>
      <c r="H5" s="6" t="inlineStr">
        <is>
          <t>Telas, sinalização e proteção (nome/categoria)</t>
        </is>
      </c>
    </row>
    <row r="6">
      <c r="A6" s="6" t="inlineStr">
        <is>
          <t>CORTEZ LOCACAO DE EQUIPAMENTOS LTDA-ME</t>
        </is>
      </c>
      <c r="B6" s="6" t="inlineStr">
        <is>
          <t>NÃO CLASSIFICADO</t>
        </is>
      </c>
      <c r="C6" s="7">
        <f>SUMIFS(LANÇAMENTOS!$F$5:$F$1323,LANÇAMENTOS!$E$5:$E$1323,A6,LANÇAMENTOS!$B$5:$B$1323,"Pago")</f>
        <v>201762.000002</v>
      </c>
      <c r="D6" s="7">
        <f>SUMIFS(LANÇAMENTOS!$F$5:$F$1323,LANÇAMENTOS!$E$5:$E$1323,A6,LANÇAMENTOS!$B$5:$B$1323,"A pagar")</f>
        <v>3377.5</v>
      </c>
      <c r="E6" s="7">
        <f>C6+D6</f>
        <v>205139.500002</v>
      </c>
      <c r="F6" s="25" t="inlineStr">
        <is>
          <t>L10</t>
        </is>
      </c>
      <c r="G6" s="6" t="str">
        <f>IFERROR(VLOOKUP(F6,PARÂMETROS!$A$11:$C$19,3,FALSE),"linha inválida")</f>
        <v>A classificar (sem linha definida)</v>
      </c>
      <c r="H6" s="6" t="inlineStr">
        <is>
          <t>Sem critério no financeiro (NÃO CLASSIFICADO / contrato): classificar pela medição</t>
        </is>
      </c>
    </row>
    <row r="7">
      <c r="A7" s="6" t="inlineStr">
        <is>
          <t>SOIMA BRASIL INDUSTRIA E COMERCIO LTDA</t>
        </is>
      </c>
      <c r="B7" s="6" t="inlineStr">
        <is>
          <t>INSUMOS PARA CONTRATO</t>
        </is>
      </c>
      <c r="C7" s="7">
        <f>SUMIFS(LANÇAMENTOS!$F$5:$F$1323,LANÇAMENTOS!$E$5:$E$1323,A7,LANÇAMENTOS!$B$5:$B$1323,"Pago")</f>
        <v>141299.98</v>
      </c>
      <c r="D7" s="7">
        <f>SUMIFS(LANÇAMENTOS!$F$5:$F$1323,LANÇAMENTOS!$E$5:$E$1323,A7,LANÇAMENTOS!$B$5:$B$1323,"A pagar")</f>
        <v>20000.0</v>
      </c>
      <c r="E7" s="7">
        <f>C7+D7</f>
        <v>161299.98</v>
      </c>
      <c r="F7" s="25" t="inlineStr">
        <is>
          <t>L10</t>
        </is>
      </c>
      <c r="G7" s="6" t="str">
        <f>IFERROR(VLOOKUP(F7,PARÂMETROS!$A$11:$C$19,3,FALSE),"linha inválida")</f>
        <v>A classificar (sem linha definida)</v>
      </c>
      <c r="H7" s="6" t="inlineStr">
        <is>
          <t>Sem critério no financeiro (NÃO CLASSIFICADO / contrato): classificar pela medição</t>
        </is>
      </c>
    </row>
    <row r="8">
      <c r="A8" s="6" t="inlineStr">
        <is>
          <t>ORGUEL INDUSTRIA E LOCACAO DE EQUIPAMENTOS S/A</t>
        </is>
      </c>
      <c r="B8" s="6" t="inlineStr">
        <is>
          <t>NÃO CLASSIFICADO</t>
        </is>
      </c>
      <c r="C8" s="7">
        <f>SUMIFS(LANÇAMENTOS!$F$5:$F$1323,LANÇAMENTOS!$E$5:$E$1323,A8,LANÇAMENTOS!$B$5:$B$1323,"Pago")</f>
        <v>113609.35</v>
      </c>
      <c r="D8" s="7">
        <f>SUMIFS(LANÇAMENTOS!$F$5:$F$1323,LANÇAMENTOS!$E$5:$E$1323,A8,LANÇAMENTOS!$B$5:$B$1323,"A pagar")</f>
        <v>35057.05</v>
      </c>
      <c r="E8" s="7">
        <f>C8+D8</f>
        <v>148666.40000000002</v>
      </c>
      <c r="F8" s="25" t="inlineStr">
        <is>
          <t>L10</t>
        </is>
      </c>
      <c r="G8" s="6" t="str">
        <f>IFERROR(VLOOKUP(F8,PARÂMETROS!$A$11:$C$19,3,FALSE),"linha inválida")</f>
        <v>A classificar (sem linha definida)</v>
      </c>
      <c r="H8" s="6" t="inlineStr">
        <is>
          <t>Sem critério no financeiro (NÃO CLASSIFICADO / contrato): classificar pela medição</t>
        </is>
      </c>
    </row>
    <row r="9">
      <c r="A9" s="6" t="inlineStr">
        <is>
          <t>TECSU ENGENHARIA LTDA</t>
        </is>
      </c>
      <c r="B9" s="6" t="inlineStr">
        <is>
          <t>NÃO CLASSIFICADO</t>
        </is>
      </c>
      <c r="C9" s="7">
        <f>SUMIFS(LANÇAMENTOS!$F$5:$F$1323,LANÇAMENTOS!$E$5:$E$1323,A9,LANÇAMENTOS!$B$5:$B$1323,"Pago")</f>
        <v>119642.880001</v>
      </c>
      <c r="D9" s="7">
        <f>SUMIFS(LANÇAMENTOS!$F$5:$F$1323,LANÇAMENTOS!$E$5:$E$1323,A9,LANÇAMENTOS!$B$5:$B$1323,"A pagar")</f>
        <v>27076.179998999993</v>
      </c>
      <c r="E9" s="7">
        <f>C9+D9</f>
        <v>146719.06</v>
      </c>
      <c r="F9" s="25" t="inlineStr">
        <is>
          <t>L10</t>
        </is>
      </c>
      <c r="G9" s="6" t="str">
        <f>IFERROR(VLOOKUP(F9,PARÂMETROS!$A$11:$C$19,3,FALSE),"linha inválida")</f>
        <v>A classificar (sem linha definida)</v>
      </c>
      <c r="H9" s="6" t="inlineStr">
        <is>
          <t>Sem critério no financeiro (NÃO CLASSIFICADO / contrato): classificar pela medição</t>
        </is>
      </c>
    </row>
    <row r="10">
      <c r="A10" s="6" t="inlineStr">
        <is>
          <t>FIAO LOCACOES E TRANSPORTES LTDA</t>
        </is>
      </c>
      <c r="B10" s="6" t="inlineStr">
        <is>
          <t>NÃO CLASSIFICADO</t>
        </is>
      </c>
      <c r="C10" s="7">
        <f>SUMIFS(LANÇAMENTOS!$F$5:$F$1323,LANÇAMENTOS!$E$5:$E$1323,A10,LANÇAMENTOS!$B$5:$B$1323,"Pago")</f>
        <v>139740.55</v>
      </c>
      <c r="D10" s="7">
        <f>SUMIFS(LANÇAMENTOS!$F$5:$F$1323,LANÇAMENTOS!$E$5:$E$1323,A10,LANÇAMENTOS!$B$5:$B$1323,"A pagar")</f>
        <v>117.75</v>
      </c>
      <c r="E10" s="7">
        <f>C10+D10</f>
        <v>139858.3</v>
      </c>
      <c r="F10" s="25" t="inlineStr">
        <is>
          <t>L10</t>
        </is>
      </c>
      <c r="G10" s="6" t="str">
        <f>IFERROR(VLOOKUP(F10,PARÂMETROS!$A$11:$C$19,3,FALSE),"linha inválida")</f>
        <v>A classificar (sem linha definida)</v>
      </c>
      <c r="H10" s="6" t="inlineStr">
        <is>
          <t>Sem critério no financeiro (NÃO CLASSIFICADO / contrato): classificar pela medição</t>
        </is>
      </c>
    </row>
    <row r="11">
      <c r="A11" s="6" t="inlineStr">
        <is>
          <t>E.P.O. ENGENHARIA PLANEJAMENTO E OBRAS LTDA.</t>
        </is>
      </c>
      <c r="B11" s="6" t="inlineStr">
        <is>
          <t>DESPESAS</t>
        </is>
      </c>
      <c r="C11" s="7">
        <f>SUMIFS(LANÇAMENTOS!$F$5:$F$1323,LANÇAMENTOS!$E$5:$E$1323,A11,LANÇAMENTOS!$B$5:$B$1323,"Pago")</f>
        <v>99670.42</v>
      </c>
      <c r="D11" s="7">
        <f>SUMIFS(LANÇAMENTOS!$F$5:$F$1323,LANÇAMENTOS!$E$5:$E$1323,A11,LANÇAMENTOS!$B$5:$B$1323,"A pagar")</f>
        <v>0.0</v>
      </c>
      <c r="E11" s="7">
        <f>C11+D11</f>
        <v>99670.42</v>
      </c>
      <c r="F11" s="25" t="inlineStr">
        <is>
          <t>L01</t>
        </is>
      </c>
      <c r="G11" s="6" t="str">
        <f>IFERROR(VLOOKUP(F11,PARÂMETROS!$A$11:$C$19,3,FALSE),"linha inválida")</f>
        <v>Ferramentas manuais e pequenos equipamentos</v>
      </c>
      <c r="H11" s="6" t="inlineStr">
        <is>
          <t>Compra de ferramentas e materiais miúdos (categoria despesas)</t>
        </is>
      </c>
    </row>
    <row r="12">
      <c r="A12" s="6" t="inlineStr">
        <is>
          <t>EUROLINK IMPORTACAO E LOCACAO DE EQUIPAMENTOS LTDA</t>
        </is>
      </c>
      <c r="B12" s="6" t="inlineStr">
        <is>
          <t>LOCAÇÕES</t>
        </is>
      </c>
      <c r="C12" s="7">
        <f>SUMIFS(LANÇAMENTOS!$F$5:$F$1323,LANÇAMENTOS!$E$5:$E$1323,A12,LANÇAMENTOS!$B$5:$B$1323,"Pago")</f>
        <v>98186.45</v>
      </c>
      <c r="D12" s="7">
        <f>SUMIFS(LANÇAMENTOS!$F$5:$F$1323,LANÇAMENTOS!$E$5:$E$1323,A12,LANÇAMENTOS!$B$5:$B$1323,"A pagar")</f>
        <v>0.0</v>
      </c>
      <c r="E12" s="7">
        <f>C12+D12</f>
        <v>98186.45</v>
      </c>
      <c r="F12" s="25" t="inlineStr">
        <is>
          <t>L03</t>
        </is>
      </c>
      <c r="G12" s="6" t="str">
        <f>IFERROR(VLOOKUP(F12,PARÂMETROS!$A$11:$C$19,3,FALSE),"linha inválida")</f>
        <v>Equipamentos de produção civil e locações</v>
      </c>
      <c r="H12" s="6" t="inlineStr">
        <is>
          <t>Categoria LOCAÇÕES no financeiro</t>
        </is>
      </c>
    </row>
    <row r="13">
      <c r="A13" s="6" t="inlineStr">
        <is>
          <t>PGO PLANEJAMENTO GERENCIAMENTO E OBRAS LTDA. - ME</t>
        </is>
      </c>
      <c r="B13" s="6" t="inlineStr">
        <is>
          <t>NÃO CLASSIFICADO</t>
        </is>
      </c>
      <c r="C13" s="7">
        <f>SUMIFS(LANÇAMENTOS!$F$5:$F$1323,LANÇAMENTOS!$E$5:$E$1323,A13,LANÇAMENTOS!$B$5:$B$1323,"Pago")</f>
        <v>70971.57722999998</v>
      </c>
      <c r="D13" s="7">
        <f>SUMIFS(LANÇAMENTOS!$F$5:$F$1323,LANÇAMENTOS!$E$5:$E$1323,A13,LANÇAMENTOS!$B$5:$B$1323,"A pagar")</f>
        <v>4236.622769999999</v>
      </c>
      <c r="E13" s="7">
        <f>C13+D13</f>
        <v>75208.19999999998</v>
      </c>
      <c r="F13" s="25" t="inlineStr">
        <is>
          <t>L10</t>
        </is>
      </c>
      <c r="G13" s="6" t="str">
        <f>IFERROR(VLOOKUP(F13,PARÂMETROS!$A$11:$C$19,3,FALSE),"linha inválida")</f>
        <v>A classificar (sem linha definida)</v>
      </c>
      <c r="H13" s="6" t="inlineStr">
        <is>
          <t>Sem critério no financeiro (NÃO CLASSIFICADO / contrato): classificar pela medição</t>
        </is>
      </c>
    </row>
    <row r="14">
      <c r="A14" s="6" t="inlineStr">
        <is>
          <t>LOCAFAZ LOCACAO DE EQUIPAMENTOS LTDA</t>
        </is>
      </c>
      <c r="B14" s="6" t="inlineStr">
        <is>
          <t>LOCAÇÕES</t>
        </is>
      </c>
      <c r="C14" s="7">
        <f>SUMIFS(LANÇAMENTOS!$F$5:$F$1323,LANÇAMENTOS!$E$5:$E$1323,A14,LANÇAMENTOS!$B$5:$B$1323,"Pago")</f>
        <v>70925.97999999998</v>
      </c>
      <c r="D14" s="7">
        <f>SUMIFS(LANÇAMENTOS!$F$5:$F$1323,LANÇAMENTOS!$E$5:$E$1323,A14,LANÇAMENTOS!$B$5:$B$1323,"A pagar")</f>
        <v>1362.81</v>
      </c>
      <c r="E14" s="7">
        <f>C14+D14</f>
        <v>72288.78999999998</v>
      </c>
      <c r="F14" s="25" t="inlineStr">
        <is>
          <t>L03</t>
        </is>
      </c>
      <c r="G14" s="6" t="str">
        <f>IFERROR(VLOOKUP(F14,PARÂMETROS!$A$11:$C$19,3,FALSE),"linha inválida")</f>
        <v>Equipamentos de produção civil e locações</v>
      </c>
      <c r="H14" s="6" t="inlineStr">
        <is>
          <t>Categoria LOCAÇÕES no financeiro</t>
        </is>
      </c>
    </row>
    <row r="15">
      <c r="A15" s="6" t="inlineStr">
        <is>
          <t>PEREIRA TELAS E INSTALACOES LTDA</t>
        </is>
      </c>
      <c r="B15" s="6" t="inlineStr">
        <is>
          <t>NÃO CLASSIFICADO</t>
        </is>
      </c>
      <c r="C15" s="7">
        <f>SUMIFS(LANÇAMENTOS!$F$5:$F$1323,LANÇAMENTOS!$E$5:$E$1323,A15,LANÇAMENTOS!$B$5:$B$1323,"Pago")</f>
        <v>60783.2</v>
      </c>
      <c r="D15" s="7">
        <f>SUMIFS(LANÇAMENTOS!$F$5:$F$1323,LANÇAMENTOS!$E$5:$E$1323,A15,LANÇAMENTOS!$B$5:$B$1323,"A pagar")</f>
        <v>8316.8</v>
      </c>
      <c r="E15" s="7">
        <f>C15+D15</f>
        <v>69100.0</v>
      </c>
      <c r="F15" s="25" t="inlineStr">
        <is>
          <t>L08</t>
        </is>
      </c>
      <c r="G15" s="6" t="str">
        <f>IFERROR(VLOOKUP(F15,PARÂMETROS!$A$11:$C$19,3,FALSE),"linha inválida")</f>
        <v>Equipamentos de proteção coletiva (telas, sinalização)</v>
      </c>
      <c r="H15" s="6" t="inlineStr">
        <is>
          <t>Telas, sinalização e proteção (nome/categoria)</t>
        </is>
      </c>
    </row>
    <row r="16">
      <c r="A16" s="6" t="inlineStr">
        <is>
          <t>ORIGINAL LOCACOES LTDA</t>
        </is>
      </c>
      <c r="B16" s="6" t="inlineStr">
        <is>
          <t>LOCAÇÕES</t>
        </is>
      </c>
      <c r="C16" s="7">
        <f>SUMIFS(LANÇAMENTOS!$F$5:$F$1323,LANÇAMENTOS!$E$5:$E$1323,A16,LANÇAMENTOS!$B$5:$B$1323,"Pago")</f>
        <v>60187.069997000006</v>
      </c>
      <c r="D16" s="7">
        <f>SUMIFS(LANÇAMENTOS!$F$5:$F$1323,LANÇAMENTOS!$E$5:$E$1323,A16,LANÇAMENTOS!$B$5:$B$1323,"A pagar")</f>
        <v>0.0</v>
      </c>
      <c r="E16" s="7">
        <f>C16+D16</f>
        <v>60187.069997000006</v>
      </c>
      <c r="F16" s="25" t="inlineStr">
        <is>
          <t>L03</t>
        </is>
      </c>
      <c r="G16" s="6" t="str">
        <f>IFERROR(VLOOKUP(F16,PARÂMETROS!$A$11:$C$19,3,FALSE),"linha inválida")</f>
        <v>Equipamentos de produção civil e locações</v>
      </c>
      <c r="H16" s="6" t="inlineStr">
        <is>
          <t>Categoria LOCAÇÕES no financeiro</t>
        </is>
      </c>
    </row>
    <row r="17">
      <c r="A17" s="6" t="inlineStr">
        <is>
          <t>LOC MASTER LOCADORA DE EQUIPAMENTOS LTDA</t>
        </is>
      </c>
      <c r="B17" s="6" t="inlineStr">
        <is>
          <t>LOCAÇÕES</t>
        </is>
      </c>
      <c r="C17" s="7">
        <f>SUMIFS(LANÇAMENTOS!$F$5:$F$1323,LANÇAMENTOS!$E$5:$E$1323,A17,LANÇAMENTOS!$B$5:$B$1323,"Pago")</f>
        <v>57270.56</v>
      </c>
      <c r="D17" s="7">
        <f>SUMIFS(LANÇAMENTOS!$F$5:$F$1323,LANÇAMENTOS!$E$5:$E$1323,A17,LANÇAMENTOS!$B$5:$B$1323,"A pagar")</f>
        <v>0.0</v>
      </c>
      <c r="E17" s="7">
        <f>C17+D17</f>
        <v>57270.56</v>
      </c>
      <c r="F17" s="25" t="inlineStr">
        <is>
          <t>L03</t>
        </is>
      </c>
      <c r="G17" s="6" t="str">
        <f>IFERROR(VLOOKUP(F17,PARÂMETROS!$A$11:$C$19,3,FALSE),"linha inválida")</f>
        <v>Equipamentos de produção civil e locações</v>
      </c>
      <c r="H17" s="6" t="inlineStr">
        <is>
          <t>Categoria LOCAÇÕES no financeiro</t>
        </is>
      </c>
    </row>
    <row r="18">
      <c r="A18" s="6" t="inlineStr">
        <is>
          <t>EDIFICAR LOCACAO MANUTENCAO E SERVICOS LTDA</t>
        </is>
      </c>
      <c r="B18" s="6" t="inlineStr">
        <is>
          <t>LOCAÇÕES</t>
        </is>
      </c>
      <c r="C18" s="7">
        <f>SUMIFS(LANÇAMENTOS!$F$5:$F$1323,LANÇAMENTOS!$E$5:$E$1323,A18,LANÇAMENTOS!$B$5:$B$1323,"Pago")</f>
        <v>54001.73000100001</v>
      </c>
      <c r="D18" s="7">
        <f>SUMIFS(LANÇAMENTOS!$F$5:$F$1323,LANÇAMENTOS!$E$5:$E$1323,A18,LANÇAMENTOS!$B$5:$B$1323,"A pagar")</f>
        <v>2285.8</v>
      </c>
      <c r="E18" s="7">
        <f>C18+D18</f>
        <v>56287.530001000014</v>
      </c>
      <c r="F18" s="25" t="inlineStr">
        <is>
          <t>L03</t>
        </is>
      </c>
      <c r="G18" s="6" t="str">
        <f>IFERROR(VLOOKUP(F18,PARÂMETROS!$A$11:$C$19,3,FALSE),"linha inválida")</f>
        <v>Equipamentos de produção civil e locações</v>
      </c>
      <c r="H18" s="6" t="inlineStr">
        <is>
          <t>Categoria LOCAÇÕES no financeiro</t>
        </is>
      </c>
    </row>
    <row r="19">
      <c r="A19" s="6" t="inlineStr">
        <is>
          <t>REFORMULAR CONSTRUCOES E REFORMAS LTDA</t>
        </is>
      </c>
      <c r="B19" s="6" t="inlineStr">
        <is>
          <t>NÃO CLASSIFICADO</t>
        </is>
      </c>
      <c r="C19" s="7">
        <f>SUMIFS(LANÇAMENTOS!$F$5:$F$1323,LANÇAMENTOS!$E$5:$E$1323,A19,LANÇAMENTOS!$B$5:$B$1323,"Pago")</f>
        <v>35583.008835</v>
      </c>
      <c r="D19" s="7">
        <f>SUMIFS(LANÇAMENTOS!$F$5:$F$1323,LANÇAMENTOS!$E$5:$E$1323,A19,LANÇAMENTOS!$B$5:$B$1323,"A pagar")</f>
        <v>19416.991162000002</v>
      </c>
      <c r="E19" s="7">
        <f>C19+D19</f>
        <v>54999.999997000006</v>
      </c>
      <c r="F19" s="25" t="inlineStr">
        <is>
          <t>L10</t>
        </is>
      </c>
      <c r="G19" s="6" t="str">
        <f>IFERROR(VLOOKUP(F19,PARÂMETROS!$A$11:$C$19,3,FALSE),"linha inválida")</f>
        <v>A classificar (sem linha definida)</v>
      </c>
      <c r="H19" s="6" t="inlineStr">
        <is>
          <t>Sem critério no financeiro (NÃO CLASSIFICADO / contrato): classificar pela medição</t>
        </is>
      </c>
    </row>
    <row r="20">
      <c r="A20" s="6" t="inlineStr">
        <is>
          <t>MINAS FERRAMENTAS LTDA</t>
        </is>
      </c>
      <c r="B20" s="6" t="inlineStr">
        <is>
          <t>EQUIPAMENTOS E FERRAMENTAS</t>
        </is>
      </c>
      <c r="C20" s="7">
        <f>SUMIFS(LANÇAMENTOS!$F$5:$F$1323,LANÇAMENTOS!$E$5:$E$1323,A20,LANÇAMENTOS!$B$5:$B$1323,"Pago")</f>
        <v>42939.84361400002</v>
      </c>
      <c r="D20" s="7">
        <f>SUMIFS(LANÇAMENTOS!$F$5:$F$1323,LANÇAMENTOS!$E$5:$E$1323,A20,LANÇAMENTOS!$B$5:$B$1323,"A pagar")</f>
        <v>3806.46</v>
      </c>
      <c r="E20" s="7">
        <f>C20+D20</f>
        <v>46746.30361400002</v>
      </c>
      <c r="F20" s="25" t="inlineStr">
        <is>
          <t>L01</t>
        </is>
      </c>
      <c r="G20" s="6" t="str">
        <f>IFERROR(VLOOKUP(F20,PARÂMETROS!$A$11:$C$19,3,FALSE),"linha inválida")</f>
        <v>Ferramentas manuais e pequenos equipamentos</v>
      </c>
      <c r="H20" s="6" t="inlineStr">
        <is>
          <t>Compra de ferramentas e materiais miúdos (categoria equipamentos e ferramentas)</t>
        </is>
      </c>
    </row>
    <row r="21">
      <c r="A21" s="6" t="inlineStr">
        <is>
          <t>JRE COMERCIO DE MADEIRAS LTDA</t>
        </is>
      </c>
      <c r="B21" s="6" t="inlineStr">
        <is>
          <t>FORMA DE MADEIRA</t>
        </is>
      </c>
      <c r="C21" s="7">
        <f>SUMIFS(LANÇAMENTOS!$F$5:$F$1323,LANÇAMENTOS!$E$5:$E$1323,A21,LANÇAMENTOS!$B$5:$B$1323,"Pago")</f>
        <v>45498.71</v>
      </c>
      <c r="D21" s="7">
        <f>SUMIFS(LANÇAMENTOS!$F$5:$F$1323,LANÇAMENTOS!$E$5:$E$1323,A21,LANÇAMENTOS!$B$5:$B$1323,"A pagar")</f>
        <v>0.0</v>
      </c>
      <c r="E21" s="7">
        <f>C21+D21</f>
        <v>45498.71</v>
      </c>
      <c r="F21" s="25" t="inlineStr">
        <is>
          <t>L04</t>
        </is>
      </c>
      <c r="G21" s="6" t="str">
        <f>IFERROR(VLOOKUP(F21,PARÂMETROS!$A$11:$C$19,3,FALSE),"linha inválida")</f>
        <v>Bandejas de proteção</v>
      </c>
      <c r="H21" s="6" t="inlineStr">
        <is>
          <t>Madeira lançada no grupo 11 (madeiramento de bandejas): confirmar</t>
        </is>
      </c>
    </row>
    <row r="22">
      <c r="A22" s="6" t="inlineStr">
        <is>
          <t>CONSTRUMAQ INDUSTRIA DE MAQUINAS E EQUIPAMENTOS LTDA</t>
        </is>
      </c>
      <c r="B22" s="6" t="inlineStr">
        <is>
          <t>EQUIPAMENTOS E FERRAMENTAS</t>
        </is>
      </c>
      <c r="C22" s="7">
        <f>SUMIFS(LANÇAMENTOS!$F$5:$F$1323,LANÇAMENTOS!$E$5:$E$1323,A22,LANÇAMENTOS!$B$5:$B$1323,"Pago")</f>
        <v>39000.25</v>
      </c>
      <c r="D22" s="7">
        <f>SUMIFS(LANÇAMENTOS!$F$5:$F$1323,LANÇAMENTOS!$E$5:$E$1323,A22,LANÇAMENTOS!$B$5:$B$1323,"A pagar")</f>
        <v>0.0</v>
      </c>
      <c r="E22" s="7">
        <f>C22+D22</f>
        <v>39000.25</v>
      </c>
      <c r="F22" s="25" t="inlineStr">
        <is>
          <t>L01</t>
        </is>
      </c>
      <c r="G22" s="6" t="str">
        <f>IFERROR(VLOOKUP(F22,PARÂMETROS!$A$11:$C$19,3,FALSE),"linha inválida")</f>
        <v>Ferramentas manuais e pequenos equipamentos</v>
      </c>
      <c r="H22" s="6" t="inlineStr">
        <is>
          <t>Compra de ferramentas e materiais miúdos (categoria equipamentos e ferramentas)</t>
        </is>
      </c>
    </row>
    <row r="23">
      <c r="A23" s="6" t="inlineStr">
        <is>
          <t>SERRALHERIA LAURA AMARAL LTDA</t>
        </is>
      </c>
      <c r="B23" s="6" t="inlineStr">
        <is>
          <t>SUB-EMPREITEIROS OBRAS</t>
        </is>
      </c>
      <c r="C23" s="7">
        <f>SUMIFS(LANÇAMENTOS!$F$5:$F$1323,LANÇAMENTOS!$E$5:$E$1323,A23,LANÇAMENTOS!$B$5:$B$1323,"Pago")</f>
        <v>34674.5</v>
      </c>
      <c r="D23" s="7">
        <f>SUMIFS(LANÇAMENTOS!$F$5:$F$1323,LANÇAMENTOS!$E$5:$E$1323,A23,LANÇAMENTOS!$B$5:$B$1323,"A pagar")</f>
        <v>0.0</v>
      </c>
      <c r="E23" s="7">
        <f>C23+D23</f>
        <v>34674.5</v>
      </c>
      <c r="F23" s="25" t="inlineStr">
        <is>
          <t>L10</t>
        </is>
      </c>
      <c r="G23" s="6" t="str">
        <f>IFERROR(VLOOKUP(F23,PARÂMETROS!$A$11:$C$19,3,FALSE),"linha inválida")</f>
        <v>A classificar (sem linha definida)</v>
      </c>
      <c r="H23" s="6" t="inlineStr">
        <is>
          <t>Sem critério no financeiro (NÃO CLASSIFICADO / contrato): classificar pela medição</t>
        </is>
      </c>
    </row>
    <row r="24">
      <c r="A24" s="6" t="inlineStr">
        <is>
          <t>ALAVANCA TRANSPORTES E REMOCAO EIRELI</t>
        </is>
      </c>
      <c r="B24" s="6" t="inlineStr">
        <is>
          <t>INSUMOS PARA CONTRATO</t>
        </is>
      </c>
      <c r="C24" s="7">
        <f>SUMIFS(LANÇAMENTOS!$F$5:$F$1323,LANÇAMENTOS!$E$5:$E$1323,A24,LANÇAMENTOS!$B$5:$B$1323,"Pago")</f>
        <v>28264.990001</v>
      </c>
      <c r="D24" s="7">
        <f>SUMIFS(LANÇAMENTOS!$F$5:$F$1323,LANÇAMENTOS!$E$5:$E$1323,A24,LANÇAMENTOS!$B$5:$B$1323,"A pagar")</f>
        <v>0.0</v>
      </c>
      <c r="E24" s="7">
        <f>C24+D24</f>
        <v>28264.990001</v>
      </c>
      <c r="F24" s="25" t="inlineStr">
        <is>
          <t>L10</t>
        </is>
      </c>
      <c r="G24" s="6" t="str">
        <f>IFERROR(VLOOKUP(F24,PARÂMETROS!$A$11:$C$19,3,FALSE),"linha inválida")</f>
        <v>A classificar (sem linha definida)</v>
      </c>
      <c r="H24" s="6" t="inlineStr">
        <is>
          <t>Sem critério no financeiro (NÃO CLASSIFICADO / contrato): classificar pela medição</t>
        </is>
      </c>
    </row>
    <row r="25">
      <c r="A25" s="6" t="inlineStr">
        <is>
          <t>EXXI GLOBAL DO BRASIL LTDA</t>
        </is>
      </c>
      <c r="B25" s="6" t="inlineStr">
        <is>
          <t>FORMA DE MADEIRA</t>
        </is>
      </c>
      <c r="C25" s="7">
        <f>SUMIFS(LANÇAMENTOS!$F$5:$F$1323,LANÇAMENTOS!$E$5:$E$1323,A25,LANÇAMENTOS!$B$5:$B$1323,"Pago")</f>
        <v>27343.08</v>
      </c>
      <c r="D25" s="7">
        <f>SUMIFS(LANÇAMENTOS!$F$5:$F$1323,LANÇAMENTOS!$E$5:$E$1323,A25,LANÇAMENTOS!$B$5:$B$1323,"A pagar")</f>
        <v>0.0</v>
      </c>
      <c r="E25" s="7">
        <f>C25+D25</f>
        <v>27343.08</v>
      </c>
      <c r="F25" s="25" t="inlineStr">
        <is>
          <t>L04</t>
        </is>
      </c>
      <c r="G25" s="6" t="str">
        <f>IFERROR(VLOOKUP(F25,PARÂMETROS!$A$11:$C$19,3,FALSE),"linha inválida")</f>
        <v>Bandejas de proteção</v>
      </c>
      <c r="H25" s="6" t="inlineStr">
        <is>
          <t>Madeira lançada no grupo 11 (madeiramento de bandejas): confirmar</t>
        </is>
      </c>
    </row>
    <row r="26">
      <c r="A26" s="6" t="inlineStr">
        <is>
          <t>BH MADEFORMAS LTDA</t>
        </is>
      </c>
      <c r="B26" s="6" t="inlineStr">
        <is>
          <t>FORMA DE MADEIRA</t>
        </is>
      </c>
      <c r="C26" s="7">
        <f>SUMIFS(LANÇAMENTOS!$F$5:$F$1323,LANÇAMENTOS!$E$5:$E$1323,A26,LANÇAMENTOS!$B$5:$B$1323,"Pago")</f>
        <v>19386.41</v>
      </c>
      <c r="D26" s="7">
        <f>SUMIFS(LANÇAMENTOS!$F$5:$F$1323,LANÇAMENTOS!$E$5:$E$1323,A26,LANÇAMENTOS!$B$5:$B$1323,"A pagar")</f>
        <v>0.0</v>
      </c>
      <c r="E26" s="7">
        <f>C26+D26</f>
        <v>19386.41</v>
      </c>
      <c r="F26" s="25" t="inlineStr">
        <is>
          <t>L04</t>
        </is>
      </c>
      <c r="G26" s="6" t="str">
        <f>IFERROR(VLOOKUP(F26,PARÂMETROS!$A$11:$C$19,3,FALSE),"linha inválida")</f>
        <v>Bandejas de proteção</v>
      </c>
      <c r="H26" s="6" t="inlineStr">
        <is>
          <t>Madeira lançada no grupo 11 (madeiramento de bandejas): confirmar</t>
        </is>
      </c>
    </row>
    <row r="27">
      <c r="A27" s="6" t="inlineStr">
        <is>
          <t>EXPRESSO 2000 TRANSPORTES E LOGISTICA LTDA</t>
        </is>
      </c>
      <c r="B27" s="6" t="inlineStr">
        <is>
          <t>FRETE</t>
        </is>
      </c>
      <c r="C27" s="7">
        <f>SUMIFS(LANÇAMENTOS!$F$5:$F$1323,LANÇAMENTOS!$E$5:$E$1323,A27,LANÇAMENTOS!$B$5:$B$1323,"Pago")</f>
        <v>13037.649999999998</v>
      </c>
      <c r="D27" s="7">
        <f>SUMIFS(LANÇAMENTOS!$F$5:$F$1323,LANÇAMENTOS!$E$5:$E$1323,A27,LANÇAMENTOS!$B$5:$B$1323,"A pagar")</f>
        <v>5507.35</v>
      </c>
      <c r="E27" s="7">
        <f>C27+D27</f>
        <v>18545.0</v>
      </c>
      <c r="F27" s="25" t="inlineStr">
        <is>
          <t>L01</t>
        </is>
      </c>
      <c r="G27" s="6" t="str">
        <f>IFERROR(VLOOKUP(F27,PARÂMETROS!$A$11:$C$19,3,FALSE),"linha inválida")</f>
        <v>Ferramentas manuais e pequenos equipamentos</v>
      </c>
      <c r="H27" s="6" t="inlineStr">
        <is>
          <t>Compra de ferramentas e materiais miúdos (categoria frete)</t>
        </is>
      </c>
    </row>
    <row r="28">
      <c r="A28" s="6" t="inlineStr">
        <is>
          <t>TECNYL INDUSTRIA E COMERCIO DE TELAS LTDA</t>
        </is>
      </c>
      <c r="B28" s="6" t="inlineStr">
        <is>
          <t>SINALIZAÇÃO</t>
        </is>
      </c>
      <c r="C28" s="7">
        <f>SUMIFS(LANÇAMENTOS!$F$5:$F$1323,LANÇAMENTOS!$E$5:$E$1323,A28,LANÇAMENTOS!$B$5:$B$1323,"Pago")</f>
        <v>15685.640000000001</v>
      </c>
      <c r="D28" s="7">
        <f>SUMIFS(LANÇAMENTOS!$F$5:$F$1323,LANÇAMENTOS!$E$5:$E$1323,A28,LANÇAMENTOS!$B$5:$B$1323,"A pagar")</f>
        <v>0.0</v>
      </c>
      <c r="E28" s="7">
        <f>C28+D28</f>
        <v>15685.640000000001</v>
      </c>
      <c r="F28" s="25" t="inlineStr">
        <is>
          <t>L08</t>
        </is>
      </c>
      <c r="G28" s="6" t="str">
        <f>IFERROR(VLOOKUP(F28,PARÂMETROS!$A$11:$C$19,3,FALSE),"linha inválida")</f>
        <v>Equipamentos de proteção coletiva (telas, sinalização)</v>
      </c>
      <c r="H28" s="6" t="inlineStr">
        <is>
          <t>Telas, sinalização e proteção (nome/categoria)</t>
        </is>
      </c>
    </row>
    <row r="29">
      <c r="A29" s="6" t="inlineStr">
        <is>
          <t>LN SERVICOS E MONTAGEM LTDA</t>
        </is>
      </c>
      <c r="B29" s="6" t="inlineStr">
        <is>
          <t>NÃO CLASSIFICADO</t>
        </is>
      </c>
      <c r="C29" s="7">
        <f>SUMIFS(LANÇAMENTOS!$F$5:$F$1323,LANÇAMENTOS!$E$5:$E$1323,A29,LANÇAMENTOS!$B$5:$B$1323,"Pago")</f>
        <v>9104.91</v>
      </c>
      <c r="D29" s="7">
        <f>SUMIFS(LANÇAMENTOS!$F$5:$F$1323,LANÇAMENTOS!$E$5:$E$1323,A29,LANÇAMENTOS!$B$5:$B$1323,"A pagar")</f>
        <v>6245.09</v>
      </c>
      <c r="E29" s="7">
        <f>C29+D29</f>
        <v>15350.0</v>
      </c>
      <c r="F29" s="25" t="inlineStr">
        <is>
          <t>L10</t>
        </is>
      </c>
      <c r="G29" s="6" t="str">
        <f>IFERROR(VLOOKUP(F29,PARÂMETROS!$A$11:$C$19,3,FALSE),"linha inválida")</f>
        <v>A classificar (sem linha definida)</v>
      </c>
      <c r="H29" s="6" t="inlineStr">
        <is>
          <t>Sem critério no financeiro (NÃO CLASSIFICADO / contrato): classificar pela medição</t>
        </is>
      </c>
    </row>
    <row r="30">
      <c r="A30" s="6" t="inlineStr">
        <is>
          <t>CORDAL BH COMERCIO DE CABOS E ACESSORIOS LTDA</t>
        </is>
      </c>
      <c r="B30" s="6" t="inlineStr">
        <is>
          <t>EQUIPAMENTOS E FERRAMENTAS</t>
        </is>
      </c>
      <c r="C30" s="7">
        <f>SUMIFS(LANÇAMENTOS!$F$5:$F$1323,LANÇAMENTOS!$E$5:$E$1323,A30,LANÇAMENTOS!$B$5:$B$1323,"Pago")</f>
        <v>7610.0650000000005</v>
      </c>
      <c r="D30" s="7">
        <f>SUMIFS(LANÇAMENTOS!$F$5:$F$1323,LANÇAMENTOS!$E$5:$E$1323,A30,LANÇAMENTOS!$B$5:$B$1323,"A pagar")</f>
        <v>4750.0</v>
      </c>
      <c r="E30" s="7">
        <f>C30+D30</f>
        <v>12360.065</v>
      </c>
      <c r="F30" s="25" t="inlineStr">
        <is>
          <t>L07</t>
        </is>
      </c>
      <c r="G30" s="6" t="str">
        <f>IFERROR(VLOOKUP(F30,PARÂMETROS!$A$11:$C$19,3,FALSE),"linha inválida")</f>
        <v>Equipamentos de fachada (andaimes, balancins)</v>
      </c>
      <c r="H30" s="6" t="inlineStr">
        <is>
          <t>Andaimes / cabos de aço: confirmar</t>
        </is>
      </c>
    </row>
    <row r="31">
      <c r="A31" s="6" t="inlineStr">
        <is>
          <t>DATRON TECNOLOGIA E LOCACAO LTDA</t>
        </is>
      </c>
      <c r="B31" s="6" t="inlineStr">
        <is>
          <t>LOCAÇÕES</t>
        </is>
      </c>
      <c r="C31" s="7">
        <f>SUMIFS(LANÇAMENTOS!$F$5:$F$1323,LANÇAMENTOS!$E$5:$E$1323,A31,LANÇAMENTOS!$B$5:$B$1323,"Pago")</f>
        <v>11760.630000000001</v>
      </c>
      <c r="D31" s="7">
        <f>SUMIFS(LANÇAMENTOS!$F$5:$F$1323,LANÇAMENTOS!$E$5:$E$1323,A31,LANÇAMENTOS!$B$5:$B$1323,"A pagar")</f>
        <v>0.0</v>
      </c>
      <c r="E31" s="7">
        <f>C31+D31</f>
        <v>11760.630000000001</v>
      </c>
      <c r="F31" s="25" t="inlineStr">
        <is>
          <t>L03</t>
        </is>
      </c>
      <c r="G31" s="6" t="str">
        <f>IFERROR(VLOOKUP(F31,PARÂMETROS!$A$11:$C$19,3,FALSE),"linha inválida")</f>
        <v>Equipamentos de produção civil e locações</v>
      </c>
      <c r="H31" s="6" t="inlineStr">
        <is>
          <t>Categoria LOCAÇÕES no financeiro</t>
        </is>
      </c>
    </row>
    <row r="32">
      <c r="A32" s="6" t="inlineStr">
        <is>
          <t>GAIA PINTURAS LTDA</t>
        </is>
      </c>
      <c r="B32" s="6" t="inlineStr">
        <is>
          <t>NÃO CLASSIFICADO</t>
        </is>
      </c>
      <c r="C32" s="7">
        <f>SUMIFS(LANÇAMENTOS!$F$5:$F$1323,LANÇAMENTOS!$E$5:$E$1323,A32,LANÇAMENTOS!$B$5:$B$1323,"Pago")</f>
        <v>10962.0</v>
      </c>
      <c r="D32" s="7">
        <f>SUMIFS(LANÇAMENTOS!$F$5:$F$1323,LANÇAMENTOS!$E$5:$E$1323,A32,LANÇAMENTOS!$B$5:$B$1323,"A pagar")</f>
        <v>0.0</v>
      </c>
      <c r="E32" s="7">
        <f>C32+D32</f>
        <v>10962.0</v>
      </c>
      <c r="F32" s="25" t="inlineStr">
        <is>
          <t>L10</t>
        </is>
      </c>
      <c r="G32" s="6" t="str">
        <f>IFERROR(VLOOKUP(F32,PARÂMETROS!$A$11:$C$19,3,FALSE),"linha inválida")</f>
        <v>A classificar (sem linha definida)</v>
      </c>
      <c r="H32" s="6" t="inlineStr">
        <is>
          <t>Sem critério no financeiro (NÃO CLASSIFICADO / contrato): classificar pela medição</t>
        </is>
      </c>
    </row>
    <row r="33">
      <c r="A33" s="6" t="inlineStr">
        <is>
          <t>LOC BRAGA LOCACAO E TRANSPORTES LTDA - EPP</t>
        </is>
      </c>
      <c r="B33" s="6" t="inlineStr">
        <is>
          <t>NÃO CLASSIFICADO</t>
        </is>
      </c>
      <c r="C33" s="7">
        <f>SUMIFS(LANÇAMENTOS!$F$5:$F$1323,LANÇAMENTOS!$E$5:$E$1323,A33,LANÇAMENTOS!$B$5:$B$1323,"Pago")</f>
        <v>10850.0</v>
      </c>
      <c r="D33" s="7">
        <f>SUMIFS(LANÇAMENTOS!$F$5:$F$1323,LANÇAMENTOS!$E$5:$E$1323,A33,LANÇAMENTOS!$B$5:$B$1323,"A pagar")</f>
        <v>0.0</v>
      </c>
      <c r="E33" s="7">
        <f>C33+D33</f>
        <v>10850.0</v>
      </c>
      <c r="F33" s="25" t="inlineStr">
        <is>
          <t>L02</t>
        </is>
      </c>
      <c r="G33" s="6" t="str">
        <f>IFERROR(VLOOKUP(F33,PARÂMETROS!$A$11:$C$19,3,FALSE),"linha inválida")</f>
        <v>Movimento de terra, manipulador e transporte vertical leve</v>
      </c>
      <c r="H33" s="6" t="inlineStr">
        <is>
          <t>Máquinas, transporte e combustível: confirmar</t>
        </is>
      </c>
    </row>
    <row r="34">
      <c r="A34" s="6" t="inlineStr">
        <is>
          <t>TECIDOS E ARMARINHOS MIGUEL BARTOLOMEU S/A</t>
        </is>
      </c>
      <c r="B34" s="6" t="inlineStr">
        <is>
          <t>EQUIPAMENTOS E FERRAMENTAS</t>
        </is>
      </c>
      <c r="C34" s="7">
        <f>SUMIFS(LANÇAMENTOS!$F$5:$F$1323,LANÇAMENTOS!$E$5:$E$1323,A34,LANÇAMENTOS!$B$5:$B$1323,"Pago")</f>
        <v>10792.388377</v>
      </c>
      <c r="D34" s="7">
        <f>SUMIFS(LANÇAMENTOS!$F$5:$F$1323,LANÇAMENTOS!$E$5:$E$1323,A34,LANÇAMENTOS!$B$5:$B$1323,"A pagar")</f>
        <v>0.0</v>
      </c>
      <c r="E34" s="7">
        <f>C34+D34</f>
        <v>10792.388377</v>
      </c>
      <c r="F34" s="25" t="inlineStr">
        <is>
          <t>L01</t>
        </is>
      </c>
      <c r="G34" s="6" t="str">
        <f>IFERROR(VLOOKUP(F34,PARÂMETROS!$A$11:$C$19,3,FALSE),"linha inválida")</f>
        <v>Ferramentas manuais e pequenos equipamentos</v>
      </c>
      <c r="H34" s="6" t="inlineStr">
        <is>
          <t>Compra de ferramentas e materiais miúdos (categoria equipamentos e ferramentas)</t>
        </is>
      </c>
    </row>
    <row r="35">
      <c r="A35" s="6" t="inlineStr">
        <is>
          <t>CARRINHO DE MAO ROMA LTDA</t>
        </is>
      </c>
      <c r="B35" s="6" t="inlineStr">
        <is>
          <t>EQUIPAMENTOS E FERRAMENTAS</t>
        </is>
      </c>
      <c r="C35" s="7">
        <f>SUMIFS(LANÇAMENTOS!$F$5:$F$1323,LANÇAMENTOS!$E$5:$E$1323,A35,LANÇAMENTOS!$B$5:$B$1323,"Pago")</f>
        <v>8699.0</v>
      </c>
      <c r="D35" s="7">
        <f>SUMIFS(LANÇAMENTOS!$F$5:$F$1323,LANÇAMENTOS!$E$5:$E$1323,A35,LANÇAMENTOS!$B$5:$B$1323,"A pagar")</f>
        <v>2020.5</v>
      </c>
      <c r="E35" s="7">
        <f>C35+D35</f>
        <v>10719.5</v>
      </c>
      <c r="F35" s="25" t="inlineStr">
        <is>
          <t>L01</t>
        </is>
      </c>
      <c r="G35" s="6" t="str">
        <f>IFERROR(VLOOKUP(F35,PARÂMETROS!$A$11:$C$19,3,FALSE),"linha inválida")</f>
        <v>Ferramentas manuais e pequenos equipamentos</v>
      </c>
      <c r="H35" s="6" t="inlineStr">
        <is>
          <t>Compra de ferramentas e materiais miúdos (categoria equipamentos e ferramentas)</t>
        </is>
      </c>
    </row>
    <row r="36">
      <c r="A36" s="6" t="inlineStr">
        <is>
          <t>DIARCO INDUSTRIA E COMEX LTDA</t>
        </is>
      </c>
      <c r="B36" s="6" t="inlineStr">
        <is>
          <t>EQUIPAMENTOS E FERRAMENTAS</t>
        </is>
      </c>
      <c r="C36" s="7">
        <f>SUMIFS(LANÇAMENTOS!$F$5:$F$1323,LANÇAMENTOS!$E$5:$E$1323,A36,LANÇAMENTOS!$B$5:$B$1323,"Pago")</f>
        <v>10500.0</v>
      </c>
      <c r="D36" s="7">
        <f>SUMIFS(LANÇAMENTOS!$F$5:$F$1323,LANÇAMENTOS!$E$5:$E$1323,A36,LANÇAMENTOS!$B$5:$B$1323,"A pagar")</f>
        <v>0.0</v>
      </c>
      <c r="E36" s="7">
        <f>C36+D36</f>
        <v>10500.0</v>
      </c>
      <c r="F36" s="25" t="inlineStr">
        <is>
          <t>L01</t>
        </is>
      </c>
      <c r="G36" s="6" t="str">
        <f>IFERROR(VLOOKUP(F36,PARÂMETROS!$A$11:$C$19,3,FALSE),"linha inválida")</f>
        <v>Ferramentas manuais e pequenos equipamentos</v>
      </c>
      <c r="H36" s="6" t="inlineStr">
        <is>
          <t>Compra de ferramentas e materiais miúdos (categoria equipamentos e ferramentas)</t>
        </is>
      </c>
    </row>
    <row r="37">
      <c r="A37" s="6" t="inlineStr">
        <is>
          <t>LOCSAFE LOCADORA DE EQUIPAMENTOS LTDA</t>
        </is>
      </c>
      <c r="B37" s="6" t="inlineStr">
        <is>
          <t>LOCAÇÕES</t>
        </is>
      </c>
      <c r="C37" s="7">
        <f>SUMIFS(LANÇAMENTOS!$F$5:$F$1323,LANÇAMENTOS!$E$5:$E$1323,A37,LANÇAMENTOS!$B$5:$B$1323,"Pago")</f>
        <v>10358.24</v>
      </c>
      <c r="D37" s="7">
        <f>SUMIFS(LANÇAMENTOS!$F$5:$F$1323,LANÇAMENTOS!$E$5:$E$1323,A37,LANÇAMENTOS!$B$5:$B$1323,"A pagar")</f>
        <v>0.0</v>
      </c>
      <c r="E37" s="7">
        <f>C37+D37</f>
        <v>10358.24</v>
      </c>
      <c r="F37" s="25" t="inlineStr">
        <is>
          <t>L03</t>
        </is>
      </c>
      <c r="G37" s="6" t="str">
        <f>IFERROR(VLOOKUP(F37,PARÂMETROS!$A$11:$C$19,3,FALSE),"linha inválida")</f>
        <v>Equipamentos de produção civil e locações</v>
      </c>
      <c r="H37" s="6" t="inlineStr">
        <is>
          <t>Categoria LOCAÇÕES no financeiro</t>
        </is>
      </c>
    </row>
    <row r="38">
      <c r="A38" s="6" t="inlineStr">
        <is>
          <t>REPELUB REVENDEDORA DE PETROLEO E LUBRIFICANTES S.A.</t>
        </is>
      </c>
      <c r="B38" s="6" t="inlineStr">
        <is>
          <t>INSUMOS PARA CONTRATO</t>
        </is>
      </c>
      <c r="C38" s="7">
        <f>SUMIFS(LANÇAMENTOS!$F$5:$F$1323,LANÇAMENTOS!$E$5:$E$1323,A38,LANÇAMENTOS!$B$5:$B$1323,"Pago")</f>
        <v>9496.550000000001</v>
      </c>
      <c r="D38" s="7">
        <f>SUMIFS(LANÇAMENTOS!$F$5:$F$1323,LANÇAMENTOS!$E$5:$E$1323,A38,LANÇAMENTOS!$B$5:$B$1323,"A pagar")</f>
        <v>0.0</v>
      </c>
      <c r="E38" s="7">
        <f>C38+D38</f>
        <v>9496.550000000001</v>
      </c>
      <c r="F38" s="25" t="inlineStr">
        <is>
          <t>L02</t>
        </is>
      </c>
      <c r="G38" s="6" t="str">
        <f>IFERROR(VLOOKUP(F38,PARÂMETROS!$A$11:$C$19,3,FALSE),"linha inválida")</f>
        <v>Movimento de terra, manipulador e transporte vertical leve</v>
      </c>
      <c r="H38" s="6" t="inlineStr">
        <is>
          <t>Máquinas, transporte e combustível: confirmar</t>
        </is>
      </c>
    </row>
    <row r="39">
      <c r="A39" s="6" t="inlineStr">
        <is>
          <t>TELAS UNIAO INDUSTRIA E COMERCIO LTDA</t>
        </is>
      </c>
      <c r="B39" s="6" t="inlineStr">
        <is>
          <t>ESQUADRIAS DE FERRO E CERCAMENTO</t>
        </is>
      </c>
      <c r="C39" s="7">
        <f>SUMIFS(LANÇAMENTOS!$F$5:$F$1323,LANÇAMENTOS!$E$5:$E$1323,A39,LANÇAMENTOS!$B$5:$B$1323,"Pago")</f>
        <v>9072.18</v>
      </c>
      <c r="D39" s="7">
        <f>SUMIFS(LANÇAMENTOS!$F$5:$F$1323,LANÇAMENTOS!$E$5:$E$1323,A39,LANÇAMENTOS!$B$5:$B$1323,"A pagar")</f>
        <v>0.0</v>
      </c>
      <c r="E39" s="7">
        <f>C39+D39</f>
        <v>9072.18</v>
      </c>
      <c r="F39" s="25" t="inlineStr">
        <is>
          <t>L08</t>
        </is>
      </c>
      <c r="G39" s="6" t="str">
        <f>IFERROR(VLOOKUP(F39,PARÂMETROS!$A$11:$C$19,3,FALSE),"linha inválida")</f>
        <v>Equipamentos de proteção coletiva (telas, sinalização)</v>
      </c>
      <c r="H39" s="6" t="inlineStr">
        <is>
          <t>Telas, sinalização e proteção (nome/categoria)</t>
        </is>
      </c>
    </row>
    <row r="40">
      <c r="A40" s="6" t="inlineStr">
        <is>
          <t>LOJA ELETRICA LIMITADA</t>
        </is>
      </c>
      <c r="B40" s="6" t="inlineStr">
        <is>
          <t>MATERIAL ELÉTRICO</t>
        </is>
      </c>
      <c r="C40" s="7">
        <f>SUMIFS(LANÇAMENTOS!$F$5:$F$1323,LANÇAMENTOS!$E$5:$E$1323,A40,LANÇAMENTOS!$B$5:$B$1323,"Pago")</f>
        <v>7149.136380000002</v>
      </c>
      <c r="D40" s="7">
        <f>SUMIFS(LANÇAMENTOS!$F$5:$F$1323,LANÇAMENTOS!$E$5:$E$1323,A40,LANÇAMENTOS!$B$5:$B$1323,"A pagar")</f>
        <v>1706.0</v>
      </c>
      <c r="E40" s="7">
        <f>C40+D40</f>
        <v>8855.136380000002</v>
      </c>
      <c r="F40" s="25" t="inlineStr">
        <is>
          <t>L01</t>
        </is>
      </c>
      <c r="G40" s="6" t="str">
        <f>IFERROR(VLOOKUP(F40,PARÂMETROS!$A$11:$C$19,3,FALSE),"linha inválida")</f>
        <v>Ferramentas manuais e pequenos equipamentos</v>
      </c>
      <c r="H40" s="6" t="inlineStr">
        <is>
          <t>Compra de ferramentas e materiais miúdos (categoria material elétrico)</t>
        </is>
      </c>
    </row>
    <row r="41">
      <c r="A41" s="6" t="inlineStr">
        <is>
          <t>OTHON DE CARVALHO E CIA LTDA</t>
        </is>
      </c>
      <c r="B41" s="6" t="inlineStr">
        <is>
          <t>MATERIAL ELÉTRICO</t>
        </is>
      </c>
      <c r="C41" s="7">
        <f>SUMIFS(LANÇAMENTOS!$F$5:$F$1323,LANÇAMENTOS!$E$5:$E$1323,A41,LANÇAMENTOS!$B$5:$B$1323,"Pago")</f>
        <v>8718.66</v>
      </c>
      <c r="D41" s="7">
        <f>SUMIFS(LANÇAMENTOS!$F$5:$F$1323,LANÇAMENTOS!$E$5:$E$1323,A41,LANÇAMENTOS!$B$5:$B$1323,"A pagar")</f>
        <v>0.0</v>
      </c>
      <c r="E41" s="7">
        <f>C41+D41</f>
        <v>8718.66</v>
      </c>
      <c r="F41" s="25" t="inlineStr">
        <is>
          <t>L01</t>
        </is>
      </c>
      <c r="G41" s="6" t="str">
        <f>IFERROR(VLOOKUP(F41,PARÂMETROS!$A$11:$C$19,3,FALSE),"linha inválida")</f>
        <v>Ferramentas manuais e pequenos equipamentos</v>
      </c>
      <c r="H41" s="6" t="inlineStr">
        <is>
          <t>Compra de ferramentas e materiais miúdos (categoria material elétrico)</t>
        </is>
      </c>
    </row>
    <row r="42">
      <c r="A42" s="6" t="inlineStr">
        <is>
          <t>MG CONSTRUCOES E ENGENHARIA LTDA</t>
        </is>
      </c>
      <c r="B42" s="6" t="inlineStr">
        <is>
          <t>NÃO CLASSIFICADO</t>
        </is>
      </c>
      <c r="C42" s="7">
        <f>SUMIFS(LANÇAMENTOS!$F$5:$F$1323,LANÇAMENTOS!$E$5:$E$1323,A42,LANÇAMENTOS!$B$5:$B$1323,"Pago")</f>
        <v>8108.297097999999</v>
      </c>
      <c r="D42" s="7">
        <f>SUMIFS(LANÇAMENTOS!$F$5:$F$1323,LANÇAMENTOS!$E$5:$E$1323,A42,LANÇAMENTOS!$B$5:$B$1323,"A pagar")</f>
        <v>610.302902</v>
      </c>
      <c r="E42" s="7">
        <f>C42+D42</f>
        <v>8718.599999999999</v>
      </c>
      <c r="F42" s="25" t="inlineStr">
        <is>
          <t>L10</t>
        </is>
      </c>
      <c r="G42" s="6" t="str">
        <f>IFERROR(VLOOKUP(F42,PARÂMETROS!$A$11:$C$19,3,FALSE),"linha inválida")</f>
        <v>A classificar (sem linha definida)</v>
      </c>
      <c r="H42" s="6" t="inlineStr">
        <is>
          <t>Sem critério no financeiro (NÃO CLASSIFICADO / contrato): classificar pela medição</t>
        </is>
      </c>
    </row>
    <row r="43">
      <c r="A43" s="6" t="inlineStr">
        <is>
          <t>ELITE FUNDACOES EIRELI</t>
        </is>
      </c>
      <c r="B43" s="6" t="inlineStr">
        <is>
          <t>NÃO CLASSIFICADO</t>
        </is>
      </c>
      <c r="C43" s="7">
        <f>SUMIFS(LANÇAMENTOS!$F$5:$F$1323,LANÇAMENTOS!$E$5:$E$1323,A43,LANÇAMENTOS!$B$5:$B$1323,"Pago")</f>
        <v>7997.999491</v>
      </c>
      <c r="D43" s="7">
        <f>SUMIFS(LANÇAMENTOS!$F$5:$F$1323,LANÇAMENTOS!$E$5:$E$1323,A43,LANÇAMENTOS!$B$5:$B$1323,"A pagar")</f>
        <v>602.000508</v>
      </c>
      <c r="E43" s="7">
        <f>C43+D43</f>
        <v>8599.999999</v>
      </c>
      <c r="F43" s="25" t="inlineStr">
        <is>
          <t>L10</t>
        </is>
      </c>
      <c r="G43" s="6" t="str">
        <f>IFERROR(VLOOKUP(F43,PARÂMETROS!$A$11:$C$19,3,FALSE),"linha inválida")</f>
        <v>A classificar (sem linha definida)</v>
      </c>
      <c r="H43" s="6" t="inlineStr">
        <is>
          <t>Sem critério no financeiro (NÃO CLASSIFICADO / contrato): classificar pela medição</t>
        </is>
      </c>
    </row>
    <row r="44">
      <c r="A44" s="6" t="inlineStr">
        <is>
          <t>COFERMETA SA</t>
        </is>
      </c>
      <c r="B44" s="6" t="inlineStr">
        <is>
          <t>EQUIPAMENTOS E FERRAMENTAS</t>
        </is>
      </c>
      <c r="C44" s="7">
        <f>SUMIFS(LANÇAMENTOS!$F$5:$F$1323,LANÇAMENTOS!$E$5:$E$1323,A44,LANÇAMENTOS!$B$5:$B$1323,"Pago")</f>
        <v>4228.349316</v>
      </c>
      <c r="D44" s="7">
        <f>SUMIFS(LANÇAMENTOS!$F$5:$F$1323,LANÇAMENTOS!$E$5:$E$1323,A44,LANÇAMENTOS!$B$5:$B$1323,"A pagar")</f>
        <v>2932.8500000000004</v>
      </c>
      <c r="E44" s="7">
        <f>C44+D44</f>
        <v>7161.199316</v>
      </c>
      <c r="F44" s="25" t="inlineStr">
        <is>
          <t>L01</t>
        </is>
      </c>
      <c r="G44" s="6" t="str">
        <f>IFERROR(VLOOKUP(F44,PARÂMETROS!$A$11:$C$19,3,FALSE),"linha inválida")</f>
        <v>Ferramentas manuais e pequenos equipamentos</v>
      </c>
      <c r="H44" s="6" t="inlineStr">
        <is>
          <t>Compra de ferramentas e materiais miúdos (categoria equipamentos e ferramentas)</t>
        </is>
      </c>
    </row>
    <row r="45">
      <c r="A45" s="6" t="inlineStr">
        <is>
          <t>PRECISION SISTEMA ELETRONICO DE PESAGEM LTDA</t>
        </is>
      </c>
      <c r="B45" s="6" t="inlineStr">
        <is>
          <t>EQUIPAMENTOS E FERRAMENTAS</t>
        </is>
      </c>
      <c r="C45" s="7">
        <f>SUMIFS(LANÇAMENTOS!$F$5:$F$1323,LANÇAMENTOS!$E$5:$E$1323,A45,LANÇAMENTOS!$B$5:$B$1323,"Pago")</f>
        <v>5913.35</v>
      </c>
      <c r="D45" s="7">
        <f>SUMIFS(LANÇAMENTOS!$F$5:$F$1323,LANÇAMENTOS!$E$5:$E$1323,A45,LANÇAMENTOS!$B$5:$B$1323,"A pagar")</f>
        <v>0.0</v>
      </c>
      <c r="E45" s="7">
        <f>C45+D45</f>
        <v>5913.35</v>
      </c>
      <c r="F45" s="25" t="inlineStr">
        <is>
          <t>L01</t>
        </is>
      </c>
      <c r="G45" s="6" t="str">
        <f>IFERROR(VLOOKUP(F45,PARÂMETROS!$A$11:$C$19,3,FALSE),"linha inválida")</f>
        <v>Ferramentas manuais e pequenos equipamentos</v>
      </c>
      <c r="H45" s="6" t="inlineStr">
        <is>
          <t>Compra de ferramentas e materiais miúdos (categoria equipamentos e ferramentas)</t>
        </is>
      </c>
    </row>
    <row r="46">
      <c r="A46" s="6" t="inlineStr">
        <is>
          <t>CONDUSCAMP CONDUTORES CAMPINAS LTDA</t>
        </is>
      </c>
      <c r="B46" s="6" t="inlineStr">
        <is>
          <t>MATERIAL ELÉTRICO</t>
        </is>
      </c>
      <c r="C46" s="7">
        <f>SUMIFS(LANÇAMENTOS!$F$5:$F$1323,LANÇAMENTOS!$E$5:$E$1323,A46,LANÇAMENTOS!$B$5:$B$1323,"Pago")</f>
        <v>5759.909999999999</v>
      </c>
      <c r="D46" s="7">
        <f>SUMIFS(LANÇAMENTOS!$F$5:$F$1323,LANÇAMENTOS!$E$5:$E$1323,A46,LANÇAMENTOS!$B$5:$B$1323,"A pagar")</f>
        <v>0.0</v>
      </c>
      <c r="E46" s="7">
        <f>C46+D46</f>
        <v>5759.909999999999</v>
      </c>
      <c r="F46" s="25" t="inlineStr">
        <is>
          <t>L01</t>
        </is>
      </c>
      <c r="G46" s="6" t="str">
        <f>IFERROR(VLOOKUP(F46,PARÂMETROS!$A$11:$C$19,3,FALSE),"linha inválida")</f>
        <v>Ferramentas manuais e pequenos equipamentos</v>
      </c>
      <c r="H46" s="6" t="inlineStr">
        <is>
          <t>Compra de ferramentas e materiais miúdos (categoria material elétrico)</t>
        </is>
      </c>
    </row>
    <row r="47">
      <c r="A47" s="6" t="inlineStr">
        <is>
          <t>ELISANGELA R. ROCHA CORDEIRO SERVICOS EIRELI</t>
        </is>
      </c>
      <c r="B47" s="6" t="inlineStr">
        <is>
          <t>EQUIPAMENTOS E FERRAMENTAS</t>
        </is>
      </c>
      <c r="C47" s="7">
        <f>SUMIFS(LANÇAMENTOS!$F$5:$F$1323,LANÇAMENTOS!$E$5:$E$1323,A47,LANÇAMENTOS!$B$5:$B$1323,"Pago")</f>
        <v>5171.5</v>
      </c>
      <c r="D47" s="7">
        <f>SUMIFS(LANÇAMENTOS!$F$5:$F$1323,LANÇAMENTOS!$E$5:$E$1323,A47,LANÇAMENTOS!$B$5:$B$1323,"A pagar")</f>
        <v>0.0</v>
      </c>
      <c r="E47" s="7">
        <f>C47+D47</f>
        <v>5171.5</v>
      </c>
      <c r="F47" s="25" t="inlineStr">
        <is>
          <t>L01</t>
        </is>
      </c>
      <c r="G47" s="6" t="str">
        <f>IFERROR(VLOOKUP(F47,PARÂMETROS!$A$11:$C$19,3,FALSE),"linha inválida")</f>
        <v>Ferramentas manuais e pequenos equipamentos</v>
      </c>
      <c r="H47" s="6" t="inlineStr">
        <is>
          <t>Compra de ferramentas e materiais miúdos (categoria equipamentos e ferramentas)</t>
        </is>
      </c>
    </row>
    <row r="48">
      <c r="A48" s="6" t="inlineStr">
        <is>
          <t>ARQ DESIGN MOVEIS PARA ESCRITORIO LTDA</t>
        </is>
      </c>
      <c r="B48" s="6" t="inlineStr">
        <is>
          <t>MÓVEIS E ELETRODOMÉSTICOS</t>
        </is>
      </c>
      <c r="C48" s="7">
        <f>SUMIFS(LANÇAMENTOS!$F$5:$F$1323,LANÇAMENTOS!$E$5:$E$1323,A48,LANÇAMENTOS!$B$5:$B$1323,"Pago")</f>
        <v>4820.0</v>
      </c>
      <c r="D48" s="7">
        <f>SUMIFS(LANÇAMENTOS!$F$5:$F$1323,LANÇAMENTOS!$E$5:$E$1323,A48,LANÇAMENTOS!$B$5:$B$1323,"A pagar")</f>
        <v>0.0</v>
      </c>
      <c r="E48" s="7">
        <f>C48+D48</f>
        <v>4820.0</v>
      </c>
      <c r="F48" s="25" t="inlineStr">
        <is>
          <t>L01</t>
        </is>
      </c>
      <c r="G48" s="6" t="str">
        <f>IFERROR(VLOOKUP(F48,PARÂMETROS!$A$11:$C$19,3,FALSE),"linha inválida")</f>
        <v>Ferramentas manuais e pequenos equipamentos</v>
      </c>
      <c r="H48" s="6" t="inlineStr">
        <is>
          <t>Compra de ferramentas e materiais miúdos (categoria móveis e eletrodomésticos)</t>
        </is>
      </c>
    </row>
    <row r="49">
      <c r="A49" s="6" t="inlineStr">
        <is>
          <t>ACOTEL INDUSTRIA E COMERCIO LTDA</t>
        </is>
      </c>
      <c r="B49" s="6" t="inlineStr">
        <is>
          <t>SERRALHERIA</t>
        </is>
      </c>
      <c r="C49" s="7">
        <f>SUMIFS(LANÇAMENTOS!$F$5:$F$1323,LANÇAMENTOS!$E$5:$E$1323,A49,LANÇAMENTOS!$B$5:$B$1323,"Pago")</f>
        <v>4792.999999999999</v>
      </c>
      <c r="D49" s="7">
        <f>SUMIFS(LANÇAMENTOS!$F$5:$F$1323,LANÇAMENTOS!$E$5:$E$1323,A49,LANÇAMENTOS!$B$5:$B$1323,"A pagar")</f>
        <v>0.0</v>
      </c>
      <c r="E49" s="7">
        <f>C49+D49</f>
        <v>4792.999999999999</v>
      </c>
      <c r="F49" s="25" t="inlineStr">
        <is>
          <t>L10</t>
        </is>
      </c>
      <c r="G49" s="6" t="str">
        <f>IFERROR(VLOOKUP(F49,PARÂMETROS!$A$11:$C$19,3,FALSE),"linha inválida")</f>
        <v>A classificar (sem linha definida)</v>
      </c>
      <c r="H49" s="6" t="inlineStr">
        <is>
          <t>Sem critério no financeiro (NÃO CLASSIFICADO / contrato): classificar pela medição</t>
        </is>
      </c>
    </row>
    <row r="50">
      <c r="A50" s="6" t="inlineStr">
        <is>
          <t>OMR CONSTRUCOES EIRELI</t>
        </is>
      </c>
      <c r="B50" s="6" t="inlineStr">
        <is>
          <t>SUB-EMPREITEIROS OBRAS</t>
        </is>
      </c>
      <c r="C50" s="7">
        <f>SUMIFS(LANÇAMENTOS!$F$5:$F$1323,LANÇAMENTOS!$E$5:$E$1323,A50,LANÇAMENTOS!$B$5:$B$1323,"Pago")</f>
        <v>4250.0</v>
      </c>
      <c r="D50" s="7">
        <f>SUMIFS(LANÇAMENTOS!$F$5:$F$1323,LANÇAMENTOS!$E$5:$E$1323,A50,LANÇAMENTOS!$B$5:$B$1323,"A pagar")</f>
        <v>0.0</v>
      </c>
      <c r="E50" s="7">
        <f>C50+D50</f>
        <v>4250.0</v>
      </c>
      <c r="F50" s="25" t="inlineStr">
        <is>
          <t>L10</t>
        </is>
      </c>
      <c r="G50" s="6" t="str">
        <f>IFERROR(VLOOKUP(F50,PARÂMETROS!$A$11:$C$19,3,FALSE),"linha inválida")</f>
        <v>A classificar (sem linha definida)</v>
      </c>
      <c r="H50" s="6" t="inlineStr">
        <is>
          <t>Sem critério no financeiro (NÃO CLASSIFICADO / contrato): classificar pela medição</t>
        </is>
      </c>
    </row>
    <row r="51">
      <c r="A51" s="6" t="inlineStr">
        <is>
          <t>DKD COMERCIO DE ACRILICO LTDA</t>
        </is>
      </c>
      <c r="B51" s="6" t="inlineStr">
        <is>
          <t>SUB-EMPREITEIROS OBRAS</t>
        </is>
      </c>
      <c r="C51" s="7">
        <f>SUMIFS(LANÇAMENTOS!$F$5:$F$1323,LANÇAMENTOS!$E$5:$E$1323,A51,LANÇAMENTOS!$B$5:$B$1323,"Pago")</f>
        <v>4000.0</v>
      </c>
      <c r="D51" s="7">
        <f>SUMIFS(LANÇAMENTOS!$F$5:$F$1323,LANÇAMENTOS!$E$5:$E$1323,A51,LANÇAMENTOS!$B$5:$B$1323,"A pagar")</f>
        <v>0.0</v>
      </c>
      <c r="E51" s="7">
        <f>C51+D51</f>
        <v>4000.0</v>
      </c>
      <c r="F51" s="25" t="inlineStr">
        <is>
          <t>L10</t>
        </is>
      </c>
      <c r="G51" s="6" t="str">
        <f>IFERROR(VLOOKUP(F51,PARÂMETROS!$A$11:$C$19,3,FALSE),"linha inválida")</f>
        <v>A classificar (sem linha definida)</v>
      </c>
      <c r="H51" s="6" t="inlineStr">
        <is>
          <t>Sem critério no financeiro (NÃO CLASSIFICADO / contrato): classificar pela medição</t>
        </is>
      </c>
    </row>
    <row r="52">
      <c r="A52" s="6" t="inlineStr">
        <is>
          <t>NAF PAINEIS ELETRICOS LTDA</t>
        </is>
      </c>
      <c r="B52" s="6" t="inlineStr">
        <is>
          <t>MATERIAL ELÉTRICO</t>
        </is>
      </c>
      <c r="C52" s="7">
        <f>SUMIFS(LANÇAMENTOS!$F$5:$F$1323,LANÇAMENTOS!$E$5:$E$1323,A52,LANÇAMENTOS!$B$5:$B$1323,"Pago")</f>
        <v>3672.9700000000003</v>
      </c>
      <c r="D52" s="7">
        <f>SUMIFS(LANÇAMENTOS!$F$5:$F$1323,LANÇAMENTOS!$E$5:$E$1323,A52,LANÇAMENTOS!$B$5:$B$1323,"A pagar")</f>
        <v>0.0</v>
      </c>
      <c r="E52" s="7">
        <f>C52+D52</f>
        <v>3672.9700000000003</v>
      </c>
      <c r="F52" s="25" t="inlineStr">
        <is>
          <t>L01</t>
        </is>
      </c>
      <c r="G52" s="6" t="str">
        <f>IFERROR(VLOOKUP(F52,PARÂMETROS!$A$11:$C$19,3,FALSE),"linha inválida")</f>
        <v>Ferramentas manuais e pequenos equipamentos</v>
      </c>
      <c r="H52" s="6" t="inlineStr">
        <is>
          <t>Compra de ferramentas e materiais miúdos (categoria material elétrico)</t>
        </is>
      </c>
    </row>
    <row r="53">
      <c r="A53" s="6" t="inlineStr">
        <is>
          <t>RJ FORNOS E FOGOES INDUSTRIAIS LTDA</t>
        </is>
      </c>
      <c r="B53" s="6" t="inlineStr">
        <is>
          <t>MÓVEIS E ELETRODOMÉSTICOS</t>
        </is>
      </c>
      <c r="C53" s="7">
        <f>SUMIFS(LANÇAMENTOS!$F$5:$F$1323,LANÇAMENTOS!$E$5:$E$1323,A53,LANÇAMENTOS!$B$5:$B$1323,"Pago")</f>
        <v>0.0</v>
      </c>
      <c r="D53" s="7">
        <f>SUMIFS(LANÇAMENTOS!$F$5:$F$1323,LANÇAMENTOS!$E$5:$E$1323,A53,LANÇAMENTOS!$B$5:$B$1323,"A pagar")</f>
        <v>3537.94</v>
      </c>
      <c r="E53" s="7">
        <f>C53+D53</f>
        <v>3537.94</v>
      </c>
      <c r="F53" s="25" t="inlineStr">
        <is>
          <t>L01</t>
        </is>
      </c>
      <c r="G53" s="6" t="str">
        <f>IFERROR(VLOOKUP(F53,PARÂMETROS!$A$11:$C$19,3,FALSE),"linha inválida")</f>
        <v>Ferramentas manuais e pequenos equipamentos</v>
      </c>
      <c r="H53" s="6" t="inlineStr">
        <is>
          <t>Compra de ferramentas e materiais miúdos (categoria móveis e eletrodomésticos)</t>
        </is>
      </c>
    </row>
    <row r="54">
      <c r="A54" s="6" t="inlineStr">
        <is>
          <t>NEOBETEL EPI, EQUIPAMENTOS DE PROTECAO INDIVIDUAL LTDA</t>
        </is>
      </c>
      <c r="B54" s="6" t="inlineStr">
        <is>
          <t>EQUIPAMENTOS DE PROTEÇÃO INDIVIDUAL</t>
        </is>
      </c>
      <c r="C54" s="7">
        <f>SUMIFS(LANÇAMENTOS!$F$5:$F$1323,LANÇAMENTOS!$E$5:$E$1323,A54,LANÇAMENTOS!$B$5:$B$1323,"Pago")</f>
        <v>3384.8200000000006</v>
      </c>
      <c r="D54" s="7">
        <f>SUMIFS(LANÇAMENTOS!$F$5:$F$1323,LANÇAMENTOS!$E$5:$E$1323,A54,LANÇAMENTOS!$B$5:$B$1323,"A pagar")</f>
        <v>0.0</v>
      </c>
      <c r="E54" s="7">
        <f>C54+D54</f>
        <v>3384.8200000000006</v>
      </c>
      <c r="F54" s="25" t="inlineStr">
        <is>
          <t>L08</t>
        </is>
      </c>
      <c r="G54" s="6" t="str">
        <f>IFERROR(VLOOKUP(F54,PARÂMETROS!$A$11:$C$19,3,FALSE),"linha inválida")</f>
        <v>Equipamentos de proteção coletiva (telas, sinalização)</v>
      </c>
      <c r="H54" s="6" t="inlineStr">
        <is>
          <t>Telas, sinalização e proteção (nome/categoria)</t>
        </is>
      </c>
    </row>
    <row r="55">
      <c r="A55" s="6" t="inlineStr">
        <is>
          <t>LOJA DOS PARAFUSOS LTDA</t>
        </is>
      </c>
      <c r="B55" s="6" t="inlineStr">
        <is>
          <t>ACESSÓRIOS DE FIXAÇÃO</t>
        </is>
      </c>
      <c r="C55" s="7">
        <f>SUMIFS(LANÇAMENTOS!$F$5:$F$1323,LANÇAMENTOS!$E$5:$E$1323,A55,LANÇAMENTOS!$B$5:$B$1323,"Pago")</f>
        <v>3185.56</v>
      </c>
      <c r="D55" s="7">
        <f>SUMIFS(LANÇAMENTOS!$F$5:$F$1323,LANÇAMENTOS!$E$5:$E$1323,A55,LANÇAMENTOS!$B$5:$B$1323,"A pagar")</f>
        <v>0.0</v>
      </c>
      <c r="E55" s="7">
        <f>C55+D55</f>
        <v>3185.56</v>
      </c>
      <c r="F55" s="25" t="inlineStr">
        <is>
          <t>L01</t>
        </is>
      </c>
      <c r="G55" s="6" t="str">
        <f>IFERROR(VLOOKUP(F55,PARÂMETROS!$A$11:$C$19,3,FALSE),"linha inválida")</f>
        <v>Ferramentas manuais e pequenos equipamentos</v>
      </c>
      <c r="H55" s="6" t="inlineStr">
        <is>
          <t>Compra de ferramentas e materiais miúdos (categoria acessórios de fixação)</t>
        </is>
      </c>
    </row>
    <row r="56">
      <c r="A56" s="6" t="inlineStr">
        <is>
          <t>QUALITY FIX DO BRASIL, INDUSTRIA, COMERCIO, IMPORTACAO E EXPORTACAO LTDA</t>
        </is>
      </c>
      <c r="B56" s="6" t="inlineStr">
        <is>
          <t>EQUIPAMENTOS E FERRAMENTAS</t>
        </is>
      </c>
      <c r="C56" s="7">
        <f>SUMIFS(LANÇAMENTOS!$F$5:$F$1323,LANÇAMENTOS!$E$5:$E$1323,A56,LANÇAMENTOS!$B$5:$B$1323,"Pago")</f>
        <v>3133.0600000000004</v>
      </c>
      <c r="D56" s="7">
        <f>SUMIFS(LANÇAMENTOS!$F$5:$F$1323,LANÇAMENTOS!$E$5:$E$1323,A56,LANÇAMENTOS!$B$5:$B$1323,"A pagar")</f>
        <v>0.0</v>
      </c>
      <c r="E56" s="7">
        <f>C56+D56</f>
        <v>3133.0600000000004</v>
      </c>
      <c r="F56" s="25" t="inlineStr">
        <is>
          <t>L01</t>
        </is>
      </c>
      <c r="G56" s="6" t="str">
        <f>IFERROR(VLOOKUP(F56,PARÂMETROS!$A$11:$C$19,3,FALSE),"linha inválida")</f>
        <v>Ferramentas manuais e pequenos equipamentos</v>
      </c>
      <c r="H56" s="6" t="inlineStr">
        <is>
          <t>Compra de ferramentas e materiais miúdos (categoria equipamentos e ferramentas)</t>
        </is>
      </c>
    </row>
    <row r="57">
      <c r="A57" s="6" t="inlineStr">
        <is>
          <t>CASA &amp; TINTA COMERCIAL LTDA</t>
        </is>
      </c>
      <c r="B57" s="6" t="inlineStr">
        <is>
          <t>MATERIAL DE PINTURA</t>
        </is>
      </c>
      <c r="C57" s="7">
        <f>SUMIFS(LANÇAMENTOS!$F$5:$F$1323,LANÇAMENTOS!$E$5:$E$1323,A57,LANÇAMENTOS!$B$5:$B$1323,"Pago")</f>
        <v>2989.5</v>
      </c>
      <c r="D57" s="7">
        <f>SUMIFS(LANÇAMENTOS!$F$5:$F$1323,LANÇAMENTOS!$E$5:$E$1323,A57,LANÇAMENTOS!$B$5:$B$1323,"A pagar")</f>
        <v>0.0</v>
      </c>
      <c r="E57" s="7">
        <f>C57+D57</f>
        <v>2989.5</v>
      </c>
      <c r="F57" s="25" t="inlineStr">
        <is>
          <t>L01</t>
        </is>
      </c>
      <c r="G57" s="6" t="str">
        <f>IFERROR(VLOOKUP(F57,PARÂMETROS!$A$11:$C$19,3,FALSE),"linha inválida")</f>
        <v>Ferramentas manuais e pequenos equipamentos</v>
      </c>
      <c r="H57" s="6" t="inlineStr">
        <is>
          <t>Compra de ferramentas e materiais miúdos (categoria material de pintura)</t>
        </is>
      </c>
    </row>
    <row r="58">
      <c r="A58" s="6" t="inlineStr">
        <is>
          <t>59.857.558 RONEI MARCELO DOS REIS</t>
        </is>
      </c>
      <c r="B58" s="6" t="inlineStr">
        <is>
          <t>NÃO CLASSIFICADO</t>
        </is>
      </c>
      <c r="C58" s="7">
        <f>SUMIFS(LANÇAMENTOS!$F$5:$F$1323,LANÇAMENTOS!$E$5:$E$1323,A58,LANÇAMENTOS!$B$5:$B$1323,"Pago")</f>
        <v>2977.4</v>
      </c>
      <c r="D58" s="7">
        <f>SUMIFS(LANÇAMENTOS!$F$5:$F$1323,LANÇAMENTOS!$E$5:$E$1323,A58,LANÇAMENTOS!$B$5:$B$1323,"A pagar")</f>
        <v>0.0</v>
      </c>
      <c r="E58" s="7">
        <f>C58+D58</f>
        <v>2977.4</v>
      </c>
      <c r="F58" s="25" t="inlineStr">
        <is>
          <t>L10</t>
        </is>
      </c>
      <c r="G58" s="6" t="str">
        <f>IFERROR(VLOOKUP(F58,PARÂMETROS!$A$11:$C$19,3,FALSE),"linha inválida")</f>
        <v>A classificar (sem linha definida)</v>
      </c>
      <c r="H58" s="6" t="inlineStr">
        <is>
          <t>Sem critério no financeiro (NÃO CLASSIFICADO / contrato): classificar pela medição</t>
        </is>
      </c>
    </row>
    <row r="59">
      <c r="A59" s="6" t="inlineStr">
        <is>
          <t>BUNZL EQUIPAMENTOS PARA PROTECAO INDIVIDUAL LTDA</t>
        </is>
      </c>
      <c r="B59" s="6" t="inlineStr">
        <is>
          <t>EQUIPAMENTOS DE PROTEÇÃO INDIVIDUAL</t>
        </is>
      </c>
      <c r="C59" s="7">
        <f>SUMIFS(LANÇAMENTOS!$F$5:$F$1323,LANÇAMENTOS!$E$5:$E$1323,A59,LANÇAMENTOS!$B$5:$B$1323,"Pago")</f>
        <v>2875.0</v>
      </c>
      <c r="D59" s="7">
        <f>SUMIFS(LANÇAMENTOS!$F$5:$F$1323,LANÇAMENTOS!$E$5:$E$1323,A59,LANÇAMENTOS!$B$5:$B$1323,"A pagar")</f>
        <v>0.0</v>
      </c>
      <c r="E59" s="7">
        <f>C59+D59</f>
        <v>2875.0</v>
      </c>
      <c r="F59" s="25" t="inlineStr">
        <is>
          <t>L08</t>
        </is>
      </c>
      <c r="G59" s="6" t="str">
        <f>IFERROR(VLOOKUP(F59,PARÂMETROS!$A$11:$C$19,3,FALSE),"linha inválida")</f>
        <v>Equipamentos de proteção coletiva (telas, sinalização)</v>
      </c>
      <c r="H59" s="6" t="inlineStr">
        <is>
          <t>Telas, sinalização e proteção (nome/categoria)</t>
        </is>
      </c>
    </row>
    <row r="60">
      <c r="A60" s="6" t="inlineStr">
        <is>
          <t>S &amp; S IND. E COM. DE CONFECCOES LTDA</t>
        </is>
      </c>
      <c r="B60" s="6" t="inlineStr">
        <is>
          <t>EQUIPAMENTOS DE PROTEÇÃO INDIVIDUAL</t>
        </is>
      </c>
      <c r="C60" s="7">
        <f>SUMIFS(LANÇAMENTOS!$F$5:$F$1323,LANÇAMENTOS!$E$5:$E$1323,A60,LANÇAMENTOS!$B$5:$B$1323,"Pago")</f>
        <v>2818.3000069999985</v>
      </c>
      <c r="D60" s="7">
        <f>SUMIFS(LANÇAMENTOS!$F$5:$F$1323,LANÇAMENTOS!$E$5:$E$1323,A60,LANÇAMENTOS!$B$5:$B$1323,"A pagar")</f>
        <v>0.0</v>
      </c>
      <c r="E60" s="7">
        <f>C60+D60</f>
        <v>2818.3000069999985</v>
      </c>
      <c r="F60" s="25" t="inlineStr">
        <is>
          <t>L08</t>
        </is>
      </c>
      <c r="G60" s="6" t="str">
        <f>IFERROR(VLOOKUP(F60,PARÂMETROS!$A$11:$C$19,3,FALSE),"linha inválida")</f>
        <v>Equipamentos de proteção coletiva (telas, sinalização)</v>
      </c>
      <c r="H60" s="6" t="inlineStr">
        <is>
          <t>Telas, sinalização e proteção (nome/categoria)</t>
        </is>
      </c>
    </row>
    <row r="61">
      <c r="A61" s="6" t="inlineStr">
        <is>
          <t>A.F SILVA EQUIPAMENTOS LTDA</t>
        </is>
      </c>
      <c r="B61" s="6" t="inlineStr">
        <is>
          <t>EQUIPAMENTOS E FERRAMENTAS</t>
        </is>
      </c>
      <c r="C61" s="7">
        <f>SUMIFS(LANÇAMENTOS!$F$5:$F$1323,LANÇAMENTOS!$E$5:$E$1323,A61,LANÇAMENTOS!$B$5:$B$1323,"Pago")</f>
        <v>2750.0</v>
      </c>
      <c r="D61" s="7">
        <f>SUMIFS(LANÇAMENTOS!$F$5:$F$1323,LANÇAMENTOS!$E$5:$E$1323,A61,LANÇAMENTOS!$B$5:$B$1323,"A pagar")</f>
        <v>0.0</v>
      </c>
      <c r="E61" s="7">
        <f>C61+D61</f>
        <v>2750.0</v>
      </c>
      <c r="F61" s="25" t="inlineStr">
        <is>
          <t>L01</t>
        </is>
      </c>
      <c r="G61" s="6" t="str">
        <f>IFERROR(VLOOKUP(F61,PARÂMETROS!$A$11:$C$19,3,FALSE),"linha inválida")</f>
        <v>Ferramentas manuais e pequenos equipamentos</v>
      </c>
      <c r="H61" s="6" t="inlineStr">
        <is>
          <t>Compra de ferramentas e materiais miúdos (categoria equipamentos e ferramentas)</t>
        </is>
      </c>
    </row>
    <row r="62">
      <c r="A62" s="6" t="inlineStr">
        <is>
          <t>BILHARES E SINUCAS COMERCIO DE ARTIGOS RECREATIVOS ESPORTIVOS E BRINQUEDOS LTDA</t>
        </is>
      </c>
      <c r="B62" s="6" t="inlineStr">
        <is>
          <t>EQUIPAMENTOS DE GINÁSTICA E BRINQUEDOS</t>
        </is>
      </c>
      <c r="C62" s="7">
        <f>SUMIFS(LANÇAMENTOS!$F$5:$F$1323,LANÇAMENTOS!$E$5:$E$1323,A62,LANÇAMENTOS!$B$5:$B$1323,"Pago")</f>
        <v>2750.0</v>
      </c>
      <c r="D62" s="7">
        <f>SUMIFS(LANÇAMENTOS!$F$5:$F$1323,LANÇAMENTOS!$E$5:$E$1323,A62,LANÇAMENTOS!$B$5:$B$1323,"A pagar")</f>
        <v>0.0</v>
      </c>
      <c r="E62" s="7">
        <f>C62+D62</f>
        <v>2750.0</v>
      </c>
      <c r="F62" s="25" t="inlineStr">
        <is>
          <t>L01</t>
        </is>
      </c>
      <c r="G62" s="6" t="str">
        <f>IFERROR(VLOOKUP(F62,PARÂMETROS!$A$11:$C$19,3,FALSE),"linha inválida")</f>
        <v>Ferramentas manuais e pequenos equipamentos</v>
      </c>
      <c r="H62" s="6" t="inlineStr">
        <is>
          <t>Compra de ferramentas e materiais miúdos (categoria equipamentos de ginástica e brinquedos)</t>
        </is>
      </c>
    </row>
    <row r="63">
      <c r="A63" s="6" t="inlineStr">
        <is>
          <t>ALUGERAIS COMERCIO DE ALUMINIO LTDA</t>
        </is>
      </c>
      <c r="B63" s="6" t="inlineStr">
        <is>
          <t>EQUIPAMENTOS E FERRAMENTAS</t>
        </is>
      </c>
      <c r="C63" s="7">
        <f>SUMIFS(LANÇAMENTOS!$F$5:$F$1323,LANÇAMENTOS!$E$5:$E$1323,A63,LANÇAMENTOS!$B$5:$B$1323,"Pago")</f>
        <v>2594.0</v>
      </c>
      <c r="D63" s="7">
        <f>SUMIFS(LANÇAMENTOS!$F$5:$F$1323,LANÇAMENTOS!$E$5:$E$1323,A63,LANÇAMENTOS!$B$5:$B$1323,"A pagar")</f>
        <v>0.0</v>
      </c>
      <c r="E63" s="7">
        <f>C63+D63</f>
        <v>2594.0</v>
      </c>
      <c r="F63" s="25" t="inlineStr">
        <is>
          <t>L01</t>
        </is>
      </c>
      <c r="G63" s="6" t="str">
        <f>IFERROR(VLOOKUP(F63,PARÂMETROS!$A$11:$C$19,3,FALSE),"linha inválida")</f>
        <v>Ferramentas manuais e pequenos equipamentos</v>
      </c>
      <c r="H63" s="6" t="inlineStr">
        <is>
          <t>Compra de ferramentas e materiais miúdos (categoria equipamentos e ferramentas)</t>
        </is>
      </c>
    </row>
    <row r="64">
      <c r="A64" s="6" t="inlineStr">
        <is>
          <t>ADEMILSON ROSA DO CARMO 07607064680</t>
        </is>
      </c>
      <c r="B64" s="6" t="inlineStr">
        <is>
          <t>NÃO CLASSIFICADO</t>
        </is>
      </c>
      <c r="C64" s="7">
        <f>SUMIFS(LANÇAMENTOS!$F$5:$F$1323,LANÇAMENTOS!$E$5:$E$1323,A64,LANÇAMENTOS!$B$5:$B$1323,"Pago")</f>
        <v>2480.0000000000005</v>
      </c>
      <c r="D64" s="7">
        <f>SUMIFS(LANÇAMENTOS!$F$5:$F$1323,LANÇAMENTOS!$E$5:$E$1323,A64,LANÇAMENTOS!$B$5:$B$1323,"A pagar")</f>
        <v>0.0</v>
      </c>
      <c r="E64" s="7">
        <f>C64+D64</f>
        <v>2480.0000000000005</v>
      </c>
      <c r="F64" s="25" t="inlineStr">
        <is>
          <t>L10</t>
        </is>
      </c>
      <c r="G64" s="6" t="str">
        <f>IFERROR(VLOOKUP(F64,PARÂMETROS!$A$11:$C$19,3,FALSE),"linha inválida")</f>
        <v>A classificar (sem linha definida)</v>
      </c>
      <c r="H64" s="6" t="inlineStr">
        <is>
          <t>Sem critério no financeiro (NÃO CLASSIFICADO / contrato): classificar pela medição</t>
        </is>
      </c>
    </row>
    <row r="65">
      <c r="A65" s="6" t="inlineStr">
        <is>
          <t>FASSA DO BRASIL INDUSTRIA E COMERCIO LTDA</t>
        </is>
      </c>
      <c r="B65" s="6" t="inlineStr">
        <is>
          <t>EQUIPAMENTOS E FERRAMENTAS</t>
        </is>
      </c>
      <c r="C65" s="7">
        <f>SUMIFS(LANÇAMENTOS!$F$5:$F$1323,LANÇAMENTOS!$E$5:$E$1323,A65,LANÇAMENTOS!$B$5:$B$1323,"Pago")</f>
        <v>2158.9</v>
      </c>
      <c r="D65" s="7">
        <f>SUMIFS(LANÇAMENTOS!$F$5:$F$1323,LANÇAMENTOS!$E$5:$E$1323,A65,LANÇAMENTOS!$B$5:$B$1323,"A pagar")</f>
        <v>0.0</v>
      </c>
      <c r="E65" s="7">
        <f>C65+D65</f>
        <v>2158.9</v>
      </c>
      <c r="F65" s="25" t="inlineStr">
        <is>
          <t>L01</t>
        </is>
      </c>
      <c r="G65" s="6" t="str">
        <f>IFERROR(VLOOKUP(F65,PARÂMETROS!$A$11:$C$19,3,FALSE),"linha inválida")</f>
        <v>Ferramentas manuais e pequenos equipamentos</v>
      </c>
      <c r="H65" s="6" t="inlineStr">
        <is>
          <t>Compra de ferramentas e materiais miúdos (categoria equipamentos e ferramentas)</t>
        </is>
      </c>
    </row>
    <row r="66">
      <c r="A66" s="6" t="inlineStr">
        <is>
          <t>SCANMETAL - INDUSTRIA, COMERCIO, IMPORTACAO E EXPORTACAO DE FERRAMENTAS LTDA</t>
        </is>
      </c>
      <c r="B66" s="6" t="inlineStr">
        <is>
          <t>EQUIPAMENTOS E FERRAMENTAS</t>
        </is>
      </c>
      <c r="C66" s="7">
        <f>SUMIFS(LANÇAMENTOS!$F$5:$F$1323,LANÇAMENTOS!$E$5:$E$1323,A66,LANÇAMENTOS!$B$5:$B$1323,"Pago")</f>
        <v>1796.0</v>
      </c>
      <c r="D66" s="7">
        <f>SUMIFS(LANÇAMENTOS!$F$5:$F$1323,LANÇAMENTOS!$E$5:$E$1323,A66,LANÇAMENTOS!$B$5:$B$1323,"A pagar")</f>
        <v>0.0</v>
      </c>
      <c r="E66" s="7">
        <f>C66+D66</f>
        <v>1796.0</v>
      </c>
      <c r="F66" s="25" t="inlineStr">
        <is>
          <t>L01</t>
        </is>
      </c>
      <c r="G66" s="6" t="str">
        <f>IFERROR(VLOOKUP(F66,PARÂMETROS!$A$11:$C$19,3,FALSE),"linha inválida")</f>
        <v>Ferramentas manuais e pequenos equipamentos</v>
      </c>
      <c r="H66" s="6" t="inlineStr">
        <is>
          <t>Compra de ferramentas e materiais miúdos (categoria equipamentos e ferramentas)</t>
        </is>
      </c>
    </row>
    <row r="67">
      <c r="A67" s="6" t="inlineStr">
        <is>
          <t>CAR MANUTENCAO DE FERRAMENTAS INDUSTRIAIS LTDA</t>
        </is>
      </c>
      <c r="B67" s="6" t="inlineStr">
        <is>
          <t>NÃO CLASSIFICADO</t>
        </is>
      </c>
      <c r="C67" s="7">
        <f>SUMIFS(LANÇAMENTOS!$F$5:$F$1323,LANÇAMENTOS!$E$5:$E$1323,A67,LANÇAMENTOS!$B$5:$B$1323,"Pago")</f>
        <v>1715.0</v>
      </c>
      <c r="D67" s="7">
        <f>SUMIFS(LANÇAMENTOS!$F$5:$F$1323,LANÇAMENTOS!$E$5:$E$1323,A67,LANÇAMENTOS!$B$5:$B$1323,"A pagar")</f>
        <v>0.0</v>
      </c>
      <c r="E67" s="7">
        <f>C67+D67</f>
        <v>1715.0</v>
      </c>
      <c r="F67" s="25" t="inlineStr">
        <is>
          <t>L10</t>
        </is>
      </c>
      <c r="G67" s="6" t="str">
        <f>IFERROR(VLOOKUP(F67,PARÂMETROS!$A$11:$C$19,3,FALSE),"linha inválida")</f>
        <v>A classificar (sem linha definida)</v>
      </c>
      <c r="H67" s="6" t="inlineStr">
        <is>
          <t>Sem critério no financeiro (NÃO CLASSIFICADO / contrato): classificar pela medição</t>
        </is>
      </c>
    </row>
    <row r="68">
      <c r="A68" s="6" t="inlineStr">
        <is>
          <t>ROSA GONCALVES COMERCIO DE MATERIAIS DE CONSTRUCAO LTDA</t>
        </is>
      </c>
      <c r="B68" s="6" t="inlineStr">
        <is>
          <t>EQUIPAMENTOS E FERRAMENTAS</t>
        </is>
      </c>
      <c r="C68" s="7">
        <f>SUMIFS(LANÇAMENTOS!$F$5:$F$1323,LANÇAMENTOS!$E$5:$E$1323,A68,LANÇAMENTOS!$B$5:$B$1323,"Pago")</f>
        <v>1593.9</v>
      </c>
      <c r="D68" s="7">
        <f>SUMIFS(LANÇAMENTOS!$F$5:$F$1323,LANÇAMENTOS!$E$5:$E$1323,A68,LANÇAMENTOS!$B$5:$B$1323,"A pagar")</f>
        <v>0.0</v>
      </c>
      <c r="E68" s="7">
        <f>C68+D68</f>
        <v>1593.9</v>
      </c>
      <c r="F68" s="25" t="inlineStr">
        <is>
          <t>L01</t>
        </is>
      </c>
      <c r="G68" s="6" t="str">
        <f>IFERROR(VLOOKUP(F68,PARÂMETROS!$A$11:$C$19,3,FALSE),"linha inválida")</f>
        <v>Ferramentas manuais e pequenos equipamentos</v>
      </c>
      <c r="H68" s="6" t="inlineStr">
        <is>
          <t>Compra de ferramentas e materiais miúdos (categoria equipamentos e ferramentas)</t>
        </is>
      </c>
    </row>
    <row r="69">
      <c r="A69" s="6" t="inlineStr">
        <is>
          <t>CASA DO FRENTISTA COMERCIO DE MAQUINAS LTDA</t>
        </is>
      </c>
      <c r="B69" s="6" t="inlineStr">
        <is>
          <t>EQUIPAMENTOS E FERRAMENTAS</t>
        </is>
      </c>
      <c r="C69" s="7">
        <f>SUMIFS(LANÇAMENTOS!$F$5:$F$1323,LANÇAMENTOS!$E$5:$E$1323,A69,LANÇAMENTOS!$B$5:$B$1323,"Pago")</f>
        <v>1593.48</v>
      </c>
      <c r="D69" s="7">
        <f>SUMIFS(LANÇAMENTOS!$F$5:$F$1323,LANÇAMENTOS!$E$5:$E$1323,A69,LANÇAMENTOS!$B$5:$B$1323,"A pagar")</f>
        <v>0.0</v>
      </c>
      <c r="E69" s="7">
        <f>C69+D69</f>
        <v>1593.48</v>
      </c>
      <c r="F69" s="25" t="inlineStr">
        <is>
          <t>L01</t>
        </is>
      </c>
      <c r="G69" s="6" t="str">
        <f>IFERROR(VLOOKUP(F69,PARÂMETROS!$A$11:$C$19,3,FALSE),"linha inválida")</f>
        <v>Ferramentas manuais e pequenos equipamentos</v>
      </c>
      <c r="H69" s="6" t="inlineStr">
        <is>
          <t>Compra de ferramentas e materiais miúdos (categoria equipamentos e ferramentas)</t>
        </is>
      </c>
    </row>
    <row r="70">
      <c r="A70" s="6" t="inlineStr">
        <is>
          <t>SHIRLE JUSTINO DE SOUZA HIRLE 08026685695</t>
        </is>
      </c>
      <c r="B70" s="6" t="inlineStr">
        <is>
          <t>NÃO CLASSIFICADO</t>
        </is>
      </c>
      <c r="C70" s="7">
        <f>SUMIFS(LANÇAMENTOS!$F$5:$F$1323,LANÇAMENTOS!$E$5:$E$1323,A70,LANÇAMENTOS!$B$5:$B$1323,"Pago")</f>
        <v>1540.0000000000002</v>
      </c>
      <c r="D70" s="7">
        <f>SUMIFS(LANÇAMENTOS!$F$5:$F$1323,LANÇAMENTOS!$E$5:$E$1323,A70,LANÇAMENTOS!$B$5:$B$1323,"A pagar")</f>
        <v>0.0</v>
      </c>
      <c r="E70" s="7">
        <f>C70+D70</f>
        <v>1540.0000000000002</v>
      </c>
      <c r="F70" s="25" t="inlineStr">
        <is>
          <t>L10</t>
        </is>
      </c>
      <c r="G70" s="6" t="str">
        <f>IFERROR(VLOOKUP(F70,PARÂMETROS!$A$11:$C$19,3,FALSE),"linha inválida")</f>
        <v>A classificar (sem linha definida)</v>
      </c>
      <c r="H70" s="6" t="inlineStr">
        <is>
          <t>Sem critério no financeiro (NÃO CLASSIFICADO / contrato): classificar pela medição</t>
        </is>
      </c>
    </row>
    <row r="71">
      <c r="A71" s="6" t="inlineStr">
        <is>
          <t>ORGANIZACAO HC LTDA</t>
        </is>
      </c>
      <c r="B71" s="6" t="inlineStr">
        <is>
          <t>NÃO CLASSIFICADO</t>
        </is>
      </c>
      <c r="C71" s="7">
        <f>SUMIFS(LANÇAMENTOS!$F$5:$F$1323,LANÇAMENTOS!$E$5:$E$1323,A71,LANÇAMENTOS!$B$5:$B$1323,"Pago")</f>
        <v>1500.0</v>
      </c>
      <c r="D71" s="7">
        <f>SUMIFS(LANÇAMENTOS!$F$5:$F$1323,LANÇAMENTOS!$E$5:$E$1323,A71,LANÇAMENTOS!$B$5:$B$1323,"A pagar")</f>
        <v>0.0</v>
      </c>
      <c r="E71" s="7">
        <f>C71+D71</f>
        <v>1500.0</v>
      </c>
      <c r="F71" s="25" t="inlineStr">
        <is>
          <t>L10</t>
        </is>
      </c>
      <c r="G71" s="6" t="str">
        <f>IFERROR(VLOOKUP(F71,PARÂMETROS!$A$11:$C$19,3,FALSE),"linha inválida")</f>
        <v>A classificar (sem linha definida)</v>
      </c>
      <c r="H71" s="6" t="inlineStr">
        <is>
          <t>Sem critério no financeiro (NÃO CLASSIFICADO / contrato): classificar pela medição</t>
        </is>
      </c>
    </row>
    <row r="72">
      <c r="A72" s="6" t="inlineStr">
        <is>
          <t>BLOW BRASIL INDUSTRIA DE TRANSFORMACAO DE PLASTICO LTDA</t>
        </is>
      </c>
      <c r="B72" s="6" t="inlineStr">
        <is>
          <t>EQUIPAMENTOS E FERRAMENTAS</t>
        </is>
      </c>
      <c r="C72" s="7">
        <f>SUMIFS(LANÇAMENTOS!$F$5:$F$1323,LANÇAMENTOS!$E$5:$E$1323,A72,LANÇAMENTOS!$B$5:$B$1323,"Pago")</f>
        <v>1328.94</v>
      </c>
      <c r="D72" s="7">
        <f>SUMIFS(LANÇAMENTOS!$F$5:$F$1323,LANÇAMENTOS!$E$5:$E$1323,A72,LANÇAMENTOS!$B$5:$B$1323,"A pagar")</f>
        <v>0.0</v>
      </c>
      <c r="E72" s="7">
        <f>C72+D72</f>
        <v>1328.94</v>
      </c>
      <c r="F72" s="25" t="inlineStr">
        <is>
          <t>L01</t>
        </is>
      </c>
      <c r="G72" s="6" t="str">
        <f>IFERROR(VLOOKUP(F72,PARÂMETROS!$A$11:$C$19,3,FALSE),"linha inválida")</f>
        <v>Ferramentas manuais e pequenos equipamentos</v>
      </c>
      <c r="H72" s="6" t="inlineStr">
        <is>
          <t>Compra de ferramentas e materiais miúdos (categoria equipamentos e ferramentas)</t>
        </is>
      </c>
    </row>
    <row r="73">
      <c r="A73" s="6" t="inlineStr">
        <is>
          <t>AMBIPLAN TERRAPLENAGEME LOCACOES</t>
        </is>
      </c>
      <c r="B73" s="6" t="inlineStr">
        <is>
          <t>SUB-EMPREITEIROS OBRAS</t>
        </is>
      </c>
      <c r="C73" s="7">
        <f>SUMIFS(LANÇAMENTOS!$F$5:$F$1323,LANÇAMENTOS!$E$5:$E$1323,A73,LANÇAMENTOS!$B$5:$B$1323,"Pago")</f>
        <v>1300.0</v>
      </c>
      <c r="D73" s="7">
        <f>SUMIFS(LANÇAMENTOS!$F$5:$F$1323,LANÇAMENTOS!$E$5:$E$1323,A73,LANÇAMENTOS!$B$5:$B$1323,"A pagar")</f>
        <v>0.0</v>
      </c>
      <c r="E73" s="7">
        <f>C73+D73</f>
        <v>1300.0</v>
      </c>
      <c r="F73" s="25" t="inlineStr">
        <is>
          <t>L02</t>
        </is>
      </c>
      <c r="G73" s="6" t="str">
        <f>IFERROR(VLOOKUP(F73,PARÂMETROS!$A$11:$C$19,3,FALSE),"linha inválida")</f>
        <v>Movimento de terra, manipulador e transporte vertical leve</v>
      </c>
      <c r="H73" s="6" t="inlineStr">
        <is>
          <t>Máquinas, transporte e combustível: confirmar</t>
        </is>
      </c>
    </row>
    <row r="74">
      <c r="A74" s="6" t="inlineStr">
        <is>
          <t>ATACADAO DAS TINTAS LTDA</t>
        </is>
      </c>
      <c r="B74" s="6" t="inlineStr">
        <is>
          <t>MATERIAL DE PINTURA</t>
        </is>
      </c>
      <c r="C74" s="7">
        <f>SUMIFS(LANÇAMENTOS!$F$5:$F$1323,LANÇAMENTOS!$E$5:$E$1323,A74,LANÇAMENTOS!$B$5:$B$1323,"Pago")</f>
        <v>1111.11</v>
      </c>
      <c r="D74" s="7">
        <f>SUMIFS(LANÇAMENTOS!$F$5:$F$1323,LANÇAMENTOS!$E$5:$E$1323,A74,LANÇAMENTOS!$B$5:$B$1323,"A pagar")</f>
        <v>0.0</v>
      </c>
      <c r="E74" s="7">
        <f>C74+D74</f>
        <v>1111.11</v>
      </c>
      <c r="F74" s="25" t="inlineStr">
        <is>
          <t>L01</t>
        </is>
      </c>
      <c r="G74" s="6" t="str">
        <f>IFERROR(VLOOKUP(F74,PARÂMETROS!$A$11:$C$19,3,FALSE),"linha inválida")</f>
        <v>Ferramentas manuais e pequenos equipamentos</v>
      </c>
      <c r="H74" s="6" t="inlineStr">
        <is>
          <t>Compra de ferramentas e materiais miúdos (categoria material de pintura)</t>
        </is>
      </c>
    </row>
    <row r="75">
      <c r="A75" s="6" t="inlineStr">
        <is>
          <t>PERFILADOS MACOVI LTDA</t>
        </is>
      </c>
      <c r="B75" s="6" t="inlineStr">
        <is>
          <t>SERRALHERIA</t>
        </is>
      </c>
      <c r="C75" s="7">
        <f>SUMIFS(LANÇAMENTOS!$F$5:$F$1323,LANÇAMENTOS!$E$5:$E$1323,A75,LANÇAMENTOS!$B$5:$B$1323,"Pago")</f>
        <v>1044.22</v>
      </c>
      <c r="D75" s="7">
        <f>SUMIFS(LANÇAMENTOS!$F$5:$F$1323,LANÇAMENTOS!$E$5:$E$1323,A75,LANÇAMENTOS!$B$5:$B$1323,"A pagar")</f>
        <v>0.0</v>
      </c>
      <c r="E75" s="7">
        <f>C75+D75</f>
        <v>1044.22</v>
      </c>
      <c r="F75" s="25" t="inlineStr">
        <is>
          <t>L10</t>
        </is>
      </c>
      <c r="G75" s="6" t="str">
        <f>IFERROR(VLOOKUP(F75,PARÂMETROS!$A$11:$C$19,3,FALSE),"linha inválida")</f>
        <v>A classificar (sem linha definida)</v>
      </c>
      <c r="H75" s="6" t="inlineStr">
        <is>
          <t>Sem critério no financeiro (NÃO CLASSIFICADO / contrato): classificar pela medição</t>
        </is>
      </c>
    </row>
    <row r="76">
      <c r="A76" s="6" t="inlineStr">
        <is>
          <t>IMA EQUIPAMENTOS DE PROTECAO INDIVIDUAL LTDA</t>
        </is>
      </c>
      <c r="B76" s="6" t="inlineStr">
        <is>
          <t>SINALIZAÇÃO</t>
        </is>
      </c>
      <c r="C76" s="7">
        <f>SUMIFS(LANÇAMENTOS!$F$5:$F$1323,LANÇAMENTOS!$E$5:$E$1323,A76,LANÇAMENTOS!$B$5:$B$1323,"Pago")</f>
        <v>1009.8404189999999</v>
      </c>
      <c r="D76" s="7">
        <f>SUMIFS(LANÇAMENTOS!$F$5:$F$1323,LANÇAMENTOS!$E$5:$E$1323,A76,LANÇAMENTOS!$B$5:$B$1323,"A pagar")</f>
        <v>0.0</v>
      </c>
      <c r="E76" s="7">
        <f>C76+D76</f>
        <v>1009.8404189999999</v>
      </c>
      <c r="F76" s="25" t="inlineStr">
        <is>
          <t>L08</t>
        </is>
      </c>
      <c r="G76" s="6" t="str">
        <f>IFERROR(VLOOKUP(F76,PARÂMETROS!$A$11:$C$19,3,FALSE),"linha inválida")</f>
        <v>Equipamentos de proteção coletiva (telas, sinalização)</v>
      </c>
      <c r="H76" s="6" t="inlineStr">
        <is>
          <t>Telas, sinalização e proteção (nome/categoria)</t>
        </is>
      </c>
    </row>
    <row r="77">
      <c r="A77" s="6" t="inlineStr">
        <is>
          <t>JSS AGENCIAMENTOS E TRANSPORTES LTDA</t>
        </is>
      </c>
      <c r="B77" s="6" t="inlineStr">
        <is>
          <t>NÃO CLASSIFICADO</t>
        </is>
      </c>
      <c r="C77" s="7">
        <f>SUMIFS(LANÇAMENTOS!$F$5:$F$1323,LANÇAMENTOS!$E$5:$E$1323,A77,LANÇAMENTOS!$B$5:$B$1323,"Pago")</f>
        <v>950.0</v>
      </c>
      <c r="D77" s="7">
        <f>SUMIFS(LANÇAMENTOS!$F$5:$F$1323,LANÇAMENTOS!$E$5:$E$1323,A77,LANÇAMENTOS!$B$5:$B$1323,"A pagar")</f>
        <v>0.0</v>
      </c>
      <c r="E77" s="7">
        <f>C77+D77</f>
        <v>950.0</v>
      </c>
      <c r="F77" s="25" t="inlineStr">
        <is>
          <t>L10</t>
        </is>
      </c>
      <c r="G77" s="6" t="str">
        <f>IFERROR(VLOOKUP(F77,PARÂMETROS!$A$11:$C$19,3,FALSE),"linha inválida")</f>
        <v>A classificar (sem linha definida)</v>
      </c>
      <c r="H77" s="6" t="inlineStr">
        <is>
          <t>Sem critério no financeiro (NÃO CLASSIFICADO / contrato): classificar pela medição</t>
        </is>
      </c>
    </row>
    <row r="78">
      <c r="A78" s="6" t="inlineStr">
        <is>
          <t>COMERCIO E MANUTENCAO DE PALETEIRAS LTDA</t>
        </is>
      </c>
      <c r="B78" s="6" t="inlineStr">
        <is>
          <t>NÃO CLASSIFICADO</t>
        </is>
      </c>
      <c r="C78" s="7">
        <f>SUMIFS(LANÇAMENTOS!$F$5:$F$1323,LANÇAMENTOS!$E$5:$E$1323,A78,LANÇAMENTOS!$B$5:$B$1323,"Pago")</f>
        <v>949.88</v>
      </c>
      <c r="D78" s="7">
        <f>SUMIFS(LANÇAMENTOS!$F$5:$F$1323,LANÇAMENTOS!$E$5:$E$1323,A78,LANÇAMENTOS!$B$5:$B$1323,"A pagar")</f>
        <v>0.0</v>
      </c>
      <c r="E78" s="7">
        <f>C78+D78</f>
        <v>949.88</v>
      </c>
      <c r="F78" s="25" t="inlineStr">
        <is>
          <t>L10</t>
        </is>
      </c>
      <c r="G78" s="6" t="str">
        <f>IFERROR(VLOOKUP(F78,PARÂMETROS!$A$11:$C$19,3,FALSE),"linha inválida")</f>
        <v>A classificar (sem linha definida)</v>
      </c>
      <c r="H78" s="6" t="inlineStr">
        <is>
          <t>Sem critério no financeiro (NÃO CLASSIFICADO / contrato): classificar pela medição</t>
        </is>
      </c>
    </row>
    <row r="79">
      <c r="A79" s="6" t="inlineStr">
        <is>
          <t>CASA FERREIRA GONCALVES LTDA</t>
        </is>
      </c>
      <c r="B79" s="6" t="inlineStr">
        <is>
          <t>MATERIAL HIDRÁULICO</t>
        </is>
      </c>
      <c r="C79" s="7">
        <f>SUMIFS(LANÇAMENTOS!$F$5:$F$1323,LANÇAMENTOS!$E$5:$E$1323,A79,LANÇAMENTOS!$B$5:$B$1323,"Pago")</f>
        <v>606.061591</v>
      </c>
      <c r="D79" s="7">
        <f>SUMIFS(LANÇAMENTOS!$F$5:$F$1323,LANÇAMENTOS!$E$5:$E$1323,A79,LANÇAMENTOS!$B$5:$B$1323,"A pagar")</f>
        <v>0.0</v>
      </c>
      <c r="E79" s="7">
        <f>C79+D79</f>
        <v>606.061591</v>
      </c>
      <c r="F79" s="25" t="inlineStr">
        <is>
          <t>L01</t>
        </is>
      </c>
      <c r="G79" s="6" t="str">
        <f>IFERROR(VLOOKUP(F79,PARÂMETROS!$A$11:$C$19,3,FALSE),"linha inválida")</f>
        <v>Ferramentas manuais e pequenos equipamentos</v>
      </c>
      <c r="H79" s="6" t="inlineStr">
        <is>
          <t>Compra de ferramentas e materiais miúdos (categoria material hidráulico)</t>
        </is>
      </c>
    </row>
    <row r="80">
      <c r="A80" s="6" t="inlineStr">
        <is>
          <t>ACESSO EQUIPAMENTOS LTDA</t>
        </is>
      </c>
      <c r="B80" s="6" t="inlineStr">
        <is>
          <t>LOCAÇÕES</t>
        </is>
      </c>
      <c r="C80" s="7">
        <f>SUMIFS(LANÇAMENTOS!$F$5:$F$1323,LANÇAMENTOS!$E$5:$E$1323,A80,LANÇAMENTOS!$B$5:$B$1323,"Pago")</f>
        <v>600.48</v>
      </c>
      <c r="D80" s="7">
        <f>SUMIFS(LANÇAMENTOS!$F$5:$F$1323,LANÇAMENTOS!$E$5:$E$1323,A80,LANÇAMENTOS!$B$5:$B$1323,"A pagar")</f>
        <v>0.0</v>
      </c>
      <c r="E80" s="7">
        <f>C80+D80</f>
        <v>600.48</v>
      </c>
      <c r="F80" s="25" t="inlineStr">
        <is>
          <t>L03</t>
        </is>
      </c>
      <c r="G80" s="6" t="str">
        <f>IFERROR(VLOOKUP(F80,PARÂMETROS!$A$11:$C$19,3,FALSE),"linha inválida")</f>
        <v>Equipamentos de produção civil e locações</v>
      </c>
      <c r="H80" s="6" t="inlineStr">
        <is>
          <t>Categoria LOCAÇÕES no financeiro</t>
        </is>
      </c>
    </row>
    <row r="81">
      <c r="A81" s="6" t="inlineStr">
        <is>
          <t>CRISTIANE E SILVIA COMERCIO LTDA</t>
        </is>
      </c>
      <c r="B81" s="6" t="inlineStr">
        <is>
          <t>EQUIPAMENTOS E FERRAMENTAS</t>
        </is>
      </c>
      <c r="C81" s="7">
        <f>SUMIFS(LANÇAMENTOS!$F$5:$F$1323,LANÇAMENTOS!$E$5:$E$1323,A81,LANÇAMENTOS!$B$5:$B$1323,"Pago")</f>
        <v>436.80000199999995</v>
      </c>
      <c r="D81" s="7">
        <f>SUMIFS(LANÇAMENTOS!$F$5:$F$1323,LANÇAMENTOS!$E$5:$E$1323,A81,LANÇAMENTOS!$B$5:$B$1323,"A pagar")</f>
        <v>0.0</v>
      </c>
      <c r="E81" s="7">
        <f>C81+D81</f>
        <v>436.80000199999995</v>
      </c>
      <c r="F81" s="25" t="inlineStr">
        <is>
          <t>L01</t>
        </is>
      </c>
      <c r="G81" s="6" t="str">
        <f>IFERROR(VLOOKUP(F81,PARÂMETROS!$A$11:$C$19,3,FALSE),"linha inválida")</f>
        <v>Ferramentas manuais e pequenos equipamentos</v>
      </c>
      <c r="H81" s="6" t="inlineStr">
        <is>
          <t>Compra de ferramentas e materiais miúdos (categoria equipamentos e ferramentas)</t>
        </is>
      </c>
    </row>
    <row r="82">
      <c r="A82" s="6" t="inlineStr">
        <is>
          <t>POSTO J A LTDA</t>
        </is>
      </c>
      <c r="B82" s="6" t="inlineStr">
        <is>
          <t>DESPESAS</t>
        </is>
      </c>
      <c r="C82" s="7">
        <f>SUMIFS(LANÇAMENTOS!$F$5:$F$1323,LANÇAMENTOS!$E$5:$E$1323,A82,LANÇAMENTOS!$B$5:$B$1323,"Pago")</f>
        <v>413.4</v>
      </c>
      <c r="D82" s="7">
        <f>SUMIFS(LANÇAMENTOS!$F$5:$F$1323,LANÇAMENTOS!$E$5:$E$1323,A82,LANÇAMENTOS!$B$5:$B$1323,"A pagar")</f>
        <v>0.0</v>
      </c>
      <c r="E82" s="7">
        <f>C82+D82</f>
        <v>413.4</v>
      </c>
      <c r="F82" s="25" t="inlineStr">
        <is>
          <t>L02</t>
        </is>
      </c>
      <c r="G82" s="6" t="str">
        <f>IFERROR(VLOOKUP(F82,PARÂMETROS!$A$11:$C$19,3,FALSE),"linha inválida")</f>
        <v>Movimento de terra, manipulador e transporte vertical leve</v>
      </c>
      <c r="H82" s="6" t="inlineStr">
        <is>
          <t>Máquinas, transporte e combustível: confirmar</t>
        </is>
      </c>
    </row>
    <row r="83">
      <c r="A83" s="6" t="inlineStr">
        <is>
          <t>BH SEG EQUIPAMENTOS DE PROTECAO INDIVIDUAL LTDA</t>
        </is>
      </c>
      <c r="B83" s="6" t="inlineStr">
        <is>
          <t>EQUIPAMENTOS DE PROTEÇÃO INDIVIDUAL</t>
        </is>
      </c>
      <c r="C83" s="7">
        <f>SUMIFS(LANÇAMENTOS!$F$5:$F$1323,LANÇAMENTOS!$E$5:$E$1323,A83,LANÇAMENTOS!$B$5:$B$1323,"Pago")</f>
        <v>406.26</v>
      </c>
      <c r="D83" s="7">
        <f>SUMIFS(LANÇAMENTOS!$F$5:$F$1323,LANÇAMENTOS!$E$5:$E$1323,A83,LANÇAMENTOS!$B$5:$B$1323,"A pagar")</f>
        <v>0.0</v>
      </c>
      <c r="E83" s="7">
        <f>C83+D83</f>
        <v>406.26</v>
      </c>
      <c r="F83" s="25" t="inlineStr">
        <is>
          <t>L08</t>
        </is>
      </c>
      <c r="G83" s="6" t="str">
        <f>IFERROR(VLOOKUP(F83,PARÂMETROS!$A$11:$C$19,3,FALSE),"linha inválida")</f>
        <v>Equipamentos de proteção coletiva (telas, sinalização)</v>
      </c>
      <c r="H83" s="6" t="inlineStr">
        <is>
          <t>Telas, sinalização e proteção (nome/categoria)</t>
        </is>
      </c>
    </row>
    <row r="84">
      <c r="A84" s="6" t="inlineStr">
        <is>
          <t>METROGERAIS METROLOGIA E ASSIST TEC EQUIP PRECISAO LTDA</t>
        </is>
      </c>
      <c r="B84" s="6" t="inlineStr">
        <is>
          <t>DESPESAS</t>
        </is>
      </c>
      <c r="C84" s="7">
        <f>SUMIFS(LANÇAMENTOS!$F$5:$F$1323,LANÇAMENTOS!$E$5:$E$1323,A84,LANÇAMENTOS!$B$5:$B$1323,"Pago")</f>
        <v>343.13</v>
      </c>
      <c r="D84" s="7">
        <f>SUMIFS(LANÇAMENTOS!$F$5:$F$1323,LANÇAMENTOS!$E$5:$E$1323,A84,LANÇAMENTOS!$B$5:$B$1323,"A pagar")</f>
        <v>0.0</v>
      </c>
      <c r="E84" s="7">
        <f>C84+D84</f>
        <v>343.13</v>
      </c>
      <c r="F84" s="25" t="inlineStr">
        <is>
          <t>L01</t>
        </is>
      </c>
      <c r="G84" s="6" t="str">
        <f>IFERROR(VLOOKUP(F84,PARÂMETROS!$A$11:$C$19,3,FALSE),"linha inválida")</f>
        <v>Ferramentas manuais e pequenos equipamentos</v>
      </c>
      <c r="H84" s="6" t="inlineStr">
        <is>
          <t>Compra de ferramentas e materiais miúdos (categoria despesas)</t>
        </is>
      </c>
    </row>
    <row r="85">
      <c r="A85" s="6" t="inlineStr">
        <is>
          <t>ALFA COMERCIO DE EPI LTDA</t>
        </is>
      </c>
      <c r="B85" s="6" t="inlineStr">
        <is>
          <t>EQUIPAMENTOS DE PROTEÇÃO INDIVIDUAL</t>
        </is>
      </c>
      <c r="C85" s="7">
        <f>SUMIFS(LANÇAMENTOS!$F$5:$F$1323,LANÇAMENTOS!$E$5:$E$1323,A85,LANÇAMENTOS!$B$5:$B$1323,"Pago")</f>
        <v>331.4</v>
      </c>
      <c r="D85" s="7">
        <f>SUMIFS(LANÇAMENTOS!$F$5:$F$1323,LANÇAMENTOS!$E$5:$E$1323,A85,LANÇAMENTOS!$B$5:$B$1323,"A pagar")</f>
        <v>0.0</v>
      </c>
      <c r="E85" s="7">
        <f>C85+D85</f>
        <v>331.4</v>
      </c>
      <c r="F85" s="25" t="inlineStr">
        <is>
          <t>L08</t>
        </is>
      </c>
      <c r="G85" s="6" t="str">
        <f>IFERROR(VLOOKUP(F85,PARÂMETROS!$A$11:$C$19,3,FALSE),"linha inválida")</f>
        <v>Equipamentos de proteção coletiva (telas, sinalização)</v>
      </c>
      <c r="H85" s="6" t="inlineStr">
        <is>
          <t>Telas, sinalização e proteção (nome/categoria)</t>
        </is>
      </c>
    </row>
    <row r="86">
      <c r="A86" s="6" t="inlineStr">
        <is>
          <t>EXPRESSO M-2000 LTDA</t>
        </is>
      </c>
      <c r="B86" s="6" t="inlineStr">
        <is>
          <t>FRETE</t>
        </is>
      </c>
      <c r="C86" s="7">
        <f>SUMIFS(LANÇAMENTOS!$F$5:$F$1323,LANÇAMENTOS!$E$5:$E$1323,A86,LANÇAMENTOS!$B$5:$B$1323,"Pago")</f>
        <v>217.36</v>
      </c>
      <c r="D86" s="7">
        <f>SUMIFS(LANÇAMENTOS!$F$5:$F$1323,LANÇAMENTOS!$E$5:$E$1323,A86,LANÇAMENTOS!$B$5:$B$1323,"A pagar")</f>
        <v>0.0</v>
      </c>
      <c r="E86" s="7">
        <f>C86+D86</f>
        <v>217.36</v>
      </c>
      <c r="F86" s="25" t="inlineStr">
        <is>
          <t>L01</t>
        </is>
      </c>
      <c r="G86" s="6" t="str">
        <f>IFERROR(VLOOKUP(F86,PARÂMETROS!$A$11:$C$19,3,FALSE),"linha inválida")</f>
        <v>Ferramentas manuais e pequenos equipamentos</v>
      </c>
      <c r="H86" s="6" t="inlineStr">
        <is>
          <t>Compra de ferramentas e materiais miúdos (categoria frete)</t>
        </is>
      </c>
    </row>
    <row r="87">
      <c r="A87" s="6" t="inlineStr">
        <is>
          <t>DM &amp; C COMERCIO E DISTRIBUIDORA LTDA</t>
        </is>
      </c>
      <c r="B87" s="6" t="inlineStr">
        <is>
          <t>EQUIPAMENTOS E FERRAMENTAS</t>
        </is>
      </c>
      <c r="C87" s="7">
        <f>SUMIFS(LANÇAMENTOS!$F$5:$F$1323,LANÇAMENTOS!$E$5:$E$1323,A87,LANÇAMENTOS!$B$5:$B$1323,"Pago")</f>
        <v>150.0</v>
      </c>
      <c r="D87" s="7">
        <f>SUMIFS(LANÇAMENTOS!$F$5:$F$1323,LANÇAMENTOS!$E$5:$E$1323,A87,LANÇAMENTOS!$B$5:$B$1323,"A pagar")</f>
        <v>0.0</v>
      </c>
      <c r="E87" s="7">
        <f>C87+D87</f>
        <v>150.0</v>
      </c>
      <c r="F87" s="25" t="inlineStr">
        <is>
          <t>L01</t>
        </is>
      </c>
      <c r="G87" s="6" t="str">
        <f>IFERROR(VLOOKUP(F87,PARÂMETROS!$A$11:$C$19,3,FALSE),"linha inválida")</f>
        <v>Ferramentas manuais e pequenos equipamentos</v>
      </c>
      <c r="H87" s="6" t="inlineStr">
        <is>
          <t>Compra de ferramentas e materiais miúdos (categoria equipamentos e ferramentas)</t>
        </is>
      </c>
    </row>
    <row r="88">
      <c r="A88" s="6" t="inlineStr">
        <is>
          <t>CCL DISTRIBUIDORA LTDA</t>
        </is>
      </c>
      <c r="B88" s="6" t="inlineStr">
        <is>
          <t>MATERIAL ESCRITÓRIO</t>
        </is>
      </c>
      <c r="C88" s="7">
        <f>SUMIFS(LANÇAMENTOS!$F$5:$F$1323,LANÇAMENTOS!$E$5:$E$1323,A88,LANÇAMENTOS!$B$5:$B$1323,"Pago")</f>
        <v>147.60000000000002</v>
      </c>
      <c r="D88" s="7">
        <f>SUMIFS(LANÇAMENTOS!$F$5:$F$1323,LANÇAMENTOS!$E$5:$E$1323,A88,LANÇAMENTOS!$B$5:$B$1323,"A pagar")</f>
        <v>0.0</v>
      </c>
      <c r="E88" s="7">
        <f>C88+D88</f>
        <v>147.60000000000002</v>
      </c>
      <c r="F88" s="25" t="inlineStr">
        <is>
          <t>L01</t>
        </is>
      </c>
      <c r="G88" s="6" t="str">
        <f>IFERROR(VLOOKUP(F88,PARÂMETROS!$A$11:$C$19,3,FALSE),"linha inválida")</f>
        <v>Ferramentas manuais e pequenos equipamentos</v>
      </c>
      <c r="H88" s="6" t="inlineStr">
        <is>
          <t>Compra de ferramentas e materiais miúdos (categoria material escritório)</t>
        </is>
      </c>
    </row>
    <row r="89">
      <c r="A89" s="6" t="inlineStr">
        <is>
          <t>ESMIG INDUSTRIA DE ESCADAS LTDA</t>
        </is>
      </c>
      <c r="B89" s="6" t="inlineStr">
        <is>
          <t>FRETE</t>
        </is>
      </c>
      <c r="C89" s="7">
        <f>SUMIFS(LANÇAMENTOS!$F$5:$F$1323,LANÇAMENTOS!$E$5:$E$1323,A89,LANÇAMENTOS!$B$5:$B$1323,"Pago")</f>
        <v>122.5</v>
      </c>
      <c r="D89" s="7">
        <f>SUMIFS(LANÇAMENTOS!$F$5:$F$1323,LANÇAMENTOS!$E$5:$E$1323,A89,LANÇAMENTOS!$B$5:$B$1323,"A pagar")</f>
        <v>0.0</v>
      </c>
      <c r="E89" s="7">
        <f>C89+D89</f>
        <v>122.5</v>
      </c>
      <c r="F89" s="25" t="inlineStr">
        <is>
          <t>L01</t>
        </is>
      </c>
      <c r="G89" s="6" t="str">
        <f>IFERROR(VLOOKUP(F89,PARÂMETROS!$A$11:$C$19,3,FALSE),"linha inválida")</f>
        <v>Ferramentas manuais e pequenos equipamentos</v>
      </c>
      <c r="H89" s="6" t="inlineStr">
        <is>
          <t>Compra de ferramentas e materiais miúdos (categoria frete)</t>
        </is>
      </c>
    </row>
    <row r="90">
      <c r="A90" s="6" t="inlineStr">
        <is>
          <t>BRENFEER E-COMMERCE E CONSULTORIA EMPRESARIAL LTDA</t>
        </is>
      </c>
      <c r="B90" s="6" t="inlineStr">
        <is>
          <t>ACESSÓRIOS DE FIXAÇÃO</t>
        </is>
      </c>
      <c r="C90" s="7">
        <f>SUMIFS(LANÇAMENTOS!$F$5:$F$1323,LANÇAMENTOS!$E$5:$E$1323,A90,LANÇAMENTOS!$B$5:$B$1323,"Pago")</f>
        <v>91.23</v>
      </c>
      <c r="D90" s="7">
        <f>SUMIFS(LANÇAMENTOS!$F$5:$F$1323,LANÇAMENTOS!$E$5:$E$1323,A90,LANÇAMENTOS!$B$5:$B$1323,"A pagar")</f>
        <v>0.0</v>
      </c>
      <c r="E90" s="7">
        <f>C90+D90</f>
        <v>91.23</v>
      </c>
      <c r="F90" s="25" t="inlineStr">
        <is>
          <t>L01</t>
        </is>
      </c>
      <c r="G90" s="6" t="str">
        <f>IFERROR(VLOOKUP(F90,PARÂMETROS!$A$11:$C$19,3,FALSE),"linha inválida")</f>
        <v>Ferramentas manuais e pequenos equipamentos</v>
      </c>
      <c r="H90" s="6" t="inlineStr">
        <is>
          <t>Compra de ferramentas e materiais miúdos (categoria acessórios de fixação)</t>
        </is>
      </c>
    </row>
    <row r="91">
      <c r="A91" s="6" t="inlineStr">
        <is>
          <t>CORDAL MINAS COMERCIO DE CABOS E ACESSORIOS LTDA</t>
        </is>
      </c>
      <c r="B91" s="6" t="inlineStr">
        <is>
          <t>FERRAGENS EM GERAL</t>
        </is>
      </c>
      <c r="C91" s="7">
        <f>SUMIFS(LANÇAMENTOS!$F$5:$F$1323,LANÇAMENTOS!$E$5:$E$1323,A91,LANÇAMENTOS!$B$5:$B$1323,"Pago")</f>
        <v>84.0</v>
      </c>
      <c r="D91" s="7">
        <f>SUMIFS(LANÇAMENTOS!$F$5:$F$1323,LANÇAMENTOS!$E$5:$E$1323,A91,LANÇAMENTOS!$B$5:$B$1323,"A pagar")</f>
        <v>0.0</v>
      </c>
      <c r="E91" s="7">
        <f>C91+D91</f>
        <v>84.0</v>
      </c>
      <c r="F91" s="25" t="inlineStr">
        <is>
          <t>L07</t>
        </is>
      </c>
      <c r="G91" s="6" t="str">
        <f>IFERROR(VLOOKUP(F91,PARÂMETROS!$A$11:$C$19,3,FALSE),"linha inválida")</f>
        <v>Equipamentos de fachada (andaimes, balancins)</v>
      </c>
      <c r="H91" s="6" t="inlineStr">
        <is>
          <t>Andaimes / cabos de aço: confirmar</t>
        </is>
      </c>
    </row>
    <row r="92">
      <c r="A92" s="6" t="inlineStr">
        <is>
          <t>SOMA BH DISTRIBUIDORA DE MATERIAIS LTDA</t>
        </is>
      </c>
      <c r="B92" s="6" t="inlineStr">
        <is>
          <t>LIMPEZA E HIGIÊNE</t>
        </is>
      </c>
      <c r="C92" s="7">
        <f>SUMIFS(LANÇAMENTOS!$F$5:$F$1323,LANÇAMENTOS!$E$5:$E$1323,A92,LANÇAMENTOS!$B$5:$B$1323,"Pago")</f>
        <v>33.200001</v>
      </c>
      <c r="D92" s="7">
        <f>SUMIFS(LANÇAMENTOS!$F$5:$F$1323,LANÇAMENTOS!$E$5:$E$1323,A92,LANÇAMENTOS!$B$5:$B$1323,"A pagar")</f>
        <v>0.0</v>
      </c>
      <c r="E92" s="7">
        <f>C92+D92</f>
        <v>33.200001</v>
      </c>
      <c r="F92" s="25" t="inlineStr">
        <is>
          <t>L10</t>
        </is>
      </c>
      <c r="G92" s="6" t="str">
        <f>IFERROR(VLOOKUP(F92,PARÂMETROS!$A$11:$C$19,3,FALSE),"linha inválida")</f>
        <v>A classificar (sem linha definida)</v>
      </c>
      <c r="H92" s="6" t="inlineStr">
        <is>
          <t>Sem critério no financeiro (NÃO CLASSIFICADO / contrato): classificar pela medição</t>
        </is>
      </c>
    </row>
    <row r="93">
      <c r="A93" s="10" t="inlineStr">
        <is>
          <t>TOTAL</t>
        </is>
      </c>
      <c r="B93" s="11" t="n"/>
      <c r="C93" s="12">
        <f>SUM(C5:C92)</f>
        <v>2035408.2073659995</v>
      </c>
      <c r="D93" s="12">
        <f>SUM(D5:D92)</f>
        <v>154562.48734100006</v>
      </c>
      <c r="E93" s="12">
        <f>SUM(E5:E92)</f>
        <v>2189970.6947069988</v>
      </c>
    </row>
  </sheetData>
  <autoFilter ref="A4:H92"/>
  <dataValidations count="1">
    <dataValidation sqref="F5:F92" showDropDown="0" showInputMessage="0" showErrorMessage="0" allowBlank="0" type="list">
      <formula1>"L01,L02,L03,L04,L05,L06,L07,L08,L10"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6756"/>
    <outlinePr summaryBelow="1" summaryRight="1"/>
    <pageSetUpPr/>
  </sheetPr>
  <dimension ref="A1:BL1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8" customWidth="1" min="2" max="2"/>
    <col width="13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  <col width="10.5" customWidth="1" min="39" max="39"/>
    <col width="10.5" customWidth="1" min="40" max="40"/>
    <col width="10.5" customWidth="1" min="41" max="41"/>
    <col width="10.5" customWidth="1" min="42" max="42"/>
    <col width="10.5" customWidth="1" min="43" max="43"/>
    <col width="10.5" customWidth="1" min="44" max="44"/>
    <col width="10.5" customWidth="1" min="45" max="45"/>
    <col width="10.5" customWidth="1" min="46" max="46"/>
    <col width="10.5" customWidth="1" min="47" max="47"/>
    <col width="10.5" customWidth="1" min="48" max="48"/>
    <col width="10.5" customWidth="1" min="49" max="49"/>
    <col width="10.5" customWidth="1" min="50" max="50"/>
    <col width="10.5" customWidth="1" min="51" max="51"/>
    <col width="10.5" customWidth="1" min="52" max="52"/>
    <col width="10.5" customWidth="1" min="53" max="53"/>
    <col width="10.5" customWidth="1" min="54" max="54"/>
    <col width="10.5" customWidth="1" min="55" max="55"/>
    <col width="10.5" customWidth="1" min="56" max="56"/>
    <col width="10.5" customWidth="1" min="57" max="57"/>
    <col width="10.5" customWidth="1" min="58" max="58"/>
    <col width="10.5" customWidth="1" min="59" max="59"/>
    <col width="10.5" customWidth="1" min="60" max="60"/>
    <col width="10.5" customWidth="1" min="61" max="61"/>
    <col width="10.5" customWidth="1" min="62" max="62"/>
    <col width="10.5" customWidth="1" min="63" max="63"/>
    <col width="10.5" customWidth="1" min="64" max="64"/>
  </cols>
  <sheetData>
    <row r="1" ht="39.6" customHeight="1">
      <c r="A1" s="1" t="inlineStr">
        <is>
          <t>Ed. Jardim · Orçamento mensal sem INCC por linha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</row>
    <row r="2">
      <c r="A2" s="3" t="inlineStr">
        <is>
          <t>Fonte: PENDENTE: enviar o histograma de origem da obra (aba AUX. HISTOGRAMA - BASE).</t>
        </is>
      </c>
    </row>
    <row r="4">
      <c r="A4" s="5" t="inlineStr">
        <is>
          <t>Linha</t>
        </is>
      </c>
      <c r="B4" s="5" t="inlineStr">
        <is>
          <t>Descrição</t>
        </is>
      </c>
      <c r="C4" s="5" t="inlineStr">
        <is>
          <t>Total</t>
        </is>
      </c>
      <c r="D4" s="18" t="n">
        <v>45444</v>
      </c>
      <c r="E4" s="18" t="n">
        <v>45474</v>
      </c>
      <c r="F4" s="18" t="n">
        <v>45505</v>
      </c>
      <c r="G4" s="18" t="n">
        <v>45536</v>
      </c>
      <c r="H4" s="18" t="n">
        <v>45566</v>
      </c>
      <c r="I4" s="18" t="n">
        <v>45597</v>
      </c>
      <c r="J4" s="18" t="n">
        <v>45627</v>
      </c>
      <c r="K4" s="18" t="n">
        <v>45658</v>
      </c>
      <c r="L4" s="18" t="n">
        <v>45689</v>
      </c>
      <c r="M4" s="18" t="n">
        <v>45717</v>
      </c>
      <c r="N4" s="18" t="n">
        <v>45748</v>
      </c>
      <c r="O4" s="18" t="n">
        <v>45778</v>
      </c>
      <c r="P4" s="18" t="n">
        <v>45809</v>
      </c>
      <c r="Q4" s="18" t="n">
        <v>45839</v>
      </c>
      <c r="R4" s="18" t="n">
        <v>45870</v>
      </c>
      <c r="S4" s="18" t="n">
        <v>45901</v>
      </c>
      <c r="T4" s="18" t="n">
        <v>45931</v>
      </c>
      <c r="U4" s="18" t="n">
        <v>45962</v>
      </c>
      <c r="V4" s="18" t="n">
        <v>45992</v>
      </c>
      <c r="W4" s="18" t="n">
        <v>46023</v>
      </c>
      <c r="X4" s="18" t="n">
        <v>46054</v>
      </c>
      <c r="Y4" s="18" t="n">
        <v>46082</v>
      </c>
      <c r="Z4" s="18" t="n">
        <v>46113</v>
      </c>
      <c r="AA4" s="18" t="n">
        <v>46143</v>
      </c>
      <c r="AB4" s="18" t="n">
        <v>46174</v>
      </c>
      <c r="AC4" s="18" t="n">
        <v>46204</v>
      </c>
      <c r="AD4" s="18" t="n">
        <v>46235</v>
      </c>
      <c r="AE4" s="18" t="n">
        <v>46266</v>
      </c>
      <c r="AF4" s="18" t="n">
        <v>46296</v>
      </c>
      <c r="AG4" s="18" t="n">
        <v>46327</v>
      </c>
      <c r="AH4" s="18" t="n">
        <v>46357</v>
      </c>
      <c r="AI4" s="18" t="n">
        <v>46388</v>
      </c>
      <c r="AJ4" s="18" t="n">
        <v>46419</v>
      </c>
      <c r="AK4" s="18" t="n">
        <v>46447</v>
      </c>
      <c r="AL4" s="18" t="n">
        <v>46478</v>
      </c>
      <c r="AM4" s="18" t="n">
        <v>46508</v>
      </c>
      <c r="AN4" s="18" t="n">
        <v>46539</v>
      </c>
      <c r="AO4" s="18" t="n">
        <v>46569</v>
      </c>
      <c r="AP4" s="18" t="n">
        <v>46600</v>
      </c>
      <c r="AQ4" s="18" t="n">
        <v>46631</v>
      </c>
      <c r="AR4" s="18" t="n">
        <v>46661</v>
      </c>
      <c r="AS4" s="18" t="n">
        <v>46692</v>
      </c>
      <c r="AT4" s="18" t="n">
        <v>46722</v>
      </c>
      <c r="AU4" s="18" t="n">
        <v>46753</v>
      </c>
      <c r="AV4" s="18" t="n">
        <v>46784</v>
      </c>
      <c r="AW4" s="18" t="n">
        <v>46813</v>
      </c>
      <c r="AX4" s="18" t="n">
        <v>46844</v>
      </c>
      <c r="AY4" s="18" t="n">
        <v>46874</v>
      </c>
      <c r="AZ4" s="18" t="n">
        <v>46905</v>
      </c>
      <c r="BA4" s="18" t="n">
        <v>46935</v>
      </c>
      <c r="BB4" s="18" t="n">
        <v>46966</v>
      </c>
      <c r="BC4" s="18" t="n">
        <v>46997</v>
      </c>
      <c r="BD4" s="18" t="n">
        <v>47027</v>
      </c>
      <c r="BE4" s="18" t="n">
        <v>47058</v>
      </c>
      <c r="BF4" s="18" t="n">
        <v>47088</v>
      </c>
      <c r="BG4" s="18" t="n">
        <v>47119</v>
      </c>
      <c r="BH4" s="18" t="n">
        <v>47150</v>
      </c>
      <c r="BI4" s="18" t="n">
        <v>47178</v>
      </c>
      <c r="BJ4" s="18" t="n">
        <v>47209</v>
      </c>
      <c r="BK4" s="18" t="n">
        <v>47239</v>
      </c>
      <c r="BL4" s="18" t="n">
        <v>47270</v>
      </c>
    </row>
    <row r="5">
      <c r="A5" s="6" t="inlineStr">
        <is>
          <t>L01</t>
        </is>
      </c>
      <c r="B5" s="6" t="inlineStr">
        <is>
          <t>Ferramentas manuais e pequenos equipamentos</t>
        </is>
      </c>
      <c r="C5" s="19">
        <f>SUM(D5:BL5)</f>
        <v>0.0</v>
      </c>
      <c r="D5" s="26" t="n"/>
      <c r="E5" s="26" t="n"/>
      <c r="F5" s="26" t="n"/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  <c r="AA5" s="26" t="n"/>
      <c r="AB5" s="26" t="n"/>
      <c r="AC5" s="26" t="n"/>
      <c r="AD5" s="26" t="n"/>
      <c r="AE5" s="26" t="n"/>
      <c r="AF5" s="26" t="n"/>
      <c r="AG5" s="26" t="n"/>
      <c r="AH5" s="26" t="n"/>
      <c r="AI5" s="26" t="n"/>
      <c r="AJ5" s="26" t="n"/>
      <c r="AK5" s="26" t="n"/>
      <c r="AL5" s="26" t="n"/>
      <c r="AM5" s="26" t="n"/>
      <c r="AN5" s="26" t="n"/>
      <c r="AO5" s="26" t="n"/>
      <c r="AP5" s="26" t="n"/>
      <c r="AQ5" s="26" t="n"/>
      <c r="AR5" s="26" t="n"/>
      <c r="AS5" s="26" t="n"/>
      <c r="AT5" s="26" t="n"/>
      <c r="AU5" s="26" t="n"/>
      <c r="AV5" s="26" t="n"/>
      <c r="AW5" s="26" t="n"/>
      <c r="AX5" s="26" t="n"/>
      <c r="AY5" s="26" t="n"/>
      <c r="AZ5" s="26" t="n"/>
      <c r="BA5" s="26" t="n"/>
      <c r="BB5" s="26" t="n"/>
      <c r="BC5" s="26" t="n"/>
      <c r="BD5" s="26" t="n"/>
      <c r="BE5" s="26" t="n"/>
      <c r="BF5" s="26" t="n"/>
      <c r="BG5" s="26" t="n"/>
      <c r="BH5" s="26" t="n"/>
      <c r="BI5" s="26" t="n"/>
      <c r="BJ5" s="26" t="n"/>
      <c r="BK5" s="26" t="n"/>
      <c r="BL5" s="26" t="n"/>
    </row>
    <row r="6">
      <c r="A6" s="6" t="inlineStr">
        <is>
          <t>L02</t>
        </is>
      </c>
      <c r="B6" s="6" t="inlineStr">
        <is>
          <t>Movimento de terra, manipulador e transporte vertical leve</t>
        </is>
      </c>
      <c r="C6" s="19">
        <f>SUM(D6:BL6)</f>
        <v>0.0</v>
      </c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  <c r="AB6" s="26" t="n"/>
      <c r="AC6" s="26" t="n"/>
      <c r="AD6" s="26" t="n"/>
      <c r="AE6" s="26" t="n"/>
      <c r="AF6" s="26" t="n"/>
      <c r="AG6" s="26" t="n"/>
      <c r="AH6" s="26" t="n"/>
      <c r="AI6" s="26" t="n"/>
      <c r="AJ6" s="26" t="n"/>
      <c r="AK6" s="26" t="n"/>
      <c r="AL6" s="26" t="n"/>
      <c r="AM6" s="26" t="n"/>
      <c r="AN6" s="26" t="n"/>
      <c r="AO6" s="26" t="n"/>
      <c r="AP6" s="26" t="n"/>
      <c r="AQ6" s="26" t="n"/>
      <c r="AR6" s="26" t="n"/>
      <c r="AS6" s="26" t="n"/>
      <c r="AT6" s="26" t="n"/>
      <c r="AU6" s="26" t="n"/>
      <c r="AV6" s="26" t="n"/>
      <c r="AW6" s="26" t="n"/>
      <c r="AX6" s="26" t="n"/>
      <c r="AY6" s="26" t="n"/>
      <c r="AZ6" s="26" t="n"/>
      <c r="BA6" s="26" t="n"/>
      <c r="BB6" s="26" t="n"/>
      <c r="BC6" s="26" t="n"/>
      <c r="BD6" s="26" t="n"/>
      <c r="BE6" s="26" t="n"/>
      <c r="BF6" s="26" t="n"/>
      <c r="BG6" s="26" t="n"/>
      <c r="BH6" s="26" t="n"/>
      <c r="BI6" s="26" t="n"/>
      <c r="BJ6" s="26" t="n"/>
      <c r="BK6" s="26" t="n"/>
      <c r="BL6" s="26" t="n"/>
    </row>
    <row r="7">
      <c r="A7" s="6" t="inlineStr">
        <is>
          <t>L03</t>
        </is>
      </c>
      <c r="B7" s="6" t="inlineStr">
        <is>
          <t>Equipamentos de produção civil e locações</t>
        </is>
      </c>
      <c r="C7" s="19">
        <f>SUM(D7:BL7)</f>
        <v>0.0</v>
      </c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  <c r="BE7" s="26" t="n"/>
      <c r="BF7" s="26" t="n"/>
      <c r="BG7" s="26" t="n"/>
      <c r="BH7" s="26" t="n"/>
      <c r="BI7" s="26" t="n"/>
      <c r="BJ7" s="26" t="n"/>
      <c r="BK7" s="26" t="n"/>
      <c r="BL7" s="26" t="n"/>
    </row>
    <row r="8">
      <c r="A8" s="6" t="inlineStr">
        <is>
          <t>L04</t>
        </is>
      </c>
      <c r="B8" s="6" t="inlineStr">
        <is>
          <t>Bandejas de proteção</t>
        </is>
      </c>
      <c r="C8" s="19">
        <f>SUM(D8:BL8)</f>
        <v>0.0</v>
      </c>
      <c r="D8" s="26" t="n"/>
      <c r="E8" s="26" t="n"/>
      <c r="F8" s="26" t="n"/>
      <c r="G8" s="26" t="n"/>
      <c r="H8" s="26" t="n"/>
      <c r="I8" s="26" t="n"/>
      <c r="J8" s="26" t="n"/>
      <c r="K8" s="26" t="n"/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  <c r="AB8" s="26" t="n"/>
      <c r="AC8" s="26" t="n"/>
      <c r="AD8" s="26" t="n"/>
      <c r="AE8" s="26" t="n"/>
      <c r="AF8" s="26" t="n"/>
      <c r="AG8" s="26" t="n"/>
      <c r="AH8" s="26" t="n"/>
      <c r="AI8" s="26" t="n"/>
      <c r="AJ8" s="26" t="n"/>
      <c r="AK8" s="26" t="n"/>
      <c r="AL8" s="26" t="n"/>
      <c r="AM8" s="26" t="n"/>
      <c r="AN8" s="26" t="n"/>
      <c r="AO8" s="26" t="n"/>
      <c r="AP8" s="26" t="n"/>
      <c r="AQ8" s="26" t="n"/>
      <c r="AR8" s="26" t="n"/>
      <c r="AS8" s="26" t="n"/>
      <c r="AT8" s="26" t="n"/>
      <c r="AU8" s="26" t="n"/>
      <c r="AV8" s="26" t="n"/>
      <c r="AW8" s="26" t="n"/>
      <c r="AX8" s="26" t="n"/>
      <c r="AY8" s="26" t="n"/>
      <c r="AZ8" s="26" t="n"/>
      <c r="BA8" s="26" t="n"/>
      <c r="BB8" s="26" t="n"/>
      <c r="BC8" s="26" t="n"/>
      <c r="BD8" s="26" t="n"/>
      <c r="BE8" s="26" t="n"/>
      <c r="BF8" s="26" t="n"/>
      <c r="BG8" s="26" t="n"/>
      <c r="BH8" s="26" t="n"/>
      <c r="BI8" s="26" t="n"/>
      <c r="BJ8" s="26" t="n"/>
      <c r="BK8" s="26" t="n"/>
      <c r="BL8" s="26" t="n"/>
    </row>
    <row r="9">
      <c r="A9" s="6" t="inlineStr">
        <is>
          <t>L05</t>
        </is>
      </c>
      <c r="B9" s="6" t="inlineStr">
        <is>
          <t>Elevador cremalheira</t>
        </is>
      </c>
      <c r="C9" s="19">
        <f>SUM(D9:BL9)</f>
        <v>0.0</v>
      </c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6" t="n"/>
      <c r="AG9" s="26" t="n"/>
      <c r="AH9" s="26" t="n"/>
      <c r="AI9" s="26" t="n"/>
      <c r="AJ9" s="26" t="n"/>
      <c r="AK9" s="26" t="n"/>
      <c r="AL9" s="26" t="n"/>
      <c r="AM9" s="26" t="n"/>
      <c r="AN9" s="26" t="n"/>
      <c r="AO9" s="26" t="n"/>
      <c r="AP9" s="26" t="n"/>
      <c r="AQ9" s="26" t="n"/>
      <c r="AR9" s="26" t="n"/>
      <c r="AS9" s="26" t="n"/>
      <c r="AT9" s="26" t="n"/>
      <c r="AU9" s="26" t="n"/>
      <c r="AV9" s="26" t="n"/>
      <c r="AW9" s="26" t="n"/>
      <c r="AX9" s="26" t="n"/>
      <c r="AY9" s="26" t="n"/>
      <c r="AZ9" s="26" t="n"/>
      <c r="BA9" s="26" t="n"/>
      <c r="BB9" s="26" t="n"/>
      <c r="BC9" s="26" t="n"/>
      <c r="BD9" s="26" t="n"/>
      <c r="BE9" s="26" t="n"/>
      <c r="BF9" s="26" t="n"/>
      <c r="BG9" s="26" t="n"/>
      <c r="BH9" s="26" t="n"/>
      <c r="BI9" s="26" t="n"/>
      <c r="BJ9" s="26" t="n"/>
      <c r="BK9" s="26" t="n"/>
      <c r="BL9" s="26" t="n"/>
    </row>
    <row r="10">
      <c r="A10" s="6" t="inlineStr">
        <is>
          <t>L06</t>
        </is>
      </c>
      <c r="B10" s="6" t="inlineStr">
        <is>
          <t>Grua</t>
        </is>
      </c>
      <c r="C10" s="19">
        <f>SUM(D10:BL10)</f>
        <v>0.0</v>
      </c>
      <c r="D10" s="26" t="n"/>
      <c r="E10" s="26" t="n"/>
      <c r="F10" s="26" t="n"/>
      <c r="G10" s="26" t="n"/>
      <c r="H10" s="26" t="n"/>
      <c r="I10" s="26" t="n"/>
      <c r="J10" s="26" t="n"/>
      <c r="K10" s="26" t="n"/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  <c r="AB10" s="26" t="n"/>
      <c r="AC10" s="26" t="n"/>
      <c r="AD10" s="26" t="n"/>
      <c r="AE10" s="26" t="n"/>
      <c r="AF10" s="26" t="n"/>
      <c r="AG10" s="26" t="n"/>
      <c r="AH10" s="26" t="n"/>
      <c r="AI10" s="26" t="n"/>
      <c r="AJ10" s="26" t="n"/>
      <c r="AK10" s="26" t="n"/>
      <c r="AL10" s="26" t="n"/>
      <c r="AM10" s="26" t="n"/>
      <c r="AN10" s="26" t="n"/>
      <c r="AO10" s="26" t="n"/>
      <c r="AP10" s="26" t="n"/>
      <c r="AQ10" s="26" t="n"/>
      <c r="AR10" s="26" t="n"/>
      <c r="AS10" s="26" t="n"/>
      <c r="AT10" s="26" t="n"/>
      <c r="AU10" s="26" t="n"/>
      <c r="AV10" s="26" t="n"/>
      <c r="AW10" s="26" t="n"/>
      <c r="AX10" s="26" t="n"/>
      <c r="AY10" s="26" t="n"/>
      <c r="AZ10" s="26" t="n"/>
      <c r="BA10" s="26" t="n"/>
      <c r="BB10" s="26" t="n"/>
      <c r="BC10" s="26" t="n"/>
      <c r="BD10" s="26" t="n"/>
      <c r="BE10" s="26" t="n"/>
      <c r="BF10" s="26" t="n"/>
      <c r="BG10" s="26" t="n"/>
      <c r="BH10" s="26" t="n"/>
      <c r="BI10" s="26" t="n"/>
      <c r="BJ10" s="26" t="n"/>
      <c r="BK10" s="26" t="n"/>
      <c r="BL10" s="26" t="n"/>
    </row>
    <row r="11">
      <c r="A11" s="6" t="inlineStr">
        <is>
          <t>L07</t>
        </is>
      </c>
      <c r="B11" s="6" t="inlineStr">
        <is>
          <t>Equipamentos de fachada (andaimes, balancins)</t>
        </is>
      </c>
      <c r="C11" s="19">
        <f>SUM(D11:BL11)</f>
        <v>0.0</v>
      </c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  <c r="AO11" s="26" t="n"/>
      <c r="AP11" s="26" t="n"/>
      <c r="AQ11" s="26" t="n"/>
      <c r="AR11" s="26" t="n"/>
      <c r="AS11" s="26" t="n"/>
      <c r="AT11" s="26" t="n"/>
      <c r="AU11" s="26" t="n"/>
      <c r="AV11" s="26" t="n"/>
      <c r="AW11" s="26" t="n"/>
      <c r="AX11" s="26" t="n"/>
      <c r="AY11" s="26" t="n"/>
      <c r="AZ11" s="26" t="n"/>
      <c r="BA11" s="26" t="n"/>
      <c r="BB11" s="26" t="n"/>
      <c r="BC11" s="26" t="n"/>
      <c r="BD11" s="26" t="n"/>
      <c r="BE11" s="26" t="n"/>
      <c r="BF11" s="26" t="n"/>
      <c r="BG11" s="26" t="n"/>
      <c r="BH11" s="26" t="n"/>
      <c r="BI11" s="26" t="n"/>
      <c r="BJ11" s="26" t="n"/>
      <c r="BK11" s="26" t="n"/>
      <c r="BL11" s="26" t="n"/>
    </row>
    <row r="12">
      <c r="A12" s="6" t="inlineStr">
        <is>
          <t>L08</t>
        </is>
      </c>
      <c r="B12" s="6" t="inlineStr">
        <is>
          <t>Equipamentos de proteção coletiva (telas, sinalização)</t>
        </is>
      </c>
      <c r="C12" s="19">
        <f>SUM(D12:BL12)</f>
        <v>0.0</v>
      </c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6" t="n"/>
      <c r="AX12" s="26" t="n"/>
      <c r="AY12" s="26" t="n"/>
      <c r="AZ12" s="26" t="n"/>
      <c r="BA12" s="26" t="n"/>
      <c r="BB12" s="26" t="n"/>
      <c r="BC12" s="26" t="n"/>
      <c r="BD12" s="26" t="n"/>
      <c r="BE12" s="26" t="n"/>
      <c r="BF12" s="26" t="n"/>
      <c r="BG12" s="26" t="n"/>
      <c r="BH12" s="26" t="n"/>
      <c r="BI12" s="26" t="n"/>
      <c r="BJ12" s="26" t="n"/>
      <c r="BK12" s="26" t="n"/>
      <c r="BL12" s="26" t="n"/>
    </row>
    <row r="13">
      <c r="A13" s="6" t="inlineStr">
        <is>
          <t>L10</t>
        </is>
      </c>
      <c r="B13" s="6" t="inlineStr">
        <is>
          <t>A classificar (sem linha definida)</t>
        </is>
      </c>
      <c r="C13" s="19">
        <f>SUM(D13:BL13)</f>
        <v>0.0</v>
      </c>
      <c r="D13" s="26" t="n"/>
      <c r="E13" s="26" t="n"/>
      <c r="F13" s="26" t="n"/>
      <c r="G13" s="26" t="n"/>
      <c r="H13" s="26" t="n"/>
      <c r="I13" s="26" t="n"/>
      <c r="J13" s="26" t="n"/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  <c r="Z13" s="26" t="n"/>
      <c r="AA13" s="26" t="n"/>
      <c r="AB13" s="26" t="n"/>
      <c r="AC13" s="26" t="n"/>
      <c r="AD13" s="26" t="n"/>
      <c r="AE13" s="26" t="n"/>
      <c r="AF13" s="26" t="n"/>
      <c r="AG13" s="26" t="n"/>
      <c r="AH13" s="26" t="n"/>
      <c r="AI13" s="26" t="n"/>
      <c r="AJ13" s="26" t="n"/>
      <c r="AK13" s="26" t="n"/>
      <c r="AL13" s="26" t="n"/>
      <c r="AM13" s="26" t="n"/>
      <c r="AN13" s="26" t="n"/>
      <c r="AO13" s="26" t="n"/>
      <c r="AP13" s="26" t="n"/>
      <c r="AQ13" s="26" t="n"/>
      <c r="AR13" s="26" t="n"/>
      <c r="AS13" s="26" t="n"/>
      <c r="AT13" s="26" t="n"/>
      <c r="AU13" s="26" t="n"/>
      <c r="AV13" s="26" t="n"/>
      <c r="AW13" s="26" t="n"/>
      <c r="AX13" s="26" t="n"/>
      <c r="AY13" s="26" t="n"/>
      <c r="AZ13" s="26" t="n"/>
      <c r="BA13" s="26" t="n"/>
      <c r="BB13" s="26" t="n"/>
      <c r="BC13" s="26" t="n"/>
      <c r="BD13" s="26" t="n"/>
      <c r="BE13" s="26" t="n"/>
      <c r="BF13" s="26" t="n"/>
      <c r="BG13" s="26" t="n"/>
      <c r="BH13" s="26" t="n"/>
      <c r="BI13" s="26" t="n"/>
      <c r="BJ13" s="26" t="n"/>
      <c r="BK13" s="26" t="n"/>
      <c r="BL13" s="26" t="n"/>
    </row>
    <row r="14">
      <c r="A14" s="10" t="inlineStr">
        <is>
          <t>TOTAL</t>
        </is>
      </c>
      <c r="B14" s="11" t="n"/>
      <c r="C14" s="21">
        <f>SUM(C5:C13)</f>
        <v>0.0</v>
      </c>
      <c r="D14" s="21">
        <f>SUM(D5:D13)</f>
        <v>0.0</v>
      </c>
      <c r="E14" s="21">
        <f>SUM(E5:E13)</f>
        <v>0.0</v>
      </c>
      <c r="F14" s="21">
        <f>SUM(F5:F13)</f>
        <v>0.0</v>
      </c>
      <c r="G14" s="21">
        <f>SUM(G5:G13)</f>
        <v>0.0</v>
      </c>
      <c r="H14" s="21">
        <f>SUM(H5:H13)</f>
        <v>0.0</v>
      </c>
      <c r="I14" s="21">
        <f>SUM(I5:I13)</f>
        <v>0.0</v>
      </c>
      <c r="J14" s="21">
        <f>SUM(J5:J13)</f>
        <v>0.0</v>
      </c>
      <c r="K14" s="21">
        <f>SUM(K5:K13)</f>
        <v>0.0</v>
      </c>
      <c r="L14" s="21">
        <f>SUM(L5:L13)</f>
        <v>0.0</v>
      </c>
      <c r="M14" s="21">
        <f>SUM(M5:M13)</f>
        <v>0.0</v>
      </c>
      <c r="N14" s="21">
        <f>SUM(N5:N13)</f>
        <v>0.0</v>
      </c>
      <c r="O14" s="21">
        <f>SUM(O5:O13)</f>
        <v>0.0</v>
      </c>
      <c r="P14" s="21">
        <f>SUM(P5:P13)</f>
        <v>0.0</v>
      </c>
      <c r="Q14" s="21">
        <f>SUM(Q5:Q13)</f>
        <v>0.0</v>
      </c>
      <c r="R14" s="21">
        <f>SUM(R5:R13)</f>
        <v>0.0</v>
      </c>
      <c r="S14" s="21">
        <f>SUM(S5:S13)</f>
        <v>0.0</v>
      </c>
      <c r="T14" s="21">
        <f>SUM(T5:T13)</f>
        <v>0.0</v>
      </c>
      <c r="U14" s="21">
        <f>SUM(U5:U13)</f>
        <v>0.0</v>
      </c>
      <c r="V14" s="21">
        <f>SUM(V5:V13)</f>
        <v>0.0</v>
      </c>
      <c r="W14" s="21">
        <f>SUM(W5:W13)</f>
        <v>0.0</v>
      </c>
      <c r="X14" s="21">
        <f>SUM(X5:X13)</f>
        <v>0.0</v>
      </c>
      <c r="Y14" s="21">
        <f>SUM(Y5:Y13)</f>
        <v>0.0</v>
      </c>
      <c r="Z14" s="21">
        <f>SUM(Z5:Z13)</f>
        <v>0.0</v>
      </c>
      <c r="AA14" s="21">
        <f>SUM(AA5:AA13)</f>
        <v>0.0</v>
      </c>
      <c r="AB14" s="21">
        <f>SUM(AB5:AB13)</f>
        <v>0.0</v>
      </c>
      <c r="AC14" s="21">
        <f>SUM(AC5:AC13)</f>
        <v>0.0</v>
      </c>
      <c r="AD14" s="21">
        <f>SUM(AD5:AD13)</f>
        <v>0.0</v>
      </c>
      <c r="AE14" s="21">
        <f>SUM(AE5:AE13)</f>
        <v>0.0</v>
      </c>
      <c r="AF14" s="21">
        <f>SUM(AF5:AF13)</f>
        <v>0.0</v>
      </c>
      <c r="AG14" s="21">
        <f>SUM(AG5:AG13)</f>
        <v>0.0</v>
      </c>
      <c r="AH14" s="21">
        <f>SUM(AH5:AH13)</f>
        <v>0.0</v>
      </c>
      <c r="AI14" s="21">
        <f>SUM(AI5:AI13)</f>
        <v>0.0</v>
      </c>
      <c r="AJ14" s="21">
        <f>SUM(AJ5:AJ13)</f>
        <v>0.0</v>
      </c>
      <c r="AK14" s="21">
        <f>SUM(AK5:AK13)</f>
        <v>0.0</v>
      </c>
      <c r="AL14" s="21">
        <f>SUM(AL5:AL13)</f>
        <v>0.0</v>
      </c>
      <c r="AM14" s="21">
        <f>SUM(AM5:AM13)</f>
        <v>0.0</v>
      </c>
      <c r="AN14" s="21">
        <f>SUM(AN5:AN13)</f>
        <v>0.0</v>
      </c>
      <c r="AO14" s="21">
        <f>SUM(AO5:AO13)</f>
        <v>0.0</v>
      </c>
      <c r="AP14" s="21">
        <f>SUM(AP5:AP13)</f>
        <v>0.0</v>
      </c>
      <c r="AQ14" s="21">
        <f>SUM(AQ5:AQ13)</f>
        <v>0.0</v>
      </c>
      <c r="AR14" s="21">
        <f>SUM(AR5:AR13)</f>
        <v>0.0</v>
      </c>
      <c r="AS14" s="21">
        <f>SUM(AS5:AS13)</f>
        <v>0.0</v>
      </c>
      <c r="AT14" s="21">
        <f>SUM(AT5:AT13)</f>
        <v>0.0</v>
      </c>
      <c r="AU14" s="21">
        <f>SUM(AU5:AU13)</f>
        <v>0.0</v>
      </c>
      <c r="AV14" s="21">
        <f>SUM(AV5:AV13)</f>
        <v>0.0</v>
      </c>
      <c r="AW14" s="21">
        <f>SUM(AW5:AW13)</f>
        <v>0.0</v>
      </c>
      <c r="AX14" s="21">
        <f>SUM(AX5:AX13)</f>
        <v>0.0</v>
      </c>
      <c r="AY14" s="21">
        <f>SUM(AY5:AY13)</f>
        <v>0.0</v>
      </c>
      <c r="AZ14" s="21">
        <f>SUM(AZ5:AZ13)</f>
        <v>0.0</v>
      </c>
      <c r="BA14" s="21">
        <f>SUM(BA5:BA13)</f>
        <v>0.0</v>
      </c>
      <c r="BB14" s="21">
        <f>SUM(BB5:BB13)</f>
        <v>0.0</v>
      </c>
      <c r="BC14" s="21">
        <f>SUM(BC5:BC13)</f>
        <v>0.0</v>
      </c>
      <c r="BD14" s="21">
        <f>SUM(BD5:BD13)</f>
        <v>0.0</v>
      </c>
      <c r="BE14" s="21">
        <f>SUM(BE5:BE13)</f>
        <v>0.0</v>
      </c>
      <c r="BF14" s="21">
        <f>SUM(BF5:BF13)</f>
        <v>0.0</v>
      </c>
      <c r="BG14" s="21">
        <f>SUM(BG5:BG13)</f>
        <v>0.0</v>
      </c>
      <c r="BH14" s="21">
        <f>SUM(BH5:BH13)</f>
        <v>0.0</v>
      </c>
      <c r="BI14" s="21">
        <f>SUM(BI5:BI13)</f>
        <v>0.0</v>
      </c>
      <c r="BJ14" s="21">
        <f>SUM(BJ5:BJ13)</f>
        <v>0.0</v>
      </c>
      <c r="BK14" s="21">
        <f>SUM(BK5:BK13)</f>
        <v>0.0</v>
      </c>
      <c r="BL14" s="21">
        <f>SUM(BL5:BL13)</f>
        <v>0.0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6756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52" customWidth="1" min="3" max="3"/>
    <col width="16" customWidth="1" min="4" max="4"/>
  </cols>
  <sheetData>
    <row r="1" ht="39.6" customHeight="1">
      <c r="A1" s="1" t="inlineStr">
        <is>
          <t>Ed. Jardim · Parâmetros</t>
        </is>
      </c>
      <c r="B1" s="2" t="n"/>
      <c r="C1" s="2" t="n"/>
      <c r="D1" s="2" t="n"/>
      <c r="E1" s="2" t="n"/>
      <c r="F1" s="2" t="n"/>
    </row>
    <row r="2">
      <c r="A2" s="3" t="inlineStr">
        <is>
          <t>Células cinza são entradas.</t>
        </is>
      </c>
    </row>
    <row r="3">
      <c r="A3" s="22" t="inlineStr">
        <is>
          <t>Data-base (último mês com pagamentos)</t>
        </is>
      </c>
      <c r="B3" s="27" t="n">
        <v>46296</v>
      </c>
    </row>
    <row r="4">
      <c r="A4" s="22" t="inlineStr">
        <is>
          <t>Total pago no financeiro (DADOS)</t>
        </is>
      </c>
      <c r="B4" s="28" t="n">
        <v>2035408.21</v>
      </c>
    </row>
    <row r="5">
      <c r="A5" s="22" t="inlineStr">
        <is>
          <t>Total a pagar no financeiro (DADOS)</t>
        </is>
      </c>
      <c r="B5" s="28" t="n">
        <v>154562.49</v>
      </c>
    </row>
    <row r="6">
      <c r="A6" s="22" t="inlineStr">
        <is>
          <t>Nº de lançamentos</t>
        </is>
      </c>
      <c r="B6" s="29" t="n">
        <v>1319</v>
      </c>
    </row>
    <row r="7">
      <c r="A7" s="22" t="inlineStr">
        <is>
          <t>Orçado sem INCC do grupo 11 (ANÁLISE)</t>
        </is>
      </c>
      <c r="B7" s="28" t="n"/>
    </row>
    <row r="10">
      <c r="A10" s="5" t="inlineStr">
        <is>
          <t>Linha</t>
        </is>
      </c>
      <c r="B10" s="5" t="inlineStr">
        <is>
          <t>Código PL</t>
        </is>
      </c>
      <c r="C10" s="5" t="inlineStr">
        <is>
          <t>Descrição</t>
        </is>
      </c>
      <c r="D10" s="5" t="inlineStr">
        <is>
          <t>Orçado sem INCC</t>
        </is>
      </c>
    </row>
    <row r="11">
      <c r="A11" s="6" t="inlineStr">
        <is>
          <t>L01</t>
        </is>
      </c>
      <c r="B11" s="6" t="inlineStr">
        <is>
          <t>11.01</t>
        </is>
      </c>
      <c r="C11" s="6" t="inlineStr">
        <is>
          <t>Ferramentas manuais e pequenos equipamentos</t>
        </is>
      </c>
      <c r="D11" s="28" t="n"/>
    </row>
    <row r="12">
      <c r="A12" s="6" t="inlineStr">
        <is>
          <t>L02</t>
        </is>
      </c>
      <c r="B12" s="6" t="inlineStr">
        <is>
          <t>11.02</t>
        </is>
      </c>
      <c r="C12" s="6" t="inlineStr">
        <is>
          <t>Movimento de terra, manipulador e transporte vertical leve</t>
        </is>
      </c>
      <c r="D12" s="28" t="n"/>
    </row>
    <row r="13">
      <c r="A13" s="6" t="inlineStr">
        <is>
          <t>L03</t>
        </is>
      </c>
      <c r="B13" s="6" t="inlineStr">
        <is>
          <t>11.03.01-03/06</t>
        </is>
      </c>
      <c r="C13" s="6" t="inlineStr">
        <is>
          <t>Equipamentos de produção civil e locações</t>
        </is>
      </c>
      <c r="D13" s="28" t="n"/>
    </row>
    <row r="14">
      <c r="A14" s="6" t="inlineStr">
        <is>
          <t>L04</t>
        </is>
      </c>
      <c r="B14" s="6" t="inlineStr">
        <is>
          <t>11.03.04-05</t>
        </is>
      </c>
      <c r="C14" s="6" t="inlineStr">
        <is>
          <t>Bandejas de proteção</t>
        </is>
      </c>
      <c r="D14" s="28" t="n"/>
    </row>
    <row r="15">
      <c r="A15" s="6" t="inlineStr">
        <is>
          <t>L05</t>
        </is>
      </c>
      <c r="B15" s="6" t="inlineStr">
        <is>
          <t>11.04.01</t>
        </is>
      </c>
      <c r="C15" s="6" t="inlineStr">
        <is>
          <t>Elevador cremalheira</t>
        </is>
      </c>
      <c r="D15" s="28" t="n"/>
    </row>
    <row r="16">
      <c r="A16" s="6" t="inlineStr">
        <is>
          <t>L06</t>
        </is>
      </c>
      <c r="B16" s="6" t="inlineStr">
        <is>
          <t>11.04.02</t>
        </is>
      </c>
      <c r="C16" s="6" t="inlineStr">
        <is>
          <t>Grua</t>
        </is>
      </c>
      <c r="D16" s="28" t="n"/>
    </row>
    <row r="17">
      <c r="A17" s="6" t="inlineStr">
        <is>
          <t>L07</t>
        </is>
      </c>
      <c r="B17" s="6" t="inlineStr">
        <is>
          <t>11.05</t>
        </is>
      </c>
      <c r="C17" s="6" t="inlineStr">
        <is>
          <t>Equipamentos de fachada (andaimes, balancins)</t>
        </is>
      </c>
      <c r="D17" s="28" t="n"/>
    </row>
    <row r="18">
      <c r="A18" s="6" t="inlineStr">
        <is>
          <t>L08</t>
        </is>
      </c>
      <c r="B18" s="6" t="inlineStr">
        <is>
          <t>11.06</t>
        </is>
      </c>
      <c r="C18" s="6" t="inlineStr">
        <is>
          <t>Equipamentos de proteção coletiva (telas, sinalização)</t>
        </is>
      </c>
      <c r="D18" s="28" t="n"/>
    </row>
    <row r="19">
      <c r="A19" s="6" t="inlineStr">
        <is>
          <t>L10</t>
        </is>
      </c>
      <c r="B19" s="6" t="inlineStr">
        <is>
          <t>—</t>
        </is>
      </c>
      <c r="C19" s="6" t="inlineStr">
        <is>
          <t>A classificar (sem linha definida)</t>
        </is>
      </c>
      <c r="D19" s="2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6756"/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 ht="39.6" customHeight="1">
      <c r="A1" s="1" t="inlineStr">
        <is>
          <t>Ed. Jardim · Leia-me</t>
        </is>
      </c>
      <c r="B1" s="2" t="n"/>
    </row>
    <row r="2">
      <c r="A2" s="3" t="inlineStr"/>
    </row>
    <row r="4">
      <c r="A4" s="30" t="inlineStr">
        <is>
          <t>Objetivo</t>
        </is>
      </c>
      <c r="B4" s="31" t="inlineStr">
        <is>
          <t>Abrir o realizado do grupo 11 (PL530.001, Equipamentos e Ferramentas) mês a mês e por linha, a partir do financeiro, e comparar com o orçamento mensal sem INCC.</t>
        </is>
      </c>
    </row>
    <row r="5">
      <c r="A5" s="30" t="inlineStr">
        <is>
          <t>Fonte do realizado</t>
        </is>
      </c>
      <c r="B5" s="31" t="inlineStr">
        <is>
          <t>Planilha DADOS do financeiro: GRUPO 1 contém "CIDADE JARDIM", COD SERVIÇO = PL530.001, STATUS FINANCEIRO = PAGAS (realizado) ou A PAGAR (títulos em aberto). Mês = [INÍCIO DO MÊS]; valor = [VALOR REAL] com sinal invertido. Os lançamentos com código 1030-1070-450 (fora do PL530.001) não entram.</t>
        </is>
      </c>
    </row>
    <row r="6">
      <c r="A6" s="30" t="inlineStr">
        <is>
          <t>Fonte do orçamento</t>
        </is>
      </c>
      <c r="B6" s="31" t="inlineStr">
        <is>
          <t>PENDENTE: o histograma de origem do Ed. Jardim não foi enviado. A aba BASE está vazia e a conferência 3 fica PENDENTE.</t>
        </is>
      </c>
    </row>
    <row r="7">
      <c r="A7" s="30" t="inlineStr">
        <is>
          <t>Linhas (L01…L10)</t>
        </is>
      </c>
      <c r="B7" s="31" t="inlineStr">
        <is>
          <t>Cada fornecedor recebe uma linha na aba FORNECEDORES (coluna F). A sugestão é automática pelo nome e pela categoria do financeiro; os fornecedores lançados como NÃO CLASSIFICADO ou contrato (ex.: locadoras de grua/cremalheira) ficam em L10 até a classificação pela medição. Ao mudar a linha, LANÇAMENTOS, HISTOGRAMA e RESUMO se recalculam.</t>
        </is>
      </c>
    </row>
    <row r="8">
      <c r="A8" s="30" t="inlineStr">
        <is>
          <t>Data-base</t>
        </is>
      </c>
      <c r="B8" s="31" t="inlineStr">
        <is>
          <t>out/26 (pagamentos até 07/10/2026, mês parcial). Alterar em PARÂMETROS!B3; o realizado acumulado some depois da data-base.</t>
        </is>
      </c>
    </row>
    <row r="9">
      <c r="A9" s="30" t="inlineStr">
        <is>
          <t>Pendências para a R01</t>
        </is>
      </c>
      <c r="B9" s="31" t="inlineStr">
        <is>
          <t>1) Medição financeira (.xlsm): abas mensais, ANÁLISE IEC (linha do grupo 11, colunas I, T e X), AUX.IEC e AUX.EQUIPAM_02, para fechar o realizado com a ANÁLISE ao centavo e classificar os fornecedores por código. 2) Contratos e aditivos (grua, cremalheira, manipulador, balancins, bandejas, locadoras) e lista de LOCAÇÕES - GERAL, para a projeção (CADASTRO). 3) Cronograma atualizado, para o fim das locações. 4) Histograma de origem do Ed. Jardim.</t>
        </is>
      </c>
    </row>
    <row r="10">
      <c r="A10" s="30" t="inlineStr">
        <is>
          <t>Rotina mensal</t>
        </is>
      </c>
      <c r="B10" s="31" t="inlineStr">
        <is>
          <t>Colar as novas linhas do financeiro na aba LANÇAMENTOS (mesmas colunas), classificar fornecedores novos em FORNECEDORES, atualizar a data-base e conferir o RESUMO (conferências 1 a 4 = OK).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2026-10-07T17:32:27Z</dcterms:created>
  <dcterms:modified xsi:type="dcterms:W3CDTF">2026-10-07T17:32:28Z</dcterms:modified>
</cp:coreProperties>
</file>